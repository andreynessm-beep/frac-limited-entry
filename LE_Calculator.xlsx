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DT" sheetId="3" state="visible" r:id="rId3"/>
    <sheet xmlns:r="http://schemas.openxmlformats.org/officeDocument/2006/relationships" name="Erosion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Design" sheetId="6" state="visible" r:id="rId6"/>
    <sheet xmlns:r="http://schemas.openxmlformats.org/officeDocument/2006/relationships" name="LE_Curves" sheetId="7" state="visible" r:id="rId7"/>
    <sheet xmlns:r="http://schemas.openxmlformats.org/officeDocument/2006/relationships" name="Chart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"/>
    <numFmt numFmtId="166" formatCode="0.0000"/>
    <numFmt numFmtId="167" formatCode="0.0%"/>
    <numFmt numFmtId="168" formatCode="+0.0%;-0.0%;0.0%"/>
    <numFmt numFmtId="169" formatCode="0.00000"/>
    <numFmt numFmtId="170" formatCode="0.000E+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2" fontId="5" fillId="2" borderId="1" pivotButton="0" quotePrefix="0" xfId="0"/>
    <xf numFmtId="1" fontId="5" fillId="2" borderId="1" pivotButton="0" quotePrefix="0" xfId="0"/>
    <xf numFmtId="11" fontId="5" fillId="2" borderId="1" pivotButton="0" quotePrefix="0" xfId="0"/>
    <xf numFmtId="164" fontId="2" fillId="0" borderId="0" pivotButton="0" quotePrefix="0" xfId="0"/>
    <xf numFmtId="0" fontId="5" fillId="3" borderId="1" pivotButton="0" quotePrefix="0" xfId="0"/>
    <xf numFmtId="11" fontId="2" fillId="0" borderId="0" pivotButton="0" quotePrefix="0" xfId="0"/>
    <xf numFmtId="165" fontId="5" fillId="2" borderId="1" pivotButton="0" quotePrefix="0" xfId="0"/>
    <xf numFmtId="1" fontId="2" fillId="0" borderId="0" pivotButton="0" quotePrefix="0" xfId="0"/>
    <xf numFmtId="2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2" borderId="1" pivotButton="0" quotePrefix="0" xfId="0"/>
    <xf numFmtId="164" fontId="5" fillId="2" borderId="1" pivotButton="0" quotePrefix="0" xfId="0"/>
    <xf numFmtId="2" fontId="2" fillId="5" borderId="0" pivotButton="0" quotePrefix="0" xfId="0"/>
    <xf numFmtId="164" fontId="2" fillId="5" borderId="0" pivotButton="0" quotePrefix="0" xfId="0"/>
    <xf numFmtId="166" fontId="5" fillId="2" borderId="1" pivotButton="0" quotePrefix="0" xfId="0"/>
    <xf numFmtId="169" fontId="2" fillId="0" borderId="0" pivotButton="0" quotePrefix="0" xfId="0"/>
    <xf numFmtId="169" fontId="2" fillId="6" borderId="0" pivotButton="0" quotePrefix="0" xfId="0"/>
    <xf numFmtId="166" fontId="2" fillId="6" borderId="0" pivotButton="0" quotePrefix="0" xfId="0"/>
    <xf numFmtId="0" fontId="3" fillId="6" borderId="0" pivotButton="0" quotePrefix="0" xfId="0"/>
    <xf numFmtId="165" fontId="3" fillId="6" borderId="0" pivotButton="0" quotePrefix="0" xfId="0"/>
    <xf numFmtId="165" fontId="2" fillId="6" borderId="0" pivotButton="0" quotePrefix="0" xfId="0"/>
    <xf numFmtId="2" fontId="2" fillId="6" borderId="0" pivotButton="0" quotePrefix="0" xfId="0"/>
    <xf numFmtId="165" fontId="2" fillId="0" borderId="0" pivotButton="0" quotePrefix="0" xfId="0"/>
    <xf numFmtId="1" fontId="2" fillId="6" borderId="0" pivotButton="0" quotePrefix="0" xfId="0"/>
    <xf numFmtId="2" fontId="3" fillId="6" borderId="0" pivotButton="0" quotePrefix="0" xfId="0"/>
    <xf numFmtId="164" fontId="2" fillId="6" borderId="0" pivotButton="0" quotePrefix="0" xfId="0"/>
    <xf numFmtId="167" fontId="3" fillId="6" borderId="0" pivotButton="0" quotePrefix="0" xfId="0"/>
    <xf numFmtId="170" fontId="2" fillId="6" borderId="0" pivotButton="0" quotePrefix="0" xfId="0"/>
    <xf numFmtId="11" fontId="3" fillId="6" borderId="0" pivotButton="0" quotePrefix="0" xfId="0"/>
    <xf numFmtId="166" fontId="2" fillId="0" borderId="0" pivotButton="0" quotePrefix="0" xfId="0"/>
    <xf numFmtId="170" fontId="2" fillId="0" borderId="0" pivotButton="0" quotePrefix="0" xfId="0"/>
    <xf numFmtId="167" fontId="2" fillId="6" borderId="0" pivotButton="0" quotePrefix="0" xfId="0"/>
    <xf numFmtId="168" fontId="2" fillId="0" borderId="0" pivotButton="0" quotePrefix="0" xfId="0"/>
    <xf numFmtId="164" fontId="3" fillId="6" borderId="0" pivotButton="0" quotePrefix="0" xfId="0"/>
    <xf numFmtId="9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Pre-proppant test (start of stage)</a:t>
            </a:r>
          </a:p>
        </rich>
      </tx>
    </title>
    <plotArea>
      <scatterChart>
        <ser>
          <idx val="0"/>
          <order val="0"/>
          <tx>
            <v>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'SDT'!$A$13:$A$22</f>
            </numRef>
          </xVal>
          <yVal>
            <numRef>
              <f>'SDT'!$E$13:$E$22</f>
            </numRef>
          </yVal>
        </ser>
        <ser>
          <idx val="1"/>
          <order val="1"/>
          <tx>
            <v>fit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'SDT'!$A$13:$A$22</f>
            </numRef>
          </xVal>
          <yVal>
            <numRef>
              <f>'SDT'!$H$13:$H$22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rate, m³/min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BHP − ISIP, MPa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End-of-stage test</a:t>
            </a:r>
          </a:p>
        </rich>
      </tx>
    </title>
    <plotArea>
      <scatterChart>
        <ser>
          <idx val="0"/>
          <order val="0"/>
          <tx>
            <v>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'SDT'!$J$13:$J$22</f>
            </numRef>
          </xVal>
          <yVal>
            <numRef>
              <f>'SDT'!$N$13:$N$22</f>
            </numRef>
          </yVal>
        </ser>
        <ser>
          <idx val="1"/>
          <order val="1"/>
          <tx>
            <v>fit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'SDT'!$J$13:$J$22</f>
            </numRef>
          </xVal>
          <yVal>
            <numRef>
              <f>'SDT'!$Q$13:$Q$22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rate, m³/min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BHP − ISIP, MPa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Perforation friction through the stage</a:t>
            </a:r>
          </a:p>
        </rich>
      </tx>
    </title>
    <plotArea>
      <scatterChart>
        <ser>
          <idx val="0"/>
          <order val="0"/>
          <tx>
            <strRef>
              <f>'Erosion'!O60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'Erosion'!$B$61:$B$420</f>
            </numRef>
          </xVal>
          <yVal>
            <numRef>
              <f>'Erosion'!$O$61:$O$420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time, min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ΔP_perf, MPa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Conceptual LE plot: cluster entry curves vs common casing pressure</a:t>
            </a:r>
          </a:p>
        </rich>
      </tx>
    </title>
    <plotArea>
      <scatterChart>
        <ser>
          <idx val="0"/>
          <order val="0"/>
          <tx>
            <strRef>
              <f>'ChartData'!B4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'ChartData'!$B$5:$B$105</f>
            </numRef>
          </yVal>
          <smooth val="1"/>
        </ser>
        <ser>
          <idx val="1"/>
          <order val="1"/>
          <tx>
            <strRef>
              <f>'ChartData'!C4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'ChartData'!$C$5:$C$105</f>
            </numRef>
          </yVal>
          <smooth val="1"/>
        </ser>
        <ser>
          <idx val="2"/>
          <order val="2"/>
          <tx>
            <strRef>
              <f>'ChartData'!D4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'ChartData'!$D$5:$D$105</f>
            </numRef>
          </yVal>
          <smooth val="1"/>
        </ser>
        <ser>
          <idx val="3"/>
          <order val="3"/>
          <tx>
            <strRef>
              <f>'ChartData'!E4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'ChartData'!$E$5:$E$105</f>
            </numRef>
          </yVal>
          <smooth val="1"/>
        </ser>
        <ser>
          <idx val="4"/>
          <order val="4"/>
          <tx>
            <strRef>
              <f>'ChartData'!F4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'ChartData'!$F$5:$F$105</f>
            </numRef>
          </yVal>
          <smooth val="1"/>
        </ser>
        <ser>
          <idx val="5"/>
          <order val="5"/>
          <tx>
            <strRef>
              <f>'ChartData'!G4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'ChartData'!$G$5:$G$105</f>
            </numRef>
          </yVal>
          <smooth val="1"/>
        </ser>
        <ser>
          <idx val="6"/>
          <order val="6"/>
          <tx>
            <strRef>
              <f>'ChartData'!H4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'ChartData'!$H$5:$H$105</f>
            </numRef>
          </yVal>
          <smooth val="1"/>
        </ser>
        <ser>
          <idx val="7"/>
          <order val="7"/>
          <tx>
            <strRef>
              <f>'ChartData'!I4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'ChartData'!$I$5:$I$105</f>
            </numRef>
          </yVal>
          <smooth val="1"/>
        </ser>
        <ser>
          <idx val="8"/>
          <order val="8"/>
          <tx>
            <strRef>
              <f>'ChartData'!J4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'ChartData'!$J$5:$J$105</f>
            </numRef>
          </yVal>
          <smooth val="1"/>
        </ser>
        <ser>
          <idx val="9"/>
          <order val="9"/>
          <tx>
            <strRef>
              <f>'ChartData'!K4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'ChartData'!$K$5:$K$105</f>
            </numRef>
          </yVal>
          <smooth val="1"/>
        </ser>
        <ser>
          <idx val="10"/>
          <order val="10"/>
          <tx>
            <strRef>
              <f>'ChartData'!L4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'ChartData'!$L$5:$L$105</f>
            </numRef>
          </yVal>
          <smooth val="1"/>
        </ser>
        <ser>
          <idx val="11"/>
          <order val="11"/>
          <tx>
            <strRef>
              <f>'ChartData'!M4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'ChartData'!$M$5:$M$105</f>
            </numRef>
          </yVal>
          <smooth val="1"/>
        </ser>
        <ser>
          <idx val="12"/>
          <order val="12"/>
          <tx>
            <strRef>
              <f>'ChartData'!N4</f>
            </strRef>
          </tx>
          <spPr>
            <a:ln xmlns:a="http://schemas.openxmlformats.org/drawingml/2006/main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'ChartData'!$A$5:$A$105</f>
            </numRef>
          </xVal>
          <yVal>
            <numRef>
              <f>'ChartData'!$N$5:$N$105</f>
            </numRef>
          </yVal>
        </ser>
        <ser>
          <idx val="13"/>
          <order val="13"/>
          <tx>
            <v>operating points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'ChartData'!$O$5:$O$16</f>
            </numRef>
          </xVal>
          <yVal>
            <numRef>
              <f>'ChartData'!$P$5:$P$16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cluster rate, m³/min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above lowest cluster stress, MPa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LE calculator</author>
  </authors>
  <commentList>
    <comment ref="B7" authorId="0" shapeId="0">
      <text>
        <t>Sharp-edged new perforation. 0.56 from Crump &amp; Conway data (Romero 2000 fit).</t>
      </text>
    </comment>
    <comment ref="B8" authorId="0" shapeId="0">
      <text>
        <t>Fully rounded entrance. 0.89 from Crump &amp; Conway data (Romero 2000 fit).</t>
      </text>
    </comment>
    <comment ref="B9" authorId="0" shapeId="0">
      <text>
        <t>Materials 2025, 18, 2507 Table 1, quartz sand. Replace with calibrated value.</t>
      </text>
    </comment>
    <comment ref="B10" authorId="0" shapeId="0">
      <text>
        <t>Materials 2025 range 5.7e-11…1.7e-10 (lab), 9.5e-10 (Mahu field).</t>
      </text>
    </comment>
    <comment ref="B11" authorId="0" shapeId="0">
      <text>
        <t>Step-down convention: tortuosity ~ Q^0.5.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53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Limited Entry Calculator — Plug &amp; Perf (SI units)</t>
        </is>
      </c>
    </row>
    <row r="2">
      <c r="A2" s="2" t="inlineStr"/>
    </row>
    <row r="3">
      <c r="A3" s="3" t="inlineStr">
        <is>
          <t>WHAT IT DOES</t>
        </is>
      </c>
    </row>
    <row r="4">
      <c r="A4" s="2" t="inlineStr">
        <is>
          <t>1. Inputs — stage rate, fluid, proppant, up to 12 clusters (stress, shots, entry-hole diameter, Cd, near-wellbore coefficient).</t>
        </is>
      </c>
    </row>
    <row r="5">
      <c r="A5" s="2" t="inlineStr">
        <is>
          <t>2. SDT — fits step-down / step-rate tests: BHP − ISIP = a·Q² + b·Q^β. Gives effective perforation area A_eff = n·Cd·d² and open perforations for any assumed Cd.</t>
        </is>
      </c>
    </row>
    <row r="6">
      <c r="A6" s="2" t="inlineStr">
        <is>
          <t>3. Erosion — time-marches the pump schedule with the Long et al. erosion model (Cd rounding + diameter growth); calibrates α from pre- and post-stage SDTs.</t>
        </is>
      </c>
    </row>
    <row r="7">
      <c r="A7" s="2" t="inlineStr">
        <is>
          <t>4. Distribution — solves the common operating point: every cluster sees the same casing pressure, Σq = Q. Conceptual LE plot included.</t>
        </is>
      </c>
    </row>
    <row r="8">
      <c r="A8" s="2" t="inlineStr">
        <is>
          <t>5. Design — perforation friction matrix (shots × diameter), required shots for a target friction, start vs end-of-stage friction.</t>
        </is>
      </c>
    </row>
    <row r="9">
      <c r="A9" s="2" t="inlineStr"/>
    </row>
    <row r="10">
      <c r="A10" s="3" t="inlineStr">
        <is>
          <t>HOW TO USE</t>
        </is>
      </c>
    </row>
    <row r="11">
      <c r="A11" s="2" t="inlineStr">
        <is>
          <t>Edit only cells with BLUE text on a light-yellow fill (bright yellow = key switches). Everything else is a formula. Example values are a SYNTHETIC demo case — replace them.</t>
        </is>
      </c>
    </row>
    <row r="12">
      <c r="A12" s="2" t="inlineStr">
        <is>
          <t>Workflow: Inputs → SDT (pre-proppant test, end-of-stage test) → Erosion (set 'Use calibrated α' = Yes once both SDTs are entered) → Distribution (State = Start / End) → Design.</t>
        </is>
      </c>
    </row>
    <row r="13">
      <c r="A13" s="2" t="inlineStr">
        <is>
          <t>Clusters: set shots = 0 to switch a cluster off. Rate in m³/min, pressure in MPa, diameter in mm, proppant in kg per m³ of clean fluid.</t>
        </is>
      </c>
    </row>
    <row r="14">
      <c r="A14" s="2" t="inlineStr"/>
    </row>
    <row r="15">
      <c r="A15" s="3" t="inlineStr">
        <is>
          <t>EQUATIONS (SI)</t>
        </is>
      </c>
    </row>
    <row r="16">
      <c r="A16" s="2" t="inlineStr">
        <is>
          <t>Perforation friction:  ΔP_perf [Pa] = 8·ρ·q² / (π²·n²·d⁴·Cd²),  q [m³/s], d [m]  →  in sheet units ΔP [MPa] = K·ρ·q²/(n²·d⁴·Cd²),  K = 8·10⁶/(π²·3600) = 225.16  (q m³/min, d mm).</t>
        </is>
      </c>
    </row>
    <row r="17">
      <c r="A17" s="2" t="inlineStr">
        <is>
          <t xml:space="preserve">  The classic field constant 0.2369 (psi, bpm, ppg, in) is the same equation rounded; exact conversion gives 0.2376 (0.3% difference).</t>
        </is>
      </c>
    </row>
    <row r="18">
      <c r="A18" s="2" t="inlineStr">
        <is>
          <t>Near-wellbore (tortuosity):  ΔP_nwb = k·q^β, β ≈ 0.5.  Cluster entry pressure:  P = σ + ΔP_perf + ΔP_nwb.</t>
        </is>
      </c>
    </row>
    <row r="19">
      <c r="A19" s="2" t="inlineStr">
        <is>
          <t>Erosion (Long et al. 2018):  dD/dt = α·C·v²,   dCd/dt = β·C·v²·(1 − Cd/Cd_max),   C = proppant kg per m³ slurry, v = velocity in one perforation (m/s).</t>
        </is>
      </c>
    </row>
    <row r="20">
      <c r="A20" s="2" t="inlineStr">
        <is>
          <t>Two-SDT calibration:  D_end⁵ = D₀⁵ + 80·α/(π²·n²) · ∫C·Q² dt   (SI, Cd at end ≈ Cd_max).</t>
        </is>
      </c>
    </row>
    <row r="21">
      <c r="A21" s="2" t="inlineStr"/>
    </row>
    <row r="22">
      <c r="A22" s="3" t="inlineStr">
        <is>
          <t>KEY LIMITATION — IDENTIFIABILITY</t>
        </is>
      </c>
    </row>
    <row r="23">
      <c r="A23" s="2" t="inlineStr">
        <is>
          <t>A step-down test resolves only the product n·Cd·d². 30 holes at Cd 0.56 and 19.8 holes at Cd 0.85 give an identical test. Use the pre-proppant SDT (d = gun entry hole, Cd ≈ Cd0)</t>
        </is>
      </c>
    </row>
    <row r="24">
      <c r="A24" s="2" t="inlineStr">
        <is>
          <t>to fix n; the end-of-stage SDT then measures erosion (Cd·d² growth). Separating Cd-rounding (β) from diameter growth (α) needs the in-stage friction trace — see Python tool.</t>
        </is>
      </c>
    </row>
    <row r="25">
      <c r="A25" s="2" t="inlineStr">
        <is>
          <t>After heavy erosion the end-of-stage perforation friction may be too small vs pressure noise: check 'resolvable' on the SDT sheet before trusting the result.</t>
        </is>
      </c>
    </row>
    <row r="26">
      <c r="A26" s="2" t="inlineStr"/>
    </row>
    <row r="27">
      <c r="A27" s="3" t="inlineStr">
        <is>
          <t>WHAT THIS SHEET SIMPLIFIES (the Python tool le_engine.py does it fully)</t>
        </is>
      </c>
    </row>
    <row r="28">
      <c r="A28" s="2" t="inlineStr">
        <is>
          <t>• Erosion here is lumped (one equivalent perforation set). Python couples erosion per cluster with the distribution solver — the cluster that takes more slurry erodes faster and takes even more (runaway).</t>
        </is>
      </c>
    </row>
    <row r="29">
      <c r="A29" s="2" t="inlineStr">
        <is>
          <t>• Heel/toe proppant bias, casing friction between clusters, Monte-Carlo over stress uncertainty, multi-stage (α, β) calibration and isotonic in-stage friction tracking are Python-only.</t>
        </is>
      </c>
    </row>
    <row r="30">
      <c r="A30" s="2" t="inlineStr"/>
    </row>
    <row r="31">
      <c r="A31" s="3" t="inlineStr">
        <is>
          <t>SOURCES</t>
        </is>
      </c>
    </row>
    <row r="32">
      <c r="A32" s="2" t="inlineStr">
        <is>
          <t>Orifice equation &amp; worked example: McClure et al., 'The A to Z Guide to Accelerating Continuous Improvement with ResFrac', arXiv:2205.14820 (80 bpm, 32 × 0.4 in, 10 ppg, Cd 0.85 → ~800 psi).</t>
        </is>
      </c>
    </row>
    <row r="33">
      <c r="A33" s="2" t="inlineStr">
        <is>
          <t>Cd 0.56 → 0.89 after ~2000 lbm proppant per perforation: Crump &amp; Conway (SPE 15474, 1988) data as fitted by Romero (2000), cited in Processes 2022, 10, 1058.</t>
        </is>
      </c>
    </row>
    <row r="34">
      <c r="A34" s="2" t="inlineStr">
        <is>
          <t>Erosion model: Long, Liu, Xu et al., 'A Perforation-Erosion Model for Hydraulic-Fracturing Applications', SPE Prod &amp; Oper 33(4), 2018; Long &amp; Xu, SPE J. 2017 (SPE-185173-PA).</t>
        </is>
      </c>
    </row>
    <row r="35">
      <c r="A35" s="2" t="inlineStr">
        <is>
          <t>Default α = 3.1e-13 m²·s/kg and β = 1.0e-10 m·s/kg: lab/field-scale range in 'Construction and Application of a Quantitative Perforation Erosion Model Based on Field Experiments', Materials 2025, 18, 2507 (α 1.0e-13…4.5e-13, β 5.7e-11…9.5e-10). CALIBRATE on your SDTs.</t>
        </is>
      </c>
    </row>
    <row r="36">
      <c r="A36" s="2" t="inlineStr">
        <is>
          <t>Step-down tests: Mondal et al., 'Advancements in Step Down Tests to Guide Perforation Cluster Design and Limited Entry Pressure Intensities', SPE-204147-MS, 2021.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0" customWidth="1" min="4" max="4"/>
    <col width="11" customWidth="1" min="5" max="5"/>
    <col width="9" customWidth="1" min="6" max="6"/>
    <col width="16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4" t="inlineStr">
        <is>
          <t>Inputs (SI)</t>
        </is>
      </c>
    </row>
    <row r="2">
      <c r="A2" s="5" t="inlineStr">
        <is>
          <t>Blue text on yellow = edit. Grey = helper formulas. Demo values are SYNTHETIC.</t>
        </is>
      </c>
    </row>
    <row r="3">
      <c r="A3" s="6" t="inlineStr">
        <is>
          <t>Global</t>
        </is>
      </c>
    </row>
    <row r="4">
      <c r="A4" s="7" t="inlineStr">
        <is>
          <t>Stage rate Q, m³/min</t>
        </is>
      </c>
      <c r="B4" s="8" t="n">
        <v>14</v>
      </c>
    </row>
    <row r="5">
      <c r="A5" s="7" t="inlineStr">
        <is>
          <t>Clean fluid density ρ, kg/m³</t>
        </is>
      </c>
      <c r="B5" s="9" t="n">
        <v>1006</v>
      </c>
    </row>
    <row r="6">
      <c r="A6" s="7" t="inlineStr">
        <is>
          <t>Proppant specific gravity</t>
        </is>
      </c>
      <c r="B6" s="8" t="n">
        <v>2.65</v>
      </c>
    </row>
    <row r="7">
      <c r="A7" s="7" t="inlineStr">
        <is>
          <t>Initial discharge coefficient Cd0</t>
        </is>
      </c>
      <c r="B7" s="8" t="n">
        <v>0.5600000000000001</v>
      </c>
    </row>
    <row r="8">
      <c r="A8" s="7" t="inlineStr">
        <is>
          <t>Max discharge coefficient Cd_max</t>
        </is>
      </c>
      <c r="B8" s="8" t="n">
        <v>0.89</v>
      </c>
    </row>
    <row r="9">
      <c r="A9" s="7" t="inlineStr">
        <is>
          <t>Erosion α input, m²·s/kg (diameter)</t>
        </is>
      </c>
      <c r="B9" s="10" t="n">
        <v>3.1e-13</v>
      </c>
    </row>
    <row r="10">
      <c r="A10" s="7" t="inlineStr">
        <is>
          <t>Erosion β, m·s/kg (Cd rounding)</t>
        </is>
      </c>
      <c r="B10" s="10" t="n">
        <v>1e-10</v>
      </c>
    </row>
    <row r="11">
      <c r="A11" s="7" t="inlineStr">
        <is>
          <t>Near-wellbore exponent β_nwb</t>
        </is>
      </c>
      <c r="B11" s="8" t="n">
        <v>0.5</v>
      </c>
    </row>
    <row r="12">
      <c r="A12" s="7" t="inlineStr">
        <is>
          <t>Orifice constant K (MPa, m³/min, mm, kg/m³)</t>
        </is>
      </c>
      <c r="B12" s="11">
        <f>8000000/(PI()^2*3600)</f>
        <v/>
      </c>
    </row>
    <row r="13">
      <c r="A13" s="7" t="inlineStr">
        <is>
          <t>Use calibrated α from SDTs? (Yes/No)</t>
        </is>
      </c>
      <c r="B13" s="12" t="inlineStr">
        <is>
          <t>No</t>
        </is>
      </c>
    </row>
    <row r="14">
      <c r="A14" s="7" t="inlineStr">
        <is>
          <t>α used in model, m²·s/kg</t>
        </is>
      </c>
      <c r="B14" s="13">
        <f>IF(B13="Yes",Erosion!B56,B9)</f>
        <v/>
      </c>
    </row>
    <row r="15">
      <c r="A15" s="7" t="inlineStr">
        <is>
          <t>Distribution state (Start/End of stage)</t>
        </is>
      </c>
      <c r="B15" s="12" t="inlineStr">
        <is>
          <t>Start</t>
        </is>
      </c>
    </row>
    <row r="16">
      <c r="A16" s="7" t="inlineStr">
        <is>
          <t>Open perforations for erosion (Design/SDT)</t>
        </is>
      </c>
      <c r="B16" s="12" t="inlineStr">
        <is>
          <t>Design</t>
        </is>
      </c>
    </row>
    <row r="17">
      <c r="A17" s="7" t="inlineStr">
        <is>
          <t>Erosion time step, min</t>
        </is>
      </c>
      <c r="B17" s="14" t="n">
        <v>1</v>
      </c>
    </row>
    <row r="18">
      <c r="A18" s="7" t="inlineStr">
        <is>
          <t>Active clusters</t>
        </is>
      </c>
      <c r="B18" s="15">
        <f>COUNTIF(D23:D34,"&gt;0")</f>
        <v/>
      </c>
    </row>
    <row r="19">
      <c r="A19" s="7" t="inlineStr">
        <is>
          <t>Total perforations in stage</t>
        </is>
      </c>
      <c r="B19" s="15">
        <f>SUMIF(D23:D34,"&gt;0")</f>
        <v/>
      </c>
    </row>
    <row r="20">
      <c r="A20" s="7" t="inlineStr">
        <is>
          <t>Equal share per cluster, m³/min</t>
        </is>
      </c>
      <c r="B20" s="11">
        <f>B4/B18</f>
        <v/>
      </c>
    </row>
    <row r="21">
      <c r="A21" s="7" t="inlineStr">
        <is>
          <t>Shot-weighted entry hole d0, mm</t>
        </is>
      </c>
      <c r="B21" s="16">
        <f>SUMPRODUCT(D23:D34,E23:E34)/B19</f>
        <v/>
      </c>
    </row>
    <row r="22" ht="42" customHeight="1">
      <c r="A22" s="17" t="inlineStr">
        <is>
          <t>Cluster</t>
        </is>
      </c>
      <c r="B22" s="17" t="inlineStr">
        <is>
          <t>MD, m</t>
        </is>
      </c>
      <c r="C22" s="17" t="inlineStr">
        <is>
          <t>Stress σ, MPa</t>
        </is>
      </c>
      <c r="D22" s="17" t="inlineStr">
        <is>
          <t>Shots n</t>
        </is>
      </c>
      <c r="E22" s="17" t="inlineStr">
        <is>
          <t>Entry hole d, mm</t>
        </is>
      </c>
      <c r="F22" s="17" t="inlineStr">
        <is>
          <t>Cd</t>
        </is>
      </c>
      <c r="G22" s="17" t="inlineStr">
        <is>
          <t>k_nwb, MPa/(m³/min)^β</t>
        </is>
      </c>
      <c r="H22" s="17" t="inlineStr">
        <is>
          <t>d used, mm</t>
        </is>
      </c>
      <c r="I22" s="17" t="inlineStr">
        <is>
          <t>Cd used</t>
        </is>
      </c>
      <c r="J22" s="17" t="inlineStr">
        <is>
          <t>σ (active, min)</t>
        </is>
      </c>
      <c r="K22" s="17" t="inlineStr">
        <is>
          <t>P at equal share, MPa</t>
        </is>
      </c>
      <c r="L22" s="17" t="inlineStr">
        <is>
          <t>σ (active, max)</t>
        </is>
      </c>
    </row>
    <row r="23">
      <c r="A23" s="18" t="inlineStr">
        <is>
          <t>C1 heel</t>
        </is>
      </c>
      <c r="B23" s="9" t="n">
        <v>4572</v>
      </c>
      <c r="C23" s="8" t="n">
        <v>55.2</v>
      </c>
      <c r="D23" s="9" t="n">
        <v>6</v>
      </c>
      <c r="E23" s="8" t="n">
        <v>10.2</v>
      </c>
      <c r="F23" s="8" t="n">
        <v>0.5600000000000001</v>
      </c>
      <c r="G23" s="19" t="n">
        <v>0.5</v>
      </c>
      <c r="H23" s="20">
        <f>IF($B$15="End",E23*Erosion!$B$45/$B$21,E23)</f>
        <v/>
      </c>
      <c r="I23" s="21">
        <f>IF($B$15="End",Erosion!$B$46,F23)</f>
        <v/>
      </c>
      <c r="J23" s="20">
        <f>IF(D23&gt;0,C23,1000000000)</f>
        <v/>
      </c>
      <c r="K23" s="20">
        <f>IF(D23&gt;0,C23+$B$12*$B$5*$B$20^2/(D23^2*H23^4*I23^2)+G23*$B$20^$B$11,-1000000000)</f>
        <v/>
      </c>
      <c r="L23" s="20">
        <f>IF(D23&gt;0,C23,-1000000000)</f>
        <v/>
      </c>
    </row>
    <row r="24">
      <c r="A24" s="18" t="inlineStr">
        <is>
          <t>C2</t>
        </is>
      </c>
      <c r="B24" s="9" t="n">
        <v>4584</v>
      </c>
      <c r="C24" s="8" t="n">
        <v>56.2</v>
      </c>
      <c r="D24" s="9" t="n">
        <v>6</v>
      </c>
      <c r="E24" s="8" t="n">
        <v>10.2</v>
      </c>
      <c r="F24" s="8" t="n">
        <v>0.5600000000000001</v>
      </c>
      <c r="G24" s="19" t="n">
        <v>0.5</v>
      </c>
      <c r="H24" s="20">
        <f>IF($B$15="End",E24*Erosion!$B$45/$B$21,E24)</f>
        <v/>
      </c>
      <c r="I24" s="21">
        <f>IF($B$15="End",Erosion!$B$46,F24)</f>
        <v/>
      </c>
      <c r="J24" s="20">
        <f>IF(D24&gt;0,C24,1000000000)</f>
        <v/>
      </c>
      <c r="K24" s="20">
        <f>IF(D24&gt;0,C24+$B$12*$B$5*$B$20^2/(D24^2*H24^4*I24^2)+G24*$B$20^$B$11,-1000000000)</f>
        <v/>
      </c>
      <c r="L24" s="20">
        <f>IF(D24&gt;0,C24,-1000000000)</f>
        <v/>
      </c>
    </row>
    <row r="25">
      <c r="A25" s="18" t="inlineStr">
        <is>
          <t>C3</t>
        </is>
      </c>
      <c r="B25" s="9" t="n">
        <v>4596</v>
      </c>
      <c r="C25" s="8" t="n">
        <v>54.5</v>
      </c>
      <c r="D25" s="9" t="n">
        <v>6</v>
      </c>
      <c r="E25" s="8" t="n">
        <v>10.2</v>
      </c>
      <c r="F25" s="8" t="n">
        <v>0.5600000000000001</v>
      </c>
      <c r="G25" s="19" t="n">
        <v>0.5</v>
      </c>
      <c r="H25" s="20">
        <f>IF($B$15="End",E25*Erosion!$B$45/$B$21,E25)</f>
        <v/>
      </c>
      <c r="I25" s="21">
        <f>IF($B$15="End",Erosion!$B$46,F25)</f>
        <v/>
      </c>
      <c r="J25" s="20">
        <f>IF(D25&gt;0,C25,1000000000)</f>
        <v/>
      </c>
      <c r="K25" s="20">
        <f>IF(D25&gt;0,C25+$B$12*$B$5*$B$20^2/(D25^2*H25^4*I25^2)+G25*$B$20^$B$11,-1000000000)</f>
        <v/>
      </c>
      <c r="L25" s="20">
        <f>IF(D25&gt;0,C25,-1000000000)</f>
        <v/>
      </c>
    </row>
    <row r="26">
      <c r="A26" s="18" t="inlineStr">
        <is>
          <t>C4</t>
        </is>
      </c>
      <c r="B26" s="9" t="n">
        <v>4608</v>
      </c>
      <c r="C26" s="8" t="n">
        <v>56.9</v>
      </c>
      <c r="D26" s="9" t="n">
        <v>6</v>
      </c>
      <c r="E26" s="8" t="n">
        <v>10.2</v>
      </c>
      <c r="F26" s="8" t="n">
        <v>0.5600000000000001</v>
      </c>
      <c r="G26" s="19" t="n">
        <v>0.5</v>
      </c>
      <c r="H26" s="20">
        <f>IF($B$15="End",E26*Erosion!$B$45/$B$21,E26)</f>
        <v/>
      </c>
      <c r="I26" s="21">
        <f>IF($B$15="End",Erosion!$B$46,F26)</f>
        <v/>
      </c>
      <c r="J26" s="20">
        <f>IF(D26&gt;0,C26,1000000000)</f>
        <v/>
      </c>
      <c r="K26" s="20">
        <f>IF(D26&gt;0,C26+$B$12*$B$5*$B$20^2/(D26^2*H26^4*I26^2)+G26*$B$20^$B$11,-1000000000)</f>
        <v/>
      </c>
      <c r="L26" s="20">
        <f>IF(D26&gt;0,C26,-1000000000)</f>
        <v/>
      </c>
    </row>
    <row r="27">
      <c r="A27" s="18" t="inlineStr">
        <is>
          <t>C5</t>
        </is>
      </c>
      <c r="B27" s="9" t="n">
        <v>4620</v>
      </c>
      <c r="C27" s="8" t="n">
        <v>55.5</v>
      </c>
      <c r="D27" s="9" t="n">
        <v>6</v>
      </c>
      <c r="E27" s="8" t="n">
        <v>10.2</v>
      </c>
      <c r="F27" s="8" t="n">
        <v>0.5600000000000001</v>
      </c>
      <c r="G27" s="19" t="n">
        <v>0.5</v>
      </c>
      <c r="H27" s="20">
        <f>IF($B$15="End",E27*Erosion!$B$45/$B$21,E27)</f>
        <v/>
      </c>
      <c r="I27" s="21">
        <f>IF($B$15="End",Erosion!$B$46,F27)</f>
        <v/>
      </c>
      <c r="J27" s="20">
        <f>IF(D27&gt;0,C27,1000000000)</f>
        <v/>
      </c>
      <c r="K27" s="20">
        <f>IF(D27&gt;0,C27+$B$12*$B$5*$B$20^2/(D27^2*H27^4*I27^2)+G27*$B$20^$B$11,-1000000000)</f>
        <v/>
      </c>
      <c r="L27" s="20">
        <f>IF(D27&gt;0,C27,-1000000000)</f>
        <v/>
      </c>
    </row>
    <row r="28">
      <c r="A28" s="18" t="inlineStr">
        <is>
          <t>C6 toe</t>
        </is>
      </c>
      <c r="B28" s="9" t="n">
        <v>4632</v>
      </c>
      <c r="C28" s="8" t="n">
        <v>53.8</v>
      </c>
      <c r="D28" s="9" t="n">
        <v>6</v>
      </c>
      <c r="E28" s="8" t="n">
        <v>10.2</v>
      </c>
      <c r="F28" s="8" t="n">
        <v>0.5600000000000001</v>
      </c>
      <c r="G28" s="19" t="n">
        <v>0.5</v>
      </c>
      <c r="H28" s="20">
        <f>IF($B$15="End",E28*Erosion!$B$45/$B$21,E28)</f>
        <v/>
      </c>
      <c r="I28" s="21">
        <f>IF($B$15="End",Erosion!$B$46,F28)</f>
        <v/>
      </c>
      <c r="J28" s="20">
        <f>IF(D28&gt;0,C28,1000000000)</f>
        <v/>
      </c>
      <c r="K28" s="20">
        <f>IF(D28&gt;0,C28+$B$12*$B$5*$B$20^2/(D28^2*H28^4*I28^2)+G28*$B$20^$B$11,-1000000000)</f>
        <v/>
      </c>
      <c r="L28" s="20">
        <f>IF(D28&gt;0,C28,-1000000000)</f>
        <v/>
      </c>
    </row>
    <row r="29">
      <c r="A29" s="18" t="inlineStr">
        <is>
          <t>C7</t>
        </is>
      </c>
      <c r="B29" s="9" t="n"/>
      <c r="C29" s="8" t="n"/>
      <c r="D29" s="9" t="n">
        <v>0</v>
      </c>
      <c r="E29" s="8" t="n">
        <v>10.2</v>
      </c>
      <c r="F29" s="8" t="n">
        <v>0.5600000000000001</v>
      </c>
      <c r="G29" s="19" t="n">
        <v>0</v>
      </c>
      <c r="H29" s="20">
        <f>IF($B$15="End",E29*Erosion!$B$45/$B$21,E29)</f>
        <v/>
      </c>
      <c r="I29" s="21">
        <f>IF($B$15="End",Erosion!$B$46,F29)</f>
        <v/>
      </c>
      <c r="J29" s="20">
        <f>IF(D29&gt;0,C29,1000000000)</f>
        <v/>
      </c>
      <c r="K29" s="20">
        <f>IF(D29&gt;0,C29+$B$12*$B$5*$B$20^2/(D29^2*H29^4*I29^2)+G29*$B$20^$B$11,-1000000000)</f>
        <v/>
      </c>
      <c r="L29" s="20">
        <f>IF(D29&gt;0,C29,-1000000000)</f>
        <v/>
      </c>
    </row>
    <row r="30">
      <c r="A30" s="18" t="inlineStr">
        <is>
          <t>C8</t>
        </is>
      </c>
      <c r="B30" s="9" t="n"/>
      <c r="C30" s="8" t="n"/>
      <c r="D30" s="9" t="n">
        <v>0</v>
      </c>
      <c r="E30" s="8" t="n">
        <v>10.2</v>
      </c>
      <c r="F30" s="8" t="n">
        <v>0.5600000000000001</v>
      </c>
      <c r="G30" s="19" t="n">
        <v>0</v>
      </c>
      <c r="H30" s="20">
        <f>IF($B$15="End",E30*Erosion!$B$45/$B$21,E30)</f>
        <v/>
      </c>
      <c r="I30" s="21">
        <f>IF($B$15="End",Erosion!$B$46,F30)</f>
        <v/>
      </c>
      <c r="J30" s="20">
        <f>IF(D30&gt;0,C30,1000000000)</f>
        <v/>
      </c>
      <c r="K30" s="20">
        <f>IF(D30&gt;0,C30+$B$12*$B$5*$B$20^2/(D30^2*H30^4*I30^2)+G30*$B$20^$B$11,-1000000000)</f>
        <v/>
      </c>
      <c r="L30" s="20">
        <f>IF(D30&gt;0,C30,-1000000000)</f>
        <v/>
      </c>
    </row>
    <row r="31">
      <c r="A31" s="18" t="inlineStr">
        <is>
          <t>C9</t>
        </is>
      </c>
      <c r="B31" s="9" t="n"/>
      <c r="C31" s="8" t="n"/>
      <c r="D31" s="9" t="n">
        <v>0</v>
      </c>
      <c r="E31" s="8" t="n">
        <v>10.2</v>
      </c>
      <c r="F31" s="8" t="n">
        <v>0.5600000000000001</v>
      </c>
      <c r="G31" s="19" t="n">
        <v>0</v>
      </c>
      <c r="H31" s="20">
        <f>IF($B$15="End",E31*Erosion!$B$45/$B$21,E31)</f>
        <v/>
      </c>
      <c r="I31" s="21">
        <f>IF($B$15="End",Erosion!$B$46,F31)</f>
        <v/>
      </c>
      <c r="J31" s="20">
        <f>IF(D31&gt;0,C31,1000000000)</f>
        <v/>
      </c>
      <c r="K31" s="20">
        <f>IF(D31&gt;0,C31+$B$12*$B$5*$B$20^2/(D31^2*H31^4*I31^2)+G31*$B$20^$B$11,-1000000000)</f>
        <v/>
      </c>
      <c r="L31" s="20">
        <f>IF(D31&gt;0,C31,-1000000000)</f>
        <v/>
      </c>
    </row>
    <row r="32">
      <c r="A32" s="18" t="inlineStr">
        <is>
          <t>C10</t>
        </is>
      </c>
      <c r="B32" s="9" t="n"/>
      <c r="C32" s="8" t="n"/>
      <c r="D32" s="9" t="n">
        <v>0</v>
      </c>
      <c r="E32" s="8" t="n">
        <v>10.2</v>
      </c>
      <c r="F32" s="8" t="n">
        <v>0.5600000000000001</v>
      </c>
      <c r="G32" s="19" t="n">
        <v>0</v>
      </c>
      <c r="H32" s="20">
        <f>IF($B$15="End",E32*Erosion!$B$45/$B$21,E32)</f>
        <v/>
      </c>
      <c r="I32" s="21">
        <f>IF($B$15="End",Erosion!$B$46,F32)</f>
        <v/>
      </c>
      <c r="J32" s="20">
        <f>IF(D32&gt;0,C32,1000000000)</f>
        <v/>
      </c>
      <c r="K32" s="20">
        <f>IF(D32&gt;0,C32+$B$12*$B$5*$B$20^2/(D32^2*H32^4*I32^2)+G32*$B$20^$B$11,-1000000000)</f>
        <v/>
      </c>
      <c r="L32" s="20">
        <f>IF(D32&gt;0,C32,-1000000000)</f>
        <v/>
      </c>
    </row>
    <row r="33">
      <c r="A33" s="18" t="inlineStr">
        <is>
          <t>C11</t>
        </is>
      </c>
      <c r="B33" s="9" t="n"/>
      <c r="C33" s="8" t="n"/>
      <c r="D33" s="9" t="n">
        <v>0</v>
      </c>
      <c r="E33" s="8" t="n">
        <v>10.2</v>
      </c>
      <c r="F33" s="8" t="n">
        <v>0.5600000000000001</v>
      </c>
      <c r="G33" s="19" t="n">
        <v>0</v>
      </c>
      <c r="H33" s="20">
        <f>IF($B$15="End",E33*Erosion!$B$45/$B$21,E33)</f>
        <v/>
      </c>
      <c r="I33" s="21">
        <f>IF($B$15="End",Erosion!$B$46,F33)</f>
        <v/>
      </c>
      <c r="J33" s="20">
        <f>IF(D33&gt;0,C33,1000000000)</f>
        <v/>
      </c>
      <c r="K33" s="20">
        <f>IF(D33&gt;0,C33+$B$12*$B$5*$B$20^2/(D33^2*H33^4*I33^2)+G33*$B$20^$B$11,-1000000000)</f>
        <v/>
      </c>
      <c r="L33" s="20">
        <f>IF(D33&gt;0,C33,-1000000000)</f>
        <v/>
      </c>
    </row>
    <row r="34">
      <c r="A34" s="18" t="inlineStr">
        <is>
          <t>C12</t>
        </is>
      </c>
      <c r="B34" s="9" t="n"/>
      <c r="C34" s="8" t="n"/>
      <c r="D34" s="9" t="n">
        <v>0</v>
      </c>
      <c r="E34" s="8" t="n">
        <v>10.2</v>
      </c>
      <c r="F34" s="8" t="n">
        <v>0.5600000000000001</v>
      </c>
      <c r="G34" s="19" t="n">
        <v>0</v>
      </c>
      <c r="H34" s="20">
        <f>IF($B$15="End",E34*Erosion!$B$45/$B$21,E34)</f>
        <v/>
      </c>
      <c r="I34" s="21">
        <f>IF($B$15="End",Erosion!$B$46,F34)</f>
        <v/>
      </c>
      <c r="J34" s="20">
        <f>IF(D34&gt;0,C34,1000000000)</f>
        <v/>
      </c>
      <c r="K34" s="20">
        <f>IF(D34&gt;0,C34+$B$12*$B$5*$B$20^2/(D34^2*H34^4*I34^2)+G34*$B$20^$B$11,-1000000000)</f>
        <v/>
      </c>
      <c r="L34" s="20">
        <f>IF(D34&gt;0,C34,-1000000000)</f>
        <v/>
      </c>
    </row>
    <row r="36">
      <c r="A36" s="5" t="inlineStr">
        <is>
          <t>End state uses the lumped erosion result (Erosion sheet) for every cluster; per-cluster coupled erosion is in le_engine.py.</t>
        </is>
      </c>
    </row>
  </sheetData>
  <dataValidations count="3">
    <dataValidation sqref="B13" showDropDown="0" showInputMessage="0" showErrorMessage="0" allowBlank="0" type="list">
      <formula1>"Yes,No"</formula1>
    </dataValidation>
    <dataValidation sqref="B15" showDropDown="0" showInputMessage="0" showErrorMessage="0" allowBlank="0" type="list">
      <formula1>"Start,End"</formula1>
    </dataValidation>
    <dataValidation sqref="B16" showDropDown="0" showInputMessage="0" showErrorMessage="0" allowBlank="0" type="list">
      <formula1>"Design,SDT"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6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36" customWidth="1" min="10" max="10"/>
    <col width="13" customWidth="1" min="11" max="11"/>
    <col width="6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</cols>
  <sheetData>
    <row r="1">
      <c r="A1" s="4" t="inlineStr">
        <is>
          <t>Step-down / step-rate test analysis:  BHP − ISIP = a·Q² + b·Q^β   (a, b ≥ 0)</t>
        </is>
      </c>
    </row>
    <row r="2">
      <c r="A2" s="5" t="inlineStr">
        <is>
          <t>Use pressures at the same time after each rate change. Pre-proppant test fixes open perforations; end-of-stage test measures erosion.</t>
        </is>
      </c>
    </row>
    <row r="3">
      <c r="A3" s="6" t="inlineStr">
        <is>
          <t>Pre-proppant test (start of stage)</t>
        </is>
      </c>
      <c r="J3" s="6" t="inlineStr">
        <is>
          <t>End-of-stage test</t>
        </is>
      </c>
    </row>
    <row r="4">
      <c r="A4" s="7" t="inlineStr">
        <is>
          <t>ISIP (bottomhole), MPa</t>
        </is>
      </c>
      <c r="B4" s="8" t="n">
        <v>57.6</v>
      </c>
      <c r="J4" s="7" t="inlineStr">
        <is>
          <t>ISIP (bottomhole), MPa</t>
        </is>
      </c>
      <c r="K4" s="8" t="n">
        <v>57.6</v>
      </c>
    </row>
    <row r="5">
      <c r="A5" s="7" t="inlineStr">
        <is>
          <t>Pressure type (BH/Surface)</t>
        </is>
      </c>
      <c r="B5" s="18" t="inlineStr">
        <is>
          <t>BH</t>
        </is>
      </c>
      <c r="J5" s="7" t="inlineStr">
        <is>
          <t>Pressure type (BH/Surface)</t>
        </is>
      </c>
      <c r="K5" s="18" t="inlineStr">
        <is>
          <t>BH</t>
        </is>
      </c>
    </row>
    <row r="6">
      <c r="A6" s="7" t="inlineStr">
        <is>
          <t>TVD, m (surface only)</t>
        </is>
      </c>
      <c r="B6" s="9" t="n">
        <v>2900</v>
      </c>
      <c r="J6" s="7" t="inlineStr">
        <is>
          <t>TVD, m (surface only)</t>
        </is>
      </c>
      <c r="K6" s="9" t="n">
        <v>2900</v>
      </c>
    </row>
    <row r="7">
      <c r="A7" s="7" t="inlineStr">
        <is>
          <t>Pipe friction k, MPa/(m³/min)^e (surface)</t>
        </is>
      </c>
      <c r="B7" s="22" t="n">
        <v>0</v>
      </c>
      <c r="J7" s="7" t="inlineStr">
        <is>
          <t>Pipe friction k, MPa/(m³/min)^e (surface)</t>
        </is>
      </c>
      <c r="K7" s="22" t="n">
        <v>0</v>
      </c>
    </row>
    <row r="8">
      <c r="A8" s="7" t="inlineStr">
        <is>
          <t>Pipe friction exponent e</t>
        </is>
      </c>
      <c r="B8" s="8" t="n">
        <v>1.8</v>
      </c>
      <c r="J8" s="7" t="inlineStr">
        <is>
          <t>Pipe friction exponent e</t>
        </is>
      </c>
      <c r="K8" s="8" t="n">
        <v>1.8</v>
      </c>
    </row>
    <row r="9">
      <c r="A9" s="7" t="inlineStr">
        <is>
          <t>Entry hole d, mm</t>
        </is>
      </c>
      <c r="B9" s="8" t="n">
        <v>10.16</v>
      </c>
      <c r="J9" s="7" t="inlineStr">
        <is>
          <t>Entry hole d, mm</t>
        </is>
      </c>
      <c r="K9" s="8" t="n">
        <v>10.16</v>
      </c>
    </row>
    <row r="10">
      <c r="A10" s="7" t="inlineStr">
        <is>
          <t>Pressure noise floor, MPa</t>
        </is>
      </c>
      <c r="B10" s="8" t="n">
        <v>0.17</v>
      </c>
      <c r="J10" s="7" t="inlineStr">
        <is>
          <t>Pressure noise floor, MPa</t>
        </is>
      </c>
      <c r="K10" s="8" t="n">
        <v>0.17</v>
      </c>
    </row>
    <row r="12">
      <c r="A12" s="17" t="inlineStr">
        <is>
          <t>Rate, m³/min</t>
        </is>
      </c>
      <c r="B12" s="17" t="inlineStr">
        <is>
          <t>Pressure, MPa</t>
        </is>
      </c>
      <c r="C12" s="17" t="inlineStr">
        <is>
          <t>Use</t>
        </is>
      </c>
      <c r="D12" s="17" t="inlineStr">
        <is>
          <t>BHP, MPa</t>
        </is>
      </c>
      <c r="E12" s="17" t="inlineStr">
        <is>
          <t>y = BHP−ISIP</t>
        </is>
      </c>
      <c r="F12" s="17" t="inlineStr">
        <is>
          <t>x1 = Q²</t>
        </is>
      </c>
      <c r="G12" s="17" t="inlineStr">
        <is>
          <t>x2 = Q^β</t>
        </is>
      </c>
      <c r="H12" s="17" t="inlineStr">
        <is>
          <t>Fit, MPa</t>
        </is>
      </c>
      <c r="J12" s="17" t="inlineStr">
        <is>
          <t>Rate, m³/min</t>
        </is>
      </c>
      <c r="K12" s="17" t="inlineStr">
        <is>
          <t>Pressure, MPa</t>
        </is>
      </c>
      <c r="L12" s="17" t="inlineStr">
        <is>
          <t>Use</t>
        </is>
      </c>
      <c r="M12" s="17" t="inlineStr">
        <is>
          <t>BHP, MPa</t>
        </is>
      </c>
      <c r="N12" s="17" t="inlineStr">
        <is>
          <t>y = BHP−ISIP</t>
        </is>
      </c>
      <c r="O12" s="17" t="inlineStr">
        <is>
          <t>x1 = Q²</t>
        </is>
      </c>
      <c r="P12" s="17" t="inlineStr">
        <is>
          <t>x2 = Q^β</t>
        </is>
      </c>
      <c r="Q12" s="17" t="inlineStr">
        <is>
          <t>Fit, MPa</t>
        </is>
      </c>
    </row>
    <row r="13">
      <c r="A13" s="8" t="n">
        <v>14</v>
      </c>
      <c r="B13" s="8" t="n">
        <v>74.22</v>
      </c>
      <c r="C13" s="15">
        <f>IF(AND(ISNUMBER(A13),ISNUMBER(B13)),IF(A13&gt;0,1,0),0)</f>
        <v/>
      </c>
      <c r="D13" s="11">
        <f>IF(C13=1,IF($B$5="Surface",B13+Inputs!$B$5*9.80665*$B$6/1000000-$B$7*A13^$B$8,B13),0)</f>
        <v/>
      </c>
      <c r="E13" s="11">
        <f>IF(C13=1,D13-$B$4,0)</f>
        <v/>
      </c>
      <c r="F13" s="11">
        <f>IF(C13=1,A13^2,0)</f>
        <v/>
      </c>
      <c r="G13" s="11">
        <f>IF(C13=1,A13^Inputs!$B$11,0)</f>
        <v/>
      </c>
      <c r="H13" s="11">
        <f>IF(C13=1,$B$36*F13+$B$37*G13,NA())</f>
        <v/>
      </c>
      <c r="J13" s="8" t="n">
        <v>14</v>
      </c>
      <c r="K13" s="8" t="n">
        <v>61.24</v>
      </c>
      <c r="L13" s="15">
        <f>IF(AND(ISNUMBER(J13),ISNUMBER(K13)),IF(J13&gt;0,1,0),0)</f>
        <v/>
      </c>
      <c r="M13" s="11">
        <f>IF(L13=1,IF($K$5="Surface",K13+Inputs!$B$5*9.80665*$K$6/1000000-$K$7*J13^$K$8,K13),0)</f>
        <v/>
      </c>
      <c r="N13" s="11">
        <f>IF(L13=1,M13-$K$4,0)</f>
        <v/>
      </c>
      <c r="O13" s="11">
        <f>IF(L13=1,J13^2,0)</f>
        <v/>
      </c>
      <c r="P13" s="11">
        <f>IF(L13=1,J13^Inputs!$B$11,0)</f>
        <v/>
      </c>
      <c r="Q13" s="11">
        <f>IF(L13=1,$K$36*O13+$K$37*P13,NA())</f>
        <v/>
      </c>
    </row>
    <row r="14">
      <c r="A14" s="8" t="n">
        <v>11</v>
      </c>
      <c r="B14" s="8" t="n">
        <v>68.23999999999999</v>
      </c>
      <c r="C14" s="15">
        <f>IF(AND(ISNUMBER(A14),ISNUMBER(B14)),IF(A14&gt;0,1,0),0)</f>
        <v/>
      </c>
      <c r="D14" s="11">
        <f>IF(C14=1,IF($B$5="Surface",B14+Inputs!$B$5*9.80665*$B$6/1000000-$B$7*A14^$B$8,B14),0)</f>
        <v/>
      </c>
      <c r="E14" s="11">
        <f>IF(C14=1,D14-$B$4,0)</f>
        <v/>
      </c>
      <c r="F14" s="11">
        <f>IF(C14=1,A14^2,0)</f>
        <v/>
      </c>
      <c r="G14" s="11">
        <f>IF(C14=1,A14^Inputs!$B$11,0)</f>
        <v/>
      </c>
      <c r="H14" s="11">
        <f>IF(C14=1,$B$36*F14+$B$37*G14,NA())</f>
        <v/>
      </c>
      <c r="J14" s="8" t="n">
        <v>11</v>
      </c>
      <c r="K14" s="8" t="n">
        <v>60.09</v>
      </c>
      <c r="L14" s="15">
        <f>IF(AND(ISNUMBER(J14),ISNUMBER(K14)),IF(J14&gt;0,1,0),0)</f>
        <v/>
      </c>
      <c r="M14" s="11">
        <f>IF(L14=1,IF($K$5="Surface",K14+Inputs!$B$5*9.80665*$K$6/1000000-$K$7*J14^$K$8,K14),0)</f>
        <v/>
      </c>
      <c r="N14" s="11">
        <f>IF(L14=1,M14-$K$4,0)</f>
        <v/>
      </c>
      <c r="O14" s="11">
        <f>IF(L14=1,J14^2,0)</f>
        <v/>
      </c>
      <c r="P14" s="11">
        <f>IF(L14=1,J14^Inputs!$B$11,0)</f>
        <v/>
      </c>
      <c r="Q14" s="11">
        <f>IF(L14=1,$K$36*O14+$K$37*P14,NA())</f>
        <v/>
      </c>
    </row>
    <row r="15">
      <c r="A15" s="8" t="n">
        <v>8</v>
      </c>
      <c r="B15" s="8" t="n">
        <v>63.9</v>
      </c>
      <c r="C15" s="15">
        <f>IF(AND(ISNUMBER(A15),ISNUMBER(B15)),IF(A15&gt;0,1,0),0)</f>
        <v/>
      </c>
      <c r="D15" s="11">
        <f>IF(C15=1,IF($B$5="Surface",B15+Inputs!$B$5*9.80665*$B$6/1000000-$B$7*A15^$B$8,B15),0)</f>
        <v/>
      </c>
      <c r="E15" s="11">
        <f>IF(C15=1,D15-$B$4,0)</f>
        <v/>
      </c>
      <c r="F15" s="11">
        <f>IF(C15=1,A15^2,0)</f>
        <v/>
      </c>
      <c r="G15" s="11">
        <f>IF(C15=1,A15^Inputs!$B$11,0)</f>
        <v/>
      </c>
      <c r="H15" s="11">
        <f>IF(C15=1,$B$36*F15+$B$37*G15,NA())</f>
        <v/>
      </c>
      <c r="J15" s="8" t="n">
        <v>8</v>
      </c>
      <c r="K15" s="8" t="n">
        <v>59.27</v>
      </c>
      <c r="L15" s="15">
        <f>IF(AND(ISNUMBER(J15),ISNUMBER(K15)),IF(J15&gt;0,1,0),0)</f>
        <v/>
      </c>
      <c r="M15" s="11">
        <f>IF(L15=1,IF($K$5="Surface",K15+Inputs!$B$5*9.80665*$K$6/1000000-$K$7*J15^$K$8,K15),0)</f>
        <v/>
      </c>
      <c r="N15" s="11">
        <f>IF(L15=1,M15-$K$4,0)</f>
        <v/>
      </c>
      <c r="O15" s="11">
        <f>IF(L15=1,J15^2,0)</f>
        <v/>
      </c>
      <c r="P15" s="11">
        <f>IF(L15=1,J15^Inputs!$B$11,0)</f>
        <v/>
      </c>
      <c r="Q15" s="11">
        <f>IF(L15=1,$K$36*O15+$K$37*P15,NA())</f>
        <v/>
      </c>
    </row>
    <row r="16">
      <c r="A16" s="8" t="n">
        <v>5</v>
      </c>
      <c r="B16" s="8" t="n">
        <v>60.69</v>
      </c>
      <c r="C16" s="15">
        <f>IF(AND(ISNUMBER(A16),ISNUMBER(B16)),IF(A16&gt;0,1,0),0)</f>
        <v/>
      </c>
      <c r="D16" s="11">
        <f>IF(C16=1,IF($B$5="Surface",B16+Inputs!$B$5*9.80665*$B$6/1000000-$B$7*A16^$B$8,B16),0)</f>
        <v/>
      </c>
      <c r="E16" s="11">
        <f>IF(C16=1,D16-$B$4,0)</f>
        <v/>
      </c>
      <c r="F16" s="11">
        <f>IF(C16=1,A16^2,0)</f>
        <v/>
      </c>
      <c r="G16" s="11">
        <f>IF(C16=1,A16^Inputs!$B$11,0)</f>
        <v/>
      </c>
      <c r="H16" s="11">
        <f>IF(C16=1,$B$36*F16+$B$37*G16,NA())</f>
        <v/>
      </c>
      <c r="J16" s="8" t="n">
        <v>5</v>
      </c>
      <c r="K16" s="8" t="n">
        <v>58.5</v>
      </c>
      <c r="L16" s="15">
        <f>IF(AND(ISNUMBER(J16),ISNUMBER(K16)),IF(J16&gt;0,1,0),0)</f>
        <v/>
      </c>
      <c r="M16" s="11">
        <f>IF(L16=1,IF($K$5="Surface",K16+Inputs!$B$5*9.80665*$K$6/1000000-$K$7*J16^$K$8,K16),0)</f>
        <v/>
      </c>
      <c r="N16" s="11">
        <f>IF(L16=1,M16-$K$4,0)</f>
        <v/>
      </c>
      <c r="O16" s="11">
        <f>IF(L16=1,J16^2,0)</f>
        <v/>
      </c>
      <c r="P16" s="11">
        <f>IF(L16=1,J16^Inputs!$B$11,0)</f>
        <v/>
      </c>
      <c r="Q16" s="11">
        <f>IF(L16=1,$K$36*O16+$K$37*P16,NA())</f>
        <v/>
      </c>
    </row>
    <row r="17">
      <c r="A17" s="8" t="n"/>
      <c r="B17" s="8" t="n"/>
      <c r="C17" s="15">
        <f>IF(AND(ISNUMBER(A17),ISNUMBER(B17)),IF(A17&gt;0,1,0),0)</f>
        <v/>
      </c>
      <c r="D17" s="11">
        <f>IF(C17=1,IF($B$5="Surface",B17+Inputs!$B$5*9.80665*$B$6/1000000-$B$7*A17^$B$8,B17),0)</f>
        <v/>
      </c>
      <c r="E17" s="11">
        <f>IF(C17=1,D17-$B$4,0)</f>
        <v/>
      </c>
      <c r="F17" s="11">
        <f>IF(C17=1,A17^2,0)</f>
        <v/>
      </c>
      <c r="G17" s="11">
        <f>IF(C17=1,A17^Inputs!$B$11,0)</f>
        <v/>
      </c>
      <c r="H17" s="11">
        <f>IF(C17=1,$B$36*F17+$B$37*G17,NA())</f>
        <v/>
      </c>
      <c r="J17" s="8" t="n"/>
      <c r="K17" s="8" t="n"/>
      <c r="L17" s="15">
        <f>IF(AND(ISNUMBER(J17),ISNUMBER(K17)),IF(J17&gt;0,1,0),0)</f>
        <v/>
      </c>
      <c r="M17" s="11">
        <f>IF(L17=1,IF($K$5="Surface",K17+Inputs!$B$5*9.80665*$K$6/1000000-$K$7*J17^$K$8,K17),0)</f>
        <v/>
      </c>
      <c r="N17" s="11">
        <f>IF(L17=1,M17-$K$4,0)</f>
        <v/>
      </c>
      <c r="O17" s="11">
        <f>IF(L17=1,J17^2,0)</f>
        <v/>
      </c>
      <c r="P17" s="11">
        <f>IF(L17=1,J17^Inputs!$B$11,0)</f>
        <v/>
      </c>
      <c r="Q17" s="11">
        <f>IF(L17=1,$K$36*O17+$K$37*P17,NA())</f>
        <v/>
      </c>
    </row>
    <row r="18">
      <c r="A18" s="8" t="n"/>
      <c r="B18" s="8" t="n"/>
      <c r="C18" s="15">
        <f>IF(AND(ISNUMBER(A18),ISNUMBER(B18)),IF(A18&gt;0,1,0),0)</f>
        <v/>
      </c>
      <c r="D18" s="11">
        <f>IF(C18=1,IF($B$5="Surface",B18+Inputs!$B$5*9.80665*$B$6/1000000-$B$7*A18^$B$8,B18),0)</f>
        <v/>
      </c>
      <c r="E18" s="11">
        <f>IF(C18=1,D18-$B$4,0)</f>
        <v/>
      </c>
      <c r="F18" s="11">
        <f>IF(C18=1,A18^2,0)</f>
        <v/>
      </c>
      <c r="G18" s="11">
        <f>IF(C18=1,A18^Inputs!$B$11,0)</f>
        <v/>
      </c>
      <c r="H18" s="11">
        <f>IF(C18=1,$B$36*F18+$B$37*G18,NA())</f>
        <v/>
      </c>
      <c r="J18" s="8" t="n"/>
      <c r="K18" s="8" t="n"/>
      <c r="L18" s="15">
        <f>IF(AND(ISNUMBER(J18),ISNUMBER(K18)),IF(J18&gt;0,1,0),0)</f>
        <v/>
      </c>
      <c r="M18" s="11">
        <f>IF(L18=1,IF($K$5="Surface",K18+Inputs!$B$5*9.80665*$K$6/1000000-$K$7*J18^$K$8,K18),0)</f>
        <v/>
      </c>
      <c r="N18" s="11">
        <f>IF(L18=1,M18-$K$4,0)</f>
        <v/>
      </c>
      <c r="O18" s="11">
        <f>IF(L18=1,J18^2,0)</f>
        <v/>
      </c>
      <c r="P18" s="11">
        <f>IF(L18=1,J18^Inputs!$B$11,0)</f>
        <v/>
      </c>
      <c r="Q18" s="11">
        <f>IF(L18=1,$K$36*O18+$K$37*P18,NA())</f>
        <v/>
      </c>
    </row>
    <row r="19">
      <c r="A19" s="8" t="n"/>
      <c r="B19" s="8" t="n"/>
      <c r="C19" s="15">
        <f>IF(AND(ISNUMBER(A19),ISNUMBER(B19)),IF(A19&gt;0,1,0),0)</f>
        <v/>
      </c>
      <c r="D19" s="11">
        <f>IF(C19=1,IF($B$5="Surface",B19+Inputs!$B$5*9.80665*$B$6/1000000-$B$7*A19^$B$8,B19),0)</f>
        <v/>
      </c>
      <c r="E19" s="11">
        <f>IF(C19=1,D19-$B$4,0)</f>
        <v/>
      </c>
      <c r="F19" s="11">
        <f>IF(C19=1,A19^2,0)</f>
        <v/>
      </c>
      <c r="G19" s="11">
        <f>IF(C19=1,A19^Inputs!$B$11,0)</f>
        <v/>
      </c>
      <c r="H19" s="11">
        <f>IF(C19=1,$B$36*F19+$B$37*G19,NA())</f>
        <v/>
      </c>
      <c r="J19" s="8" t="n"/>
      <c r="K19" s="8" t="n"/>
      <c r="L19" s="15">
        <f>IF(AND(ISNUMBER(J19),ISNUMBER(K19)),IF(J19&gt;0,1,0),0)</f>
        <v/>
      </c>
      <c r="M19" s="11">
        <f>IF(L19=1,IF($K$5="Surface",K19+Inputs!$B$5*9.80665*$K$6/1000000-$K$7*J19^$K$8,K19),0)</f>
        <v/>
      </c>
      <c r="N19" s="11">
        <f>IF(L19=1,M19-$K$4,0)</f>
        <v/>
      </c>
      <c r="O19" s="11">
        <f>IF(L19=1,J19^2,0)</f>
        <v/>
      </c>
      <c r="P19" s="11">
        <f>IF(L19=1,J19^Inputs!$B$11,0)</f>
        <v/>
      </c>
      <c r="Q19" s="11">
        <f>IF(L19=1,$K$36*O19+$K$37*P19,NA())</f>
        <v/>
      </c>
    </row>
    <row r="20">
      <c r="A20" s="8" t="n"/>
      <c r="B20" s="8" t="n"/>
      <c r="C20" s="15">
        <f>IF(AND(ISNUMBER(A20),ISNUMBER(B20)),IF(A20&gt;0,1,0),0)</f>
        <v/>
      </c>
      <c r="D20" s="11">
        <f>IF(C20=1,IF($B$5="Surface",B20+Inputs!$B$5*9.80665*$B$6/1000000-$B$7*A20^$B$8,B20),0)</f>
        <v/>
      </c>
      <c r="E20" s="11">
        <f>IF(C20=1,D20-$B$4,0)</f>
        <v/>
      </c>
      <c r="F20" s="11">
        <f>IF(C20=1,A20^2,0)</f>
        <v/>
      </c>
      <c r="G20" s="11">
        <f>IF(C20=1,A20^Inputs!$B$11,0)</f>
        <v/>
      </c>
      <c r="H20" s="11">
        <f>IF(C20=1,$B$36*F20+$B$37*G20,NA())</f>
        <v/>
      </c>
      <c r="J20" s="8" t="n"/>
      <c r="K20" s="8" t="n"/>
      <c r="L20" s="15">
        <f>IF(AND(ISNUMBER(J20),ISNUMBER(K20)),IF(J20&gt;0,1,0),0)</f>
        <v/>
      </c>
      <c r="M20" s="11">
        <f>IF(L20=1,IF($K$5="Surface",K20+Inputs!$B$5*9.80665*$K$6/1000000-$K$7*J20^$K$8,K20),0)</f>
        <v/>
      </c>
      <c r="N20" s="11">
        <f>IF(L20=1,M20-$K$4,0)</f>
        <v/>
      </c>
      <c r="O20" s="11">
        <f>IF(L20=1,J20^2,0)</f>
        <v/>
      </c>
      <c r="P20" s="11">
        <f>IF(L20=1,J20^Inputs!$B$11,0)</f>
        <v/>
      </c>
      <c r="Q20" s="11">
        <f>IF(L20=1,$K$36*O20+$K$37*P20,NA())</f>
        <v/>
      </c>
    </row>
    <row r="21">
      <c r="A21" s="8" t="n"/>
      <c r="B21" s="8" t="n"/>
      <c r="C21" s="15">
        <f>IF(AND(ISNUMBER(A21),ISNUMBER(B21)),IF(A21&gt;0,1,0),0)</f>
        <v/>
      </c>
      <c r="D21" s="11">
        <f>IF(C21=1,IF($B$5="Surface",B21+Inputs!$B$5*9.80665*$B$6/1000000-$B$7*A21^$B$8,B21),0)</f>
        <v/>
      </c>
      <c r="E21" s="11">
        <f>IF(C21=1,D21-$B$4,0)</f>
        <v/>
      </c>
      <c r="F21" s="11">
        <f>IF(C21=1,A21^2,0)</f>
        <v/>
      </c>
      <c r="G21" s="11">
        <f>IF(C21=1,A21^Inputs!$B$11,0)</f>
        <v/>
      </c>
      <c r="H21" s="11">
        <f>IF(C21=1,$B$36*F21+$B$37*G21,NA())</f>
        <v/>
      </c>
      <c r="J21" s="8" t="n"/>
      <c r="K21" s="8" t="n"/>
      <c r="L21" s="15">
        <f>IF(AND(ISNUMBER(J21),ISNUMBER(K21)),IF(J21&gt;0,1,0),0)</f>
        <v/>
      </c>
      <c r="M21" s="11">
        <f>IF(L21=1,IF($K$5="Surface",K21+Inputs!$B$5*9.80665*$K$6/1000000-$K$7*J21^$K$8,K21),0)</f>
        <v/>
      </c>
      <c r="N21" s="11">
        <f>IF(L21=1,M21-$K$4,0)</f>
        <v/>
      </c>
      <c r="O21" s="11">
        <f>IF(L21=1,J21^2,0)</f>
        <v/>
      </c>
      <c r="P21" s="11">
        <f>IF(L21=1,J21^Inputs!$B$11,0)</f>
        <v/>
      </c>
      <c r="Q21" s="11">
        <f>IF(L21=1,$K$36*O21+$K$37*P21,NA())</f>
        <v/>
      </c>
    </row>
    <row r="22">
      <c r="A22" s="8" t="n"/>
      <c r="B22" s="8" t="n"/>
      <c r="C22" s="15">
        <f>IF(AND(ISNUMBER(A22),ISNUMBER(B22)),IF(A22&gt;0,1,0),0)</f>
        <v/>
      </c>
      <c r="D22" s="11">
        <f>IF(C22=1,IF($B$5="Surface",B22+Inputs!$B$5*9.80665*$B$6/1000000-$B$7*A22^$B$8,B22),0)</f>
        <v/>
      </c>
      <c r="E22" s="11">
        <f>IF(C22=1,D22-$B$4,0)</f>
        <v/>
      </c>
      <c r="F22" s="11">
        <f>IF(C22=1,A22^2,0)</f>
        <v/>
      </c>
      <c r="G22" s="11">
        <f>IF(C22=1,A22^Inputs!$B$11,0)</f>
        <v/>
      </c>
      <c r="H22" s="11">
        <f>IF(C22=1,$B$36*F22+$B$37*G22,NA())</f>
        <v/>
      </c>
      <c r="J22" s="8" t="n"/>
      <c r="K22" s="8" t="n"/>
      <c r="L22" s="15">
        <f>IF(AND(ISNUMBER(J22),ISNUMBER(K22)),IF(J22&gt;0,1,0),0)</f>
        <v/>
      </c>
      <c r="M22" s="11">
        <f>IF(L22=1,IF($K$5="Surface",K22+Inputs!$B$5*9.80665*$K$6/1000000-$K$7*J22^$K$8,K22),0)</f>
        <v/>
      </c>
      <c r="N22" s="11">
        <f>IF(L22=1,M22-$K$4,0)</f>
        <v/>
      </c>
      <c r="O22" s="11">
        <f>IF(L22=1,J22^2,0)</f>
        <v/>
      </c>
      <c r="P22" s="11">
        <f>IF(L22=1,J22^Inputs!$B$11,0)</f>
        <v/>
      </c>
      <c r="Q22" s="11">
        <f>IF(L22=1,$K$36*O22+$K$37*P22,NA())</f>
        <v/>
      </c>
    </row>
    <row r="25">
      <c r="A25" s="7" t="inlineStr">
        <is>
          <t>S11 = Σx1²</t>
        </is>
      </c>
      <c r="B25" s="13">
        <f>SUMPRODUCT(F13:F22,F13:F22)</f>
        <v/>
      </c>
      <c r="J25" s="7" t="inlineStr">
        <is>
          <t>S11 = Σx1²</t>
        </is>
      </c>
      <c r="K25" s="13">
        <f>SUMPRODUCT(O13:O22,O13:O22)</f>
        <v/>
      </c>
    </row>
    <row r="26">
      <c r="A26" s="7" t="inlineStr">
        <is>
          <t>S12 = Σx1·x2</t>
        </is>
      </c>
      <c r="B26" s="13">
        <f>SUMPRODUCT(F13:F22,G13:G22)</f>
        <v/>
      </c>
      <c r="J26" s="7" t="inlineStr">
        <is>
          <t>S12 = Σx1·x2</t>
        </is>
      </c>
      <c r="K26" s="13">
        <f>SUMPRODUCT(O13:O22,P13:P22)</f>
        <v/>
      </c>
    </row>
    <row r="27">
      <c r="A27" s="7" t="inlineStr">
        <is>
          <t>S22 = Σx2²</t>
        </is>
      </c>
      <c r="B27" s="13">
        <f>SUMPRODUCT(G13:G22,G13:G22)</f>
        <v/>
      </c>
      <c r="J27" s="7" t="inlineStr">
        <is>
          <t>S22 = Σx2²</t>
        </is>
      </c>
      <c r="K27" s="13">
        <f>SUMPRODUCT(P13:P22,P13:P22)</f>
        <v/>
      </c>
    </row>
    <row r="28">
      <c r="A28" s="7" t="inlineStr">
        <is>
          <t>T1 = Σx1·y</t>
        </is>
      </c>
      <c r="B28" s="13">
        <f>SUMPRODUCT(F13:F22,E13:E22)</f>
        <v/>
      </c>
      <c r="J28" s="7" t="inlineStr">
        <is>
          <t>T1 = Σx1·y</t>
        </is>
      </c>
      <c r="K28" s="13">
        <f>SUMPRODUCT(O13:O22,N13:N22)</f>
        <v/>
      </c>
    </row>
    <row r="29">
      <c r="A29" s="7" t="inlineStr">
        <is>
          <t>T2 = Σx2·y</t>
        </is>
      </c>
      <c r="B29" s="13">
        <f>SUMPRODUCT(G13:G22,E13:E22)</f>
        <v/>
      </c>
      <c r="J29" s="7" t="inlineStr">
        <is>
          <t>T2 = Σx2·y</t>
        </is>
      </c>
      <c r="K29" s="13">
        <f>SUMPRODUCT(P13:P22,N13:N22)</f>
        <v/>
      </c>
    </row>
    <row r="30">
      <c r="A30" s="7" t="inlineStr">
        <is>
          <t>det</t>
        </is>
      </c>
      <c r="B30" s="13">
        <f>B25*B27-B26^2</f>
        <v/>
      </c>
      <c r="J30" s="7" t="inlineStr">
        <is>
          <t>det</t>
        </is>
      </c>
      <c r="K30" s="13">
        <f>K25*K27-K26^2</f>
        <v/>
      </c>
    </row>
    <row r="31">
      <c r="A31" s="7" t="inlineStr">
        <is>
          <t>a (two-term)</t>
        </is>
      </c>
      <c r="B31" s="23">
        <f>IF(B30=0,-1,(B28*B27-B29*B26)/B30)</f>
        <v/>
      </c>
      <c r="J31" s="7" t="inlineStr">
        <is>
          <t>a (two-term)</t>
        </is>
      </c>
      <c r="K31" s="23">
        <f>IF(K30=0,-1,(K28*K27-K29*K26)/K30)</f>
        <v/>
      </c>
    </row>
    <row r="32">
      <c r="A32" s="7" t="inlineStr">
        <is>
          <t>b (two-term)</t>
        </is>
      </c>
      <c r="B32" s="23">
        <f>IF(B30=0,-1,(B25*B29-B26*B28)/B30)</f>
        <v/>
      </c>
      <c r="J32" s="7" t="inlineStr">
        <is>
          <t>b (two-term)</t>
        </is>
      </c>
      <c r="K32" s="23">
        <f>IF(K30=0,-1,(K25*K29-K26*K28)/K30)</f>
        <v/>
      </c>
    </row>
    <row r="33">
      <c r="A33" s="7" t="inlineStr">
        <is>
          <t>a (perforations only)</t>
        </is>
      </c>
      <c r="B33" s="23">
        <f>IF(B25&gt;0,MAX(0,B28/B25),0)</f>
        <v/>
      </c>
      <c r="J33" s="7" t="inlineStr">
        <is>
          <t>a (perforations only)</t>
        </is>
      </c>
      <c r="K33" s="23">
        <f>IF(K25&gt;0,MAX(0,K28/K25),0)</f>
        <v/>
      </c>
    </row>
    <row r="34">
      <c r="A34" s="7" t="inlineStr">
        <is>
          <t>b (near-wellbore only)</t>
        </is>
      </c>
      <c r="B34" s="23">
        <f>IF(B27&gt;0,MAX(0,B29/B27),0)</f>
        <v/>
      </c>
      <c r="J34" s="7" t="inlineStr">
        <is>
          <t>b (near-wellbore only)</t>
        </is>
      </c>
      <c r="K34" s="23">
        <f>IF(K27&gt;0,MAX(0,K29/K27),0)</f>
        <v/>
      </c>
    </row>
    <row r="35">
      <c r="A35" s="7" t="inlineStr">
        <is>
          <t>Model used</t>
        </is>
      </c>
      <c r="B35" s="7">
        <f>IF(AND(B31&gt;=0,B32&gt;=0),"two-term",IF(B33&gt;0,"perforations only","near-wellbore only"))</f>
        <v/>
      </c>
      <c r="J35" s="7" t="inlineStr">
        <is>
          <t>Model used</t>
        </is>
      </c>
      <c r="K35" s="7">
        <f>IF(AND(K31&gt;=0,K32&gt;=0),"two-term",IF(K33&gt;0,"perforations only","near-wellbore only"))</f>
        <v/>
      </c>
    </row>
    <row r="36">
      <c r="A36" s="6" t="inlineStr">
        <is>
          <t>a, MPa/(m³/min)²</t>
        </is>
      </c>
      <c r="B36" s="24">
        <f>IF(B35="two-term",B31,IF(B35="perforations only",B33,0))</f>
        <v/>
      </c>
      <c r="J36" s="6" t="inlineStr">
        <is>
          <t>a, MPa/(m³/min)²</t>
        </is>
      </c>
      <c r="K36" s="24">
        <f>IF(K35="two-term",K31,IF(K35="perforations only",K33,0))</f>
        <v/>
      </c>
    </row>
    <row r="37">
      <c r="A37" s="6" t="inlineStr">
        <is>
          <t>b, MPa/(m³/min)^β</t>
        </is>
      </c>
      <c r="B37" s="25">
        <f>IF(B35="two-term",B32,IF(B35="near-wellbore only",B34,0))</f>
        <v/>
      </c>
      <c r="J37" s="6" t="inlineStr">
        <is>
          <t>b, MPa/(m³/min)^β</t>
        </is>
      </c>
      <c r="K37" s="25">
        <f>IF(K35="two-term",K32,IF(K35="near-wellbore only",K34,0))</f>
        <v/>
      </c>
    </row>
    <row r="38">
      <c r="A38" s="7" t="inlineStr">
        <is>
          <t>RMSE, MPa</t>
        </is>
      </c>
      <c r="B38" s="11">
        <f>SQRT(SUMPRODUCT(C13:C22,(E13:E22-$B$36*F13:F22-$B$37*G13:G22)^2)/SUM(C13:C22))</f>
        <v/>
      </c>
      <c r="J38" s="7" t="inlineStr">
        <is>
          <t>RMSE, MPa</t>
        </is>
      </c>
      <c r="K38" s="11">
        <f>SQRT(SUMPRODUCT(L13:L22,(N13:N22-$K$36*O13:O22-$K$37*P13:P22)^2)/SUM(L13:L22))</f>
        <v/>
      </c>
    </row>
    <row r="39">
      <c r="A39" s="7" t="inlineStr">
        <is>
          <t>Max rate, m³/min</t>
        </is>
      </c>
      <c r="B39" s="16">
        <f>MAX(A13:A22)</f>
        <v/>
      </c>
      <c r="J39" s="7" t="inlineStr">
        <is>
          <t>Max rate, m³/min</t>
        </is>
      </c>
      <c r="K39" s="16">
        <f>MAX(J13:J22)</f>
        <v/>
      </c>
    </row>
    <row r="40">
      <c r="A40" s="7" t="inlineStr">
        <is>
          <t>ΔP_perf at max rate, MPa</t>
        </is>
      </c>
      <c r="B40" s="16">
        <f>B36*B39^2</f>
        <v/>
      </c>
      <c r="J40" s="7" t="inlineStr">
        <is>
          <t>ΔP_perf at max rate, MPa</t>
        </is>
      </c>
      <c r="K40" s="16">
        <f>K36*K39^2</f>
        <v/>
      </c>
    </row>
    <row r="41">
      <c r="A41" s="7" t="inlineStr">
        <is>
          <t>ΔP_nwb at max rate, MPa</t>
        </is>
      </c>
      <c r="B41" s="16">
        <f>B37*B39^Inputs!$B$11</f>
        <v/>
      </c>
      <c r="J41" s="7" t="inlineStr">
        <is>
          <t>ΔP_nwb at max rate, MPa</t>
        </is>
      </c>
      <c r="K41" s="16">
        <f>K37*K39^Inputs!$B$11</f>
        <v/>
      </c>
    </row>
    <row r="42">
      <c r="A42" s="6" t="inlineStr">
        <is>
          <t>Resolvable? (ΔP_perf &gt; 4 × noise)</t>
        </is>
      </c>
      <c r="B42" s="26">
        <f>IF(B40&gt;4*MAX(B38,B10),"YES","NO — perf friction lost in noise")</f>
        <v/>
      </c>
      <c r="J42" s="6" t="inlineStr">
        <is>
          <t>Resolvable? (ΔP_perf &gt; 4 × noise)</t>
        </is>
      </c>
      <c r="K42" s="26">
        <f>IF(K40&gt;4*MAX(K38,K10),"YES","NO — perf friction lost in noise")</f>
        <v/>
      </c>
    </row>
    <row r="43">
      <c r="A43" s="6" t="inlineStr">
        <is>
          <t>A_eff = n·Cd·d², mm²</t>
        </is>
      </c>
      <c r="B43" s="27">
        <f>IF(B36&gt;0,SQRT(Inputs!$B$12*Inputs!$B$5/B36),"∞")</f>
        <v/>
      </c>
      <c r="J43" s="6" t="inlineStr">
        <is>
          <t>A_eff = n·Cd·d², mm²</t>
        </is>
      </c>
      <c r="K43" s="27">
        <f>IF(K36&gt;0,SQRT(Inputs!$B$12*Inputs!$B$5/K36),"∞")</f>
        <v/>
      </c>
    </row>
    <row r="45">
      <c r="A45" s="6" t="inlineStr">
        <is>
          <t>Open perforations for assumed Cd</t>
        </is>
      </c>
      <c r="J45" s="6" t="inlineStr">
        <is>
          <t>Open perforations for assumed Cd</t>
        </is>
      </c>
    </row>
    <row r="46">
      <c r="A46" s="17" t="inlineStr">
        <is>
          <t>Cd</t>
        </is>
      </c>
      <c r="B46" s="17" t="inlineStr">
        <is>
          <t>Open perfs n</t>
        </is>
      </c>
      <c r="J46" s="17" t="inlineStr">
        <is>
          <t>Cd</t>
        </is>
      </c>
      <c r="K46" s="17" t="inlineStr">
        <is>
          <t>Open perfs n</t>
        </is>
      </c>
    </row>
    <row r="47">
      <c r="A47" s="8" t="n">
        <v>0.5600000000000001</v>
      </c>
      <c r="B47" s="28">
        <f>IF(ISNUMBER(B43),B43/(A47*B9^2),"∞")</f>
        <v/>
      </c>
      <c r="J47" s="8" t="n">
        <v>0.5600000000000001</v>
      </c>
      <c r="K47" s="28">
        <f>IF(ISNUMBER(K43),K43/(J47*K9^2),"∞")</f>
        <v/>
      </c>
    </row>
    <row r="48">
      <c r="A48" s="8" t="n">
        <v>0.65</v>
      </c>
      <c r="B48" s="28">
        <f>IF(ISNUMBER(B43),B43/(A48*B9^2),"∞")</f>
        <v/>
      </c>
      <c r="J48" s="8" t="n">
        <v>0.65</v>
      </c>
      <c r="K48" s="28">
        <f>IF(ISNUMBER(K43),K43/(J48*K9^2),"∞")</f>
        <v/>
      </c>
    </row>
    <row r="49">
      <c r="A49" s="8" t="n">
        <v>0.75</v>
      </c>
      <c r="B49" s="28">
        <f>IF(ISNUMBER(B43),B43/(A49*B9^2),"∞")</f>
        <v/>
      </c>
      <c r="J49" s="8" t="n">
        <v>0.75</v>
      </c>
      <c r="K49" s="28">
        <f>IF(ISNUMBER(K43),K43/(J49*K9^2),"∞")</f>
        <v/>
      </c>
    </row>
    <row r="50">
      <c r="A50" s="8" t="n">
        <v>0.85</v>
      </c>
      <c r="B50" s="28">
        <f>IF(ISNUMBER(B43),B43/(A50*B9^2),"∞")</f>
        <v/>
      </c>
      <c r="J50" s="8" t="n">
        <v>0.85</v>
      </c>
      <c r="K50" s="28">
        <f>IF(ISNUMBER(K43),K43/(J50*K9^2),"∞")</f>
        <v/>
      </c>
    </row>
    <row r="51">
      <c r="A51" s="8" t="n">
        <v>0.89</v>
      </c>
      <c r="B51" s="28">
        <f>IF(ISNUMBER(B43),B43/(A51*B9^2),"∞")</f>
        <v/>
      </c>
      <c r="J51" s="8" t="n">
        <v>0.89</v>
      </c>
      <c r="K51" s="28">
        <f>IF(ISNUMBER(K43),K43/(J51*K9^2),"∞")</f>
        <v/>
      </c>
    </row>
    <row r="70">
      <c r="A70" s="6" t="inlineStr">
        <is>
          <t>Erosion indicator</t>
        </is>
      </c>
    </row>
    <row r="71">
      <c r="A71" s="7" t="inlineStr">
        <is>
          <t>A_eff end / A_eff start</t>
        </is>
      </c>
      <c r="B71" s="29">
        <f>IF(AND(ISNUMBER(B43),ISNUMBER(K43)),K43/B43,"n/a")</f>
        <v/>
      </c>
    </row>
    <row r="72">
      <c r="A72" s="7" t="inlineStr">
        <is>
          <t>Open perforations from pre-test at Cd0</t>
        </is>
      </c>
      <c r="B72" s="28">
        <f>IF(ISNUMBER(B43),B43/(Inputs!B7*B9^2),"n/a")</f>
        <v/>
      </c>
    </row>
    <row r="73">
      <c r="A73" s="7" t="inlineStr">
        <is>
          <t>Implied end diameter at Cd_max, mm</t>
        </is>
      </c>
      <c r="B73" s="29">
        <f>IF(AND(ISNUMBER(B72),ISNUMBER(K43)),SQRT(K43/(B72*Inputs!B8)),"n/a")</f>
        <v/>
      </c>
    </row>
  </sheetData>
  <dataValidations count="2">
    <dataValidation sqref="B5" showDropDown="0" showInputMessage="0" showErrorMessage="0" allowBlank="0" type="list">
      <formula1>"BH,Surface"</formula1>
    </dataValidation>
    <dataValidation sqref="K5" showDropDown="0" showInputMessage="0" showErrorMessage="0" allowBlank="0" type="list">
      <formula1>"BH,Surface"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4" t="inlineStr">
        <is>
          <t>Perforation erosion through the pump schedule (lumped, Long et al. 2018)</t>
        </is>
      </c>
    </row>
    <row r="3">
      <c r="A3" s="7" t="inlineStr">
        <is>
          <t>Open perforations n</t>
        </is>
      </c>
      <c r="B3" s="30">
        <f>IF(Inputs!B16="SDT",SDT!B72,Inputs!B19)</f>
        <v/>
      </c>
    </row>
    <row r="4">
      <c r="A4" s="7" t="inlineStr">
        <is>
          <t>Initial diameter d0, mm</t>
        </is>
      </c>
      <c r="B4" s="16">
        <f>Inputs!B21</f>
        <v/>
      </c>
    </row>
    <row r="5">
      <c r="A5" s="7" t="inlineStr">
        <is>
          <t>Cd0</t>
        </is>
      </c>
      <c r="B5" s="16">
        <f>Inputs!B7</f>
        <v/>
      </c>
    </row>
    <row r="6">
      <c r="A6" s="7" t="inlineStr">
        <is>
          <t>Cd_max</t>
        </is>
      </c>
      <c r="B6" s="16">
        <f>Inputs!B8</f>
        <v/>
      </c>
    </row>
    <row r="7">
      <c r="A7" s="7" t="inlineStr">
        <is>
          <t>α used, m²·s/kg</t>
        </is>
      </c>
      <c r="B7" s="13">
        <f>Inputs!B14</f>
        <v/>
      </c>
    </row>
    <row r="8">
      <c r="A8" s="7" t="inlineStr">
        <is>
          <t>β, m·s/kg</t>
        </is>
      </c>
      <c r="B8" s="13">
        <f>Inputs!B10</f>
        <v/>
      </c>
    </row>
    <row r="9">
      <c r="A9" s="7" t="inlineStr">
        <is>
          <t>Time step, min</t>
        </is>
      </c>
      <c r="B9" s="30">
        <f>Inputs!B17</f>
        <v/>
      </c>
    </row>
    <row r="10">
      <c r="A10" s="7" t="inlineStr">
        <is>
          <t>Fluid density, kg/m³</t>
        </is>
      </c>
      <c r="B10" s="15">
        <f>Inputs!B5</f>
        <v/>
      </c>
    </row>
    <row r="11">
      <c r="A11" s="7" t="inlineStr">
        <is>
          <t>Proppant SG</t>
        </is>
      </c>
      <c r="B11" s="16">
        <f>Inputs!B6</f>
        <v/>
      </c>
    </row>
    <row r="12">
      <c r="A12" s="7" t="inlineStr">
        <is>
          <t>Total pumping time, min</t>
        </is>
      </c>
      <c r="B12" s="30">
        <f>SUM(B16:B35)</f>
        <v/>
      </c>
    </row>
    <row r="15">
      <c r="A15" s="17" t="inlineStr">
        <is>
          <t>Step</t>
        </is>
      </c>
      <c r="B15" s="17" t="inlineStr">
        <is>
          <t>Duration, min</t>
        </is>
      </c>
      <c r="C15" s="17" t="inlineStr">
        <is>
          <t>Rate, m³/min</t>
        </is>
      </c>
      <c r="D15" s="17" t="inlineStr">
        <is>
          <t>Proppant, kg/m³ clean</t>
        </is>
      </c>
      <c r="E15" s="17" t="inlineStr">
        <is>
          <t>Start time, min</t>
        </is>
      </c>
    </row>
    <row r="16">
      <c r="A16" s="7" t="n">
        <v>1</v>
      </c>
      <c r="B16" s="14" t="n">
        <v>10</v>
      </c>
      <c r="C16" s="8" t="n">
        <v>14</v>
      </c>
      <c r="D16" s="9" t="n">
        <v>0</v>
      </c>
      <c r="E16" s="30">
        <f>0</f>
        <v/>
      </c>
    </row>
    <row r="17">
      <c r="A17" s="7" t="n">
        <v>2</v>
      </c>
      <c r="B17" s="14" t="n">
        <v>20</v>
      </c>
      <c r="C17" s="8" t="n">
        <v>14</v>
      </c>
      <c r="D17" s="9" t="n">
        <v>60</v>
      </c>
      <c r="E17" s="30">
        <f>E16+N(B16)</f>
        <v/>
      </c>
    </row>
    <row r="18">
      <c r="A18" s="7" t="n">
        <v>3</v>
      </c>
      <c r="B18" s="14" t="n">
        <v>20</v>
      </c>
      <c r="C18" s="8" t="n">
        <v>14</v>
      </c>
      <c r="D18" s="9" t="n">
        <v>120</v>
      </c>
      <c r="E18" s="30">
        <f>E17+N(B17)</f>
        <v/>
      </c>
    </row>
    <row r="19">
      <c r="A19" s="7" t="n">
        <v>4</v>
      </c>
      <c r="B19" s="14" t="n">
        <v>20</v>
      </c>
      <c r="C19" s="8" t="n">
        <v>14</v>
      </c>
      <c r="D19" s="9" t="n">
        <v>180</v>
      </c>
      <c r="E19" s="30">
        <f>E18+N(B18)</f>
        <v/>
      </c>
    </row>
    <row r="20">
      <c r="A20" s="7" t="n">
        <v>5</v>
      </c>
      <c r="B20" s="14" t="n">
        <v>20</v>
      </c>
      <c r="C20" s="8" t="n">
        <v>14</v>
      </c>
      <c r="D20" s="9" t="n">
        <v>240</v>
      </c>
      <c r="E20" s="30">
        <f>E19+N(B19)</f>
        <v/>
      </c>
    </row>
    <row r="21">
      <c r="A21" s="7" t="n">
        <v>6</v>
      </c>
      <c r="B21" s="14" t="n">
        <v>20</v>
      </c>
      <c r="C21" s="8" t="n">
        <v>14</v>
      </c>
      <c r="D21" s="9" t="n">
        <v>240</v>
      </c>
      <c r="E21" s="30">
        <f>E20+N(B20)</f>
        <v/>
      </c>
    </row>
    <row r="22">
      <c r="A22" s="7" t="n">
        <v>7</v>
      </c>
      <c r="B22" s="14" t="n">
        <v>5</v>
      </c>
      <c r="C22" s="8" t="n">
        <v>14</v>
      </c>
      <c r="D22" s="9" t="n">
        <v>0</v>
      </c>
      <c r="E22" s="30">
        <f>E21+N(B21)</f>
        <v/>
      </c>
    </row>
    <row r="23">
      <c r="A23" s="7" t="n">
        <v>8</v>
      </c>
      <c r="B23" s="14" t="n"/>
      <c r="C23" s="8" t="n"/>
      <c r="D23" s="9" t="n"/>
      <c r="E23" s="30">
        <f>E22+N(B22)</f>
        <v/>
      </c>
    </row>
    <row r="24">
      <c r="A24" s="7" t="n">
        <v>9</v>
      </c>
      <c r="B24" s="14" t="n"/>
      <c r="C24" s="8" t="n"/>
      <c r="D24" s="9" t="n"/>
      <c r="E24" s="30">
        <f>E23+N(B23)</f>
        <v/>
      </c>
    </row>
    <row r="25">
      <c r="A25" s="7" t="n">
        <v>10</v>
      </c>
      <c r="B25" s="14" t="n"/>
      <c r="C25" s="8" t="n"/>
      <c r="D25" s="9" t="n"/>
      <c r="E25" s="30">
        <f>E24+N(B24)</f>
        <v/>
      </c>
    </row>
    <row r="26">
      <c r="A26" s="7" t="n">
        <v>11</v>
      </c>
      <c r="B26" s="14" t="n"/>
      <c r="C26" s="8" t="n"/>
      <c r="D26" s="9" t="n"/>
      <c r="E26" s="30">
        <f>E25+N(B25)</f>
        <v/>
      </c>
    </row>
    <row r="27">
      <c r="A27" s="7" t="n">
        <v>12</v>
      </c>
      <c r="B27" s="14" t="n"/>
      <c r="C27" s="8" t="n"/>
      <c r="D27" s="9" t="n"/>
      <c r="E27" s="30">
        <f>E26+N(B26)</f>
        <v/>
      </c>
    </row>
    <row r="28">
      <c r="A28" s="7" t="n">
        <v>13</v>
      </c>
      <c r="B28" s="14" t="n"/>
      <c r="C28" s="8" t="n"/>
      <c r="D28" s="9" t="n"/>
      <c r="E28" s="30">
        <f>E27+N(B27)</f>
        <v/>
      </c>
    </row>
    <row r="29">
      <c r="A29" s="7" t="n">
        <v>14</v>
      </c>
      <c r="B29" s="14" t="n"/>
      <c r="C29" s="8" t="n"/>
      <c r="D29" s="9" t="n"/>
      <c r="E29" s="30">
        <f>E28+N(B28)</f>
        <v/>
      </c>
    </row>
    <row r="30">
      <c r="A30" s="7" t="n">
        <v>15</v>
      </c>
      <c r="B30" s="14" t="n"/>
      <c r="C30" s="8" t="n"/>
      <c r="D30" s="9" t="n"/>
      <c r="E30" s="30">
        <f>E29+N(B29)</f>
        <v/>
      </c>
    </row>
    <row r="31">
      <c r="A31" s="7" t="n">
        <v>16</v>
      </c>
      <c r="B31" s="14" t="n"/>
      <c r="C31" s="8" t="n"/>
      <c r="D31" s="9" t="n"/>
      <c r="E31" s="30">
        <f>E30+N(B30)</f>
        <v/>
      </c>
    </row>
    <row r="32">
      <c r="A32" s="7" t="n">
        <v>17</v>
      </c>
      <c r="B32" s="14" t="n"/>
      <c r="C32" s="8" t="n"/>
      <c r="D32" s="9" t="n"/>
      <c r="E32" s="30">
        <f>E31+N(B31)</f>
        <v/>
      </c>
    </row>
    <row r="33">
      <c r="A33" s="7" t="n">
        <v>18</v>
      </c>
      <c r="B33" s="14" t="n"/>
      <c r="C33" s="8" t="n"/>
      <c r="D33" s="9" t="n"/>
      <c r="E33" s="30">
        <f>E32+N(B32)</f>
        <v/>
      </c>
    </row>
    <row r="34">
      <c r="A34" s="7" t="n">
        <v>19</v>
      </c>
      <c r="B34" s="14" t="n"/>
      <c r="C34" s="8" t="n"/>
      <c r="D34" s="9" t="n"/>
      <c r="E34" s="30">
        <f>E33+N(B33)</f>
        <v/>
      </c>
    </row>
    <row r="35">
      <c r="A35" s="7" t="n">
        <v>20</v>
      </c>
      <c r="B35" s="14" t="n"/>
      <c r="C35" s="8" t="n"/>
      <c r="D35" s="9" t="n"/>
      <c r="E35" s="30">
        <f>E34+N(B34)</f>
        <v/>
      </c>
    </row>
    <row r="41">
      <c r="A41" s="6" t="inlineStr">
        <is>
          <t>Summary</t>
        </is>
      </c>
    </row>
    <row r="42">
      <c r="A42" s="7" t="inlineStr">
        <is>
          <t>Active time rows</t>
        </is>
      </c>
      <c r="B42" s="31">
        <f>SUM(C61:C420)</f>
        <v/>
      </c>
    </row>
    <row r="43">
      <c r="A43" s="7" t="inlineStr">
        <is>
          <t>ΔP_perf at start, MPa</t>
        </is>
      </c>
      <c r="B43" s="29">
        <f>O61</f>
        <v/>
      </c>
    </row>
    <row r="44">
      <c r="A44" s="6" t="inlineStr">
        <is>
          <t>ΔP_perf at end, MPa</t>
        </is>
      </c>
      <c r="B44" s="32">
        <f>INDEX(O61:O420,B42)</f>
        <v/>
      </c>
    </row>
    <row r="45">
      <c r="A45" s="7" t="inlineStr">
        <is>
          <t>D at end, mm</t>
        </is>
      </c>
      <c r="B45" s="29">
        <f>INDEX(M61:M420,B42)</f>
        <v/>
      </c>
    </row>
    <row r="46">
      <c r="A46" s="7" t="inlineStr">
        <is>
          <t>Cd at end</t>
        </is>
      </c>
      <c r="B46" s="33">
        <f>INDEX(N61:N420,B42)</f>
        <v/>
      </c>
    </row>
    <row r="47">
      <c r="A47" s="6" t="inlineStr">
        <is>
          <t>Friction retained</t>
        </is>
      </c>
      <c r="B47" s="34">
        <f>B44/B43</f>
        <v/>
      </c>
    </row>
    <row r="48">
      <c r="A48" s="7" t="inlineStr">
        <is>
          <t>Proppant per perforation, kg</t>
        </is>
      </c>
      <c r="B48" s="31">
        <f>INDEX(P61:P420,B42)</f>
        <v/>
      </c>
    </row>
    <row r="49">
      <c r="A49" s="7" t="inlineStr">
        <is>
          <t>Effective area n·Cd·d², start → end, mm²</t>
        </is>
      </c>
      <c r="B49" s="28">
        <f>B3*B5*B4^2</f>
        <v/>
      </c>
    </row>
    <row r="50">
      <c r="A50" s="7" t="inlineStr"/>
      <c r="B50" s="28">
        <f>B3*B46*B45^2</f>
        <v/>
      </c>
    </row>
    <row r="52">
      <c r="A52" s="6" t="inlineStr">
        <is>
          <t>Calibration of α from the two SDTs</t>
        </is>
      </c>
    </row>
    <row r="53">
      <c r="A53" s="7" t="inlineStr">
        <is>
          <t>Open perforations (pre-test, Cd0)</t>
        </is>
      </c>
      <c r="B53" s="28">
        <f>SDT!B72</f>
        <v/>
      </c>
    </row>
    <row r="54">
      <c r="A54" s="7" t="inlineStr">
        <is>
          <t>End diameter implied by end test (Cd = Cd_max), mm</t>
        </is>
      </c>
      <c r="B54" s="29">
        <f>SDT!B73</f>
        <v/>
      </c>
    </row>
    <row r="55">
      <c r="A55" s="7" t="inlineStr">
        <is>
          <t>∫ C·Q² dt  (SI)</t>
        </is>
      </c>
      <c r="B55" s="35">
        <f>SUM(Q61:Q420)</f>
        <v/>
      </c>
    </row>
    <row r="56">
      <c r="A56" s="6" t="inlineStr">
        <is>
          <t>α calibrated, m²·s/kg</t>
        </is>
      </c>
      <c r="B56" s="36">
        <f>IF(AND(ISNUMBER(B53),ISNUMBER(B54)),((B54/1000)^5-(SDT!B9/1000)^5)*PI()^2*B53^2/(80*B55),"n/a")</f>
        <v/>
      </c>
    </row>
    <row r="57">
      <c r="A57" s="5" t="inlineStr">
        <is>
          <t>Set Inputs!B13 = Yes to run the model with this α. β cannot be separated from two SDTs (identifiability) — use the in-stage friction trace (Python).</t>
        </is>
      </c>
    </row>
    <row r="58">
      <c r="A58" s="5" t="inlineStr">
        <is>
          <t>Column O shows #N/A after the schedule ends on purpose (chart gaps).</t>
        </is>
      </c>
    </row>
    <row r="60">
      <c r="A60" s="17" t="inlineStr">
        <is>
          <t>k</t>
        </is>
      </c>
      <c r="B60" s="17" t="inlineStr">
        <is>
          <t>t end, min</t>
        </is>
      </c>
      <c r="C60" s="17" t="inlineStr">
        <is>
          <t>Active</t>
        </is>
      </c>
      <c r="D60" s="17" t="inlineStr">
        <is>
          <t>Step</t>
        </is>
      </c>
      <c r="E60" s="17" t="inlineStr">
        <is>
          <t>Q, m³/min</t>
        </is>
      </c>
      <c r="F60" s="17" t="inlineStr">
        <is>
          <t>c, kg/m³</t>
        </is>
      </c>
      <c r="G60" s="17" t="inlineStr">
        <is>
          <t>ρ slurry</t>
        </is>
      </c>
      <c r="H60" s="17" t="inlineStr">
        <is>
          <t>C, kg/m³ slurry</t>
        </is>
      </c>
      <c r="I60" s="17" t="inlineStr">
        <is>
          <t>D start, mm</t>
        </is>
      </c>
      <c r="J60" s="17" t="inlineStr">
        <is>
          <t>Cd start</t>
        </is>
      </c>
      <c r="K60" s="17" t="inlineStr">
        <is>
          <t>v, m/s</t>
        </is>
      </c>
      <c r="L60" s="17" t="inlineStr">
        <is>
          <t>ΔD, mm</t>
        </is>
      </c>
      <c r="M60" s="17" t="inlineStr">
        <is>
          <t>D end, mm</t>
        </is>
      </c>
      <c r="N60" s="17" t="inlineStr">
        <is>
          <t>Cd end</t>
        </is>
      </c>
      <c r="O60" s="17" t="inlineStr">
        <is>
          <t>ΔP_perf, MPa</t>
        </is>
      </c>
      <c r="P60" s="17" t="inlineStr">
        <is>
          <t>Proppant per perf, kg</t>
        </is>
      </c>
      <c r="Q60" s="17" t="inlineStr">
        <is>
          <t>C·Q²·dt (SI)</t>
        </is>
      </c>
    </row>
    <row r="61">
      <c r="A61" s="7" t="n">
        <v>1</v>
      </c>
      <c r="B61" s="30">
        <f>A61*$B$9</f>
        <v/>
      </c>
      <c r="C61" s="15">
        <f>IF(B61&lt;=$B$12+0.000000001,1,0)</f>
        <v/>
      </c>
      <c r="D61" s="15">
        <f>IF(C61=1,MATCH(B61-$B$9/2,$E$16:$E$35,1),0)</f>
        <v/>
      </c>
      <c r="E61" s="16">
        <f>IF(C61=1,INDEX($C$16:$C$35,D61),0)</f>
        <v/>
      </c>
      <c r="F61" s="15">
        <f>IF(C61=1,N(INDEX($D$16:$D$35,D61)),0)</f>
        <v/>
      </c>
      <c r="G61" s="30">
        <f>($B$10+F61)/(1+F61/(1000*$B$11))</f>
        <v/>
      </c>
      <c r="H61" s="30">
        <f>F61/(1+F61/(1000*$B$11))</f>
        <v/>
      </c>
      <c r="I61" s="37">
        <f>$B$4</f>
        <v/>
      </c>
      <c r="J61" s="37">
        <f>$B$5</f>
        <v/>
      </c>
      <c r="K61" s="16">
        <f>(E61/60)/($B$3*PI()/4*(I61/1000)^2)</f>
        <v/>
      </c>
      <c r="L61" s="23">
        <f>C61*$B$7*H61*K61^2*$B$9*60*1000</f>
        <v/>
      </c>
      <c r="M61" s="37">
        <f>I61+L61</f>
        <v/>
      </c>
      <c r="N61" s="37">
        <f>MIN($B$6,J61+C61*$B$8*H61*K61^2*(1-J61/$B$6)*$B$9*60)</f>
        <v/>
      </c>
      <c r="O61" s="11">
        <f>IF(C61=1,Inputs!$B$12*G61*E61^2/($B$3^2*M61^4*N61^2),NA())</f>
        <v/>
      </c>
      <c r="P61" s="30">
        <f>0+C61*E61/(1+F61/(1000*$B$11))*F61*$B$9/$B$3</f>
        <v/>
      </c>
      <c r="Q61" s="38">
        <f>C61*H61*(E61/60)^2*$B$9*60</f>
        <v/>
      </c>
    </row>
    <row r="62">
      <c r="A62" s="7" t="n">
        <v>2</v>
      </c>
      <c r="B62" s="30">
        <f>A62*$B$9</f>
        <v/>
      </c>
      <c r="C62" s="15">
        <f>IF(B62&lt;=$B$12+0.000000001,1,0)</f>
        <v/>
      </c>
      <c r="D62" s="15">
        <f>IF(C62=1,MATCH(B62-$B$9/2,$E$16:$E$35,1),0)</f>
        <v/>
      </c>
      <c r="E62" s="16">
        <f>IF(C62=1,INDEX($C$16:$C$35,D62),0)</f>
        <v/>
      </c>
      <c r="F62" s="15">
        <f>IF(C62=1,N(INDEX($D$16:$D$35,D62)),0)</f>
        <v/>
      </c>
      <c r="G62" s="30">
        <f>($B$10+F62)/(1+F62/(1000*$B$11))</f>
        <v/>
      </c>
      <c r="H62" s="30">
        <f>F62/(1+F62/(1000*$B$11))</f>
        <v/>
      </c>
      <c r="I62" s="37">
        <f>M61</f>
        <v/>
      </c>
      <c r="J62" s="37">
        <f>N61</f>
        <v/>
      </c>
      <c r="K62" s="16">
        <f>(E62/60)/($B$3*PI()/4*(I62/1000)^2)</f>
        <v/>
      </c>
      <c r="L62" s="23">
        <f>C62*$B$7*H62*K62^2*$B$9*60*1000</f>
        <v/>
      </c>
      <c r="M62" s="37">
        <f>I62+L62</f>
        <v/>
      </c>
      <c r="N62" s="37">
        <f>MIN($B$6,J62+C62*$B$8*H62*K62^2*(1-J62/$B$6)*$B$9*60)</f>
        <v/>
      </c>
      <c r="O62" s="11">
        <f>IF(C62=1,Inputs!$B$12*G62*E62^2/($B$3^2*M62^4*N62^2),NA())</f>
        <v/>
      </c>
      <c r="P62" s="30">
        <f>P61+C62*E62/(1+F62/(1000*$B$11))*F62*$B$9/$B$3</f>
        <v/>
      </c>
      <c r="Q62" s="38">
        <f>C62*H62*(E62/60)^2*$B$9*60</f>
        <v/>
      </c>
    </row>
    <row r="63">
      <c r="A63" s="7" t="n">
        <v>3</v>
      </c>
      <c r="B63" s="30">
        <f>A63*$B$9</f>
        <v/>
      </c>
      <c r="C63" s="15">
        <f>IF(B63&lt;=$B$12+0.000000001,1,0)</f>
        <v/>
      </c>
      <c r="D63" s="15">
        <f>IF(C63=1,MATCH(B63-$B$9/2,$E$16:$E$35,1),0)</f>
        <v/>
      </c>
      <c r="E63" s="16">
        <f>IF(C63=1,INDEX($C$16:$C$35,D63),0)</f>
        <v/>
      </c>
      <c r="F63" s="15">
        <f>IF(C63=1,N(INDEX($D$16:$D$35,D63)),0)</f>
        <v/>
      </c>
      <c r="G63" s="30">
        <f>($B$10+F63)/(1+F63/(1000*$B$11))</f>
        <v/>
      </c>
      <c r="H63" s="30">
        <f>F63/(1+F63/(1000*$B$11))</f>
        <v/>
      </c>
      <c r="I63" s="37">
        <f>M62</f>
        <v/>
      </c>
      <c r="J63" s="37">
        <f>N62</f>
        <v/>
      </c>
      <c r="K63" s="16">
        <f>(E63/60)/($B$3*PI()/4*(I63/1000)^2)</f>
        <v/>
      </c>
      <c r="L63" s="23">
        <f>C63*$B$7*H63*K63^2*$B$9*60*1000</f>
        <v/>
      </c>
      <c r="M63" s="37">
        <f>I63+L63</f>
        <v/>
      </c>
      <c r="N63" s="37">
        <f>MIN($B$6,J63+C63*$B$8*H63*K63^2*(1-J63/$B$6)*$B$9*60)</f>
        <v/>
      </c>
      <c r="O63" s="11">
        <f>IF(C63=1,Inputs!$B$12*G63*E63^2/($B$3^2*M63^4*N63^2),NA())</f>
        <v/>
      </c>
      <c r="P63" s="30">
        <f>P62+C63*E63/(1+F63/(1000*$B$11))*F63*$B$9/$B$3</f>
        <v/>
      </c>
      <c r="Q63" s="38">
        <f>C63*H63*(E63/60)^2*$B$9*60</f>
        <v/>
      </c>
    </row>
    <row r="64">
      <c r="A64" s="7" t="n">
        <v>4</v>
      </c>
      <c r="B64" s="30">
        <f>A64*$B$9</f>
        <v/>
      </c>
      <c r="C64" s="15">
        <f>IF(B64&lt;=$B$12+0.000000001,1,0)</f>
        <v/>
      </c>
      <c r="D64" s="15">
        <f>IF(C64=1,MATCH(B64-$B$9/2,$E$16:$E$35,1),0)</f>
        <v/>
      </c>
      <c r="E64" s="16">
        <f>IF(C64=1,INDEX($C$16:$C$35,D64),0)</f>
        <v/>
      </c>
      <c r="F64" s="15">
        <f>IF(C64=1,N(INDEX($D$16:$D$35,D64)),0)</f>
        <v/>
      </c>
      <c r="G64" s="30">
        <f>($B$10+F64)/(1+F64/(1000*$B$11))</f>
        <v/>
      </c>
      <c r="H64" s="30">
        <f>F64/(1+F64/(1000*$B$11))</f>
        <v/>
      </c>
      <c r="I64" s="37">
        <f>M63</f>
        <v/>
      </c>
      <c r="J64" s="37">
        <f>N63</f>
        <v/>
      </c>
      <c r="K64" s="16">
        <f>(E64/60)/($B$3*PI()/4*(I64/1000)^2)</f>
        <v/>
      </c>
      <c r="L64" s="23">
        <f>C64*$B$7*H64*K64^2*$B$9*60*1000</f>
        <v/>
      </c>
      <c r="M64" s="37">
        <f>I64+L64</f>
        <v/>
      </c>
      <c r="N64" s="37">
        <f>MIN($B$6,J64+C64*$B$8*H64*K64^2*(1-J64/$B$6)*$B$9*60)</f>
        <v/>
      </c>
      <c r="O64" s="11">
        <f>IF(C64=1,Inputs!$B$12*G64*E64^2/($B$3^2*M64^4*N64^2),NA())</f>
        <v/>
      </c>
      <c r="P64" s="30">
        <f>P63+C64*E64/(1+F64/(1000*$B$11))*F64*$B$9/$B$3</f>
        <v/>
      </c>
      <c r="Q64" s="38">
        <f>C64*H64*(E64/60)^2*$B$9*60</f>
        <v/>
      </c>
    </row>
    <row r="65">
      <c r="A65" s="7" t="n">
        <v>5</v>
      </c>
      <c r="B65" s="30">
        <f>A65*$B$9</f>
        <v/>
      </c>
      <c r="C65" s="15">
        <f>IF(B65&lt;=$B$12+0.000000001,1,0)</f>
        <v/>
      </c>
      <c r="D65" s="15">
        <f>IF(C65=1,MATCH(B65-$B$9/2,$E$16:$E$35,1),0)</f>
        <v/>
      </c>
      <c r="E65" s="16">
        <f>IF(C65=1,INDEX($C$16:$C$35,D65),0)</f>
        <v/>
      </c>
      <c r="F65" s="15">
        <f>IF(C65=1,N(INDEX($D$16:$D$35,D65)),0)</f>
        <v/>
      </c>
      <c r="G65" s="30">
        <f>($B$10+F65)/(1+F65/(1000*$B$11))</f>
        <v/>
      </c>
      <c r="H65" s="30">
        <f>F65/(1+F65/(1000*$B$11))</f>
        <v/>
      </c>
      <c r="I65" s="37">
        <f>M64</f>
        <v/>
      </c>
      <c r="J65" s="37">
        <f>N64</f>
        <v/>
      </c>
      <c r="K65" s="16">
        <f>(E65/60)/($B$3*PI()/4*(I65/1000)^2)</f>
        <v/>
      </c>
      <c r="L65" s="23">
        <f>C65*$B$7*H65*K65^2*$B$9*60*1000</f>
        <v/>
      </c>
      <c r="M65" s="37">
        <f>I65+L65</f>
        <v/>
      </c>
      <c r="N65" s="37">
        <f>MIN($B$6,J65+C65*$B$8*H65*K65^2*(1-J65/$B$6)*$B$9*60)</f>
        <v/>
      </c>
      <c r="O65" s="11">
        <f>IF(C65=1,Inputs!$B$12*G65*E65^2/($B$3^2*M65^4*N65^2),NA())</f>
        <v/>
      </c>
      <c r="P65" s="30">
        <f>P64+C65*E65/(1+F65/(1000*$B$11))*F65*$B$9/$B$3</f>
        <v/>
      </c>
      <c r="Q65" s="38">
        <f>C65*H65*(E65/60)^2*$B$9*60</f>
        <v/>
      </c>
    </row>
    <row r="66">
      <c r="A66" s="7" t="n">
        <v>6</v>
      </c>
      <c r="B66" s="30">
        <f>A66*$B$9</f>
        <v/>
      </c>
      <c r="C66" s="15">
        <f>IF(B66&lt;=$B$12+0.000000001,1,0)</f>
        <v/>
      </c>
      <c r="D66" s="15">
        <f>IF(C66=1,MATCH(B66-$B$9/2,$E$16:$E$35,1),0)</f>
        <v/>
      </c>
      <c r="E66" s="16">
        <f>IF(C66=1,INDEX($C$16:$C$35,D66),0)</f>
        <v/>
      </c>
      <c r="F66" s="15">
        <f>IF(C66=1,N(INDEX($D$16:$D$35,D66)),0)</f>
        <v/>
      </c>
      <c r="G66" s="30">
        <f>($B$10+F66)/(1+F66/(1000*$B$11))</f>
        <v/>
      </c>
      <c r="H66" s="30">
        <f>F66/(1+F66/(1000*$B$11))</f>
        <v/>
      </c>
      <c r="I66" s="37">
        <f>M65</f>
        <v/>
      </c>
      <c r="J66" s="37">
        <f>N65</f>
        <v/>
      </c>
      <c r="K66" s="16">
        <f>(E66/60)/($B$3*PI()/4*(I66/1000)^2)</f>
        <v/>
      </c>
      <c r="L66" s="23">
        <f>C66*$B$7*H66*K66^2*$B$9*60*1000</f>
        <v/>
      </c>
      <c r="M66" s="37">
        <f>I66+L66</f>
        <v/>
      </c>
      <c r="N66" s="37">
        <f>MIN($B$6,J66+C66*$B$8*H66*K66^2*(1-J66/$B$6)*$B$9*60)</f>
        <v/>
      </c>
      <c r="O66" s="11">
        <f>IF(C66=1,Inputs!$B$12*G66*E66^2/($B$3^2*M66^4*N66^2),NA())</f>
        <v/>
      </c>
      <c r="P66" s="30">
        <f>P65+C66*E66/(1+F66/(1000*$B$11))*F66*$B$9/$B$3</f>
        <v/>
      </c>
      <c r="Q66" s="38">
        <f>C66*H66*(E66/60)^2*$B$9*60</f>
        <v/>
      </c>
    </row>
    <row r="67">
      <c r="A67" s="7" t="n">
        <v>7</v>
      </c>
      <c r="B67" s="30">
        <f>A67*$B$9</f>
        <v/>
      </c>
      <c r="C67" s="15">
        <f>IF(B67&lt;=$B$12+0.000000001,1,0)</f>
        <v/>
      </c>
      <c r="D67" s="15">
        <f>IF(C67=1,MATCH(B67-$B$9/2,$E$16:$E$35,1),0)</f>
        <v/>
      </c>
      <c r="E67" s="16">
        <f>IF(C67=1,INDEX($C$16:$C$35,D67),0)</f>
        <v/>
      </c>
      <c r="F67" s="15">
        <f>IF(C67=1,N(INDEX($D$16:$D$35,D67)),0)</f>
        <v/>
      </c>
      <c r="G67" s="30">
        <f>($B$10+F67)/(1+F67/(1000*$B$11))</f>
        <v/>
      </c>
      <c r="H67" s="30">
        <f>F67/(1+F67/(1000*$B$11))</f>
        <v/>
      </c>
      <c r="I67" s="37">
        <f>M66</f>
        <v/>
      </c>
      <c r="J67" s="37">
        <f>N66</f>
        <v/>
      </c>
      <c r="K67" s="16">
        <f>(E67/60)/($B$3*PI()/4*(I67/1000)^2)</f>
        <v/>
      </c>
      <c r="L67" s="23">
        <f>C67*$B$7*H67*K67^2*$B$9*60*1000</f>
        <v/>
      </c>
      <c r="M67" s="37">
        <f>I67+L67</f>
        <v/>
      </c>
      <c r="N67" s="37">
        <f>MIN($B$6,J67+C67*$B$8*H67*K67^2*(1-J67/$B$6)*$B$9*60)</f>
        <v/>
      </c>
      <c r="O67" s="11">
        <f>IF(C67=1,Inputs!$B$12*G67*E67^2/($B$3^2*M67^4*N67^2),NA())</f>
        <v/>
      </c>
      <c r="P67" s="30">
        <f>P66+C67*E67/(1+F67/(1000*$B$11))*F67*$B$9/$B$3</f>
        <v/>
      </c>
      <c r="Q67" s="38">
        <f>C67*H67*(E67/60)^2*$B$9*60</f>
        <v/>
      </c>
    </row>
    <row r="68">
      <c r="A68" s="7" t="n">
        <v>8</v>
      </c>
      <c r="B68" s="30">
        <f>A68*$B$9</f>
        <v/>
      </c>
      <c r="C68" s="15">
        <f>IF(B68&lt;=$B$12+0.000000001,1,0)</f>
        <v/>
      </c>
      <c r="D68" s="15">
        <f>IF(C68=1,MATCH(B68-$B$9/2,$E$16:$E$35,1),0)</f>
        <v/>
      </c>
      <c r="E68" s="16">
        <f>IF(C68=1,INDEX($C$16:$C$35,D68),0)</f>
        <v/>
      </c>
      <c r="F68" s="15">
        <f>IF(C68=1,N(INDEX($D$16:$D$35,D68)),0)</f>
        <v/>
      </c>
      <c r="G68" s="30">
        <f>($B$10+F68)/(1+F68/(1000*$B$11))</f>
        <v/>
      </c>
      <c r="H68" s="30">
        <f>F68/(1+F68/(1000*$B$11))</f>
        <v/>
      </c>
      <c r="I68" s="37">
        <f>M67</f>
        <v/>
      </c>
      <c r="J68" s="37">
        <f>N67</f>
        <v/>
      </c>
      <c r="K68" s="16">
        <f>(E68/60)/($B$3*PI()/4*(I68/1000)^2)</f>
        <v/>
      </c>
      <c r="L68" s="23">
        <f>C68*$B$7*H68*K68^2*$B$9*60*1000</f>
        <v/>
      </c>
      <c r="M68" s="37">
        <f>I68+L68</f>
        <v/>
      </c>
      <c r="N68" s="37">
        <f>MIN($B$6,J68+C68*$B$8*H68*K68^2*(1-J68/$B$6)*$B$9*60)</f>
        <v/>
      </c>
      <c r="O68" s="11">
        <f>IF(C68=1,Inputs!$B$12*G68*E68^2/($B$3^2*M68^4*N68^2),NA())</f>
        <v/>
      </c>
      <c r="P68" s="30">
        <f>P67+C68*E68/(1+F68/(1000*$B$11))*F68*$B$9/$B$3</f>
        <v/>
      </c>
      <c r="Q68" s="38">
        <f>C68*H68*(E68/60)^2*$B$9*60</f>
        <v/>
      </c>
    </row>
    <row r="69">
      <c r="A69" s="7" t="n">
        <v>9</v>
      </c>
      <c r="B69" s="30">
        <f>A69*$B$9</f>
        <v/>
      </c>
      <c r="C69" s="15">
        <f>IF(B69&lt;=$B$12+0.000000001,1,0)</f>
        <v/>
      </c>
      <c r="D69" s="15">
        <f>IF(C69=1,MATCH(B69-$B$9/2,$E$16:$E$35,1),0)</f>
        <v/>
      </c>
      <c r="E69" s="16">
        <f>IF(C69=1,INDEX($C$16:$C$35,D69),0)</f>
        <v/>
      </c>
      <c r="F69" s="15">
        <f>IF(C69=1,N(INDEX($D$16:$D$35,D69)),0)</f>
        <v/>
      </c>
      <c r="G69" s="30">
        <f>($B$10+F69)/(1+F69/(1000*$B$11))</f>
        <v/>
      </c>
      <c r="H69" s="30">
        <f>F69/(1+F69/(1000*$B$11))</f>
        <v/>
      </c>
      <c r="I69" s="37">
        <f>M68</f>
        <v/>
      </c>
      <c r="J69" s="37">
        <f>N68</f>
        <v/>
      </c>
      <c r="K69" s="16">
        <f>(E69/60)/($B$3*PI()/4*(I69/1000)^2)</f>
        <v/>
      </c>
      <c r="L69" s="23">
        <f>C69*$B$7*H69*K69^2*$B$9*60*1000</f>
        <v/>
      </c>
      <c r="M69" s="37">
        <f>I69+L69</f>
        <v/>
      </c>
      <c r="N69" s="37">
        <f>MIN($B$6,J69+C69*$B$8*H69*K69^2*(1-J69/$B$6)*$B$9*60)</f>
        <v/>
      </c>
      <c r="O69" s="11">
        <f>IF(C69=1,Inputs!$B$12*G69*E69^2/($B$3^2*M69^4*N69^2),NA())</f>
        <v/>
      </c>
      <c r="P69" s="30">
        <f>P68+C69*E69/(1+F69/(1000*$B$11))*F69*$B$9/$B$3</f>
        <v/>
      </c>
      <c r="Q69" s="38">
        <f>C69*H69*(E69/60)^2*$B$9*60</f>
        <v/>
      </c>
    </row>
    <row r="70">
      <c r="A70" s="7" t="n">
        <v>10</v>
      </c>
      <c r="B70" s="30">
        <f>A70*$B$9</f>
        <v/>
      </c>
      <c r="C70" s="15">
        <f>IF(B70&lt;=$B$12+0.000000001,1,0)</f>
        <v/>
      </c>
      <c r="D70" s="15">
        <f>IF(C70=1,MATCH(B70-$B$9/2,$E$16:$E$35,1),0)</f>
        <v/>
      </c>
      <c r="E70" s="16">
        <f>IF(C70=1,INDEX($C$16:$C$35,D70),0)</f>
        <v/>
      </c>
      <c r="F70" s="15">
        <f>IF(C70=1,N(INDEX($D$16:$D$35,D70)),0)</f>
        <v/>
      </c>
      <c r="G70" s="30">
        <f>($B$10+F70)/(1+F70/(1000*$B$11))</f>
        <v/>
      </c>
      <c r="H70" s="30">
        <f>F70/(1+F70/(1000*$B$11))</f>
        <v/>
      </c>
      <c r="I70" s="37">
        <f>M69</f>
        <v/>
      </c>
      <c r="J70" s="37">
        <f>N69</f>
        <v/>
      </c>
      <c r="K70" s="16">
        <f>(E70/60)/($B$3*PI()/4*(I70/1000)^2)</f>
        <v/>
      </c>
      <c r="L70" s="23">
        <f>C70*$B$7*H70*K70^2*$B$9*60*1000</f>
        <v/>
      </c>
      <c r="M70" s="37">
        <f>I70+L70</f>
        <v/>
      </c>
      <c r="N70" s="37">
        <f>MIN($B$6,J70+C70*$B$8*H70*K70^2*(1-J70/$B$6)*$B$9*60)</f>
        <v/>
      </c>
      <c r="O70" s="11">
        <f>IF(C70=1,Inputs!$B$12*G70*E70^2/($B$3^2*M70^4*N70^2),NA())</f>
        <v/>
      </c>
      <c r="P70" s="30">
        <f>P69+C70*E70/(1+F70/(1000*$B$11))*F70*$B$9/$B$3</f>
        <v/>
      </c>
      <c r="Q70" s="38">
        <f>C70*H70*(E70/60)^2*$B$9*60</f>
        <v/>
      </c>
    </row>
    <row r="71">
      <c r="A71" s="7" t="n">
        <v>11</v>
      </c>
      <c r="B71" s="30">
        <f>A71*$B$9</f>
        <v/>
      </c>
      <c r="C71" s="15">
        <f>IF(B71&lt;=$B$12+0.000000001,1,0)</f>
        <v/>
      </c>
      <c r="D71" s="15">
        <f>IF(C71=1,MATCH(B71-$B$9/2,$E$16:$E$35,1),0)</f>
        <v/>
      </c>
      <c r="E71" s="16">
        <f>IF(C71=1,INDEX($C$16:$C$35,D71),0)</f>
        <v/>
      </c>
      <c r="F71" s="15">
        <f>IF(C71=1,N(INDEX($D$16:$D$35,D71)),0)</f>
        <v/>
      </c>
      <c r="G71" s="30">
        <f>($B$10+F71)/(1+F71/(1000*$B$11))</f>
        <v/>
      </c>
      <c r="H71" s="30">
        <f>F71/(1+F71/(1000*$B$11))</f>
        <v/>
      </c>
      <c r="I71" s="37">
        <f>M70</f>
        <v/>
      </c>
      <c r="J71" s="37">
        <f>N70</f>
        <v/>
      </c>
      <c r="K71" s="16">
        <f>(E71/60)/($B$3*PI()/4*(I71/1000)^2)</f>
        <v/>
      </c>
      <c r="L71" s="23">
        <f>C71*$B$7*H71*K71^2*$B$9*60*1000</f>
        <v/>
      </c>
      <c r="M71" s="37">
        <f>I71+L71</f>
        <v/>
      </c>
      <c r="N71" s="37">
        <f>MIN($B$6,J71+C71*$B$8*H71*K71^2*(1-J71/$B$6)*$B$9*60)</f>
        <v/>
      </c>
      <c r="O71" s="11">
        <f>IF(C71=1,Inputs!$B$12*G71*E71^2/($B$3^2*M71^4*N71^2),NA())</f>
        <v/>
      </c>
      <c r="P71" s="30">
        <f>P70+C71*E71/(1+F71/(1000*$B$11))*F71*$B$9/$B$3</f>
        <v/>
      </c>
      <c r="Q71" s="38">
        <f>C71*H71*(E71/60)^2*$B$9*60</f>
        <v/>
      </c>
    </row>
    <row r="72">
      <c r="A72" s="7" t="n">
        <v>12</v>
      </c>
      <c r="B72" s="30">
        <f>A72*$B$9</f>
        <v/>
      </c>
      <c r="C72" s="15">
        <f>IF(B72&lt;=$B$12+0.000000001,1,0)</f>
        <v/>
      </c>
      <c r="D72" s="15">
        <f>IF(C72=1,MATCH(B72-$B$9/2,$E$16:$E$35,1),0)</f>
        <v/>
      </c>
      <c r="E72" s="16">
        <f>IF(C72=1,INDEX($C$16:$C$35,D72),0)</f>
        <v/>
      </c>
      <c r="F72" s="15">
        <f>IF(C72=1,N(INDEX($D$16:$D$35,D72)),0)</f>
        <v/>
      </c>
      <c r="G72" s="30">
        <f>($B$10+F72)/(1+F72/(1000*$B$11))</f>
        <v/>
      </c>
      <c r="H72" s="30">
        <f>F72/(1+F72/(1000*$B$11))</f>
        <v/>
      </c>
      <c r="I72" s="37">
        <f>M71</f>
        <v/>
      </c>
      <c r="J72" s="37">
        <f>N71</f>
        <v/>
      </c>
      <c r="K72" s="16">
        <f>(E72/60)/($B$3*PI()/4*(I72/1000)^2)</f>
        <v/>
      </c>
      <c r="L72" s="23">
        <f>C72*$B$7*H72*K72^2*$B$9*60*1000</f>
        <v/>
      </c>
      <c r="M72" s="37">
        <f>I72+L72</f>
        <v/>
      </c>
      <c r="N72" s="37">
        <f>MIN($B$6,J72+C72*$B$8*H72*K72^2*(1-J72/$B$6)*$B$9*60)</f>
        <v/>
      </c>
      <c r="O72" s="11">
        <f>IF(C72=1,Inputs!$B$12*G72*E72^2/($B$3^2*M72^4*N72^2),NA())</f>
        <v/>
      </c>
      <c r="P72" s="30">
        <f>P71+C72*E72/(1+F72/(1000*$B$11))*F72*$B$9/$B$3</f>
        <v/>
      </c>
      <c r="Q72" s="38">
        <f>C72*H72*(E72/60)^2*$B$9*60</f>
        <v/>
      </c>
    </row>
    <row r="73">
      <c r="A73" s="7" t="n">
        <v>13</v>
      </c>
      <c r="B73" s="30">
        <f>A73*$B$9</f>
        <v/>
      </c>
      <c r="C73" s="15">
        <f>IF(B73&lt;=$B$12+0.000000001,1,0)</f>
        <v/>
      </c>
      <c r="D73" s="15">
        <f>IF(C73=1,MATCH(B73-$B$9/2,$E$16:$E$35,1),0)</f>
        <v/>
      </c>
      <c r="E73" s="16">
        <f>IF(C73=1,INDEX($C$16:$C$35,D73),0)</f>
        <v/>
      </c>
      <c r="F73" s="15">
        <f>IF(C73=1,N(INDEX($D$16:$D$35,D73)),0)</f>
        <v/>
      </c>
      <c r="G73" s="30">
        <f>($B$10+F73)/(1+F73/(1000*$B$11))</f>
        <v/>
      </c>
      <c r="H73" s="30">
        <f>F73/(1+F73/(1000*$B$11))</f>
        <v/>
      </c>
      <c r="I73" s="37">
        <f>M72</f>
        <v/>
      </c>
      <c r="J73" s="37">
        <f>N72</f>
        <v/>
      </c>
      <c r="K73" s="16">
        <f>(E73/60)/($B$3*PI()/4*(I73/1000)^2)</f>
        <v/>
      </c>
      <c r="L73" s="23">
        <f>C73*$B$7*H73*K73^2*$B$9*60*1000</f>
        <v/>
      </c>
      <c r="M73" s="37">
        <f>I73+L73</f>
        <v/>
      </c>
      <c r="N73" s="37">
        <f>MIN($B$6,J73+C73*$B$8*H73*K73^2*(1-J73/$B$6)*$B$9*60)</f>
        <v/>
      </c>
      <c r="O73" s="11">
        <f>IF(C73=1,Inputs!$B$12*G73*E73^2/($B$3^2*M73^4*N73^2),NA())</f>
        <v/>
      </c>
      <c r="P73" s="30">
        <f>P72+C73*E73/(1+F73/(1000*$B$11))*F73*$B$9/$B$3</f>
        <v/>
      </c>
      <c r="Q73" s="38">
        <f>C73*H73*(E73/60)^2*$B$9*60</f>
        <v/>
      </c>
    </row>
    <row r="74">
      <c r="A74" s="7" t="n">
        <v>14</v>
      </c>
      <c r="B74" s="30">
        <f>A74*$B$9</f>
        <v/>
      </c>
      <c r="C74" s="15">
        <f>IF(B74&lt;=$B$12+0.000000001,1,0)</f>
        <v/>
      </c>
      <c r="D74" s="15">
        <f>IF(C74=1,MATCH(B74-$B$9/2,$E$16:$E$35,1),0)</f>
        <v/>
      </c>
      <c r="E74" s="16">
        <f>IF(C74=1,INDEX($C$16:$C$35,D74),0)</f>
        <v/>
      </c>
      <c r="F74" s="15">
        <f>IF(C74=1,N(INDEX($D$16:$D$35,D74)),0)</f>
        <v/>
      </c>
      <c r="G74" s="30">
        <f>($B$10+F74)/(1+F74/(1000*$B$11))</f>
        <v/>
      </c>
      <c r="H74" s="30">
        <f>F74/(1+F74/(1000*$B$11))</f>
        <v/>
      </c>
      <c r="I74" s="37">
        <f>M73</f>
        <v/>
      </c>
      <c r="J74" s="37">
        <f>N73</f>
        <v/>
      </c>
      <c r="K74" s="16">
        <f>(E74/60)/($B$3*PI()/4*(I74/1000)^2)</f>
        <v/>
      </c>
      <c r="L74" s="23">
        <f>C74*$B$7*H74*K74^2*$B$9*60*1000</f>
        <v/>
      </c>
      <c r="M74" s="37">
        <f>I74+L74</f>
        <v/>
      </c>
      <c r="N74" s="37">
        <f>MIN($B$6,J74+C74*$B$8*H74*K74^2*(1-J74/$B$6)*$B$9*60)</f>
        <v/>
      </c>
      <c r="O74" s="11">
        <f>IF(C74=1,Inputs!$B$12*G74*E74^2/($B$3^2*M74^4*N74^2),NA())</f>
        <v/>
      </c>
      <c r="P74" s="30">
        <f>P73+C74*E74/(1+F74/(1000*$B$11))*F74*$B$9/$B$3</f>
        <v/>
      </c>
      <c r="Q74" s="38">
        <f>C74*H74*(E74/60)^2*$B$9*60</f>
        <v/>
      </c>
    </row>
    <row r="75">
      <c r="A75" s="7" t="n">
        <v>15</v>
      </c>
      <c r="B75" s="30">
        <f>A75*$B$9</f>
        <v/>
      </c>
      <c r="C75" s="15">
        <f>IF(B75&lt;=$B$12+0.000000001,1,0)</f>
        <v/>
      </c>
      <c r="D75" s="15">
        <f>IF(C75=1,MATCH(B75-$B$9/2,$E$16:$E$35,1),0)</f>
        <v/>
      </c>
      <c r="E75" s="16">
        <f>IF(C75=1,INDEX($C$16:$C$35,D75),0)</f>
        <v/>
      </c>
      <c r="F75" s="15">
        <f>IF(C75=1,N(INDEX($D$16:$D$35,D75)),0)</f>
        <v/>
      </c>
      <c r="G75" s="30">
        <f>($B$10+F75)/(1+F75/(1000*$B$11))</f>
        <v/>
      </c>
      <c r="H75" s="30">
        <f>F75/(1+F75/(1000*$B$11))</f>
        <v/>
      </c>
      <c r="I75" s="37">
        <f>M74</f>
        <v/>
      </c>
      <c r="J75" s="37">
        <f>N74</f>
        <v/>
      </c>
      <c r="K75" s="16">
        <f>(E75/60)/($B$3*PI()/4*(I75/1000)^2)</f>
        <v/>
      </c>
      <c r="L75" s="23">
        <f>C75*$B$7*H75*K75^2*$B$9*60*1000</f>
        <v/>
      </c>
      <c r="M75" s="37">
        <f>I75+L75</f>
        <v/>
      </c>
      <c r="N75" s="37">
        <f>MIN($B$6,J75+C75*$B$8*H75*K75^2*(1-J75/$B$6)*$B$9*60)</f>
        <v/>
      </c>
      <c r="O75" s="11">
        <f>IF(C75=1,Inputs!$B$12*G75*E75^2/($B$3^2*M75^4*N75^2),NA())</f>
        <v/>
      </c>
      <c r="P75" s="30">
        <f>P74+C75*E75/(1+F75/(1000*$B$11))*F75*$B$9/$B$3</f>
        <v/>
      </c>
      <c r="Q75" s="38">
        <f>C75*H75*(E75/60)^2*$B$9*60</f>
        <v/>
      </c>
    </row>
    <row r="76">
      <c r="A76" s="7" t="n">
        <v>16</v>
      </c>
      <c r="B76" s="30">
        <f>A76*$B$9</f>
        <v/>
      </c>
      <c r="C76" s="15">
        <f>IF(B76&lt;=$B$12+0.000000001,1,0)</f>
        <v/>
      </c>
      <c r="D76" s="15">
        <f>IF(C76=1,MATCH(B76-$B$9/2,$E$16:$E$35,1),0)</f>
        <v/>
      </c>
      <c r="E76" s="16">
        <f>IF(C76=1,INDEX($C$16:$C$35,D76),0)</f>
        <v/>
      </c>
      <c r="F76" s="15">
        <f>IF(C76=1,N(INDEX($D$16:$D$35,D76)),0)</f>
        <v/>
      </c>
      <c r="G76" s="30">
        <f>($B$10+F76)/(1+F76/(1000*$B$11))</f>
        <v/>
      </c>
      <c r="H76" s="30">
        <f>F76/(1+F76/(1000*$B$11))</f>
        <v/>
      </c>
      <c r="I76" s="37">
        <f>M75</f>
        <v/>
      </c>
      <c r="J76" s="37">
        <f>N75</f>
        <v/>
      </c>
      <c r="K76" s="16">
        <f>(E76/60)/($B$3*PI()/4*(I76/1000)^2)</f>
        <v/>
      </c>
      <c r="L76" s="23">
        <f>C76*$B$7*H76*K76^2*$B$9*60*1000</f>
        <v/>
      </c>
      <c r="M76" s="37">
        <f>I76+L76</f>
        <v/>
      </c>
      <c r="N76" s="37">
        <f>MIN($B$6,J76+C76*$B$8*H76*K76^2*(1-J76/$B$6)*$B$9*60)</f>
        <v/>
      </c>
      <c r="O76" s="11">
        <f>IF(C76=1,Inputs!$B$12*G76*E76^2/($B$3^2*M76^4*N76^2),NA())</f>
        <v/>
      </c>
      <c r="P76" s="30">
        <f>P75+C76*E76/(1+F76/(1000*$B$11))*F76*$B$9/$B$3</f>
        <v/>
      </c>
      <c r="Q76" s="38">
        <f>C76*H76*(E76/60)^2*$B$9*60</f>
        <v/>
      </c>
    </row>
    <row r="77">
      <c r="A77" s="7" t="n">
        <v>17</v>
      </c>
      <c r="B77" s="30">
        <f>A77*$B$9</f>
        <v/>
      </c>
      <c r="C77" s="15">
        <f>IF(B77&lt;=$B$12+0.000000001,1,0)</f>
        <v/>
      </c>
      <c r="D77" s="15">
        <f>IF(C77=1,MATCH(B77-$B$9/2,$E$16:$E$35,1),0)</f>
        <v/>
      </c>
      <c r="E77" s="16">
        <f>IF(C77=1,INDEX($C$16:$C$35,D77),0)</f>
        <v/>
      </c>
      <c r="F77" s="15">
        <f>IF(C77=1,N(INDEX($D$16:$D$35,D77)),0)</f>
        <v/>
      </c>
      <c r="G77" s="30">
        <f>($B$10+F77)/(1+F77/(1000*$B$11))</f>
        <v/>
      </c>
      <c r="H77" s="30">
        <f>F77/(1+F77/(1000*$B$11))</f>
        <v/>
      </c>
      <c r="I77" s="37">
        <f>M76</f>
        <v/>
      </c>
      <c r="J77" s="37">
        <f>N76</f>
        <v/>
      </c>
      <c r="K77" s="16">
        <f>(E77/60)/($B$3*PI()/4*(I77/1000)^2)</f>
        <v/>
      </c>
      <c r="L77" s="23">
        <f>C77*$B$7*H77*K77^2*$B$9*60*1000</f>
        <v/>
      </c>
      <c r="M77" s="37">
        <f>I77+L77</f>
        <v/>
      </c>
      <c r="N77" s="37">
        <f>MIN($B$6,J77+C77*$B$8*H77*K77^2*(1-J77/$B$6)*$B$9*60)</f>
        <v/>
      </c>
      <c r="O77" s="11">
        <f>IF(C77=1,Inputs!$B$12*G77*E77^2/($B$3^2*M77^4*N77^2),NA())</f>
        <v/>
      </c>
      <c r="P77" s="30">
        <f>P76+C77*E77/(1+F77/(1000*$B$11))*F77*$B$9/$B$3</f>
        <v/>
      </c>
      <c r="Q77" s="38">
        <f>C77*H77*(E77/60)^2*$B$9*60</f>
        <v/>
      </c>
    </row>
    <row r="78">
      <c r="A78" s="7" t="n">
        <v>18</v>
      </c>
      <c r="B78" s="30">
        <f>A78*$B$9</f>
        <v/>
      </c>
      <c r="C78" s="15">
        <f>IF(B78&lt;=$B$12+0.000000001,1,0)</f>
        <v/>
      </c>
      <c r="D78" s="15">
        <f>IF(C78=1,MATCH(B78-$B$9/2,$E$16:$E$35,1),0)</f>
        <v/>
      </c>
      <c r="E78" s="16">
        <f>IF(C78=1,INDEX($C$16:$C$35,D78),0)</f>
        <v/>
      </c>
      <c r="F78" s="15">
        <f>IF(C78=1,N(INDEX($D$16:$D$35,D78)),0)</f>
        <v/>
      </c>
      <c r="G78" s="30">
        <f>($B$10+F78)/(1+F78/(1000*$B$11))</f>
        <v/>
      </c>
      <c r="H78" s="30">
        <f>F78/(1+F78/(1000*$B$11))</f>
        <v/>
      </c>
      <c r="I78" s="37">
        <f>M77</f>
        <v/>
      </c>
      <c r="J78" s="37">
        <f>N77</f>
        <v/>
      </c>
      <c r="K78" s="16">
        <f>(E78/60)/($B$3*PI()/4*(I78/1000)^2)</f>
        <v/>
      </c>
      <c r="L78" s="23">
        <f>C78*$B$7*H78*K78^2*$B$9*60*1000</f>
        <v/>
      </c>
      <c r="M78" s="37">
        <f>I78+L78</f>
        <v/>
      </c>
      <c r="N78" s="37">
        <f>MIN($B$6,J78+C78*$B$8*H78*K78^2*(1-J78/$B$6)*$B$9*60)</f>
        <v/>
      </c>
      <c r="O78" s="11">
        <f>IF(C78=1,Inputs!$B$12*G78*E78^2/($B$3^2*M78^4*N78^2),NA())</f>
        <v/>
      </c>
      <c r="P78" s="30">
        <f>P77+C78*E78/(1+F78/(1000*$B$11))*F78*$B$9/$B$3</f>
        <v/>
      </c>
      <c r="Q78" s="38">
        <f>C78*H78*(E78/60)^2*$B$9*60</f>
        <v/>
      </c>
    </row>
    <row r="79">
      <c r="A79" s="7" t="n">
        <v>19</v>
      </c>
      <c r="B79" s="30">
        <f>A79*$B$9</f>
        <v/>
      </c>
      <c r="C79" s="15">
        <f>IF(B79&lt;=$B$12+0.000000001,1,0)</f>
        <v/>
      </c>
      <c r="D79" s="15">
        <f>IF(C79=1,MATCH(B79-$B$9/2,$E$16:$E$35,1),0)</f>
        <v/>
      </c>
      <c r="E79" s="16">
        <f>IF(C79=1,INDEX($C$16:$C$35,D79),0)</f>
        <v/>
      </c>
      <c r="F79" s="15">
        <f>IF(C79=1,N(INDEX($D$16:$D$35,D79)),0)</f>
        <v/>
      </c>
      <c r="G79" s="30">
        <f>($B$10+F79)/(1+F79/(1000*$B$11))</f>
        <v/>
      </c>
      <c r="H79" s="30">
        <f>F79/(1+F79/(1000*$B$11))</f>
        <v/>
      </c>
      <c r="I79" s="37">
        <f>M78</f>
        <v/>
      </c>
      <c r="J79" s="37">
        <f>N78</f>
        <v/>
      </c>
      <c r="K79" s="16">
        <f>(E79/60)/($B$3*PI()/4*(I79/1000)^2)</f>
        <v/>
      </c>
      <c r="L79" s="23">
        <f>C79*$B$7*H79*K79^2*$B$9*60*1000</f>
        <v/>
      </c>
      <c r="M79" s="37">
        <f>I79+L79</f>
        <v/>
      </c>
      <c r="N79" s="37">
        <f>MIN($B$6,J79+C79*$B$8*H79*K79^2*(1-J79/$B$6)*$B$9*60)</f>
        <v/>
      </c>
      <c r="O79" s="11">
        <f>IF(C79=1,Inputs!$B$12*G79*E79^2/($B$3^2*M79^4*N79^2),NA())</f>
        <v/>
      </c>
      <c r="P79" s="30">
        <f>P78+C79*E79/(1+F79/(1000*$B$11))*F79*$B$9/$B$3</f>
        <v/>
      </c>
      <c r="Q79" s="38">
        <f>C79*H79*(E79/60)^2*$B$9*60</f>
        <v/>
      </c>
    </row>
    <row r="80">
      <c r="A80" s="7" t="n">
        <v>20</v>
      </c>
      <c r="B80" s="30">
        <f>A80*$B$9</f>
        <v/>
      </c>
      <c r="C80" s="15">
        <f>IF(B80&lt;=$B$12+0.000000001,1,0)</f>
        <v/>
      </c>
      <c r="D80" s="15">
        <f>IF(C80=1,MATCH(B80-$B$9/2,$E$16:$E$35,1),0)</f>
        <v/>
      </c>
      <c r="E80" s="16">
        <f>IF(C80=1,INDEX($C$16:$C$35,D80),0)</f>
        <v/>
      </c>
      <c r="F80" s="15">
        <f>IF(C80=1,N(INDEX($D$16:$D$35,D80)),0)</f>
        <v/>
      </c>
      <c r="G80" s="30">
        <f>($B$10+F80)/(1+F80/(1000*$B$11))</f>
        <v/>
      </c>
      <c r="H80" s="30">
        <f>F80/(1+F80/(1000*$B$11))</f>
        <v/>
      </c>
      <c r="I80" s="37">
        <f>M79</f>
        <v/>
      </c>
      <c r="J80" s="37">
        <f>N79</f>
        <v/>
      </c>
      <c r="K80" s="16">
        <f>(E80/60)/($B$3*PI()/4*(I80/1000)^2)</f>
        <v/>
      </c>
      <c r="L80" s="23">
        <f>C80*$B$7*H80*K80^2*$B$9*60*1000</f>
        <v/>
      </c>
      <c r="M80" s="37">
        <f>I80+L80</f>
        <v/>
      </c>
      <c r="N80" s="37">
        <f>MIN($B$6,J80+C80*$B$8*H80*K80^2*(1-J80/$B$6)*$B$9*60)</f>
        <v/>
      </c>
      <c r="O80" s="11">
        <f>IF(C80=1,Inputs!$B$12*G80*E80^2/($B$3^2*M80^4*N80^2),NA())</f>
        <v/>
      </c>
      <c r="P80" s="30">
        <f>P79+C80*E80/(1+F80/(1000*$B$11))*F80*$B$9/$B$3</f>
        <v/>
      </c>
      <c r="Q80" s="38">
        <f>C80*H80*(E80/60)^2*$B$9*60</f>
        <v/>
      </c>
    </row>
    <row r="81">
      <c r="A81" s="7" t="n">
        <v>21</v>
      </c>
      <c r="B81" s="30">
        <f>A81*$B$9</f>
        <v/>
      </c>
      <c r="C81" s="15">
        <f>IF(B81&lt;=$B$12+0.000000001,1,0)</f>
        <v/>
      </c>
      <c r="D81" s="15">
        <f>IF(C81=1,MATCH(B81-$B$9/2,$E$16:$E$35,1),0)</f>
        <v/>
      </c>
      <c r="E81" s="16">
        <f>IF(C81=1,INDEX($C$16:$C$35,D81),0)</f>
        <v/>
      </c>
      <c r="F81" s="15">
        <f>IF(C81=1,N(INDEX($D$16:$D$35,D81)),0)</f>
        <v/>
      </c>
      <c r="G81" s="30">
        <f>($B$10+F81)/(1+F81/(1000*$B$11))</f>
        <v/>
      </c>
      <c r="H81" s="30">
        <f>F81/(1+F81/(1000*$B$11))</f>
        <v/>
      </c>
      <c r="I81" s="37">
        <f>M80</f>
        <v/>
      </c>
      <c r="J81" s="37">
        <f>N80</f>
        <v/>
      </c>
      <c r="K81" s="16">
        <f>(E81/60)/($B$3*PI()/4*(I81/1000)^2)</f>
        <v/>
      </c>
      <c r="L81" s="23">
        <f>C81*$B$7*H81*K81^2*$B$9*60*1000</f>
        <v/>
      </c>
      <c r="M81" s="37">
        <f>I81+L81</f>
        <v/>
      </c>
      <c r="N81" s="37">
        <f>MIN($B$6,J81+C81*$B$8*H81*K81^2*(1-J81/$B$6)*$B$9*60)</f>
        <v/>
      </c>
      <c r="O81" s="11">
        <f>IF(C81=1,Inputs!$B$12*G81*E81^2/($B$3^2*M81^4*N81^2),NA())</f>
        <v/>
      </c>
      <c r="P81" s="30">
        <f>P80+C81*E81/(1+F81/(1000*$B$11))*F81*$B$9/$B$3</f>
        <v/>
      </c>
      <c r="Q81" s="38">
        <f>C81*H81*(E81/60)^2*$B$9*60</f>
        <v/>
      </c>
    </row>
    <row r="82">
      <c r="A82" s="7" t="n">
        <v>22</v>
      </c>
      <c r="B82" s="30">
        <f>A82*$B$9</f>
        <v/>
      </c>
      <c r="C82" s="15">
        <f>IF(B82&lt;=$B$12+0.000000001,1,0)</f>
        <v/>
      </c>
      <c r="D82" s="15">
        <f>IF(C82=1,MATCH(B82-$B$9/2,$E$16:$E$35,1),0)</f>
        <v/>
      </c>
      <c r="E82" s="16">
        <f>IF(C82=1,INDEX($C$16:$C$35,D82),0)</f>
        <v/>
      </c>
      <c r="F82" s="15">
        <f>IF(C82=1,N(INDEX($D$16:$D$35,D82)),0)</f>
        <v/>
      </c>
      <c r="G82" s="30">
        <f>($B$10+F82)/(1+F82/(1000*$B$11))</f>
        <v/>
      </c>
      <c r="H82" s="30">
        <f>F82/(1+F82/(1000*$B$11))</f>
        <v/>
      </c>
      <c r="I82" s="37">
        <f>M81</f>
        <v/>
      </c>
      <c r="J82" s="37">
        <f>N81</f>
        <v/>
      </c>
      <c r="K82" s="16">
        <f>(E82/60)/($B$3*PI()/4*(I82/1000)^2)</f>
        <v/>
      </c>
      <c r="L82" s="23">
        <f>C82*$B$7*H82*K82^2*$B$9*60*1000</f>
        <v/>
      </c>
      <c r="M82" s="37">
        <f>I82+L82</f>
        <v/>
      </c>
      <c r="N82" s="37">
        <f>MIN($B$6,J82+C82*$B$8*H82*K82^2*(1-J82/$B$6)*$B$9*60)</f>
        <v/>
      </c>
      <c r="O82" s="11">
        <f>IF(C82=1,Inputs!$B$12*G82*E82^2/($B$3^2*M82^4*N82^2),NA())</f>
        <v/>
      </c>
      <c r="P82" s="30">
        <f>P81+C82*E82/(1+F82/(1000*$B$11))*F82*$B$9/$B$3</f>
        <v/>
      </c>
      <c r="Q82" s="38">
        <f>C82*H82*(E82/60)^2*$B$9*60</f>
        <v/>
      </c>
    </row>
    <row r="83">
      <c r="A83" s="7" t="n">
        <v>23</v>
      </c>
      <c r="B83" s="30">
        <f>A83*$B$9</f>
        <v/>
      </c>
      <c r="C83" s="15">
        <f>IF(B83&lt;=$B$12+0.000000001,1,0)</f>
        <v/>
      </c>
      <c r="D83" s="15">
        <f>IF(C83=1,MATCH(B83-$B$9/2,$E$16:$E$35,1),0)</f>
        <v/>
      </c>
      <c r="E83" s="16">
        <f>IF(C83=1,INDEX($C$16:$C$35,D83),0)</f>
        <v/>
      </c>
      <c r="F83" s="15">
        <f>IF(C83=1,N(INDEX($D$16:$D$35,D83)),0)</f>
        <v/>
      </c>
      <c r="G83" s="30">
        <f>($B$10+F83)/(1+F83/(1000*$B$11))</f>
        <v/>
      </c>
      <c r="H83" s="30">
        <f>F83/(1+F83/(1000*$B$11))</f>
        <v/>
      </c>
      <c r="I83" s="37">
        <f>M82</f>
        <v/>
      </c>
      <c r="J83" s="37">
        <f>N82</f>
        <v/>
      </c>
      <c r="K83" s="16">
        <f>(E83/60)/($B$3*PI()/4*(I83/1000)^2)</f>
        <v/>
      </c>
      <c r="L83" s="23">
        <f>C83*$B$7*H83*K83^2*$B$9*60*1000</f>
        <v/>
      </c>
      <c r="M83" s="37">
        <f>I83+L83</f>
        <v/>
      </c>
      <c r="N83" s="37">
        <f>MIN($B$6,J83+C83*$B$8*H83*K83^2*(1-J83/$B$6)*$B$9*60)</f>
        <v/>
      </c>
      <c r="O83" s="11">
        <f>IF(C83=1,Inputs!$B$12*G83*E83^2/($B$3^2*M83^4*N83^2),NA())</f>
        <v/>
      </c>
      <c r="P83" s="30">
        <f>P82+C83*E83/(1+F83/(1000*$B$11))*F83*$B$9/$B$3</f>
        <v/>
      </c>
      <c r="Q83" s="38">
        <f>C83*H83*(E83/60)^2*$B$9*60</f>
        <v/>
      </c>
    </row>
    <row r="84">
      <c r="A84" s="7" t="n">
        <v>24</v>
      </c>
      <c r="B84" s="30">
        <f>A84*$B$9</f>
        <v/>
      </c>
      <c r="C84" s="15">
        <f>IF(B84&lt;=$B$12+0.000000001,1,0)</f>
        <v/>
      </c>
      <c r="D84" s="15">
        <f>IF(C84=1,MATCH(B84-$B$9/2,$E$16:$E$35,1),0)</f>
        <v/>
      </c>
      <c r="E84" s="16">
        <f>IF(C84=1,INDEX($C$16:$C$35,D84),0)</f>
        <v/>
      </c>
      <c r="F84" s="15">
        <f>IF(C84=1,N(INDEX($D$16:$D$35,D84)),0)</f>
        <v/>
      </c>
      <c r="G84" s="30">
        <f>($B$10+F84)/(1+F84/(1000*$B$11))</f>
        <v/>
      </c>
      <c r="H84" s="30">
        <f>F84/(1+F84/(1000*$B$11))</f>
        <v/>
      </c>
      <c r="I84" s="37">
        <f>M83</f>
        <v/>
      </c>
      <c r="J84" s="37">
        <f>N83</f>
        <v/>
      </c>
      <c r="K84" s="16">
        <f>(E84/60)/($B$3*PI()/4*(I84/1000)^2)</f>
        <v/>
      </c>
      <c r="L84" s="23">
        <f>C84*$B$7*H84*K84^2*$B$9*60*1000</f>
        <v/>
      </c>
      <c r="M84" s="37">
        <f>I84+L84</f>
        <v/>
      </c>
      <c r="N84" s="37">
        <f>MIN($B$6,J84+C84*$B$8*H84*K84^2*(1-J84/$B$6)*$B$9*60)</f>
        <v/>
      </c>
      <c r="O84" s="11">
        <f>IF(C84=1,Inputs!$B$12*G84*E84^2/($B$3^2*M84^4*N84^2),NA())</f>
        <v/>
      </c>
      <c r="P84" s="30">
        <f>P83+C84*E84/(1+F84/(1000*$B$11))*F84*$B$9/$B$3</f>
        <v/>
      </c>
      <c r="Q84" s="38">
        <f>C84*H84*(E84/60)^2*$B$9*60</f>
        <v/>
      </c>
    </row>
    <row r="85">
      <c r="A85" s="7" t="n">
        <v>25</v>
      </c>
      <c r="B85" s="30">
        <f>A85*$B$9</f>
        <v/>
      </c>
      <c r="C85" s="15">
        <f>IF(B85&lt;=$B$12+0.000000001,1,0)</f>
        <v/>
      </c>
      <c r="D85" s="15">
        <f>IF(C85=1,MATCH(B85-$B$9/2,$E$16:$E$35,1),0)</f>
        <v/>
      </c>
      <c r="E85" s="16">
        <f>IF(C85=1,INDEX($C$16:$C$35,D85),0)</f>
        <v/>
      </c>
      <c r="F85" s="15">
        <f>IF(C85=1,N(INDEX($D$16:$D$35,D85)),0)</f>
        <v/>
      </c>
      <c r="G85" s="30">
        <f>($B$10+F85)/(1+F85/(1000*$B$11))</f>
        <v/>
      </c>
      <c r="H85" s="30">
        <f>F85/(1+F85/(1000*$B$11))</f>
        <v/>
      </c>
      <c r="I85" s="37">
        <f>M84</f>
        <v/>
      </c>
      <c r="J85" s="37">
        <f>N84</f>
        <v/>
      </c>
      <c r="K85" s="16">
        <f>(E85/60)/($B$3*PI()/4*(I85/1000)^2)</f>
        <v/>
      </c>
      <c r="L85" s="23">
        <f>C85*$B$7*H85*K85^2*$B$9*60*1000</f>
        <v/>
      </c>
      <c r="M85" s="37">
        <f>I85+L85</f>
        <v/>
      </c>
      <c r="N85" s="37">
        <f>MIN($B$6,J85+C85*$B$8*H85*K85^2*(1-J85/$B$6)*$B$9*60)</f>
        <v/>
      </c>
      <c r="O85" s="11">
        <f>IF(C85=1,Inputs!$B$12*G85*E85^2/($B$3^2*M85^4*N85^2),NA())</f>
        <v/>
      </c>
      <c r="P85" s="30">
        <f>P84+C85*E85/(1+F85/(1000*$B$11))*F85*$B$9/$B$3</f>
        <v/>
      </c>
      <c r="Q85" s="38">
        <f>C85*H85*(E85/60)^2*$B$9*60</f>
        <v/>
      </c>
    </row>
    <row r="86">
      <c r="A86" s="7" t="n">
        <v>26</v>
      </c>
      <c r="B86" s="30">
        <f>A86*$B$9</f>
        <v/>
      </c>
      <c r="C86" s="15">
        <f>IF(B86&lt;=$B$12+0.000000001,1,0)</f>
        <v/>
      </c>
      <c r="D86" s="15">
        <f>IF(C86=1,MATCH(B86-$B$9/2,$E$16:$E$35,1),0)</f>
        <v/>
      </c>
      <c r="E86" s="16">
        <f>IF(C86=1,INDEX($C$16:$C$35,D86),0)</f>
        <v/>
      </c>
      <c r="F86" s="15">
        <f>IF(C86=1,N(INDEX($D$16:$D$35,D86)),0)</f>
        <v/>
      </c>
      <c r="G86" s="30">
        <f>($B$10+F86)/(1+F86/(1000*$B$11))</f>
        <v/>
      </c>
      <c r="H86" s="30">
        <f>F86/(1+F86/(1000*$B$11))</f>
        <v/>
      </c>
      <c r="I86" s="37">
        <f>M85</f>
        <v/>
      </c>
      <c r="J86" s="37">
        <f>N85</f>
        <v/>
      </c>
      <c r="K86" s="16">
        <f>(E86/60)/($B$3*PI()/4*(I86/1000)^2)</f>
        <v/>
      </c>
      <c r="L86" s="23">
        <f>C86*$B$7*H86*K86^2*$B$9*60*1000</f>
        <v/>
      </c>
      <c r="M86" s="37">
        <f>I86+L86</f>
        <v/>
      </c>
      <c r="N86" s="37">
        <f>MIN($B$6,J86+C86*$B$8*H86*K86^2*(1-J86/$B$6)*$B$9*60)</f>
        <v/>
      </c>
      <c r="O86" s="11">
        <f>IF(C86=1,Inputs!$B$12*G86*E86^2/($B$3^2*M86^4*N86^2),NA())</f>
        <v/>
      </c>
      <c r="P86" s="30">
        <f>P85+C86*E86/(1+F86/(1000*$B$11))*F86*$B$9/$B$3</f>
        <v/>
      </c>
      <c r="Q86" s="38">
        <f>C86*H86*(E86/60)^2*$B$9*60</f>
        <v/>
      </c>
    </row>
    <row r="87">
      <c r="A87" s="7" t="n">
        <v>27</v>
      </c>
      <c r="B87" s="30">
        <f>A87*$B$9</f>
        <v/>
      </c>
      <c r="C87" s="15">
        <f>IF(B87&lt;=$B$12+0.000000001,1,0)</f>
        <v/>
      </c>
      <c r="D87" s="15">
        <f>IF(C87=1,MATCH(B87-$B$9/2,$E$16:$E$35,1),0)</f>
        <v/>
      </c>
      <c r="E87" s="16">
        <f>IF(C87=1,INDEX($C$16:$C$35,D87),0)</f>
        <v/>
      </c>
      <c r="F87" s="15">
        <f>IF(C87=1,N(INDEX($D$16:$D$35,D87)),0)</f>
        <v/>
      </c>
      <c r="G87" s="30">
        <f>($B$10+F87)/(1+F87/(1000*$B$11))</f>
        <v/>
      </c>
      <c r="H87" s="30">
        <f>F87/(1+F87/(1000*$B$11))</f>
        <v/>
      </c>
      <c r="I87" s="37">
        <f>M86</f>
        <v/>
      </c>
      <c r="J87" s="37">
        <f>N86</f>
        <v/>
      </c>
      <c r="K87" s="16">
        <f>(E87/60)/($B$3*PI()/4*(I87/1000)^2)</f>
        <v/>
      </c>
      <c r="L87" s="23">
        <f>C87*$B$7*H87*K87^2*$B$9*60*1000</f>
        <v/>
      </c>
      <c r="M87" s="37">
        <f>I87+L87</f>
        <v/>
      </c>
      <c r="N87" s="37">
        <f>MIN($B$6,J87+C87*$B$8*H87*K87^2*(1-J87/$B$6)*$B$9*60)</f>
        <v/>
      </c>
      <c r="O87" s="11">
        <f>IF(C87=1,Inputs!$B$12*G87*E87^2/($B$3^2*M87^4*N87^2),NA())</f>
        <v/>
      </c>
      <c r="P87" s="30">
        <f>P86+C87*E87/(1+F87/(1000*$B$11))*F87*$B$9/$B$3</f>
        <v/>
      </c>
      <c r="Q87" s="38">
        <f>C87*H87*(E87/60)^2*$B$9*60</f>
        <v/>
      </c>
    </row>
    <row r="88">
      <c r="A88" s="7" t="n">
        <v>28</v>
      </c>
      <c r="B88" s="30">
        <f>A88*$B$9</f>
        <v/>
      </c>
      <c r="C88" s="15">
        <f>IF(B88&lt;=$B$12+0.000000001,1,0)</f>
        <v/>
      </c>
      <c r="D88" s="15">
        <f>IF(C88=1,MATCH(B88-$B$9/2,$E$16:$E$35,1),0)</f>
        <v/>
      </c>
      <c r="E88" s="16">
        <f>IF(C88=1,INDEX($C$16:$C$35,D88),0)</f>
        <v/>
      </c>
      <c r="F88" s="15">
        <f>IF(C88=1,N(INDEX($D$16:$D$35,D88)),0)</f>
        <v/>
      </c>
      <c r="G88" s="30">
        <f>($B$10+F88)/(1+F88/(1000*$B$11))</f>
        <v/>
      </c>
      <c r="H88" s="30">
        <f>F88/(1+F88/(1000*$B$11))</f>
        <v/>
      </c>
      <c r="I88" s="37">
        <f>M87</f>
        <v/>
      </c>
      <c r="J88" s="37">
        <f>N87</f>
        <v/>
      </c>
      <c r="K88" s="16">
        <f>(E88/60)/($B$3*PI()/4*(I88/1000)^2)</f>
        <v/>
      </c>
      <c r="L88" s="23">
        <f>C88*$B$7*H88*K88^2*$B$9*60*1000</f>
        <v/>
      </c>
      <c r="M88" s="37">
        <f>I88+L88</f>
        <v/>
      </c>
      <c r="N88" s="37">
        <f>MIN($B$6,J88+C88*$B$8*H88*K88^2*(1-J88/$B$6)*$B$9*60)</f>
        <v/>
      </c>
      <c r="O88" s="11">
        <f>IF(C88=1,Inputs!$B$12*G88*E88^2/($B$3^2*M88^4*N88^2),NA())</f>
        <v/>
      </c>
      <c r="P88" s="30">
        <f>P87+C88*E88/(1+F88/(1000*$B$11))*F88*$B$9/$B$3</f>
        <v/>
      </c>
      <c r="Q88" s="38">
        <f>C88*H88*(E88/60)^2*$B$9*60</f>
        <v/>
      </c>
    </row>
    <row r="89">
      <c r="A89" s="7" t="n">
        <v>29</v>
      </c>
      <c r="B89" s="30">
        <f>A89*$B$9</f>
        <v/>
      </c>
      <c r="C89" s="15">
        <f>IF(B89&lt;=$B$12+0.000000001,1,0)</f>
        <v/>
      </c>
      <c r="D89" s="15">
        <f>IF(C89=1,MATCH(B89-$B$9/2,$E$16:$E$35,1),0)</f>
        <v/>
      </c>
      <c r="E89" s="16">
        <f>IF(C89=1,INDEX($C$16:$C$35,D89),0)</f>
        <v/>
      </c>
      <c r="F89" s="15">
        <f>IF(C89=1,N(INDEX($D$16:$D$35,D89)),0)</f>
        <v/>
      </c>
      <c r="G89" s="30">
        <f>($B$10+F89)/(1+F89/(1000*$B$11))</f>
        <v/>
      </c>
      <c r="H89" s="30">
        <f>F89/(1+F89/(1000*$B$11))</f>
        <v/>
      </c>
      <c r="I89" s="37">
        <f>M88</f>
        <v/>
      </c>
      <c r="J89" s="37">
        <f>N88</f>
        <v/>
      </c>
      <c r="K89" s="16">
        <f>(E89/60)/($B$3*PI()/4*(I89/1000)^2)</f>
        <v/>
      </c>
      <c r="L89" s="23">
        <f>C89*$B$7*H89*K89^2*$B$9*60*1000</f>
        <v/>
      </c>
      <c r="M89" s="37">
        <f>I89+L89</f>
        <v/>
      </c>
      <c r="N89" s="37">
        <f>MIN($B$6,J89+C89*$B$8*H89*K89^2*(1-J89/$B$6)*$B$9*60)</f>
        <v/>
      </c>
      <c r="O89" s="11">
        <f>IF(C89=1,Inputs!$B$12*G89*E89^2/($B$3^2*M89^4*N89^2),NA())</f>
        <v/>
      </c>
      <c r="P89" s="30">
        <f>P88+C89*E89/(1+F89/(1000*$B$11))*F89*$B$9/$B$3</f>
        <v/>
      </c>
      <c r="Q89" s="38">
        <f>C89*H89*(E89/60)^2*$B$9*60</f>
        <v/>
      </c>
    </row>
    <row r="90">
      <c r="A90" s="7" t="n">
        <v>30</v>
      </c>
      <c r="B90" s="30">
        <f>A90*$B$9</f>
        <v/>
      </c>
      <c r="C90" s="15">
        <f>IF(B90&lt;=$B$12+0.000000001,1,0)</f>
        <v/>
      </c>
      <c r="D90" s="15">
        <f>IF(C90=1,MATCH(B90-$B$9/2,$E$16:$E$35,1),0)</f>
        <v/>
      </c>
      <c r="E90" s="16">
        <f>IF(C90=1,INDEX($C$16:$C$35,D90),0)</f>
        <v/>
      </c>
      <c r="F90" s="15">
        <f>IF(C90=1,N(INDEX($D$16:$D$35,D90)),0)</f>
        <v/>
      </c>
      <c r="G90" s="30">
        <f>($B$10+F90)/(1+F90/(1000*$B$11))</f>
        <v/>
      </c>
      <c r="H90" s="30">
        <f>F90/(1+F90/(1000*$B$11))</f>
        <v/>
      </c>
      <c r="I90" s="37">
        <f>M89</f>
        <v/>
      </c>
      <c r="J90" s="37">
        <f>N89</f>
        <v/>
      </c>
      <c r="K90" s="16">
        <f>(E90/60)/($B$3*PI()/4*(I90/1000)^2)</f>
        <v/>
      </c>
      <c r="L90" s="23">
        <f>C90*$B$7*H90*K90^2*$B$9*60*1000</f>
        <v/>
      </c>
      <c r="M90" s="37">
        <f>I90+L90</f>
        <v/>
      </c>
      <c r="N90" s="37">
        <f>MIN($B$6,J90+C90*$B$8*H90*K90^2*(1-J90/$B$6)*$B$9*60)</f>
        <v/>
      </c>
      <c r="O90" s="11">
        <f>IF(C90=1,Inputs!$B$12*G90*E90^2/($B$3^2*M90^4*N90^2),NA())</f>
        <v/>
      </c>
      <c r="P90" s="30">
        <f>P89+C90*E90/(1+F90/(1000*$B$11))*F90*$B$9/$B$3</f>
        <v/>
      </c>
      <c r="Q90" s="38">
        <f>C90*H90*(E90/60)^2*$B$9*60</f>
        <v/>
      </c>
    </row>
    <row r="91">
      <c r="A91" s="7" t="n">
        <v>31</v>
      </c>
      <c r="B91" s="30">
        <f>A91*$B$9</f>
        <v/>
      </c>
      <c r="C91" s="15">
        <f>IF(B91&lt;=$B$12+0.000000001,1,0)</f>
        <v/>
      </c>
      <c r="D91" s="15">
        <f>IF(C91=1,MATCH(B91-$B$9/2,$E$16:$E$35,1),0)</f>
        <v/>
      </c>
      <c r="E91" s="16">
        <f>IF(C91=1,INDEX($C$16:$C$35,D91),0)</f>
        <v/>
      </c>
      <c r="F91" s="15">
        <f>IF(C91=1,N(INDEX($D$16:$D$35,D91)),0)</f>
        <v/>
      </c>
      <c r="G91" s="30">
        <f>($B$10+F91)/(1+F91/(1000*$B$11))</f>
        <v/>
      </c>
      <c r="H91" s="30">
        <f>F91/(1+F91/(1000*$B$11))</f>
        <v/>
      </c>
      <c r="I91" s="37">
        <f>M90</f>
        <v/>
      </c>
      <c r="J91" s="37">
        <f>N90</f>
        <v/>
      </c>
      <c r="K91" s="16">
        <f>(E91/60)/($B$3*PI()/4*(I91/1000)^2)</f>
        <v/>
      </c>
      <c r="L91" s="23">
        <f>C91*$B$7*H91*K91^2*$B$9*60*1000</f>
        <v/>
      </c>
      <c r="M91" s="37">
        <f>I91+L91</f>
        <v/>
      </c>
      <c r="N91" s="37">
        <f>MIN($B$6,J91+C91*$B$8*H91*K91^2*(1-J91/$B$6)*$B$9*60)</f>
        <v/>
      </c>
      <c r="O91" s="11">
        <f>IF(C91=1,Inputs!$B$12*G91*E91^2/($B$3^2*M91^4*N91^2),NA())</f>
        <v/>
      </c>
      <c r="P91" s="30">
        <f>P90+C91*E91/(1+F91/(1000*$B$11))*F91*$B$9/$B$3</f>
        <v/>
      </c>
      <c r="Q91" s="38">
        <f>C91*H91*(E91/60)^2*$B$9*60</f>
        <v/>
      </c>
    </row>
    <row r="92">
      <c r="A92" s="7" t="n">
        <v>32</v>
      </c>
      <c r="B92" s="30">
        <f>A92*$B$9</f>
        <v/>
      </c>
      <c r="C92" s="15">
        <f>IF(B92&lt;=$B$12+0.000000001,1,0)</f>
        <v/>
      </c>
      <c r="D92" s="15">
        <f>IF(C92=1,MATCH(B92-$B$9/2,$E$16:$E$35,1),0)</f>
        <v/>
      </c>
      <c r="E92" s="16">
        <f>IF(C92=1,INDEX($C$16:$C$35,D92),0)</f>
        <v/>
      </c>
      <c r="F92" s="15">
        <f>IF(C92=1,N(INDEX($D$16:$D$35,D92)),0)</f>
        <v/>
      </c>
      <c r="G92" s="30">
        <f>($B$10+F92)/(1+F92/(1000*$B$11))</f>
        <v/>
      </c>
      <c r="H92" s="30">
        <f>F92/(1+F92/(1000*$B$11))</f>
        <v/>
      </c>
      <c r="I92" s="37">
        <f>M91</f>
        <v/>
      </c>
      <c r="J92" s="37">
        <f>N91</f>
        <v/>
      </c>
      <c r="K92" s="16">
        <f>(E92/60)/($B$3*PI()/4*(I92/1000)^2)</f>
        <v/>
      </c>
      <c r="L92" s="23">
        <f>C92*$B$7*H92*K92^2*$B$9*60*1000</f>
        <v/>
      </c>
      <c r="M92" s="37">
        <f>I92+L92</f>
        <v/>
      </c>
      <c r="N92" s="37">
        <f>MIN($B$6,J92+C92*$B$8*H92*K92^2*(1-J92/$B$6)*$B$9*60)</f>
        <v/>
      </c>
      <c r="O92" s="11">
        <f>IF(C92=1,Inputs!$B$12*G92*E92^2/($B$3^2*M92^4*N92^2),NA())</f>
        <v/>
      </c>
      <c r="P92" s="30">
        <f>P91+C92*E92/(1+F92/(1000*$B$11))*F92*$B$9/$B$3</f>
        <v/>
      </c>
      <c r="Q92" s="38">
        <f>C92*H92*(E92/60)^2*$B$9*60</f>
        <v/>
      </c>
    </row>
    <row r="93">
      <c r="A93" s="7" t="n">
        <v>33</v>
      </c>
      <c r="B93" s="30">
        <f>A93*$B$9</f>
        <v/>
      </c>
      <c r="C93" s="15">
        <f>IF(B93&lt;=$B$12+0.000000001,1,0)</f>
        <v/>
      </c>
      <c r="D93" s="15">
        <f>IF(C93=1,MATCH(B93-$B$9/2,$E$16:$E$35,1),0)</f>
        <v/>
      </c>
      <c r="E93" s="16">
        <f>IF(C93=1,INDEX($C$16:$C$35,D93),0)</f>
        <v/>
      </c>
      <c r="F93" s="15">
        <f>IF(C93=1,N(INDEX($D$16:$D$35,D93)),0)</f>
        <v/>
      </c>
      <c r="G93" s="30">
        <f>($B$10+F93)/(1+F93/(1000*$B$11))</f>
        <v/>
      </c>
      <c r="H93" s="30">
        <f>F93/(1+F93/(1000*$B$11))</f>
        <v/>
      </c>
      <c r="I93" s="37">
        <f>M92</f>
        <v/>
      </c>
      <c r="J93" s="37">
        <f>N92</f>
        <v/>
      </c>
      <c r="K93" s="16">
        <f>(E93/60)/($B$3*PI()/4*(I93/1000)^2)</f>
        <v/>
      </c>
      <c r="L93" s="23">
        <f>C93*$B$7*H93*K93^2*$B$9*60*1000</f>
        <v/>
      </c>
      <c r="M93" s="37">
        <f>I93+L93</f>
        <v/>
      </c>
      <c r="N93" s="37">
        <f>MIN($B$6,J93+C93*$B$8*H93*K93^2*(1-J93/$B$6)*$B$9*60)</f>
        <v/>
      </c>
      <c r="O93" s="11">
        <f>IF(C93=1,Inputs!$B$12*G93*E93^2/($B$3^2*M93^4*N93^2),NA())</f>
        <v/>
      </c>
      <c r="P93" s="30">
        <f>P92+C93*E93/(1+F93/(1000*$B$11))*F93*$B$9/$B$3</f>
        <v/>
      </c>
      <c r="Q93" s="38">
        <f>C93*H93*(E93/60)^2*$B$9*60</f>
        <v/>
      </c>
    </row>
    <row r="94">
      <c r="A94" s="7" t="n">
        <v>34</v>
      </c>
      <c r="B94" s="30">
        <f>A94*$B$9</f>
        <v/>
      </c>
      <c r="C94" s="15">
        <f>IF(B94&lt;=$B$12+0.000000001,1,0)</f>
        <v/>
      </c>
      <c r="D94" s="15">
        <f>IF(C94=1,MATCH(B94-$B$9/2,$E$16:$E$35,1),0)</f>
        <v/>
      </c>
      <c r="E94" s="16">
        <f>IF(C94=1,INDEX($C$16:$C$35,D94),0)</f>
        <v/>
      </c>
      <c r="F94" s="15">
        <f>IF(C94=1,N(INDEX($D$16:$D$35,D94)),0)</f>
        <v/>
      </c>
      <c r="G94" s="30">
        <f>($B$10+F94)/(1+F94/(1000*$B$11))</f>
        <v/>
      </c>
      <c r="H94" s="30">
        <f>F94/(1+F94/(1000*$B$11))</f>
        <v/>
      </c>
      <c r="I94" s="37">
        <f>M93</f>
        <v/>
      </c>
      <c r="J94" s="37">
        <f>N93</f>
        <v/>
      </c>
      <c r="K94" s="16">
        <f>(E94/60)/($B$3*PI()/4*(I94/1000)^2)</f>
        <v/>
      </c>
      <c r="L94" s="23">
        <f>C94*$B$7*H94*K94^2*$B$9*60*1000</f>
        <v/>
      </c>
      <c r="M94" s="37">
        <f>I94+L94</f>
        <v/>
      </c>
      <c r="N94" s="37">
        <f>MIN($B$6,J94+C94*$B$8*H94*K94^2*(1-J94/$B$6)*$B$9*60)</f>
        <v/>
      </c>
      <c r="O94" s="11">
        <f>IF(C94=1,Inputs!$B$12*G94*E94^2/($B$3^2*M94^4*N94^2),NA())</f>
        <v/>
      </c>
      <c r="P94" s="30">
        <f>P93+C94*E94/(1+F94/(1000*$B$11))*F94*$B$9/$B$3</f>
        <v/>
      </c>
      <c r="Q94" s="38">
        <f>C94*H94*(E94/60)^2*$B$9*60</f>
        <v/>
      </c>
    </row>
    <row r="95">
      <c r="A95" s="7" t="n">
        <v>35</v>
      </c>
      <c r="B95" s="30">
        <f>A95*$B$9</f>
        <v/>
      </c>
      <c r="C95" s="15">
        <f>IF(B95&lt;=$B$12+0.000000001,1,0)</f>
        <v/>
      </c>
      <c r="D95" s="15">
        <f>IF(C95=1,MATCH(B95-$B$9/2,$E$16:$E$35,1),0)</f>
        <v/>
      </c>
      <c r="E95" s="16">
        <f>IF(C95=1,INDEX($C$16:$C$35,D95),0)</f>
        <v/>
      </c>
      <c r="F95" s="15">
        <f>IF(C95=1,N(INDEX($D$16:$D$35,D95)),0)</f>
        <v/>
      </c>
      <c r="G95" s="30">
        <f>($B$10+F95)/(1+F95/(1000*$B$11))</f>
        <v/>
      </c>
      <c r="H95" s="30">
        <f>F95/(1+F95/(1000*$B$11))</f>
        <v/>
      </c>
      <c r="I95" s="37">
        <f>M94</f>
        <v/>
      </c>
      <c r="J95" s="37">
        <f>N94</f>
        <v/>
      </c>
      <c r="K95" s="16">
        <f>(E95/60)/($B$3*PI()/4*(I95/1000)^2)</f>
        <v/>
      </c>
      <c r="L95" s="23">
        <f>C95*$B$7*H95*K95^2*$B$9*60*1000</f>
        <v/>
      </c>
      <c r="M95" s="37">
        <f>I95+L95</f>
        <v/>
      </c>
      <c r="N95" s="37">
        <f>MIN($B$6,J95+C95*$B$8*H95*K95^2*(1-J95/$B$6)*$B$9*60)</f>
        <v/>
      </c>
      <c r="O95" s="11">
        <f>IF(C95=1,Inputs!$B$12*G95*E95^2/($B$3^2*M95^4*N95^2),NA())</f>
        <v/>
      </c>
      <c r="P95" s="30">
        <f>P94+C95*E95/(1+F95/(1000*$B$11))*F95*$B$9/$B$3</f>
        <v/>
      </c>
      <c r="Q95" s="38">
        <f>C95*H95*(E95/60)^2*$B$9*60</f>
        <v/>
      </c>
    </row>
    <row r="96">
      <c r="A96" s="7" t="n">
        <v>36</v>
      </c>
      <c r="B96" s="30">
        <f>A96*$B$9</f>
        <v/>
      </c>
      <c r="C96" s="15">
        <f>IF(B96&lt;=$B$12+0.000000001,1,0)</f>
        <v/>
      </c>
      <c r="D96" s="15">
        <f>IF(C96=1,MATCH(B96-$B$9/2,$E$16:$E$35,1),0)</f>
        <v/>
      </c>
      <c r="E96" s="16">
        <f>IF(C96=1,INDEX($C$16:$C$35,D96),0)</f>
        <v/>
      </c>
      <c r="F96" s="15">
        <f>IF(C96=1,N(INDEX($D$16:$D$35,D96)),0)</f>
        <v/>
      </c>
      <c r="G96" s="30">
        <f>($B$10+F96)/(1+F96/(1000*$B$11))</f>
        <v/>
      </c>
      <c r="H96" s="30">
        <f>F96/(1+F96/(1000*$B$11))</f>
        <v/>
      </c>
      <c r="I96" s="37">
        <f>M95</f>
        <v/>
      </c>
      <c r="J96" s="37">
        <f>N95</f>
        <v/>
      </c>
      <c r="K96" s="16">
        <f>(E96/60)/($B$3*PI()/4*(I96/1000)^2)</f>
        <v/>
      </c>
      <c r="L96" s="23">
        <f>C96*$B$7*H96*K96^2*$B$9*60*1000</f>
        <v/>
      </c>
      <c r="M96" s="37">
        <f>I96+L96</f>
        <v/>
      </c>
      <c r="N96" s="37">
        <f>MIN($B$6,J96+C96*$B$8*H96*K96^2*(1-J96/$B$6)*$B$9*60)</f>
        <v/>
      </c>
      <c r="O96" s="11">
        <f>IF(C96=1,Inputs!$B$12*G96*E96^2/($B$3^2*M96^4*N96^2),NA())</f>
        <v/>
      </c>
      <c r="P96" s="30">
        <f>P95+C96*E96/(1+F96/(1000*$B$11))*F96*$B$9/$B$3</f>
        <v/>
      </c>
      <c r="Q96" s="38">
        <f>C96*H96*(E96/60)^2*$B$9*60</f>
        <v/>
      </c>
    </row>
    <row r="97">
      <c r="A97" s="7" t="n">
        <v>37</v>
      </c>
      <c r="B97" s="30">
        <f>A97*$B$9</f>
        <v/>
      </c>
      <c r="C97" s="15">
        <f>IF(B97&lt;=$B$12+0.000000001,1,0)</f>
        <v/>
      </c>
      <c r="D97" s="15">
        <f>IF(C97=1,MATCH(B97-$B$9/2,$E$16:$E$35,1),0)</f>
        <v/>
      </c>
      <c r="E97" s="16">
        <f>IF(C97=1,INDEX($C$16:$C$35,D97),0)</f>
        <v/>
      </c>
      <c r="F97" s="15">
        <f>IF(C97=1,N(INDEX($D$16:$D$35,D97)),0)</f>
        <v/>
      </c>
      <c r="G97" s="30">
        <f>($B$10+F97)/(1+F97/(1000*$B$11))</f>
        <v/>
      </c>
      <c r="H97" s="30">
        <f>F97/(1+F97/(1000*$B$11))</f>
        <v/>
      </c>
      <c r="I97" s="37">
        <f>M96</f>
        <v/>
      </c>
      <c r="J97" s="37">
        <f>N96</f>
        <v/>
      </c>
      <c r="K97" s="16">
        <f>(E97/60)/($B$3*PI()/4*(I97/1000)^2)</f>
        <v/>
      </c>
      <c r="L97" s="23">
        <f>C97*$B$7*H97*K97^2*$B$9*60*1000</f>
        <v/>
      </c>
      <c r="M97" s="37">
        <f>I97+L97</f>
        <v/>
      </c>
      <c r="N97" s="37">
        <f>MIN($B$6,J97+C97*$B$8*H97*K97^2*(1-J97/$B$6)*$B$9*60)</f>
        <v/>
      </c>
      <c r="O97" s="11">
        <f>IF(C97=1,Inputs!$B$12*G97*E97^2/($B$3^2*M97^4*N97^2),NA())</f>
        <v/>
      </c>
      <c r="P97" s="30">
        <f>P96+C97*E97/(1+F97/(1000*$B$11))*F97*$B$9/$B$3</f>
        <v/>
      </c>
      <c r="Q97" s="38">
        <f>C97*H97*(E97/60)^2*$B$9*60</f>
        <v/>
      </c>
    </row>
    <row r="98">
      <c r="A98" s="7" t="n">
        <v>38</v>
      </c>
      <c r="B98" s="30">
        <f>A98*$B$9</f>
        <v/>
      </c>
      <c r="C98" s="15">
        <f>IF(B98&lt;=$B$12+0.000000001,1,0)</f>
        <v/>
      </c>
      <c r="D98" s="15">
        <f>IF(C98=1,MATCH(B98-$B$9/2,$E$16:$E$35,1),0)</f>
        <v/>
      </c>
      <c r="E98" s="16">
        <f>IF(C98=1,INDEX($C$16:$C$35,D98),0)</f>
        <v/>
      </c>
      <c r="F98" s="15">
        <f>IF(C98=1,N(INDEX($D$16:$D$35,D98)),0)</f>
        <v/>
      </c>
      <c r="G98" s="30">
        <f>($B$10+F98)/(1+F98/(1000*$B$11))</f>
        <v/>
      </c>
      <c r="H98" s="30">
        <f>F98/(1+F98/(1000*$B$11))</f>
        <v/>
      </c>
      <c r="I98" s="37">
        <f>M97</f>
        <v/>
      </c>
      <c r="J98" s="37">
        <f>N97</f>
        <v/>
      </c>
      <c r="K98" s="16">
        <f>(E98/60)/($B$3*PI()/4*(I98/1000)^2)</f>
        <v/>
      </c>
      <c r="L98" s="23">
        <f>C98*$B$7*H98*K98^2*$B$9*60*1000</f>
        <v/>
      </c>
      <c r="M98" s="37">
        <f>I98+L98</f>
        <v/>
      </c>
      <c r="N98" s="37">
        <f>MIN($B$6,J98+C98*$B$8*H98*K98^2*(1-J98/$B$6)*$B$9*60)</f>
        <v/>
      </c>
      <c r="O98" s="11">
        <f>IF(C98=1,Inputs!$B$12*G98*E98^2/($B$3^2*M98^4*N98^2),NA())</f>
        <v/>
      </c>
      <c r="P98" s="30">
        <f>P97+C98*E98/(1+F98/(1000*$B$11))*F98*$B$9/$B$3</f>
        <v/>
      </c>
      <c r="Q98" s="38">
        <f>C98*H98*(E98/60)^2*$B$9*60</f>
        <v/>
      </c>
    </row>
    <row r="99">
      <c r="A99" s="7" t="n">
        <v>39</v>
      </c>
      <c r="B99" s="30">
        <f>A99*$B$9</f>
        <v/>
      </c>
      <c r="C99" s="15">
        <f>IF(B99&lt;=$B$12+0.000000001,1,0)</f>
        <v/>
      </c>
      <c r="D99" s="15">
        <f>IF(C99=1,MATCH(B99-$B$9/2,$E$16:$E$35,1),0)</f>
        <v/>
      </c>
      <c r="E99" s="16">
        <f>IF(C99=1,INDEX($C$16:$C$35,D99),0)</f>
        <v/>
      </c>
      <c r="F99" s="15">
        <f>IF(C99=1,N(INDEX($D$16:$D$35,D99)),0)</f>
        <v/>
      </c>
      <c r="G99" s="30">
        <f>($B$10+F99)/(1+F99/(1000*$B$11))</f>
        <v/>
      </c>
      <c r="H99" s="30">
        <f>F99/(1+F99/(1000*$B$11))</f>
        <v/>
      </c>
      <c r="I99" s="37">
        <f>M98</f>
        <v/>
      </c>
      <c r="J99" s="37">
        <f>N98</f>
        <v/>
      </c>
      <c r="K99" s="16">
        <f>(E99/60)/($B$3*PI()/4*(I99/1000)^2)</f>
        <v/>
      </c>
      <c r="L99" s="23">
        <f>C99*$B$7*H99*K99^2*$B$9*60*1000</f>
        <v/>
      </c>
      <c r="M99" s="37">
        <f>I99+L99</f>
        <v/>
      </c>
      <c r="N99" s="37">
        <f>MIN($B$6,J99+C99*$B$8*H99*K99^2*(1-J99/$B$6)*$B$9*60)</f>
        <v/>
      </c>
      <c r="O99" s="11">
        <f>IF(C99=1,Inputs!$B$12*G99*E99^2/($B$3^2*M99^4*N99^2),NA())</f>
        <v/>
      </c>
      <c r="P99" s="30">
        <f>P98+C99*E99/(1+F99/(1000*$B$11))*F99*$B$9/$B$3</f>
        <v/>
      </c>
      <c r="Q99" s="38">
        <f>C99*H99*(E99/60)^2*$B$9*60</f>
        <v/>
      </c>
    </row>
    <row r="100">
      <c r="A100" s="7" t="n">
        <v>40</v>
      </c>
      <c r="B100" s="30">
        <f>A100*$B$9</f>
        <v/>
      </c>
      <c r="C100" s="15">
        <f>IF(B100&lt;=$B$12+0.000000001,1,0)</f>
        <v/>
      </c>
      <c r="D100" s="15">
        <f>IF(C100=1,MATCH(B100-$B$9/2,$E$16:$E$35,1),0)</f>
        <v/>
      </c>
      <c r="E100" s="16">
        <f>IF(C100=1,INDEX($C$16:$C$35,D100),0)</f>
        <v/>
      </c>
      <c r="F100" s="15">
        <f>IF(C100=1,N(INDEX($D$16:$D$35,D100)),0)</f>
        <v/>
      </c>
      <c r="G100" s="30">
        <f>($B$10+F100)/(1+F100/(1000*$B$11))</f>
        <v/>
      </c>
      <c r="H100" s="30">
        <f>F100/(1+F100/(1000*$B$11))</f>
        <v/>
      </c>
      <c r="I100" s="37">
        <f>M99</f>
        <v/>
      </c>
      <c r="J100" s="37">
        <f>N99</f>
        <v/>
      </c>
      <c r="K100" s="16">
        <f>(E100/60)/($B$3*PI()/4*(I100/1000)^2)</f>
        <v/>
      </c>
      <c r="L100" s="23">
        <f>C100*$B$7*H100*K100^2*$B$9*60*1000</f>
        <v/>
      </c>
      <c r="M100" s="37">
        <f>I100+L100</f>
        <v/>
      </c>
      <c r="N100" s="37">
        <f>MIN($B$6,J100+C100*$B$8*H100*K100^2*(1-J100/$B$6)*$B$9*60)</f>
        <v/>
      </c>
      <c r="O100" s="11">
        <f>IF(C100=1,Inputs!$B$12*G100*E100^2/($B$3^2*M100^4*N100^2),NA())</f>
        <v/>
      </c>
      <c r="P100" s="30">
        <f>P99+C100*E100/(1+F100/(1000*$B$11))*F100*$B$9/$B$3</f>
        <v/>
      </c>
      <c r="Q100" s="38">
        <f>C100*H100*(E100/60)^2*$B$9*60</f>
        <v/>
      </c>
    </row>
    <row r="101">
      <c r="A101" s="7" t="n">
        <v>41</v>
      </c>
      <c r="B101" s="30">
        <f>A101*$B$9</f>
        <v/>
      </c>
      <c r="C101" s="15">
        <f>IF(B101&lt;=$B$12+0.000000001,1,0)</f>
        <v/>
      </c>
      <c r="D101" s="15">
        <f>IF(C101=1,MATCH(B101-$B$9/2,$E$16:$E$35,1),0)</f>
        <v/>
      </c>
      <c r="E101" s="16">
        <f>IF(C101=1,INDEX($C$16:$C$35,D101),0)</f>
        <v/>
      </c>
      <c r="F101" s="15">
        <f>IF(C101=1,N(INDEX($D$16:$D$35,D101)),0)</f>
        <v/>
      </c>
      <c r="G101" s="30">
        <f>($B$10+F101)/(1+F101/(1000*$B$11))</f>
        <v/>
      </c>
      <c r="H101" s="30">
        <f>F101/(1+F101/(1000*$B$11))</f>
        <v/>
      </c>
      <c r="I101" s="37">
        <f>M100</f>
        <v/>
      </c>
      <c r="J101" s="37">
        <f>N100</f>
        <v/>
      </c>
      <c r="K101" s="16">
        <f>(E101/60)/($B$3*PI()/4*(I101/1000)^2)</f>
        <v/>
      </c>
      <c r="L101" s="23">
        <f>C101*$B$7*H101*K101^2*$B$9*60*1000</f>
        <v/>
      </c>
      <c r="M101" s="37">
        <f>I101+L101</f>
        <v/>
      </c>
      <c r="N101" s="37">
        <f>MIN($B$6,J101+C101*$B$8*H101*K101^2*(1-J101/$B$6)*$B$9*60)</f>
        <v/>
      </c>
      <c r="O101" s="11">
        <f>IF(C101=1,Inputs!$B$12*G101*E101^2/($B$3^2*M101^4*N101^2),NA())</f>
        <v/>
      </c>
      <c r="P101" s="30">
        <f>P100+C101*E101/(1+F101/(1000*$B$11))*F101*$B$9/$B$3</f>
        <v/>
      </c>
      <c r="Q101" s="38">
        <f>C101*H101*(E101/60)^2*$B$9*60</f>
        <v/>
      </c>
    </row>
    <row r="102">
      <c r="A102" s="7" t="n">
        <v>42</v>
      </c>
      <c r="B102" s="30">
        <f>A102*$B$9</f>
        <v/>
      </c>
      <c r="C102" s="15">
        <f>IF(B102&lt;=$B$12+0.000000001,1,0)</f>
        <v/>
      </c>
      <c r="D102" s="15">
        <f>IF(C102=1,MATCH(B102-$B$9/2,$E$16:$E$35,1),0)</f>
        <v/>
      </c>
      <c r="E102" s="16">
        <f>IF(C102=1,INDEX($C$16:$C$35,D102),0)</f>
        <v/>
      </c>
      <c r="F102" s="15">
        <f>IF(C102=1,N(INDEX($D$16:$D$35,D102)),0)</f>
        <v/>
      </c>
      <c r="G102" s="30">
        <f>($B$10+F102)/(1+F102/(1000*$B$11))</f>
        <v/>
      </c>
      <c r="H102" s="30">
        <f>F102/(1+F102/(1000*$B$11))</f>
        <v/>
      </c>
      <c r="I102" s="37">
        <f>M101</f>
        <v/>
      </c>
      <c r="J102" s="37">
        <f>N101</f>
        <v/>
      </c>
      <c r="K102" s="16">
        <f>(E102/60)/($B$3*PI()/4*(I102/1000)^2)</f>
        <v/>
      </c>
      <c r="L102" s="23">
        <f>C102*$B$7*H102*K102^2*$B$9*60*1000</f>
        <v/>
      </c>
      <c r="M102" s="37">
        <f>I102+L102</f>
        <v/>
      </c>
      <c r="N102" s="37">
        <f>MIN($B$6,J102+C102*$B$8*H102*K102^2*(1-J102/$B$6)*$B$9*60)</f>
        <v/>
      </c>
      <c r="O102" s="11">
        <f>IF(C102=1,Inputs!$B$12*G102*E102^2/($B$3^2*M102^4*N102^2),NA())</f>
        <v/>
      </c>
      <c r="P102" s="30">
        <f>P101+C102*E102/(1+F102/(1000*$B$11))*F102*$B$9/$B$3</f>
        <v/>
      </c>
      <c r="Q102" s="38">
        <f>C102*H102*(E102/60)^2*$B$9*60</f>
        <v/>
      </c>
    </row>
    <row r="103">
      <c r="A103" s="7" t="n">
        <v>43</v>
      </c>
      <c r="B103" s="30">
        <f>A103*$B$9</f>
        <v/>
      </c>
      <c r="C103" s="15">
        <f>IF(B103&lt;=$B$12+0.000000001,1,0)</f>
        <v/>
      </c>
      <c r="D103" s="15">
        <f>IF(C103=1,MATCH(B103-$B$9/2,$E$16:$E$35,1),0)</f>
        <v/>
      </c>
      <c r="E103" s="16">
        <f>IF(C103=1,INDEX($C$16:$C$35,D103),0)</f>
        <v/>
      </c>
      <c r="F103" s="15">
        <f>IF(C103=1,N(INDEX($D$16:$D$35,D103)),0)</f>
        <v/>
      </c>
      <c r="G103" s="30">
        <f>($B$10+F103)/(1+F103/(1000*$B$11))</f>
        <v/>
      </c>
      <c r="H103" s="30">
        <f>F103/(1+F103/(1000*$B$11))</f>
        <v/>
      </c>
      <c r="I103" s="37">
        <f>M102</f>
        <v/>
      </c>
      <c r="J103" s="37">
        <f>N102</f>
        <v/>
      </c>
      <c r="K103" s="16">
        <f>(E103/60)/($B$3*PI()/4*(I103/1000)^2)</f>
        <v/>
      </c>
      <c r="L103" s="23">
        <f>C103*$B$7*H103*K103^2*$B$9*60*1000</f>
        <v/>
      </c>
      <c r="M103" s="37">
        <f>I103+L103</f>
        <v/>
      </c>
      <c r="N103" s="37">
        <f>MIN($B$6,J103+C103*$B$8*H103*K103^2*(1-J103/$B$6)*$B$9*60)</f>
        <v/>
      </c>
      <c r="O103" s="11">
        <f>IF(C103=1,Inputs!$B$12*G103*E103^2/($B$3^2*M103^4*N103^2),NA())</f>
        <v/>
      </c>
      <c r="P103" s="30">
        <f>P102+C103*E103/(1+F103/(1000*$B$11))*F103*$B$9/$B$3</f>
        <v/>
      </c>
      <c r="Q103" s="38">
        <f>C103*H103*(E103/60)^2*$B$9*60</f>
        <v/>
      </c>
    </row>
    <row r="104">
      <c r="A104" s="7" t="n">
        <v>44</v>
      </c>
      <c r="B104" s="30">
        <f>A104*$B$9</f>
        <v/>
      </c>
      <c r="C104" s="15">
        <f>IF(B104&lt;=$B$12+0.000000001,1,0)</f>
        <v/>
      </c>
      <c r="D104" s="15">
        <f>IF(C104=1,MATCH(B104-$B$9/2,$E$16:$E$35,1),0)</f>
        <v/>
      </c>
      <c r="E104" s="16">
        <f>IF(C104=1,INDEX($C$16:$C$35,D104),0)</f>
        <v/>
      </c>
      <c r="F104" s="15">
        <f>IF(C104=1,N(INDEX($D$16:$D$35,D104)),0)</f>
        <v/>
      </c>
      <c r="G104" s="30">
        <f>($B$10+F104)/(1+F104/(1000*$B$11))</f>
        <v/>
      </c>
      <c r="H104" s="30">
        <f>F104/(1+F104/(1000*$B$11))</f>
        <v/>
      </c>
      <c r="I104" s="37">
        <f>M103</f>
        <v/>
      </c>
      <c r="J104" s="37">
        <f>N103</f>
        <v/>
      </c>
      <c r="K104" s="16">
        <f>(E104/60)/($B$3*PI()/4*(I104/1000)^2)</f>
        <v/>
      </c>
      <c r="L104" s="23">
        <f>C104*$B$7*H104*K104^2*$B$9*60*1000</f>
        <v/>
      </c>
      <c r="M104" s="37">
        <f>I104+L104</f>
        <v/>
      </c>
      <c r="N104" s="37">
        <f>MIN($B$6,J104+C104*$B$8*H104*K104^2*(1-J104/$B$6)*$B$9*60)</f>
        <v/>
      </c>
      <c r="O104" s="11">
        <f>IF(C104=1,Inputs!$B$12*G104*E104^2/($B$3^2*M104^4*N104^2),NA())</f>
        <v/>
      </c>
      <c r="P104" s="30">
        <f>P103+C104*E104/(1+F104/(1000*$B$11))*F104*$B$9/$B$3</f>
        <v/>
      </c>
      <c r="Q104" s="38">
        <f>C104*H104*(E104/60)^2*$B$9*60</f>
        <v/>
      </c>
    </row>
    <row r="105">
      <c r="A105" s="7" t="n">
        <v>45</v>
      </c>
      <c r="B105" s="30">
        <f>A105*$B$9</f>
        <v/>
      </c>
      <c r="C105" s="15">
        <f>IF(B105&lt;=$B$12+0.000000001,1,0)</f>
        <v/>
      </c>
      <c r="D105" s="15">
        <f>IF(C105=1,MATCH(B105-$B$9/2,$E$16:$E$35,1),0)</f>
        <v/>
      </c>
      <c r="E105" s="16">
        <f>IF(C105=1,INDEX($C$16:$C$35,D105),0)</f>
        <v/>
      </c>
      <c r="F105" s="15">
        <f>IF(C105=1,N(INDEX($D$16:$D$35,D105)),0)</f>
        <v/>
      </c>
      <c r="G105" s="30">
        <f>($B$10+F105)/(1+F105/(1000*$B$11))</f>
        <v/>
      </c>
      <c r="H105" s="30">
        <f>F105/(1+F105/(1000*$B$11))</f>
        <v/>
      </c>
      <c r="I105" s="37">
        <f>M104</f>
        <v/>
      </c>
      <c r="J105" s="37">
        <f>N104</f>
        <v/>
      </c>
      <c r="K105" s="16">
        <f>(E105/60)/($B$3*PI()/4*(I105/1000)^2)</f>
        <v/>
      </c>
      <c r="L105" s="23">
        <f>C105*$B$7*H105*K105^2*$B$9*60*1000</f>
        <v/>
      </c>
      <c r="M105" s="37">
        <f>I105+L105</f>
        <v/>
      </c>
      <c r="N105" s="37">
        <f>MIN($B$6,J105+C105*$B$8*H105*K105^2*(1-J105/$B$6)*$B$9*60)</f>
        <v/>
      </c>
      <c r="O105" s="11">
        <f>IF(C105=1,Inputs!$B$12*G105*E105^2/($B$3^2*M105^4*N105^2),NA())</f>
        <v/>
      </c>
      <c r="P105" s="30">
        <f>P104+C105*E105/(1+F105/(1000*$B$11))*F105*$B$9/$B$3</f>
        <v/>
      </c>
      <c r="Q105" s="38">
        <f>C105*H105*(E105/60)^2*$B$9*60</f>
        <v/>
      </c>
    </row>
    <row r="106">
      <c r="A106" s="7" t="n">
        <v>46</v>
      </c>
      <c r="B106" s="30">
        <f>A106*$B$9</f>
        <v/>
      </c>
      <c r="C106" s="15">
        <f>IF(B106&lt;=$B$12+0.000000001,1,0)</f>
        <v/>
      </c>
      <c r="D106" s="15">
        <f>IF(C106=1,MATCH(B106-$B$9/2,$E$16:$E$35,1),0)</f>
        <v/>
      </c>
      <c r="E106" s="16">
        <f>IF(C106=1,INDEX($C$16:$C$35,D106),0)</f>
        <v/>
      </c>
      <c r="F106" s="15">
        <f>IF(C106=1,N(INDEX($D$16:$D$35,D106)),0)</f>
        <v/>
      </c>
      <c r="G106" s="30">
        <f>($B$10+F106)/(1+F106/(1000*$B$11))</f>
        <v/>
      </c>
      <c r="H106" s="30">
        <f>F106/(1+F106/(1000*$B$11))</f>
        <v/>
      </c>
      <c r="I106" s="37">
        <f>M105</f>
        <v/>
      </c>
      <c r="J106" s="37">
        <f>N105</f>
        <v/>
      </c>
      <c r="K106" s="16">
        <f>(E106/60)/($B$3*PI()/4*(I106/1000)^2)</f>
        <v/>
      </c>
      <c r="L106" s="23">
        <f>C106*$B$7*H106*K106^2*$B$9*60*1000</f>
        <v/>
      </c>
      <c r="M106" s="37">
        <f>I106+L106</f>
        <v/>
      </c>
      <c r="N106" s="37">
        <f>MIN($B$6,J106+C106*$B$8*H106*K106^2*(1-J106/$B$6)*$B$9*60)</f>
        <v/>
      </c>
      <c r="O106" s="11">
        <f>IF(C106=1,Inputs!$B$12*G106*E106^2/($B$3^2*M106^4*N106^2),NA())</f>
        <v/>
      </c>
      <c r="P106" s="30">
        <f>P105+C106*E106/(1+F106/(1000*$B$11))*F106*$B$9/$B$3</f>
        <v/>
      </c>
      <c r="Q106" s="38">
        <f>C106*H106*(E106/60)^2*$B$9*60</f>
        <v/>
      </c>
    </row>
    <row r="107">
      <c r="A107" s="7" t="n">
        <v>47</v>
      </c>
      <c r="B107" s="30">
        <f>A107*$B$9</f>
        <v/>
      </c>
      <c r="C107" s="15">
        <f>IF(B107&lt;=$B$12+0.000000001,1,0)</f>
        <v/>
      </c>
      <c r="D107" s="15">
        <f>IF(C107=1,MATCH(B107-$B$9/2,$E$16:$E$35,1),0)</f>
        <v/>
      </c>
      <c r="E107" s="16">
        <f>IF(C107=1,INDEX($C$16:$C$35,D107),0)</f>
        <v/>
      </c>
      <c r="F107" s="15">
        <f>IF(C107=1,N(INDEX($D$16:$D$35,D107)),0)</f>
        <v/>
      </c>
      <c r="G107" s="30">
        <f>($B$10+F107)/(1+F107/(1000*$B$11))</f>
        <v/>
      </c>
      <c r="H107" s="30">
        <f>F107/(1+F107/(1000*$B$11))</f>
        <v/>
      </c>
      <c r="I107" s="37">
        <f>M106</f>
        <v/>
      </c>
      <c r="J107" s="37">
        <f>N106</f>
        <v/>
      </c>
      <c r="K107" s="16">
        <f>(E107/60)/($B$3*PI()/4*(I107/1000)^2)</f>
        <v/>
      </c>
      <c r="L107" s="23">
        <f>C107*$B$7*H107*K107^2*$B$9*60*1000</f>
        <v/>
      </c>
      <c r="M107" s="37">
        <f>I107+L107</f>
        <v/>
      </c>
      <c r="N107" s="37">
        <f>MIN($B$6,J107+C107*$B$8*H107*K107^2*(1-J107/$B$6)*$B$9*60)</f>
        <v/>
      </c>
      <c r="O107" s="11">
        <f>IF(C107=1,Inputs!$B$12*G107*E107^2/($B$3^2*M107^4*N107^2),NA())</f>
        <v/>
      </c>
      <c r="P107" s="30">
        <f>P106+C107*E107/(1+F107/(1000*$B$11))*F107*$B$9/$B$3</f>
        <v/>
      </c>
      <c r="Q107" s="38">
        <f>C107*H107*(E107/60)^2*$B$9*60</f>
        <v/>
      </c>
    </row>
    <row r="108">
      <c r="A108" s="7" t="n">
        <v>48</v>
      </c>
      <c r="B108" s="30">
        <f>A108*$B$9</f>
        <v/>
      </c>
      <c r="C108" s="15">
        <f>IF(B108&lt;=$B$12+0.000000001,1,0)</f>
        <v/>
      </c>
      <c r="D108" s="15">
        <f>IF(C108=1,MATCH(B108-$B$9/2,$E$16:$E$35,1),0)</f>
        <v/>
      </c>
      <c r="E108" s="16">
        <f>IF(C108=1,INDEX($C$16:$C$35,D108),0)</f>
        <v/>
      </c>
      <c r="F108" s="15">
        <f>IF(C108=1,N(INDEX($D$16:$D$35,D108)),0)</f>
        <v/>
      </c>
      <c r="G108" s="30">
        <f>($B$10+F108)/(1+F108/(1000*$B$11))</f>
        <v/>
      </c>
      <c r="H108" s="30">
        <f>F108/(1+F108/(1000*$B$11))</f>
        <v/>
      </c>
      <c r="I108" s="37">
        <f>M107</f>
        <v/>
      </c>
      <c r="J108" s="37">
        <f>N107</f>
        <v/>
      </c>
      <c r="K108" s="16">
        <f>(E108/60)/($B$3*PI()/4*(I108/1000)^2)</f>
        <v/>
      </c>
      <c r="L108" s="23">
        <f>C108*$B$7*H108*K108^2*$B$9*60*1000</f>
        <v/>
      </c>
      <c r="M108" s="37">
        <f>I108+L108</f>
        <v/>
      </c>
      <c r="N108" s="37">
        <f>MIN($B$6,J108+C108*$B$8*H108*K108^2*(1-J108/$B$6)*$B$9*60)</f>
        <v/>
      </c>
      <c r="O108" s="11">
        <f>IF(C108=1,Inputs!$B$12*G108*E108^2/($B$3^2*M108^4*N108^2),NA())</f>
        <v/>
      </c>
      <c r="P108" s="30">
        <f>P107+C108*E108/(1+F108/(1000*$B$11))*F108*$B$9/$B$3</f>
        <v/>
      </c>
      <c r="Q108" s="38">
        <f>C108*H108*(E108/60)^2*$B$9*60</f>
        <v/>
      </c>
    </row>
    <row r="109">
      <c r="A109" s="7" t="n">
        <v>49</v>
      </c>
      <c r="B109" s="30">
        <f>A109*$B$9</f>
        <v/>
      </c>
      <c r="C109" s="15">
        <f>IF(B109&lt;=$B$12+0.000000001,1,0)</f>
        <v/>
      </c>
      <c r="D109" s="15">
        <f>IF(C109=1,MATCH(B109-$B$9/2,$E$16:$E$35,1),0)</f>
        <v/>
      </c>
      <c r="E109" s="16">
        <f>IF(C109=1,INDEX($C$16:$C$35,D109),0)</f>
        <v/>
      </c>
      <c r="F109" s="15">
        <f>IF(C109=1,N(INDEX($D$16:$D$35,D109)),0)</f>
        <v/>
      </c>
      <c r="G109" s="30">
        <f>($B$10+F109)/(1+F109/(1000*$B$11))</f>
        <v/>
      </c>
      <c r="H109" s="30">
        <f>F109/(1+F109/(1000*$B$11))</f>
        <v/>
      </c>
      <c r="I109" s="37">
        <f>M108</f>
        <v/>
      </c>
      <c r="J109" s="37">
        <f>N108</f>
        <v/>
      </c>
      <c r="K109" s="16">
        <f>(E109/60)/($B$3*PI()/4*(I109/1000)^2)</f>
        <v/>
      </c>
      <c r="L109" s="23">
        <f>C109*$B$7*H109*K109^2*$B$9*60*1000</f>
        <v/>
      </c>
      <c r="M109" s="37">
        <f>I109+L109</f>
        <v/>
      </c>
      <c r="N109" s="37">
        <f>MIN($B$6,J109+C109*$B$8*H109*K109^2*(1-J109/$B$6)*$B$9*60)</f>
        <v/>
      </c>
      <c r="O109" s="11">
        <f>IF(C109=1,Inputs!$B$12*G109*E109^2/($B$3^2*M109^4*N109^2),NA())</f>
        <v/>
      </c>
      <c r="P109" s="30">
        <f>P108+C109*E109/(1+F109/(1000*$B$11))*F109*$B$9/$B$3</f>
        <v/>
      </c>
      <c r="Q109" s="38">
        <f>C109*H109*(E109/60)^2*$B$9*60</f>
        <v/>
      </c>
    </row>
    <row r="110">
      <c r="A110" s="7" t="n">
        <v>50</v>
      </c>
      <c r="B110" s="30">
        <f>A110*$B$9</f>
        <v/>
      </c>
      <c r="C110" s="15">
        <f>IF(B110&lt;=$B$12+0.000000001,1,0)</f>
        <v/>
      </c>
      <c r="D110" s="15">
        <f>IF(C110=1,MATCH(B110-$B$9/2,$E$16:$E$35,1),0)</f>
        <v/>
      </c>
      <c r="E110" s="16">
        <f>IF(C110=1,INDEX($C$16:$C$35,D110),0)</f>
        <v/>
      </c>
      <c r="F110" s="15">
        <f>IF(C110=1,N(INDEX($D$16:$D$35,D110)),0)</f>
        <v/>
      </c>
      <c r="G110" s="30">
        <f>($B$10+F110)/(1+F110/(1000*$B$11))</f>
        <v/>
      </c>
      <c r="H110" s="30">
        <f>F110/(1+F110/(1000*$B$11))</f>
        <v/>
      </c>
      <c r="I110" s="37">
        <f>M109</f>
        <v/>
      </c>
      <c r="J110" s="37">
        <f>N109</f>
        <v/>
      </c>
      <c r="K110" s="16">
        <f>(E110/60)/($B$3*PI()/4*(I110/1000)^2)</f>
        <v/>
      </c>
      <c r="L110" s="23">
        <f>C110*$B$7*H110*K110^2*$B$9*60*1000</f>
        <v/>
      </c>
      <c r="M110" s="37">
        <f>I110+L110</f>
        <v/>
      </c>
      <c r="N110" s="37">
        <f>MIN($B$6,J110+C110*$B$8*H110*K110^2*(1-J110/$B$6)*$B$9*60)</f>
        <v/>
      </c>
      <c r="O110" s="11">
        <f>IF(C110=1,Inputs!$B$12*G110*E110^2/($B$3^2*M110^4*N110^2),NA())</f>
        <v/>
      </c>
      <c r="P110" s="30">
        <f>P109+C110*E110/(1+F110/(1000*$B$11))*F110*$B$9/$B$3</f>
        <v/>
      </c>
      <c r="Q110" s="38">
        <f>C110*H110*(E110/60)^2*$B$9*60</f>
        <v/>
      </c>
    </row>
    <row r="111">
      <c r="A111" s="7" t="n">
        <v>51</v>
      </c>
      <c r="B111" s="30">
        <f>A111*$B$9</f>
        <v/>
      </c>
      <c r="C111" s="15">
        <f>IF(B111&lt;=$B$12+0.000000001,1,0)</f>
        <v/>
      </c>
      <c r="D111" s="15">
        <f>IF(C111=1,MATCH(B111-$B$9/2,$E$16:$E$35,1),0)</f>
        <v/>
      </c>
      <c r="E111" s="16">
        <f>IF(C111=1,INDEX($C$16:$C$35,D111),0)</f>
        <v/>
      </c>
      <c r="F111" s="15">
        <f>IF(C111=1,N(INDEX($D$16:$D$35,D111)),0)</f>
        <v/>
      </c>
      <c r="G111" s="30">
        <f>($B$10+F111)/(1+F111/(1000*$B$11))</f>
        <v/>
      </c>
      <c r="H111" s="30">
        <f>F111/(1+F111/(1000*$B$11))</f>
        <v/>
      </c>
      <c r="I111" s="37">
        <f>M110</f>
        <v/>
      </c>
      <c r="J111" s="37">
        <f>N110</f>
        <v/>
      </c>
      <c r="K111" s="16">
        <f>(E111/60)/($B$3*PI()/4*(I111/1000)^2)</f>
        <v/>
      </c>
      <c r="L111" s="23">
        <f>C111*$B$7*H111*K111^2*$B$9*60*1000</f>
        <v/>
      </c>
      <c r="M111" s="37">
        <f>I111+L111</f>
        <v/>
      </c>
      <c r="N111" s="37">
        <f>MIN($B$6,J111+C111*$B$8*H111*K111^2*(1-J111/$B$6)*$B$9*60)</f>
        <v/>
      </c>
      <c r="O111" s="11">
        <f>IF(C111=1,Inputs!$B$12*G111*E111^2/($B$3^2*M111^4*N111^2),NA())</f>
        <v/>
      </c>
      <c r="P111" s="30">
        <f>P110+C111*E111/(1+F111/(1000*$B$11))*F111*$B$9/$B$3</f>
        <v/>
      </c>
      <c r="Q111" s="38">
        <f>C111*H111*(E111/60)^2*$B$9*60</f>
        <v/>
      </c>
    </row>
    <row r="112">
      <c r="A112" s="7" t="n">
        <v>52</v>
      </c>
      <c r="B112" s="30">
        <f>A112*$B$9</f>
        <v/>
      </c>
      <c r="C112" s="15">
        <f>IF(B112&lt;=$B$12+0.000000001,1,0)</f>
        <v/>
      </c>
      <c r="D112" s="15">
        <f>IF(C112=1,MATCH(B112-$B$9/2,$E$16:$E$35,1),0)</f>
        <v/>
      </c>
      <c r="E112" s="16">
        <f>IF(C112=1,INDEX($C$16:$C$35,D112),0)</f>
        <v/>
      </c>
      <c r="F112" s="15">
        <f>IF(C112=1,N(INDEX($D$16:$D$35,D112)),0)</f>
        <v/>
      </c>
      <c r="G112" s="30">
        <f>($B$10+F112)/(1+F112/(1000*$B$11))</f>
        <v/>
      </c>
      <c r="H112" s="30">
        <f>F112/(1+F112/(1000*$B$11))</f>
        <v/>
      </c>
      <c r="I112" s="37">
        <f>M111</f>
        <v/>
      </c>
      <c r="J112" s="37">
        <f>N111</f>
        <v/>
      </c>
      <c r="K112" s="16">
        <f>(E112/60)/($B$3*PI()/4*(I112/1000)^2)</f>
        <v/>
      </c>
      <c r="L112" s="23">
        <f>C112*$B$7*H112*K112^2*$B$9*60*1000</f>
        <v/>
      </c>
      <c r="M112" s="37">
        <f>I112+L112</f>
        <v/>
      </c>
      <c r="N112" s="37">
        <f>MIN($B$6,J112+C112*$B$8*H112*K112^2*(1-J112/$B$6)*$B$9*60)</f>
        <v/>
      </c>
      <c r="O112" s="11">
        <f>IF(C112=1,Inputs!$B$12*G112*E112^2/($B$3^2*M112^4*N112^2),NA())</f>
        <v/>
      </c>
      <c r="P112" s="30">
        <f>P111+C112*E112/(1+F112/(1000*$B$11))*F112*$B$9/$B$3</f>
        <v/>
      </c>
      <c r="Q112" s="38">
        <f>C112*H112*(E112/60)^2*$B$9*60</f>
        <v/>
      </c>
    </row>
    <row r="113">
      <c r="A113" s="7" t="n">
        <v>53</v>
      </c>
      <c r="B113" s="30">
        <f>A113*$B$9</f>
        <v/>
      </c>
      <c r="C113" s="15">
        <f>IF(B113&lt;=$B$12+0.000000001,1,0)</f>
        <v/>
      </c>
      <c r="D113" s="15">
        <f>IF(C113=1,MATCH(B113-$B$9/2,$E$16:$E$35,1),0)</f>
        <v/>
      </c>
      <c r="E113" s="16">
        <f>IF(C113=1,INDEX($C$16:$C$35,D113),0)</f>
        <v/>
      </c>
      <c r="F113" s="15">
        <f>IF(C113=1,N(INDEX($D$16:$D$35,D113)),0)</f>
        <v/>
      </c>
      <c r="G113" s="30">
        <f>($B$10+F113)/(1+F113/(1000*$B$11))</f>
        <v/>
      </c>
      <c r="H113" s="30">
        <f>F113/(1+F113/(1000*$B$11))</f>
        <v/>
      </c>
      <c r="I113" s="37">
        <f>M112</f>
        <v/>
      </c>
      <c r="J113" s="37">
        <f>N112</f>
        <v/>
      </c>
      <c r="K113" s="16">
        <f>(E113/60)/($B$3*PI()/4*(I113/1000)^2)</f>
        <v/>
      </c>
      <c r="L113" s="23">
        <f>C113*$B$7*H113*K113^2*$B$9*60*1000</f>
        <v/>
      </c>
      <c r="M113" s="37">
        <f>I113+L113</f>
        <v/>
      </c>
      <c r="N113" s="37">
        <f>MIN($B$6,J113+C113*$B$8*H113*K113^2*(1-J113/$B$6)*$B$9*60)</f>
        <v/>
      </c>
      <c r="O113" s="11">
        <f>IF(C113=1,Inputs!$B$12*G113*E113^2/($B$3^2*M113^4*N113^2),NA())</f>
        <v/>
      </c>
      <c r="P113" s="30">
        <f>P112+C113*E113/(1+F113/(1000*$B$11))*F113*$B$9/$B$3</f>
        <v/>
      </c>
      <c r="Q113" s="38">
        <f>C113*H113*(E113/60)^2*$B$9*60</f>
        <v/>
      </c>
    </row>
    <row r="114">
      <c r="A114" s="7" t="n">
        <v>54</v>
      </c>
      <c r="B114" s="30">
        <f>A114*$B$9</f>
        <v/>
      </c>
      <c r="C114" s="15">
        <f>IF(B114&lt;=$B$12+0.000000001,1,0)</f>
        <v/>
      </c>
      <c r="D114" s="15">
        <f>IF(C114=1,MATCH(B114-$B$9/2,$E$16:$E$35,1),0)</f>
        <v/>
      </c>
      <c r="E114" s="16">
        <f>IF(C114=1,INDEX($C$16:$C$35,D114),0)</f>
        <v/>
      </c>
      <c r="F114" s="15">
        <f>IF(C114=1,N(INDEX($D$16:$D$35,D114)),0)</f>
        <v/>
      </c>
      <c r="G114" s="30">
        <f>($B$10+F114)/(1+F114/(1000*$B$11))</f>
        <v/>
      </c>
      <c r="H114" s="30">
        <f>F114/(1+F114/(1000*$B$11))</f>
        <v/>
      </c>
      <c r="I114" s="37">
        <f>M113</f>
        <v/>
      </c>
      <c r="J114" s="37">
        <f>N113</f>
        <v/>
      </c>
      <c r="K114" s="16">
        <f>(E114/60)/($B$3*PI()/4*(I114/1000)^2)</f>
        <v/>
      </c>
      <c r="L114" s="23">
        <f>C114*$B$7*H114*K114^2*$B$9*60*1000</f>
        <v/>
      </c>
      <c r="M114" s="37">
        <f>I114+L114</f>
        <v/>
      </c>
      <c r="N114" s="37">
        <f>MIN($B$6,J114+C114*$B$8*H114*K114^2*(1-J114/$B$6)*$B$9*60)</f>
        <v/>
      </c>
      <c r="O114" s="11">
        <f>IF(C114=1,Inputs!$B$12*G114*E114^2/($B$3^2*M114^4*N114^2),NA())</f>
        <v/>
      </c>
      <c r="P114" s="30">
        <f>P113+C114*E114/(1+F114/(1000*$B$11))*F114*$B$9/$B$3</f>
        <v/>
      </c>
      <c r="Q114" s="38">
        <f>C114*H114*(E114/60)^2*$B$9*60</f>
        <v/>
      </c>
    </row>
    <row r="115">
      <c r="A115" s="7" t="n">
        <v>55</v>
      </c>
      <c r="B115" s="30">
        <f>A115*$B$9</f>
        <v/>
      </c>
      <c r="C115" s="15">
        <f>IF(B115&lt;=$B$12+0.000000001,1,0)</f>
        <v/>
      </c>
      <c r="D115" s="15">
        <f>IF(C115=1,MATCH(B115-$B$9/2,$E$16:$E$35,1),0)</f>
        <v/>
      </c>
      <c r="E115" s="16">
        <f>IF(C115=1,INDEX($C$16:$C$35,D115),0)</f>
        <v/>
      </c>
      <c r="F115" s="15">
        <f>IF(C115=1,N(INDEX($D$16:$D$35,D115)),0)</f>
        <v/>
      </c>
      <c r="G115" s="30">
        <f>($B$10+F115)/(1+F115/(1000*$B$11))</f>
        <v/>
      </c>
      <c r="H115" s="30">
        <f>F115/(1+F115/(1000*$B$11))</f>
        <v/>
      </c>
      <c r="I115" s="37">
        <f>M114</f>
        <v/>
      </c>
      <c r="J115" s="37">
        <f>N114</f>
        <v/>
      </c>
      <c r="K115" s="16">
        <f>(E115/60)/($B$3*PI()/4*(I115/1000)^2)</f>
        <v/>
      </c>
      <c r="L115" s="23">
        <f>C115*$B$7*H115*K115^2*$B$9*60*1000</f>
        <v/>
      </c>
      <c r="M115" s="37">
        <f>I115+L115</f>
        <v/>
      </c>
      <c r="N115" s="37">
        <f>MIN($B$6,J115+C115*$B$8*H115*K115^2*(1-J115/$B$6)*$B$9*60)</f>
        <v/>
      </c>
      <c r="O115" s="11">
        <f>IF(C115=1,Inputs!$B$12*G115*E115^2/($B$3^2*M115^4*N115^2),NA())</f>
        <v/>
      </c>
      <c r="P115" s="30">
        <f>P114+C115*E115/(1+F115/(1000*$B$11))*F115*$B$9/$B$3</f>
        <v/>
      </c>
      <c r="Q115" s="38">
        <f>C115*H115*(E115/60)^2*$B$9*60</f>
        <v/>
      </c>
    </row>
    <row r="116">
      <c r="A116" s="7" t="n">
        <v>56</v>
      </c>
      <c r="B116" s="30">
        <f>A116*$B$9</f>
        <v/>
      </c>
      <c r="C116" s="15">
        <f>IF(B116&lt;=$B$12+0.000000001,1,0)</f>
        <v/>
      </c>
      <c r="D116" s="15">
        <f>IF(C116=1,MATCH(B116-$B$9/2,$E$16:$E$35,1),0)</f>
        <v/>
      </c>
      <c r="E116" s="16">
        <f>IF(C116=1,INDEX($C$16:$C$35,D116),0)</f>
        <v/>
      </c>
      <c r="F116" s="15">
        <f>IF(C116=1,N(INDEX($D$16:$D$35,D116)),0)</f>
        <v/>
      </c>
      <c r="G116" s="30">
        <f>($B$10+F116)/(1+F116/(1000*$B$11))</f>
        <v/>
      </c>
      <c r="H116" s="30">
        <f>F116/(1+F116/(1000*$B$11))</f>
        <v/>
      </c>
      <c r="I116" s="37">
        <f>M115</f>
        <v/>
      </c>
      <c r="J116" s="37">
        <f>N115</f>
        <v/>
      </c>
      <c r="K116" s="16">
        <f>(E116/60)/($B$3*PI()/4*(I116/1000)^2)</f>
        <v/>
      </c>
      <c r="L116" s="23">
        <f>C116*$B$7*H116*K116^2*$B$9*60*1000</f>
        <v/>
      </c>
      <c r="M116" s="37">
        <f>I116+L116</f>
        <v/>
      </c>
      <c r="N116" s="37">
        <f>MIN($B$6,J116+C116*$B$8*H116*K116^2*(1-J116/$B$6)*$B$9*60)</f>
        <v/>
      </c>
      <c r="O116" s="11">
        <f>IF(C116=1,Inputs!$B$12*G116*E116^2/($B$3^2*M116^4*N116^2),NA())</f>
        <v/>
      </c>
      <c r="P116" s="30">
        <f>P115+C116*E116/(1+F116/(1000*$B$11))*F116*$B$9/$B$3</f>
        <v/>
      </c>
      <c r="Q116" s="38">
        <f>C116*H116*(E116/60)^2*$B$9*60</f>
        <v/>
      </c>
    </row>
    <row r="117">
      <c r="A117" s="7" t="n">
        <v>57</v>
      </c>
      <c r="B117" s="30">
        <f>A117*$B$9</f>
        <v/>
      </c>
      <c r="C117" s="15">
        <f>IF(B117&lt;=$B$12+0.000000001,1,0)</f>
        <v/>
      </c>
      <c r="D117" s="15">
        <f>IF(C117=1,MATCH(B117-$B$9/2,$E$16:$E$35,1),0)</f>
        <v/>
      </c>
      <c r="E117" s="16">
        <f>IF(C117=1,INDEX($C$16:$C$35,D117),0)</f>
        <v/>
      </c>
      <c r="F117" s="15">
        <f>IF(C117=1,N(INDEX($D$16:$D$35,D117)),0)</f>
        <v/>
      </c>
      <c r="G117" s="30">
        <f>($B$10+F117)/(1+F117/(1000*$B$11))</f>
        <v/>
      </c>
      <c r="H117" s="30">
        <f>F117/(1+F117/(1000*$B$11))</f>
        <v/>
      </c>
      <c r="I117" s="37">
        <f>M116</f>
        <v/>
      </c>
      <c r="J117" s="37">
        <f>N116</f>
        <v/>
      </c>
      <c r="K117" s="16">
        <f>(E117/60)/($B$3*PI()/4*(I117/1000)^2)</f>
        <v/>
      </c>
      <c r="L117" s="23">
        <f>C117*$B$7*H117*K117^2*$B$9*60*1000</f>
        <v/>
      </c>
      <c r="M117" s="37">
        <f>I117+L117</f>
        <v/>
      </c>
      <c r="N117" s="37">
        <f>MIN($B$6,J117+C117*$B$8*H117*K117^2*(1-J117/$B$6)*$B$9*60)</f>
        <v/>
      </c>
      <c r="O117" s="11">
        <f>IF(C117=1,Inputs!$B$12*G117*E117^2/($B$3^2*M117^4*N117^2),NA())</f>
        <v/>
      </c>
      <c r="P117" s="30">
        <f>P116+C117*E117/(1+F117/(1000*$B$11))*F117*$B$9/$B$3</f>
        <v/>
      </c>
      <c r="Q117" s="38">
        <f>C117*H117*(E117/60)^2*$B$9*60</f>
        <v/>
      </c>
    </row>
    <row r="118">
      <c r="A118" s="7" t="n">
        <v>58</v>
      </c>
      <c r="B118" s="30">
        <f>A118*$B$9</f>
        <v/>
      </c>
      <c r="C118" s="15">
        <f>IF(B118&lt;=$B$12+0.000000001,1,0)</f>
        <v/>
      </c>
      <c r="D118" s="15">
        <f>IF(C118=1,MATCH(B118-$B$9/2,$E$16:$E$35,1),0)</f>
        <v/>
      </c>
      <c r="E118" s="16">
        <f>IF(C118=1,INDEX($C$16:$C$35,D118),0)</f>
        <v/>
      </c>
      <c r="F118" s="15">
        <f>IF(C118=1,N(INDEX($D$16:$D$35,D118)),0)</f>
        <v/>
      </c>
      <c r="G118" s="30">
        <f>($B$10+F118)/(1+F118/(1000*$B$11))</f>
        <v/>
      </c>
      <c r="H118" s="30">
        <f>F118/(1+F118/(1000*$B$11))</f>
        <v/>
      </c>
      <c r="I118" s="37">
        <f>M117</f>
        <v/>
      </c>
      <c r="J118" s="37">
        <f>N117</f>
        <v/>
      </c>
      <c r="K118" s="16">
        <f>(E118/60)/($B$3*PI()/4*(I118/1000)^2)</f>
        <v/>
      </c>
      <c r="L118" s="23">
        <f>C118*$B$7*H118*K118^2*$B$9*60*1000</f>
        <v/>
      </c>
      <c r="M118" s="37">
        <f>I118+L118</f>
        <v/>
      </c>
      <c r="N118" s="37">
        <f>MIN($B$6,J118+C118*$B$8*H118*K118^2*(1-J118/$B$6)*$B$9*60)</f>
        <v/>
      </c>
      <c r="O118" s="11">
        <f>IF(C118=1,Inputs!$B$12*G118*E118^2/($B$3^2*M118^4*N118^2),NA())</f>
        <v/>
      </c>
      <c r="P118" s="30">
        <f>P117+C118*E118/(1+F118/(1000*$B$11))*F118*$B$9/$B$3</f>
        <v/>
      </c>
      <c r="Q118" s="38">
        <f>C118*H118*(E118/60)^2*$B$9*60</f>
        <v/>
      </c>
    </row>
    <row r="119">
      <c r="A119" s="7" t="n">
        <v>59</v>
      </c>
      <c r="B119" s="30">
        <f>A119*$B$9</f>
        <v/>
      </c>
      <c r="C119" s="15">
        <f>IF(B119&lt;=$B$12+0.000000001,1,0)</f>
        <v/>
      </c>
      <c r="D119" s="15">
        <f>IF(C119=1,MATCH(B119-$B$9/2,$E$16:$E$35,1),0)</f>
        <v/>
      </c>
      <c r="E119" s="16">
        <f>IF(C119=1,INDEX($C$16:$C$35,D119),0)</f>
        <v/>
      </c>
      <c r="F119" s="15">
        <f>IF(C119=1,N(INDEX($D$16:$D$35,D119)),0)</f>
        <v/>
      </c>
      <c r="G119" s="30">
        <f>($B$10+F119)/(1+F119/(1000*$B$11))</f>
        <v/>
      </c>
      <c r="H119" s="30">
        <f>F119/(1+F119/(1000*$B$11))</f>
        <v/>
      </c>
      <c r="I119" s="37">
        <f>M118</f>
        <v/>
      </c>
      <c r="J119" s="37">
        <f>N118</f>
        <v/>
      </c>
      <c r="K119" s="16">
        <f>(E119/60)/($B$3*PI()/4*(I119/1000)^2)</f>
        <v/>
      </c>
      <c r="L119" s="23">
        <f>C119*$B$7*H119*K119^2*$B$9*60*1000</f>
        <v/>
      </c>
      <c r="M119" s="37">
        <f>I119+L119</f>
        <v/>
      </c>
      <c r="N119" s="37">
        <f>MIN($B$6,J119+C119*$B$8*H119*K119^2*(1-J119/$B$6)*$B$9*60)</f>
        <v/>
      </c>
      <c r="O119" s="11">
        <f>IF(C119=1,Inputs!$B$12*G119*E119^2/($B$3^2*M119^4*N119^2),NA())</f>
        <v/>
      </c>
      <c r="P119" s="30">
        <f>P118+C119*E119/(1+F119/(1000*$B$11))*F119*$B$9/$B$3</f>
        <v/>
      </c>
      <c r="Q119" s="38">
        <f>C119*H119*(E119/60)^2*$B$9*60</f>
        <v/>
      </c>
    </row>
    <row r="120">
      <c r="A120" s="7" t="n">
        <v>60</v>
      </c>
      <c r="B120" s="30">
        <f>A120*$B$9</f>
        <v/>
      </c>
      <c r="C120" s="15">
        <f>IF(B120&lt;=$B$12+0.000000001,1,0)</f>
        <v/>
      </c>
      <c r="D120" s="15">
        <f>IF(C120=1,MATCH(B120-$B$9/2,$E$16:$E$35,1),0)</f>
        <v/>
      </c>
      <c r="E120" s="16">
        <f>IF(C120=1,INDEX($C$16:$C$35,D120),0)</f>
        <v/>
      </c>
      <c r="F120" s="15">
        <f>IF(C120=1,N(INDEX($D$16:$D$35,D120)),0)</f>
        <v/>
      </c>
      <c r="G120" s="30">
        <f>($B$10+F120)/(1+F120/(1000*$B$11))</f>
        <v/>
      </c>
      <c r="H120" s="30">
        <f>F120/(1+F120/(1000*$B$11))</f>
        <v/>
      </c>
      <c r="I120" s="37">
        <f>M119</f>
        <v/>
      </c>
      <c r="J120" s="37">
        <f>N119</f>
        <v/>
      </c>
      <c r="K120" s="16">
        <f>(E120/60)/($B$3*PI()/4*(I120/1000)^2)</f>
        <v/>
      </c>
      <c r="L120" s="23">
        <f>C120*$B$7*H120*K120^2*$B$9*60*1000</f>
        <v/>
      </c>
      <c r="M120" s="37">
        <f>I120+L120</f>
        <v/>
      </c>
      <c r="N120" s="37">
        <f>MIN($B$6,J120+C120*$B$8*H120*K120^2*(1-J120/$B$6)*$B$9*60)</f>
        <v/>
      </c>
      <c r="O120" s="11">
        <f>IF(C120=1,Inputs!$B$12*G120*E120^2/($B$3^2*M120^4*N120^2),NA())</f>
        <v/>
      </c>
      <c r="P120" s="30">
        <f>P119+C120*E120/(1+F120/(1000*$B$11))*F120*$B$9/$B$3</f>
        <v/>
      </c>
      <c r="Q120" s="38">
        <f>C120*H120*(E120/60)^2*$B$9*60</f>
        <v/>
      </c>
    </row>
    <row r="121">
      <c r="A121" s="7" t="n">
        <v>61</v>
      </c>
      <c r="B121" s="30">
        <f>A121*$B$9</f>
        <v/>
      </c>
      <c r="C121" s="15">
        <f>IF(B121&lt;=$B$12+0.000000001,1,0)</f>
        <v/>
      </c>
      <c r="D121" s="15">
        <f>IF(C121=1,MATCH(B121-$B$9/2,$E$16:$E$35,1),0)</f>
        <v/>
      </c>
      <c r="E121" s="16">
        <f>IF(C121=1,INDEX($C$16:$C$35,D121),0)</f>
        <v/>
      </c>
      <c r="F121" s="15">
        <f>IF(C121=1,N(INDEX($D$16:$D$35,D121)),0)</f>
        <v/>
      </c>
      <c r="G121" s="30">
        <f>($B$10+F121)/(1+F121/(1000*$B$11))</f>
        <v/>
      </c>
      <c r="H121" s="30">
        <f>F121/(1+F121/(1000*$B$11))</f>
        <v/>
      </c>
      <c r="I121" s="37">
        <f>M120</f>
        <v/>
      </c>
      <c r="J121" s="37">
        <f>N120</f>
        <v/>
      </c>
      <c r="K121" s="16">
        <f>(E121/60)/($B$3*PI()/4*(I121/1000)^2)</f>
        <v/>
      </c>
      <c r="L121" s="23">
        <f>C121*$B$7*H121*K121^2*$B$9*60*1000</f>
        <v/>
      </c>
      <c r="M121" s="37">
        <f>I121+L121</f>
        <v/>
      </c>
      <c r="N121" s="37">
        <f>MIN($B$6,J121+C121*$B$8*H121*K121^2*(1-J121/$B$6)*$B$9*60)</f>
        <v/>
      </c>
      <c r="O121" s="11">
        <f>IF(C121=1,Inputs!$B$12*G121*E121^2/($B$3^2*M121^4*N121^2),NA())</f>
        <v/>
      </c>
      <c r="P121" s="30">
        <f>P120+C121*E121/(1+F121/(1000*$B$11))*F121*$B$9/$B$3</f>
        <v/>
      </c>
      <c r="Q121" s="38">
        <f>C121*H121*(E121/60)^2*$B$9*60</f>
        <v/>
      </c>
    </row>
    <row r="122">
      <c r="A122" s="7" t="n">
        <v>62</v>
      </c>
      <c r="B122" s="30">
        <f>A122*$B$9</f>
        <v/>
      </c>
      <c r="C122" s="15">
        <f>IF(B122&lt;=$B$12+0.000000001,1,0)</f>
        <v/>
      </c>
      <c r="D122" s="15">
        <f>IF(C122=1,MATCH(B122-$B$9/2,$E$16:$E$35,1),0)</f>
        <v/>
      </c>
      <c r="E122" s="16">
        <f>IF(C122=1,INDEX($C$16:$C$35,D122),0)</f>
        <v/>
      </c>
      <c r="F122" s="15">
        <f>IF(C122=1,N(INDEX($D$16:$D$35,D122)),0)</f>
        <v/>
      </c>
      <c r="G122" s="30">
        <f>($B$10+F122)/(1+F122/(1000*$B$11))</f>
        <v/>
      </c>
      <c r="H122" s="30">
        <f>F122/(1+F122/(1000*$B$11))</f>
        <v/>
      </c>
      <c r="I122" s="37">
        <f>M121</f>
        <v/>
      </c>
      <c r="J122" s="37">
        <f>N121</f>
        <v/>
      </c>
      <c r="K122" s="16">
        <f>(E122/60)/($B$3*PI()/4*(I122/1000)^2)</f>
        <v/>
      </c>
      <c r="L122" s="23">
        <f>C122*$B$7*H122*K122^2*$B$9*60*1000</f>
        <v/>
      </c>
      <c r="M122" s="37">
        <f>I122+L122</f>
        <v/>
      </c>
      <c r="N122" s="37">
        <f>MIN($B$6,J122+C122*$B$8*H122*K122^2*(1-J122/$B$6)*$B$9*60)</f>
        <v/>
      </c>
      <c r="O122" s="11">
        <f>IF(C122=1,Inputs!$B$12*G122*E122^2/($B$3^2*M122^4*N122^2),NA())</f>
        <v/>
      </c>
      <c r="P122" s="30">
        <f>P121+C122*E122/(1+F122/(1000*$B$11))*F122*$B$9/$B$3</f>
        <v/>
      </c>
      <c r="Q122" s="38">
        <f>C122*H122*(E122/60)^2*$B$9*60</f>
        <v/>
      </c>
    </row>
    <row r="123">
      <c r="A123" s="7" t="n">
        <v>63</v>
      </c>
      <c r="B123" s="30">
        <f>A123*$B$9</f>
        <v/>
      </c>
      <c r="C123" s="15">
        <f>IF(B123&lt;=$B$12+0.000000001,1,0)</f>
        <v/>
      </c>
      <c r="D123" s="15">
        <f>IF(C123=1,MATCH(B123-$B$9/2,$E$16:$E$35,1),0)</f>
        <v/>
      </c>
      <c r="E123" s="16">
        <f>IF(C123=1,INDEX($C$16:$C$35,D123),0)</f>
        <v/>
      </c>
      <c r="F123" s="15">
        <f>IF(C123=1,N(INDEX($D$16:$D$35,D123)),0)</f>
        <v/>
      </c>
      <c r="G123" s="30">
        <f>($B$10+F123)/(1+F123/(1000*$B$11))</f>
        <v/>
      </c>
      <c r="H123" s="30">
        <f>F123/(1+F123/(1000*$B$11))</f>
        <v/>
      </c>
      <c r="I123" s="37">
        <f>M122</f>
        <v/>
      </c>
      <c r="J123" s="37">
        <f>N122</f>
        <v/>
      </c>
      <c r="K123" s="16">
        <f>(E123/60)/($B$3*PI()/4*(I123/1000)^2)</f>
        <v/>
      </c>
      <c r="L123" s="23">
        <f>C123*$B$7*H123*K123^2*$B$9*60*1000</f>
        <v/>
      </c>
      <c r="M123" s="37">
        <f>I123+L123</f>
        <v/>
      </c>
      <c r="N123" s="37">
        <f>MIN($B$6,J123+C123*$B$8*H123*K123^2*(1-J123/$B$6)*$B$9*60)</f>
        <v/>
      </c>
      <c r="O123" s="11">
        <f>IF(C123=1,Inputs!$B$12*G123*E123^2/($B$3^2*M123^4*N123^2),NA())</f>
        <v/>
      </c>
      <c r="P123" s="30">
        <f>P122+C123*E123/(1+F123/(1000*$B$11))*F123*$B$9/$B$3</f>
        <v/>
      </c>
      <c r="Q123" s="38">
        <f>C123*H123*(E123/60)^2*$B$9*60</f>
        <v/>
      </c>
    </row>
    <row r="124">
      <c r="A124" s="7" t="n">
        <v>64</v>
      </c>
      <c r="B124" s="30">
        <f>A124*$B$9</f>
        <v/>
      </c>
      <c r="C124" s="15">
        <f>IF(B124&lt;=$B$12+0.000000001,1,0)</f>
        <v/>
      </c>
      <c r="D124" s="15">
        <f>IF(C124=1,MATCH(B124-$B$9/2,$E$16:$E$35,1),0)</f>
        <v/>
      </c>
      <c r="E124" s="16">
        <f>IF(C124=1,INDEX($C$16:$C$35,D124),0)</f>
        <v/>
      </c>
      <c r="F124" s="15">
        <f>IF(C124=1,N(INDEX($D$16:$D$35,D124)),0)</f>
        <v/>
      </c>
      <c r="G124" s="30">
        <f>($B$10+F124)/(1+F124/(1000*$B$11))</f>
        <v/>
      </c>
      <c r="H124" s="30">
        <f>F124/(1+F124/(1000*$B$11))</f>
        <v/>
      </c>
      <c r="I124" s="37">
        <f>M123</f>
        <v/>
      </c>
      <c r="J124" s="37">
        <f>N123</f>
        <v/>
      </c>
      <c r="K124" s="16">
        <f>(E124/60)/($B$3*PI()/4*(I124/1000)^2)</f>
        <v/>
      </c>
      <c r="L124" s="23">
        <f>C124*$B$7*H124*K124^2*$B$9*60*1000</f>
        <v/>
      </c>
      <c r="M124" s="37">
        <f>I124+L124</f>
        <v/>
      </c>
      <c r="N124" s="37">
        <f>MIN($B$6,J124+C124*$B$8*H124*K124^2*(1-J124/$B$6)*$B$9*60)</f>
        <v/>
      </c>
      <c r="O124" s="11">
        <f>IF(C124=1,Inputs!$B$12*G124*E124^2/($B$3^2*M124^4*N124^2),NA())</f>
        <v/>
      </c>
      <c r="P124" s="30">
        <f>P123+C124*E124/(1+F124/(1000*$B$11))*F124*$B$9/$B$3</f>
        <v/>
      </c>
      <c r="Q124" s="38">
        <f>C124*H124*(E124/60)^2*$B$9*60</f>
        <v/>
      </c>
    </row>
    <row r="125">
      <c r="A125" s="7" t="n">
        <v>65</v>
      </c>
      <c r="B125" s="30">
        <f>A125*$B$9</f>
        <v/>
      </c>
      <c r="C125" s="15">
        <f>IF(B125&lt;=$B$12+0.000000001,1,0)</f>
        <v/>
      </c>
      <c r="D125" s="15">
        <f>IF(C125=1,MATCH(B125-$B$9/2,$E$16:$E$35,1),0)</f>
        <v/>
      </c>
      <c r="E125" s="16">
        <f>IF(C125=1,INDEX($C$16:$C$35,D125),0)</f>
        <v/>
      </c>
      <c r="F125" s="15">
        <f>IF(C125=1,N(INDEX($D$16:$D$35,D125)),0)</f>
        <v/>
      </c>
      <c r="G125" s="30">
        <f>($B$10+F125)/(1+F125/(1000*$B$11))</f>
        <v/>
      </c>
      <c r="H125" s="30">
        <f>F125/(1+F125/(1000*$B$11))</f>
        <v/>
      </c>
      <c r="I125" s="37">
        <f>M124</f>
        <v/>
      </c>
      <c r="J125" s="37">
        <f>N124</f>
        <v/>
      </c>
      <c r="K125" s="16">
        <f>(E125/60)/($B$3*PI()/4*(I125/1000)^2)</f>
        <v/>
      </c>
      <c r="L125" s="23">
        <f>C125*$B$7*H125*K125^2*$B$9*60*1000</f>
        <v/>
      </c>
      <c r="M125" s="37">
        <f>I125+L125</f>
        <v/>
      </c>
      <c r="N125" s="37">
        <f>MIN($B$6,J125+C125*$B$8*H125*K125^2*(1-J125/$B$6)*$B$9*60)</f>
        <v/>
      </c>
      <c r="O125" s="11">
        <f>IF(C125=1,Inputs!$B$12*G125*E125^2/($B$3^2*M125^4*N125^2),NA())</f>
        <v/>
      </c>
      <c r="P125" s="30">
        <f>P124+C125*E125/(1+F125/(1000*$B$11))*F125*$B$9/$B$3</f>
        <v/>
      </c>
      <c r="Q125" s="38">
        <f>C125*H125*(E125/60)^2*$B$9*60</f>
        <v/>
      </c>
    </row>
    <row r="126">
      <c r="A126" s="7" t="n">
        <v>66</v>
      </c>
      <c r="B126" s="30">
        <f>A126*$B$9</f>
        <v/>
      </c>
      <c r="C126" s="15">
        <f>IF(B126&lt;=$B$12+0.000000001,1,0)</f>
        <v/>
      </c>
      <c r="D126" s="15">
        <f>IF(C126=1,MATCH(B126-$B$9/2,$E$16:$E$35,1),0)</f>
        <v/>
      </c>
      <c r="E126" s="16">
        <f>IF(C126=1,INDEX($C$16:$C$35,D126),0)</f>
        <v/>
      </c>
      <c r="F126" s="15">
        <f>IF(C126=1,N(INDEX($D$16:$D$35,D126)),0)</f>
        <v/>
      </c>
      <c r="G126" s="30">
        <f>($B$10+F126)/(1+F126/(1000*$B$11))</f>
        <v/>
      </c>
      <c r="H126" s="30">
        <f>F126/(1+F126/(1000*$B$11))</f>
        <v/>
      </c>
      <c r="I126" s="37">
        <f>M125</f>
        <v/>
      </c>
      <c r="J126" s="37">
        <f>N125</f>
        <v/>
      </c>
      <c r="K126" s="16">
        <f>(E126/60)/($B$3*PI()/4*(I126/1000)^2)</f>
        <v/>
      </c>
      <c r="L126" s="23">
        <f>C126*$B$7*H126*K126^2*$B$9*60*1000</f>
        <v/>
      </c>
      <c r="M126" s="37">
        <f>I126+L126</f>
        <v/>
      </c>
      <c r="N126" s="37">
        <f>MIN($B$6,J126+C126*$B$8*H126*K126^2*(1-J126/$B$6)*$B$9*60)</f>
        <v/>
      </c>
      <c r="O126" s="11">
        <f>IF(C126=1,Inputs!$B$12*G126*E126^2/($B$3^2*M126^4*N126^2),NA())</f>
        <v/>
      </c>
      <c r="P126" s="30">
        <f>P125+C126*E126/(1+F126/(1000*$B$11))*F126*$B$9/$B$3</f>
        <v/>
      </c>
      <c r="Q126" s="38">
        <f>C126*H126*(E126/60)^2*$B$9*60</f>
        <v/>
      </c>
    </row>
    <row r="127">
      <c r="A127" s="7" t="n">
        <v>67</v>
      </c>
      <c r="B127" s="30">
        <f>A127*$B$9</f>
        <v/>
      </c>
      <c r="C127" s="15">
        <f>IF(B127&lt;=$B$12+0.000000001,1,0)</f>
        <v/>
      </c>
      <c r="D127" s="15">
        <f>IF(C127=1,MATCH(B127-$B$9/2,$E$16:$E$35,1),0)</f>
        <v/>
      </c>
      <c r="E127" s="16">
        <f>IF(C127=1,INDEX($C$16:$C$35,D127),0)</f>
        <v/>
      </c>
      <c r="F127" s="15">
        <f>IF(C127=1,N(INDEX($D$16:$D$35,D127)),0)</f>
        <v/>
      </c>
      <c r="G127" s="30">
        <f>($B$10+F127)/(1+F127/(1000*$B$11))</f>
        <v/>
      </c>
      <c r="H127" s="30">
        <f>F127/(1+F127/(1000*$B$11))</f>
        <v/>
      </c>
      <c r="I127" s="37">
        <f>M126</f>
        <v/>
      </c>
      <c r="J127" s="37">
        <f>N126</f>
        <v/>
      </c>
      <c r="K127" s="16">
        <f>(E127/60)/($B$3*PI()/4*(I127/1000)^2)</f>
        <v/>
      </c>
      <c r="L127" s="23">
        <f>C127*$B$7*H127*K127^2*$B$9*60*1000</f>
        <v/>
      </c>
      <c r="M127" s="37">
        <f>I127+L127</f>
        <v/>
      </c>
      <c r="N127" s="37">
        <f>MIN($B$6,J127+C127*$B$8*H127*K127^2*(1-J127/$B$6)*$B$9*60)</f>
        <v/>
      </c>
      <c r="O127" s="11">
        <f>IF(C127=1,Inputs!$B$12*G127*E127^2/($B$3^2*M127^4*N127^2),NA())</f>
        <v/>
      </c>
      <c r="P127" s="30">
        <f>P126+C127*E127/(1+F127/(1000*$B$11))*F127*$B$9/$B$3</f>
        <v/>
      </c>
      <c r="Q127" s="38">
        <f>C127*H127*(E127/60)^2*$B$9*60</f>
        <v/>
      </c>
    </row>
    <row r="128">
      <c r="A128" s="7" t="n">
        <v>68</v>
      </c>
      <c r="B128" s="30">
        <f>A128*$B$9</f>
        <v/>
      </c>
      <c r="C128" s="15">
        <f>IF(B128&lt;=$B$12+0.000000001,1,0)</f>
        <v/>
      </c>
      <c r="D128" s="15">
        <f>IF(C128=1,MATCH(B128-$B$9/2,$E$16:$E$35,1),0)</f>
        <v/>
      </c>
      <c r="E128" s="16">
        <f>IF(C128=1,INDEX($C$16:$C$35,D128),0)</f>
        <v/>
      </c>
      <c r="F128" s="15">
        <f>IF(C128=1,N(INDEX($D$16:$D$35,D128)),0)</f>
        <v/>
      </c>
      <c r="G128" s="30">
        <f>($B$10+F128)/(1+F128/(1000*$B$11))</f>
        <v/>
      </c>
      <c r="H128" s="30">
        <f>F128/(1+F128/(1000*$B$11))</f>
        <v/>
      </c>
      <c r="I128" s="37">
        <f>M127</f>
        <v/>
      </c>
      <c r="J128" s="37">
        <f>N127</f>
        <v/>
      </c>
      <c r="K128" s="16">
        <f>(E128/60)/($B$3*PI()/4*(I128/1000)^2)</f>
        <v/>
      </c>
      <c r="L128" s="23">
        <f>C128*$B$7*H128*K128^2*$B$9*60*1000</f>
        <v/>
      </c>
      <c r="M128" s="37">
        <f>I128+L128</f>
        <v/>
      </c>
      <c r="N128" s="37">
        <f>MIN($B$6,J128+C128*$B$8*H128*K128^2*(1-J128/$B$6)*$B$9*60)</f>
        <v/>
      </c>
      <c r="O128" s="11">
        <f>IF(C128=1,Inputs!$B$12*G128*E128^2/($B$3^2*M128^4*N128^2),NA())</f>
        <v/>
      </c>
      <c r="P128" s="30">
        <f>P127+C128*E128/(1+F128/(1000*$B$11))*F128*$B$9/$B$3</f>
        <v/>
      </c>
      <c r="Q128" s="38">
        <f>C128*H128*(E128/60)^2*$B$9*60</f>
        <v/>
      </c>
    </row>
    <row r="129">
      <c r="A129" s="7" t="n">
        <v>69</v>
      </c>
      <c r="B129" s="30">
        <f>A129*$B$9</f>
        <v/>
      </c>
      <c r="C129" s="15">
        <f>IF(B129&lt;=$B$12+0.000000001,1,0)</f>
        <v/>
      </c>
      <c r="D129" s="15">
        <f>IF(C129=1,MATCH(B129-$B$9/2,$E$16:$E$35,1),0)</f>
        <v/>
      </c>
      <c r="E129" s="16">
        <f>IF(C129=1,INDEX($C$16:$C$35,D129),0)</f>
        <v/>
      </c>
      <c r="F129" s="15">
        <f>IF(C129=1,N(INDEX($D$16:$D$35,D129)),0)</f>
        <v/>
      </c>
      <c r="G129" s="30">
        <f>($B$10+F129)/(1+F129/(1000*$B$11))</f>
        <v/>
      </c>
      <c r="H129" s="30">
        <f>F129/(1+F129/(1000*$B$11))</f>
        <v/>
      </c>
      <c r="I129" s="37">
        <f>M128</f>
        <v/>
      </c>
      <c r="J129" s="37">
        <f>N128</f>
        <v/>
      </c>
      <c r="K129" s="16">
        <f>(E129/60)/($B$3*PI()/4*(I129/1000)^2)</f>
        <v/>
      </c>
      <c r="L129" s="23">
        <f>C129*$B$7*H129*K129^2*$B$9*60*1000</f>
        <v/>
      </c>
      <c r="M129" s="37">
        <f>I129+L129</f>
        <v/>
      </c>
      <c r="N129" s="37">
        <f>MIN($B$6,J129+C129*$B$8*H129*K129^2*(1-J129/$B$6)*$B$9*60)</f>
        <v/>
      </c>
      <c r="O129" s="11">
        <f>IF(C129=1,Inputs!$B$12*G129*E129^2/($B$3^2*M129^4*N129^2),NA())</f>
        <v/>
      </c>
      <c r="P129" s="30">
        <f>P128+C129*E129/(1+F129/(1000*$B$11))*F129*$B$9/$B$3</f>
        <v/>
      </c>
      <c r="Q129" s="38">
        <f>C129*H129*(E129/60)^2*$B$9*60</f>
        <v/>
      </c>
    </row>
    <row r="130">
      <c r="A130" s="7" t="n">
        <v>70</v>
      </c>
      <c r="B130" s="30">
        <f>A130*$B$9</f>
        <v/>
      </c>
      <c r="C130" s="15">
        <f>IF(B130&lt;=$B$12+0.000000001,1,0)</f>
        <v/>
      </c>
      <c r="D130" s="15">
        <f>IF(C130=1,MATCH(B130-$B$9/2,$E$16:$E$35,1),0)</f>
        <v/>
      </c>
      <c r="E130" s="16">
        <f>IF(C130=1,INDEX($C$16:$C$35,D130),0)</f>
        <v/>
      </c>
      <c r="F130" s="15">
        <f>IF(C130=1,N(INDEX($D$16:$D$35,D130)),0)</f>
        <v/>
      </c>
      <c r="G130" s="30">
        <f>($B$10+F130)/(1+F130/(1000*$B$11))</f>
        <v/>
      </c>
      <c r="H130" s="30">
        <f>F130/(1+F130/(1000*$B$11))</f>
        <v/>
      </c>
      <c r="I130" s="37">
        <f>M129</f>
        <v/>
      </c>
      <c r="J130" s="37">
        <f>N129</f>
        <v/>
      </c>
      <c r="K130" s="16">
        <f>(E130/60)/($B$3*PI()/4*(I130/1000)^2)</f>
        <v/>
      </c>
      <c r="L130" s="23">
        <f>C130*$B$7*H130*K130^2*$B$9*60*1000</f>
        <v/>
      </c>
      <c r="M130" s="37">
        <f>I130+L130</f>
        <v/>
      </c>
      <c r="N130" s="37">
        <f>MIN($B$6,J130+C130*$B$8*H130*K130^2*(1-J130/$B$6)*$B$9*60)</f>
        <v/>
      </c>
      <c r="O130" s="11">
        <f>IF(C130=1,Inputs!$B$12*G130*E130^2/($B$3^2*M130^4*N130^2),NA())</f>
        <v/>
      </c>
      <c r="P130" s="30">
        <f>P129+C130*E130/(1+F130/(1000*$B$11))*F130*$B$9/$B$3</f>
        <v/>
      </c>
      <c r="Q130" s="38">
        <f>C130*H130*(E130/60)^2*$B$9*60</f>
        <v/>
      </c>
    </row>
    <row r="131">
      <c r="A131" s="7" t="n">
        <v>71</v>
      </c>
      <c r="B131" s="30">
        <f>A131*$B$9</f>
        <v/>
      </c>
      <c r="C131" s="15">
        <f>IF(B131&lt;=$B$12+0.000000001,1,0)</f>
        <v/>
      </c>
      <c r="D131" s="15">
        <f>IF(C131=1,MATCH(B131-$B$9/2,$E$16:$E$35,1),0)</f>
        <v/>
      </c>
      <c r="E131" s="16">
        <f>IF(C131=1,INDEX($C$16:$C$35,D131),0)</f>
        <v/>
      </c>
      <c r="F131" s="15">
        <f>IF(C131=1,N(INDEX($D$16:$D$35,D131)),0)</f>
        <v/>
      </c>
      <c r="G131" s="30">
        <f>($B$10+F131)/(1+F131/(1000*$B$11))</f>
        <v/>
      </c>
      <c r="H131" s="30">
        <f>F131/(1+F131/(1000*$B$11))</f>
        <v/>
      </c>
      <c r="I131" s="37">
        <f>M130</f>
        <v/>
      </c>
      <c r="J131" s="37">
        <f>N130</f>
        <v/>
      </c>
      <c r="K131" s="16">
        <f>(E131/60)/($B$3*PI()/4*(I131/1000)^2)</f>
        <v/>
      </c>
      <c r="L131" s="23">
        <f>C131*$B$7*H131*K131^2*$B$9*60*1000</f>
        <v/>
      </c>
      <c r="M131" s="37">
        <f>I131+L131</f>
        <v/>
      </c>
      <c r="N131" s="37">
        <f>MIN($B$6,J131+C131*$B$8*H131*K131^2*(1-J131/$B$6)*$B$9*60)</f>
        <v/>
      </c>
      <c r="O131" s="11">
        <f>IF(C131=1,Inputs!$B$12*G131*E131^2/($B$3^2*M131^4*N131^2),NA())</f>
        <v/>
      </c>
      <c r="P131" s="30">
        <f>P130+C131*E131/(1+F131/(1000*$B$11))*F131*$B$9/$B$3</f>
        <v/>
      </c>
      <c r="Q131" s="38">
        <f>C131*H131*(E131/60)^2*$B$9*60</f>
        <v/>
      </c>
    </row>
    <row r="132">
      <c r="A132" s="7" t="n">
        <v>72</v>
      </c>
      <c r="B132" s="30">
        <f>A132*$B$9</f>
        <v/>
      </c>
      <c r="C132" s="15">
        <f>IF(B132&lt;=$B$12+0.000000001,1,0)</f>
        <v/>
      </c>
      <c r="D132" s="15">
        <f>IF(C132=1,MATCH(B132-$B$9/2,$E$16:$E$35,1),0)</f>
        <v/>
      </c>
      <c r="E132" s="16">
        <f>IF(C132=1,INDEX($C$16:$C$35,D132),0)</f>
        <v/>
      </c>
      <c r="F132" s="15">
        <f>IF(C132=1,N(INDEX($D$16:$D$35,D132)),0)</f>
        <v/>
      </c>
      <c r="G132" s="30">
        <f>($B$10+F132)/(1+F132/(1000*$B$11))</f>
        <v/>
      </c>
      <c r="H132" s="30">
        <f>F132/(1+F132/(1000*$B$11))</f>
        <v/>
      </c>
      <c r="I132" s="37">
        <f>M131</f>
        <v/>
      </c>
      <c r="J132" s="37">
        <f>N131</f>
        <v/>
      </c>
      <c r="K132" s="16">
        <f>(E132/60)/($B$3*PI()/4*(I132/1000)^2)</f>
        <v/>
      </c>
      <c r="L132" s="23">
        <f>C132*$B$7*H132*K132^2*$B$9*60*1000</f>
        <v/>
      </c>
      <c r="M132" s="37">
        <f>I132+L132</f>
        <v/>
      </c>
      <c r="N132" s="37">
        <f>MIN($B$6,J132+C132*$B$8*H132*K132^2*(1-J132/$B$6)*$B$9*60)</f>
        <v/>
      </c>
      <c r="O132" s="11">
        <f>IF(C132=1,Inputs!$B$12*G132*E132^2/($B$3^2*M132^4*N132^2),NA())</f>
        <v/>
      </c>
      <c r="P132" s="30">
        <f>P131+C132*E132/(1+F132/(1000*$B$11))*F132*$B$9/$B$3</f>
        <v/>
      </c>
      <c r="Q132" s="38">
        <f>C132*H132*(E132/60)^2*$B$9*60</f>
        <v/>
      </c>
    </row>
    <row r="133">
      <c r="A133" s="7" t="n">
        <v>73</v>
      </c>
      <c r="B133" s="30">
        <f>A133*$B$9</f>
        <v/>
      </c>
      <c r="C133" s="15">
        <f>IF(B133&lt;=$B$12+0.000000001,1,0)</f>
        <v/>
      </c>
      <c r="D133" s="15">
        <f>IF(C133=1,MATCH(B133-$B$9/2,$E$16:$E$35,1),0)</f>
        <v/>
      </c>
      <c r="E133" s="16">
        <f>IF(C133=1,INDEX($C$16:$C$35,D133),0)</f>
        <v/>
      </c>
      <c r="F133" s="15">
        <f>IF(C133=1,N(INDEX($D$16:$D$35,D133)),0)</f>
        <v/>
      </c>
      <c r="G133" s="30">
        <f>($B$10+F133)/(1+F133/(1000*$B$11))</f>
        <v/>
      </c>
      <c r="H133" s="30">
        <f>F133/(1+F133/(1000*$B$11))</f>
        <v/>
      </c>
      <c r="I133" s="37">
        <f>M132</f>
        <v/>
      </c>
      <c r="J133" s="37">
        <f>N132</f>
        <v/>
      </c>
      <c r="K133" s="16">
        <f>(E133/60)/($B$3*PI()/4*(I133/1000)^2)</f>
        <v/>
      </c>
      <c r="L133" s="23">
        <f>C133*$B$7*H133*K133^2*$B$9*60*1000</f>
        <v/>
      </c>
      <c r="M133" s="37">
        <f>I133+L133</f>
        <v/>
      </c>
      <c r="N133" s="37">
        <f>MIN($B$6,J133+C133*$B$8*H133*K133^2*(1-J133/$B$6)*$B$9*60)</f>
        <v/>
      </c>
      <c r="O133" s="11">
        <f>IF(C133=1,Inputs!$B$12*G133*E133^2/($B$3^2*M133^4*N133^2),NA())</f>
        <v/>
      </c>
      <c r="P133" s="30">
        <f>P132+C133*E133/(1+F133/(1000*$B$11))*F133*$B$9/$B$3</f>
        <v/>
      </c>
      <c r="Q133" s="38">
        <f>C133*H133*(E133/60)^2*$B$9*60</f>
        <v/>
      </c>
    </row>
    <row r="134">
      <c r="A134" s="7" t="n">
        <v>74</v>
      </c>
      <c r="B134" s="30">
        <f>A134*$B$9</f>
        <v/>
      </c>
      <c r="C134" s="15">
        <f>IF(B134&lt;=$B$12+0.000000001,1,0)</f>
        <v/>
      </c>
      <c r="D134" s="15">
        <f>IF(C134=1,MATCH(B134-$B$9/2,$E$16:$E$35,1),0)</f>
        <v/>
      </c>
      <c r="E134" s="16">
        <f>IF(C134=1,INDEX($C$16:$C$35,D134),0)</f>
        <v/>
      </c>
      <c r="F134" s="15">
        <f>IF(C134=1,N(INDEX($D$16:$D$35,D134)),0)</f>
        <v/>
      </c>
      <c r="G134" s="30">
        <f>($B$10+F134)/(1+F134/(1000*$B$11))</f>
        <v/>
      </c>
      <c r="H134" s="30">
        <f>F134/(1+F134/(1000*$B$11))</f>
        <v/>
      </c>
      <c r="I134" s="37">
        <f>M133</f>
        <v/>
      </c>
      <c r="J134" s="37">
        <f>N133</f>
        <v/>
      </c>
      <c r="K134" s="16">
        <f>(E134/60)/($B$3*PI()/4*(I134/1000)^2)</f>
        <v/>
      </c>
      <c r="L134" s="23">
        <f>C134*$B$7*H134*K134^2*$B$9*60*1000</f>
        <v/>
      </c>
      <c r="M134" s="37">
        <f>I134+L134</f>
        <v/>
      </c>
      <c r="N134" s="37">
        <f>MIN($B$6,J134+C134*$B$8*H134*K134^2*(1-J134/$B$6)*$B$9*60)</f>
        <v/>
      </c>
      <c r="O134" s="11">
        <f>IF(C134=1,Inputs!$B$12*G134*E134^2/($B$3^2*M134^4*N134^2),NA())</f>
        <v/>
      </c>
      <c r="P134" s="30">
        <f>P133+C134*E134/(1+F134/(1000*$B$11))*F134*$B$9/$B$3</f>
        <v/>
      </c>
      <c r="Q134" s="38">
        <f>C134*H134*(E134/60)^2*$B$9*60</f>
        <v/>
      </c>
    </row>
    <row r="135">
      <c r="A135" s="7" t="n">
        <v>75</v>
      </c>
      <c r="B135" s="30">
        <f>A135*$B$9</f>
        <v/>
      </c>
      <c r="C135" s="15">
        <f>IF(B135&lt;=$B$12+0.000000001,1,0)</f>
        <v/>
      </c>
      <c r="D135" s="15">
        <f>IF(C135=1,MATCH(B135-$B$9/2,$E$16:$E$35,1),0)</f>
        <v/>
      </c>
      <c r="E135" s="16">
        <f>IF(C135=1,INDEX($C$16:$C$35,D135),0)</f>
        <v/>
      </c>
      <c r="F135" s="15">
        <f>IF(C135=1,N(INDEX($D$16:$D$35,D135)),0)</f>
        <v/>
      </c>
      <c r="G135" s="30">
        <f>($B$10+F135)/(1+F135/(1000*$B$11))</f>
        <v/>
      </c>
      <c r="H135" s="30">
        <f>F135/(1+F135/(1000*$B$11))</f>
        <v/>
      </c>
      <c r="I135" s="37">
        <f>M134</f>
        <v/>
      </c>
      <c r="J135" s="37">
        <f>N134</f>
        <v/>
      </c>
      <c r="K135" s="16">
        <f>(E135/60)/($B$3*PI()/4*(I135/1000)^2)</f>
        <v/>
      </c>
      <c r="L135" s="23">
        <f>C135*$B$7*H135*K135^2*$B$9*60*1000</f>
        <v/>
      </c>
      <c r="M135" s="37">
        <f>I135+L135</f>
        <v/>
      </c>
      <c r="N135" s="37">
        <f>MIN($B$6,J135+C135*$B$8*H135*K135^2*(1-J135/$B$6)*$B$9*60)</f>
        <v/>
      </c>
      <c r="O135" s="11">
        <f>IF(C135=1,Inputs!$B$12*G135*E135^2/($B$3^2*M135^4*N135^2),NA())</f>
        <v/>
      </c>
      <c r="P135" s="30">
        <f>P134+C135*E135/(1+F135/(1000*$B$11))*F135*$B$9/$B$3</f>
        <v/>
      </c>
      <c r="Q135" s="38">
        <f>C135*H135*(E135/60)^2*$B$9*60</f>
        <v/>
      </c>
    </row>
    <row r="136">
      <c r="A136" s="7" t="n">
        <v>76</v>
      </c>
      <c r="B136" s="30">
        <f>A136*$B$9</f>
        <v/>
      </c>
      <c r="C136" s="15">
        <f>IF(B136&lt;=$B$12+0.000000001,1,0)</f>
        <v/>
      </c>
      <c r="D136" s="15">
        <f>IF(C136=1,MATCH(B136-$B$9/2,$E$16:$E$35,1),0)</f>
        <v/>
      </c>
      <c r="E136" s="16">
        <f>IF(C136=1,INDEX($C$16:$C$35,D136),0)</f>
        <v/>
      </c>
      <c r="F136" s="15">
        <f>IF(C136=1,N(INDEX($D$16:$D$35,D136)),0)</f>
        <v/>
      </c>
      <c r="G136" s="30">
        <f>($B$10+F136)/(1+F136/(1000*$B$11))</f>
        <v/>
      </c>
      <c r="H136" s="30">
        <f>F136/(1+F136/(1000*$B$11))</f>
        <v/>
      </c>
      <c r="I136" s="37">
        <f>M135</f>
        <v/>
      </c>
      <c r="J136" s="37">
        <f>N135</f>
        <v/>
      </c>
      <c r="K136" s="16">
        <f>(E136/60)/($B$3*PI()/4*(I136/1000)^2)</f>
        <v/>
      </c>
      <c r="L136" s="23">
        <f>C136*$B$7*H136*K136^2*$B$9*60*1000</f>
        <v/>
      </c>
      <c r="M136" s="37">
        <f>I136+L136</f>
        <v/>
      </c>
      <c r="N136" s="37">
        <f>MIN($B$6,J136+C136*$B$8*H136*K136^2*(1-J136/$B$6)*$B$9*60)</f>
        <v/>
      </c>
      <c r="O136" s="11">
        <f>IF(C136=1,Inputs!$B$12*G136*E136^2/($B$3^2*M136^4*N136^2),NA())</f>
        <v/>
      </c>
      <c r="P136" s="30">
        <f>P135+C136*E136/(1+F136/(1000*$B$11))*F136*$B$9/$B$3</f>
        <v/>
      </c>
      <c r="Q136" s="38">
        <f>C136*H136*(E136/60)^2*$B$9*60</f>
        <v/>
      </c>
    </row>
    <row r="137">
      <c r="A137" s="7" t="n">
        <v>77</v>
      </c>
      <c r="B137" s="30">
        <f>A137*$B$9</f>
        <v/>
      </c>
      <c r="C137" s="15">
        <f>IF(B137&lt;=$B$12+0.000000001,1,0)</f>
        <v/>
      </c>
      <c r="D137" s="15">
        <f>IF(C137=1,MATCH(B137-$B$9/2,$E$16:$E$35,1),0)</f>
        <v/>
      </c>
      <c r="E137" s="16">
        <f>IF(C137=1,INDEX($C$16:$C$35,D137),0)</f>
        <v/>
      </c>
      <c r="F137" s="15">
        <f>IF(C137=1,N(INDEX($D$16:$D$35,D137)),0)</f>
        <v/>
      </c>
      <c r="G137" s="30">
        <f>($B$10+F137)/(1+F137/(1000*$B$11))</f>
        <v/>
      </c>
      <c r="H137" s="30">
        <f>F137/(1+F137/(1000*$B$11))</f>
        <v/>
      </c>
      <c r="I137" s="37">
        <f>M136</f>
        <v/>
      </c>
      <c r="J137" s="37">
        <f>N136</f>
        <v/>
      </c>
      <c r="K137" s="16">
        <f>(E137/60)/($B$3*PI()/4*(I137/1000)^2)</f>
        <v/>
      </c>
      <c r="L137" s="23">
        <f>C137*$B$7*H137*K137^2*$B$9*60*1000</f>
        <v/>
      </c>
      <c r="M137" s="37">
        <f>I137+L137</f>
        <v/>
      </c>
      <c r="N137" s="37">
        <f>MIN($B$6,J137+C137*$B$8*H137*K137^2*(1-J137/$B$6)*$B$9*60)</f>
        <v/>
      </c>
      <c r="O137" s="11">
        <f>IF(C137=1,Inputs!$B$12*G137*E137^2/($B$3^2*M137^4*N137^2),NA())</f>
        <v/>
      </c>
      <c r="P137" s="30">
        <f>P136+C137*E137/(1+F137/(1000*$B$11))*F137*$B$9/$B$3</f>
        <v/>
      </c>
      <c r="Q137" s="38">
        <f>C137*H137*(E137/60)^2*$B$9*60</f>
        <v/>
      </c>
    </row>
    <row r="138">
      <c r="A138" s="7" t="n">
        <v>78</v>
      </c>
      <c r="B138" s="30">
        <f>A138*$B$9</f>
        <v/>
      </c>
      <c r="C138" s="15">
        <f>IF(B138&lt;=$B$12+0.000000001,1,0)</f>
        <v/>
      </c>
      <c r="D138" s="15">
        <f>IF(C138=1,MATCH(B138-$B$9/2,$E$16:$E$35,1),0)</f>
        <v/>
      </c>
      <c r="E138" s="16">
        <f>IF(C138=1,INDEX($C$16:$C$35,D138),0)</f>
        <v/>
      </c>
      <c r="F138" s="15">
        <f>IF(C138=1,N(INDEX($D$16:$D$35,D138)),0)</f>
        <v/>
      </c>
      <c r="G138" s="30">
        <f>($B$10+F138)/(1+F138/(1000*$B$11))</f>
        <v/>
      </c>
      <c r="H138" s="30">
        <f>F138/(1+F138/(1000*$B$11))</f>
        <v/>
      </c>
      <c r="I138" s="37">
        <f>M137</f>
        <v/>
      </c>
      <c r="J138" s="37">
        <f>N137</f>
        <v/>
      </c>
      <c r="K138" s="16">
        <f>(E138/60)/($B$3*PI()/4*(I138/1000)^2)</f>
        <v/>
      </c>
      <c r="L138" s="23">
        <f>C138*$B$7*H138*K138^2*$B$9*60*1000</f>
        <v/>
      </c>
      <c r="M138" s="37">
        <f>I138+L138</f>
        <v/>
      </c>
      <c r="N138" s="37">
        <f>MIN($B$6,J138+C138*$B$8*H138*K138^2*(1-J138/$B$6)*$B$9*60)</f>
        <v/>
      </c>
      <c r="O138" s="11">
        <f>IF(C138=1,Inputs!$B$12*G138*E138^2/($B$3^2*M138^4*N138^2),NA())</f>
        <v/>
      </c>
      <c r="P138" s="30">
        <f>P137+C138*E138/(1+F138/(1000*$B$11))*F138*$B$9/$B$3</f>
        <v/>
      </c>
      <c r="Q138" s="38">
        <f>C138*H138*(E138/60)^2*$B$9*60</f>
        <v/>
      </c>
    </row>
    <row r="139">
      <c r="A139" s="7" t="n">
        <v>79</v>
      </c>
      <c r="B139" s="30">
        <f>A139*$B$9</f>
        <v/>
      </c>
      <c r="C139" s="15">
        <f>IF(B139&lt;=$B$12+0.000000001,1,0)</f>
        <v/>
      </c>
      <c r="D139" s="15">
        <f>IF(C139=1,MATCH(B139-$B$9/2,$E$16:$E$35,1),0)</f>
        <v/>
      </c>
      <c r="E139" s="16">
        <f>IF(C139=1,INDEX($C$16:$C$35,D139),0)</f>
        <v/>
      </c>
      <c r="F139" s="15">
        <f>IF(C139=1,N(INDEX($D$16:$D$35,D139)),0)</f>
        <v/>
      </c>
      <c r="G139" s="30">
        <f>($B$10+F139)/(1+F139/(1000*$B$11))</f>
        <v/>
      </c>
      <c r="H139" s="30">
        <f>F139/(1+F139/(1000*$B$11))</f>
        <v/>
      </c>
      <c r="I139" s="37">
        <f>M138</f>
        <v/>
      </c>
      <c r="J139" s="37">
        <f>N138</f>
        <v/>
      </c>
      <c r="K139" s="16">
        <f>(E139/60)/($B$3*PI()/4*(I139/1000)^2)</f>
        <v/>
      </c>
      <c r="L139" s="23">
        <f>C139*$B$7*H139*K139^2*$B$9*60*1000</f>
        <v/>
      </c>
      <c r="M139" s="37">
        <f>I139+L139</f>
        <v/>
      </c>
      <c r="N139" s="37">
        <f>MIN($B$6,J139+C139*$B$8*H139*K139^2*(1-J139/$B$6)*$B$9*60)</f>
        <v/>
      </c>
      <c r="O139" s="11">
        <f>IF(C139=1,Inputs!$B$12*G139*E139^2/($B$3^2*M139^4*N139^2),NA())</f>
        <v/>
      </c>
      <c r="P139" s="30">
        <f>P138+C139*E139/(1+F139/(1000*$B$11))*F139*$B$9/$B$3</f>
        <v/>
      </c>
      <c r="Q139" s="38">
        <f>C139*H139*(E139/60)^2*$B$9*60</f>
        <v/>
      </c>
    </row>
    <row r="140">
      <c r="A140" s="7" t="n">
        <v>80</v>
      </c>
      <c r="B140" s="30">
        <f>A140*$B$9</f>
        <v/>
      </c>
      <c r="C140" s="15">
        <f>IF(B140&lt;=$B$12+0.000000001,1,0)</f>
        <v/>
      </c>
      <c r="D140" s="15">
        <f>IF(C140=1,MATCH(B140-$B$9/2,$E$16:$E$35,1),0)</f>
        <v/>
      </c>
      <c r="E140" s="16">
        <f>IF(C140=1,INDEX($C$16:$C$35,D140),0)</f>
        <v/>
      </c>
      <c r="F140" s="15">
        <f>IF(C140=1,N(INDEX($D$16:$D$35,D140)),0)</f>
        <v/>
      </c>
      <c r="G140" s="30">
        <f>($B$10+F140)/(1+F140/(1000*$B$11))</f>
        <v/>
      </c>
      <c r="H140" s="30">
        <f>F140/(1+F140/(1000*$B$11))</f>
        <v/>
      </c>
      <c r="I140" s="37">
        <f>M139</f>
        <v/>
      </c>
      <c r="J140" s="37">
        <f>N139</f>
        <v/>
      </c>
      <c r="K140" s="16">
        <f>(E140/60)/($B$3*PI()/4*(I140/1000)^2)</f>
        <v/>
      </c>
      <c r="L140" s="23">
        <f>C140*$B$7*H140*K140^2*$B$9*60*1000</f>
        <v/>
      </c>
      <c r="M140" s="37">
        <f>I140+L140</f>
        <v/>
      </c>
      <c r="N140" s="37">
        <f>MIN($B$6,J140+C140*$B$8*H140*K140^2*(1-J140/$B$6)*$B$9*60)</f>
        <v/>
      </c>
      <c r="O140" s="11">
        <f>IF(C140=1,Inputs!$B$12*G140*E140^2/($B$3^2*M140^4*N140^2),NA())</f>
        <v/>
      </c>
      <c r="P140" s="30">
        <f>P139+C140*E140/(1+F140/(1000*$B$11))*F140*$B$9/$B$3</f>
        <v/>
      </c>
      <c r="Q140" s="38">
        <f>C140*H140*(E140/60)^2*$B$9*60</f>
        <v/>
      </c>
    </row>
    <row r="141">
      <c r="A141" s="7" t="n">
        <v>81</v>
      </c>
      <c r="B141" s="30">
        <f>A141*$B$9</f>
        <v/>
      </c>
      <c r="C141" s="15">
        <f>IF(B141&lt;=$B$12+0.000000001,1,0)</f>
        <v/>
      </c>
      <c r="D141" s="15">
        <f>IF(C141=1,MATCH(B141-$B$9/2,$E$16:$E$35,1),0)</f>
        <v/>
      </c>
      <c r="E141" s="16">
        <f>IF(C141=1,INDEX($C$16:$C$35,D141),0)</f>
        <v/>
      </c>
      <c r="F141" s="15">
        <f>IF(C141=1,N(INDEX($D$16:$D$35,D141)),0)</f>
        <v/>
      </c>
      <c r="G141" s="30">
        <f>($B$10+F141)/(1+F141/(1000*$B$11))</f>
        <v/>
      </c>
      <c r="H141" s="30">
        <f>F141/(1+F141/(1000*$B$11))</f>
        <v/>
      </c>
      <c r="I141" s="37">
        <f>M140</f>
        <v/>
      </c>
      <c r="J141" s="37">
        <f>N140</f>
        <v/>
      </c>
      <c r="K141" s="16">
        <f>(E141/60)/($B$3*PI()/4*(I141/1000)^2)</f>
        <v/>
      </c>
      <c r="L141" s="23">
        <f>C141*$B$7*H141*K141^2*$B$9*60*1000</f>
        <v/>
      </c>
      <c r="M141" s="37">
        <f>I141+L141</f>
        <v/>
      </c>
      <c r="N141" s="37">
        <f>MIN($B$6,J141+C141*$B$8*H141*K141^2*(1-J141/$B$6)*$B$9*60)</f>
        <v/>
      </c>
      <c r="O141" s="11">
        <f>IF(C141=1,Inputs!$B$12*G141*E141^2/($B$3^2*M141^4*N141^2),NA())</f>
        <v/>
      </c>
      <c r="P141" s="30">
        <f>P140+C141*E141/(1+F141/(1000*$B$11))*F141*$B$9/$B$3</f>
        <v/>
      </c>
      <c r="Q141" s="38">
        <f>C141*H141*(E141/60)^2*$B$9*60</f>
        <v/>
      </c>
    </row>
    <row r="142">
      <c r="A142" s="7" t="n">
        <v>82</v>
      </c>
      <c r="B142" s="30">
        <f>A142*$B$9</f>
        <v/>
      </c>
      <c r="C142" s="15">
        <f>IF(B142&lt;=$B$12+0.000000001,1,0)</f>
        <v/>
      </c>
      <c r="D142" s="15">
        <f>IF(C142=1,MATCH(B142-$B$9/2,$E$16:$E$35,1),0)</f>
        <v/>
      </c>
      <c r="E142" s="16">
        <f>IF(C142=1,INDEX($C$16:$C$35,D142),0)</f>
        <v/>
      </c>
      <c r="F142" s="15">
        <f>IF(C142=1,N(INDEX($D$16:$D$35,D142)),0)</f>
        <v/>
      </c>
      <c r="G142" s="30">
        <f>($B$10+F142)/(1+F142/(1000*$B$11))</f>
        <v/>
      </c>
      <c r="H142" s="30">
        <f>F142/(1+F142/(1000*$B$11))</f>
        <v/>
      </c>
      <c r="I142" s="37">
        <f>M141</f>
        <v/>
      </c>
      <c r="J142" s="37">
        <f>N141</f>
        <v/>
      </c>
      <c r="K142" s="16">
        <f>(E142/60)/($B$3*PI()/4*(I142/1000)^2)</f>
        <v/>
      </c>
      <c r="L142" s="23">
        <f>C142*$B$7*H142*K142^2*$B$9*60*1000</f>
        <v/>
      </c>
      <c r="M142" s="37">
        <f>I142+L142</f>
        <v/>
      </c>
      <c r="N142" s="37">
        <f>MIN($B$6,J142+C142*$B$8*H142*K142^2*(1-J142/$B$6)*$B$9*60)</f>
        <v/>
      </c>
      <c r="O142" s="11">
        <f>IF(C142=1,Inputs!$B$12*G142*E142^2/($B$3^2*M142^4*N142^2),NA())</f>
        <v/>
      </c>
      <c r="P142" s="30">
        <f>P141+C142*E142/(1+F142/(1000*$B$11))*F142*$B$9/$B$3</f>
        <v/>
      </c>
      <c r="Q142" s="38">
        <f>C142*H142*(E142/60)^2*$B$9*60</f>
        <v/>
      </c>
    </row>
    <row r="143">
      <c r="A143" s="7" t="n">
        <v>83</v>
      </c>
      <c r="B143" s="30">
        <f>A143*$B$9</f>
        <v/>
      </c>
      <c r="C143" s="15">
        <f>IF(B143&lt;=$B$12+0.000000001,1,0)</f>
        <v/>
      </c>
      <c r="D143" s="15">
        <f>IF(C143=1,MATCH(B143-$B$9/2,$E$16:$E$35,1),0)</f>
        <v/>
      </c>
      <c r="E143" s="16">
        <f>IF(C143=1,INDEX($C$16:$C$35,D143),0)</f>
        <v/>
      </c>
      <c r="F143" s="15">
        <f>IF(C143=1,N(INDEX($D$16:$D$35,D143)),0)</f>
        <v/>
      </c>
      <c r="G143" s="30">
        <f>($B$10+F143)/(1+F143/(1000*$B$11))</f>
        <v/>
      </c>
      <c r="H143" s="30">
        <f>F143/(1+F143/(1000*$B$11))</f>
        <v/>
      </c>
      <c r="I143" s="37">
        <f>M142</f>
        <v/>
      </c>
      <c r="J143" s="37">
        <f>N142</f>
        <v/>
      </c>
      <c r="K143" s="16">
        <f>(E143/60)/($B$3*PI()/4*(I143/1000)^2)</f>
        <v/>
      </c>
      <c r="L143" s="23">
        <f>C143*$B$7*H143*K143^2*$B$9*60*1000</f>
        <v/>
      </c>
      <c r="M143" s="37">
        <f>I143+L143</f>
        <v/>
      </c>
      <c r="N143" s="37">
        <f>MIN($B$6,J143+C143*$B$8*H143*K143^2*(1-J143/$B$6)*$B$9*60)</f>
        <v/>
      </c>
      <c r="O143" s="11">
        <f>IF(C143=1,Inputs!$B$12*G143*E143^2/($B$3^2*M143^4*N143^2),NA())</f>
        <v/>
      </c>
      <c r="P143" s="30">
        <f>P142+C143*E143/(1+F143/(1000*$B$11))*F143*$B$9/$B$3</f>
        <v/>
      </c>
      <c r="Q143" s="38">
        <f>C143*H143*(E143/60)^2*$B$9*60</f>
        <v/>
      </c>
    </row>
    <row r="144">
      <c r="A144" s="7" t="n">
        <v>84</v>
      </c>
      <c r="B144" s="30">
        <f>A144*$B$9</f>
        <v/>
      </c>
      <c r="C144" s="15">
        <f>IF(B144&lt;=$B$12+0.000000001,1,0)</f>
        <v/>
      </c>
      <c r="D144" s="15">
        <f>IF(C144=1,MATCH(B144-$B$9/2,$E$16:$E$35,1),0)</f>
        <v/>
      </c>
      <c r="E144" s="16">
        <f>IF(C144=1,INDEX($C$16:$C$35,D144),0)</f>
        <v/>
      </c>
      <c r="F144" s="15">
        <f>IF(C144=1,N(INDEX($D$16:$D$35,D144)),0)</f>
        <v/>
      </c>
      <c r="G144" s="30">
        <f>($B$10+F144)/(1+F144/(1000*$B$11))</f>
        <v/>
      </c>
      <c r="H144" s="30">
        <f>F144/(1+F144/(1000*$B$11))</f>
        <v/>
      </c>
      <c r="I144" s="37">
        <f>M143</f>
        <v/>
      </c>
      <c r="J144" s="37">
        <f>N143</f>
        <v/>
      </c>
      <c r="K144" s="16">
        <f>(E144/60)/($B$3*PI()/4*(I144/1000)^2)</f>
        <v/>
      </c>
      <c r="L144" s="23">
        <f>C144*$B$7*H144*K144^2*$B$9*60*1000</f>
        <v/>
      </c>
      <c r="M144" s="37">
        <f>I144+L144</f>
        <v/>
      </c>
      <c r="N144" s="37">
        <f>MIN($B$6,J144+C144*$B$8*H144*K144^2*(1-J144/$B$6)*$B$9*60)</f>
        <v/>
      </c>
      <c r="O144" s="11">
        <f>IF(C144=1,Inputs!$B$12*G144*E144^2/($B$3^2*M144^4*N144^2),NA())</f>
        <v/>
      </c>
      <c r="P144" s="30">
        <f>P143+C144*E144/(1+F144/(1000*$B$11))*F144*$B$9/$B$3</f>
        <v/>
      </c>
      <c r="Q144" s="38">
        <f>C144*H144*(E144/60)^2*$B$9*60</f>
        <v/>
      </c>
    </row>
    <row r="145">
      <c r="A145" s="7" t="n">
        <v>85</v>
      </c>
      <c r="B145" s="30">
        <f>A145*$B$9</f>
        <v/>
      </c>
      <c r="C145" s="15">
        <f>IF(B145&lt;=$B$12+0.000000001,1,0)</f>
        <v/>
      </c>
      <c r="D145" s="15">
        <f>IF(C145=1,MATCH(B145-$B$9/2,$E$16:$E$35,1),0)</f>
        <v/>
      </c>
      <c r="E145" s="16">
        <f>IF(C145=1,INDEX($C$16:$C$35,D145),0)</f>
        <v/>
      </c>
      <c r="F145" s="15">
        <f>IF(C145=1,N(INDEX($D$16:$D$35,D145)),0)</f>
        <v/>
      </c>
      <c r="G145" s="30">
        <f>($B$10+F145)/(1+F145/(1000*$B$11))</f>
        <v/>
      </c>
      <c r="H145" s="30">
        <f>F145/(1+F145/(1000*$B$11))</f>
        <v/>
      </c>
      <c r="I145" s="37">
        <f>M144</f>
        <v/>
      </c>
      <c r="J145" s="37">
        <f>N144</f>
        <v/>
      </c>
      <c r="K145" s="16">
        <f>(E145/60)/($B$3*PI()/4*(I145/1000)^2)</f>
        <v/>
      </c>
      <c r="L145" s="23">
        <f>C145*$B$7*H145*K145^2*$B$9*60*1000</f>
        <v/>
      </c>
      <c r="M145" s="37">
        <f>I145+L145</f>
        <v/>
      </c>
      <c r="N145" s="37">
        <f>MIN($B$6,J145+C145*$B$8*H145*K145^2*(1-J145/$B$6)*$B$9*60)</f>
        <v/>
      </c>
      <c r="O145" s="11">
        <f>IF(C145=1,Inputs!$B$12*G145*E145^2/($B$3^2*M145^4*N145^2),NA())</f>
        <v/>
      </c>
      <c r="P145" s="30">
        <f>P144+C145*E145/(1+F145/(1000*$B$11))*F145*$B$9/$B$3</f>
        <v/>
      </c>
      <c r="Q145" s="38">
        <f>C145*H145*(E145/60)^2*$B$9*60</f>
        <v/>
      </c>
    </row>
    <row r="146">
      <c r="A146" s="7" t="n">
        <v>86</v>
      </c>
      <c r="B146" s="30">
        <f>A146*$B$9</f>
        <v/>
      </c>
      <c r="C146" s="15">
        <f>IF(B146&lt;=$B$12+0.000000001,1,0)</f>
        <v/>
      </c>
      <c r="D146" s="15">
        <f>IF(C146=1,MATCH(B146-$B$9/2,$E$16:$E$35,1),0)</f>
        <v/>
      </c>
      <c r="E146" s="16">
        <f>IF(C146=1,INDEX($C$16:$C$35,D146),0)</f>
        <v/>
      </c>
      <c r="F146" s="15">
        <f>IF(C146=1,N(INDEX($D$16:$D$35,D146)),0)</f>
        <v/>
      </c>
      <c r="G146" s="30">
        <f>($B$10+F146)/(1+F146/(1000*$B$11))</f>
        <v/>
      </c>
      <c r="H146" s="30">
        <f>F146/(1+F146/(1000*$B$11))</f>
        <v/>
      </c>
      <c r="I146" s="37">
        <f>M145</f>
        <v/>
      </c>
      <c r="J146" s="37">
        <f>N145</f>
        <v/>
      </c>
      <c r="K146" s="16">
        <f>(E146/60)/($B$3*PI()/4*(I146/1000)^2)</f>
        <v/>
      </c>
      <c r="L146" s="23">
        <f>C146*$B$7*H146*K146^2*$B$9*60*1000</f>
        <v/>
      </c>
      <c r="M146" s="37">
        <f>I146+L146</f>
        <v/>
      </c>
      <c r="N146" s="37">
        <f>MIN($B$6,J146+C146*$B$8*H146*K146^2*(1-J146/$B$6)*$B$9*60)</f>
        <v/>
      </c>
      <c r="O146" s="11">
        <f>IF(C146=1,Inputs!$B$12*G146*E146^2/($B$3^2*M146^4*N146^2),NA())</f>
        <v/>
      </c>
      <c r="P146" s="30">
        <f>P145+C146*E146/(1+F146/(1000*$B$11))*F146*$B$9/$B$3</f>
        <v/>
      </c>
      <c r="Q146" s="38">
        <f>C146*H146*(E146/60)^2*$B$9*60</f>
        <v/>
      </c>
    </row>
    <row r="147">
      <c r="A147" s="7" t="n">
        <v>87</v>
      </c>
      <c r="B147" s="30">
        <f>A147*$B$9</f>
        <v/>
      </c>
      <c r="C147" s="15">
        <f>IF(B147&lt;=$B$12+0.000000001,1,0)</f>
        <v/>
      </c>
      <c r="D147" s="15">
        <f>IF(C147=1,MATCH(B147-$B$9/2,$E$16:$E$35,1),0)</f>
        <v/>
      </c>
      <c r="E147" s="16">
        <f>IF(C147=1,INDEX($C$16:$C$35,D147),0)</f>
        <v/>
      </c>
      <c r="F147" s="15">
        <f>IF(C147=1,N(INDEX($D$16:$D$35,D147)),0)</f>
        <v/>
      </c>
      <c r="G147" s="30">
        <f>($B$10+F147)/(1+F147/(1000*$B$11))</f>
        <v/>
      </c>
      <c r="H147" s="30">
        <f>F147/(1+F147/(1000*$B$11))</f>
        <v/>
      </c>
      <c r="I147" s="37">
        <f>M146</f>
        <v/>
      </c>
      <c r="J147" s="37">
        <f>N146</f>
        <v/>
      </c>
      <c r="K147" s="16">
        <f>(E147/60)/($B$3*PI()/4*(I147/1000)^2)</f>
        <v/>
      </c>
      <c r="L147" s="23">
        <f>C147*$B$7*H147*K147^2*$B$9*60*1000</f>
        <v/>
      </c>
      <c r="M147" s="37">
        <f>I147+L147</f>
        <v/>
      </c>
      <c r="N147" s="37">
        <f>MIN($B$6,J147+C147*$B$8*H147*K147^2*(1-J147/$B$6)*$B$9*60)</f>
        <v/>
      </c>
      <c r="O147" s="11">
        <f>IF(C147=1,Inputs!$B$12*G147*E147^2/($B$3^2*M147^4*N147^2),NA())</f>
        <v/>
      </c>
      <c r="P147" s="30">
        <f>P146+C147*E147/(1+F147/(1000*$B$11))*F147*$B$9/$B$3</f>
        <v/>
      </c>
      <c r="Q147" s="38">
        <f>C147*H147*(E147/60)^2*$B$9*60</f>
        <v/>
      </c>
    </row>
    <row r="148">
      <c r="A148" s="7" t="n">
        <v>88</v>
      </c>
      <c r="B148" s="30">
        <f>A148*$B$9</f>
        <v/>
      </c>
      <c r="C148" s="15">
        <f>IF(B148&lt;=$B$12+0.000000001,1,0)</f>
        <v/>
      </c>
      <c r="D148" s="15">
        <f>IF(C148=1,MATCH(B148-$B$9/2,$E$16:$E$35,1),0)</f>
        <v/>
      </c>
      <c r="E148" s="16">
        <f>IF(C148=1,INDEX($C$16:$C$35,D148),0)</f>
        <v/>
      </c>
      <c r="F148" s="15">
        <f>IF(C148=1,N(INDEX($D$16:$D$35,D148)),0)</f>
        <v/>
      </c>
      <c r="G148" s="30">
        <f>($B$10+F148)/(1+F148/(1000*$B$11))</f>
        <v/>
      </c>
      <c r="H148" s="30">
        <f>F148/(1+F148/(1000*$B$11))</f>
        <v/>
      </c>
      <c r="I148" s="37">
        <f>M147</f>
        <v/>
      </c>
      <c r="J148" s="37">
        <f>N147</f>
        <v/>
      </c>
      <c r="K148" s="16">
        <f>(E148/60)/($B$3*PI()/4*(I148/1000)^2)</f>
        <v/>
      </c>
      <c r="L148" s="23">
        <f>C148*$B$7*H148*K148^2*$B$9*60*1000</f>
        <v/>
      </c>
      <c r="M148" s="37">
        <f>I148+L148</f>
        <v/>
      </c>
      <c r="N148" s="37">
        <f>MIN($B$6,J148+C148*$B$8*H148*K148^2*(1-J148/$B$6)*$B$9*60)</f>
        <v/>
      </c>
      <c r="O148" s="11">
        <f>IF(C148=1,Inputs!$B$12*G148*E148^2/($B$3^2*M148^4*N148^2),NA())</f>
        <v/>
      </c>
      <c r="P148" s="30">
        <f>P147+C148*E148/(1+F148/(1000*$B$11))*F148*$B$9/$B$3</f>
        <v/>
      </c>
      <c r="Q148" s="38">
        <f>C148*H148*(E148/60)^2*$B$9*60</f>
        <v/>
      </c>
    </row>
    <row r="149">
      <c r="A149" s="7" t="n">
        <v>89</v>
      </c>
      <c r="B149" s="30">
        <f>A149*$B$9</f>
        <v/>
      </c>
      <c r="C149" s="15">
        <f>IF(B149&lt;=$B$12+0.000000001,1,0)</f>
        <v/>
      </c>
      <c r="D149" s="15">
        <f>IF(C149=1,MATCH(B149-$B$9/2,$E$16:$E$35,1),0)</f>
        <v/>
      </c>
      <c r="E149" s="16">
        <f>IF(C149=1,INDEX($C$16:$C$35,D149),0)</f>
        <v/>
      </c>
      <c r="F149" s="15">
        <f>IF(C149=1,N(INDEX($D$16:$D$35,D149)),0)</f>
        <v/>
      </c>
      <c r="G149" s="30">
        <f>($B$10+F149)/(1+F149/(1000*$B$11))</f>
        <v/>
      </c>
      <c r="H149" s="30">
        <f>F149/(1+F149/(1000*$B$11))</f>
        <v/>
      </c>
      <c r="I149" s="37">
        <f>M148</f>
        <v/>
      </c>
      <c r="J149" s="37">
        <f>N148</f>
        <v/>
      </c>
      <c r="K149" s="16">
        <f>(E149/60)/($B$3*PI()/4*(I149/1000)^2)</f>
        <v/>
      </c>
      <c r="L149" s="23">
        <f>C149*$B$7*H149*K149^2*$B$9*60*1000</f>
        <v/>
      </c>
      <c r="M149" s="37">
        <f>I149+L149</f>
        <v/>
      </c>
      <c r="N149" s="37">
        <f>MIN($B$6,J149+C149*$B$8*H149*K149^2*(1-J149/$B$6)*$B$9*60)</f>
        <v/>
      </c>
      <c r="O149" s="11">
        <f>IF(C149=1,Inputs!$B$12*G149*E149^2/($B$3^2*M149^4*N149^2),NA())</f>
        <v/>
      </c>
      <c r="P149" s="30">
        <f>P148+C149*E149/(1+F149/(1000*$B$11))*F149*$B$9/$B$3</f>
        <v/>
      </c>
      <c r="Q149" s="38">
        <f>C149*H149*(E149/60)^2*$B$9*60</f>
        <v/>
      </c>
    </row>
    <row r="150">
      <c r="A150" s="7" t="n">
        <v>90</v>
      </c>
      <c r="B150" s="30">
        <f>A150*$B$9</f>
        <v/>
      </c>
      <c r="C150" s="15">
        <f>IF(B150&lt;=$B$12+0.000000001,1,0)</f>
        <v/>
      </c>
      <c r="D150" s="15">
        <f>IF(C150=1,MATCH(B150-$B$9/2,$E$16:$E$35,1),0)</f>
        <v/>
      </c>
      <c r="E150" s="16">
        <f>IF(C150=1,INDEX($C$16:$C$35,D150),0)</f>
        <v/>
      </c>
      <c r="F150" s="15">
        <f>IF(C150=1,N(INDEX($D$16:$D$35,D150)),0)</f>
        <v/>
      </c>
      <c r="G150" s="30">
        <f>($B$10+F150)/(1+F150/(1000*$B$11))</f>
        <v/>
      </c>
      <c r="H150" s="30">
        <f>F150/(1+F150/(1000*$B$11))</f>
        <v/>
      </c>
      <c r="I150" s="37">
        <f>M149</f>
        <v/>
      </c>
      <c r="J150" s="37">
        <f>N149</f>
        <v/>
      </c>
      <c r="K150" s="16">
        <f>(E150/60)/($B$3*PI()/4*(I150/1000)^2)</f>
        <v/>
      </c>
      <c r="L150" s="23">
        <f>C150*$B$7*H150*K150^2*$B$9*60*1000</f>
        <v/>
      </c>
      <c r="M150" s="37">
        <f>I150+L150</f>
        <v/>
      </c>
      <c r="N150" s="37">
        <f>MIN($B$6,J150+C150*$B$8*H150*K150^2*(1-J150/$B$6)*$B$9*60)</f>
        <v/>
      </c>
      <c r="O150" s="11">
        <f>IF(C150=1,Inputs!$B$12*G150*E150^2/($B$3^2*M150^4*N150^2),NA())</f>
        <v/>
      </c>
      <c r="P150" s="30">
        <f>P149+C150*E150/(1+F150/(1000*$B$11))*F150*$B$9/$B$3</f>
        <v/>
      </c>
      <c r="Q150" s="38">
        <f>C150*H150*(E150/60)^2*$B$9*60</f>
        <v/>
      </c>
    </row>
    <row r="151">
      <c r="A151" s="7" t="n">
        <v>91</v>
      </c>
      <c r="B151" s="30">
        <f>A151*$B$9</f>
        <v/>
      </c>
      <c r="C151" s="15">
        <f>IF(B151&lt;=$B$12+0.000000001,1,0)</f>
        <v/>
      </c>
      <c r="D151" s="15">
        <f>IF(C151=1,MATCH(B151-$B$9/2,$E$16:$E$35,1),0)</f>
        <v/>
      </c>
      <c r="E151" s="16">
        <f>IF(C151=1,INDEX($C$16:$C$35,D151),0)</f>
        <v/>
      </c>
      <c r="F151" s="15">
        <f>IF(C151=1,N(INDEX($D$16:$D$35,D151)),0)</f>
        <v/>
      </c>
      <c r="G151" s="30">
        <f>($B$10+F151)/(1+F151/(1000*$B$11))</f>
        <v/>
      </c>
      <c r="H151" s="30">
        <f>F151/(1+F151/(1000*$B$11))</f>
        <v/>
      </c>
      <c r="I151" s="37">
        <f>M150</f>
        <v/>
      </c>
      <c r="J151" s="37">
        <f>N150</f>
        <v/>
      </c>
      <c r="K151" s="16">
        <f>(E151/60)/($B$3*PI()/4*(I151/1000)^2)</f>
        <v/>
      </c>
      <c r="L151" s="23">
        <f>C151*$B$7*H151*K151^2*$B$9*60*1000</f>
        <v/>
      </c>
      <c r="M151" s="37">
        <f>I151+L151</f>
        <v/>
      </c>
      <c r="N151" s="37">
        <f>MIN($B$6,J151+C151*$B$8*H151*K151^2*(1-J151/$B$6)*$B$9*60)</f>
        <v/>
      </c>
      <c r="O151" s="11">
        <f>IF(C151=1,Inputs!$B$12*G151*E151^2/($B$3^2*M151^4*N151^2),NA())</f>
        <v/>
      </c>
      <c r="P151" s="30">
        <f>P150+C151*E151/(1+F151/(1000*$B$11))*F151*$B$9/$B$3</f>
        <v/>
      </c>
      <c r="Q151" s="38">
        <f>C151*H151*(E151/60)^2*$B$9*60</f>
        <v/>
      </c>
    </row>
    <row r="152">
      <c r="A152" s="7" t="n">
        <v>92</v>
      </c>
      <c r="B152" s="30">
        <f>A152*$B$9</f>
        <v/>
      </c>
      <c r="C152" s="15">
        <f>IF(B152&lt;=$B$12+0.000000001,1,0)</f>
        <v/>
      </c>
      <c r="D152" s="15">
        <f>IF(C152=1,MATCH(B152-$B$9/2,$E$16:$E$35,1),0)</f>
        <v/>
      </c>
      <c r="E152" s="16">
        <f>IF(C152=1,INDEX($C$16:$C$35,D152),0)</f>
        <v/>
      </c>
      <c r="F152" s="15">
        <f>IF(C152=1,N(INDEX($D$16:$D$35,D152)),0)</f>
        <v/>
      </c>
      <c r="G152" s="30">
        <f>($B$10+F152)/(1+F152/(1000*$B$11))</f>
        <v/>
      </c>
      <c r="H152" s="30">
        <f>F152/(1+F152/(1000*$B$11))</f>
        <v/>
      </c>
      <c r="I152" s="37">
        <f>M151</f>
        <v/>
      </c>
      <c r="J152" s="37">
        <f>N151</f>
        <v/>
      </c>
      <c r="K152" s="16">
        <f>(E152/60)/($B$3*PI()/4*(I152/1000)^2)</f>
        <v/>
      </c>
      <c r="L152" s="23">
        <f>C152*$B$7*H152*K152^2*$B$9*60*1000</f>
        <v/>
      </c>
      <c r="M152" s="37">
        <f>I152+L152</f>
        <v/>
      </c>
      <c r="N152" s="37">
        <f>MIN($B$6,J152+C152*$B$8*H152*K152^2*(1-J152/$B$6)*$B$9*60)</f>
        <v/>
      </c>
      <c r="O152" s="11">
        <f>IF(C152=1,Inputs!$B$12*G152*E152^2/($B$3^2*M152^4*N152^2),NA())</f>
        <v/>
      </c>
      <c r="P152" s="30">
        <f>P151+C152*E152/(1+F152/(1000*$B$11))*F152*$B$9/$B$3</f>
        <v/>
      </c>
      <c r="Q152" s="38">
        <f>C152*H152*(E152/60)^2*$B$9*60</f>
        <v/>
      </c>
    </row>
    <row r="153">
      <c r="A153" s="7" t="n">
        <v>93</v>
      </c>
      <c r="B153" s="30">
        <f>A153*$B$9</f>
        <v/>
      </c>
      <c r="C153" s="15">
        <f>IF(B153&lt;=$B$12+0.000000001,1,0)</f>
        <v/>
      </c>
      <c r="D153" s="15">
        <f>IF(C153=1,MATCH(B153-$B$9/2,$E$16:$E$35,1),0)</f>
        <v/>
      </c>
      <c r="E153" s="16">
        <f>IF(C153=1,INDEX($C$16:$C$35,D153),0)</f>
        <v/>
      </c>
      <c r="F153" s="15">
        <f>IF(C153=1,N(INDEX($D$16:$D$35,D153)),0)</f>
        <v/>
      </c>
      <c r="G153" s="30">
        <f>($B$10+F153)/(1+F153/(1000*$B$11))</f>
        <v/>
      </c>
      <c r="H153" s="30">
        <f>F153/(1+F153/(1000*$B$11))</f>
        <v/>
      </c>
      <c r="I153" s="37">
        <f>M152</f>
        <v/>
      </c>
      <c r="J153" s="37">
        <f>N152</f>
        <v/>
      </c>
      <c r="K153" s="16">
        <f>(E153/60)/($B$3*PI()/4*(I153/1000)^2)</f>
        <v/>
      </c>
      <c r="L153" s="23">
        <f>C153*$B$7*H153*K153^2*$B$9*60*1000</f>
        <v/>
      </c>
      <c r="M153" s="37">
        <f>I153+L153</f>
        <v/>
      </c>
      <c r="N153" s="37">
        <f>MIN($B$6,J153+C153*$B$8*H153*K153^2*(1-J153/$B$6)*$B$9*60)</f>
        <v/>
      </c>
      <c r="O153" s="11">
        <f>IF(C153=1,Inputs!$B$12*G153*E153^2/($B$3^2*M153^4*N153^2),NA())</f>
        <v/>
      </c>
      <c r="P153" s="30">
        <f>P152+C153*E153/(1+F153/(1000*$B$11))*F153*$B$9/$B$3</f>
        <v/>
      </c>
      <c r="Q153" s="38">
        <f>C153*H153*(E153/60)^2*$B$9*60</f>
        <v/>
      </c>
    </row>
    <row r="154">
      <c r="A154" s="7" t="n">
        <v>94</v>
      </c>
      <c r="B154" s="30">
        <f>A154*$B$9</f>
        <v/>
      </c>
      <c r="C154" s="15">
        <f>IF(B154&lt;=$B$12+0.000000001,1,0)</f>
        <v/>
      </c>
      <c r="D154" s="15">
        <f>IF(C154=1,MATCH(B154-$B$9/2,$E$16:$E$35,1),0)</f>
        <v/>
      </c>
      <c r="E154" s="16">
        <f>IF(C154=1,INDEX($C$16:$C$35,D154),0)</f>
        <v/>
      </c>
      <c r="F154" s="15">
        <f>IF(C154=1,N(INDEX($D$16:$D$35,D154)),0)</f>
        <v/>
      </c>
      <c r="G154" s="30">
        <f>($B$10+F154)/(1+F154/(1000*$B$11))</f>
        <v/>
      </c>
      <c r="H154" s="30">
        <f>F154/(1+F154/(1000*$B$11))</f>
        <v/>
      </c>
      <c r="I154" s="37">
        <f>M153</f>
        <v/>
      </c>
      <c r="J154" s="37">
        <f>N153</f>
        <v/>
      </c>
      <c r="K154" s="16">
        <f>(E154/60)/($B$3*PI()/4*(I154/1000)^2)</f>
        <v/>
      </c>
      <c r="L154" s="23">
        <f>C154*$B$7*H154*K154^2*$B$9*60*1000</f>
        <v/>
      </c>
      <c r="M154" s="37">
        <f>I154+L154</f>
        <v/>
      </c>
      <c r="N154" s="37">
        <f>MIN($B$6,J154+C154*$B$8*H154*K154^2*(1-J154/$B$6)*$B$9*60)</f>
        <v/>
      </c>
      <c r="O154" s="11">
        <f>IF(C154=1,Inputs!$B$12*G154*E154^2/($B$3^2*M154^4*N154^2),NA())</f>
        <v/>
      </c>
      <c r="P154" s="30">
        <f>P153+C154*E154/(1+F154/(1000*$B$11))*F154*$B$9/$B$3</f>
        <v/>
      </c>
      <c r="Q154" s="38">
        <f>C154*H154*(E154/60)^2*$B$9*60</f>
        <v/>
      </c>
    </row>
    <row r="155">
      <c r="A155" s="7" t="n">
        <v>95</v>
      </c>
      <c r="B155" s="30">
        <f>A155*$B$9</f>
        <v/>
      </c>
      <c r="C155" s="15">
        <f>IF(B155&lt;=$B$12+0.000000001,1,0)</f>
        <v/>
      </c>
      <c r="D155" s="15">
        <f>IF(C155=1,MATCH(B155-$B$9/2,$E$16:$E$35,1),0)</f>
        <v/>
      </c>
      <c r="E155" s="16">
        <f>IF(C155=1,INDEX($C$16:$C$35,D155),0)</f>
        <v/>
      </c>
      <c r="F155" s="15">
        <f>IF(C155=1,N(INDEX($D$16:$D$35,D155)),0)</f>
        <v/>
      </c>
      <c r="G155" s="30">
        <f>($B$10+F155)/(1+F155/(1000*$B$11))</f>
        <v/>
      </c>
      <c r="H155" s="30">
        <f>F155/(1+F155/(1000*$B$11))</f>
        <v/>
      </c>
      <c r="I155" s="37">
        <f>M154</f>
        <v/>
      </c>
      <c r="J155" s="37">
        <f>N154</f>
        <v/>
      </c>
      <c r="K155" s="16">
        <f>(E155/60)/($B$3*PI()/4*(I155/1000)^2)</f>
        <v/>
      </c>
      <c r="L155" s="23">
        <f>C155*$B$7*H155*K155^2*$B$9*60*1000</f>
        <v/>
      </c>
      <c r="M155" s="37">
        <f>I155+L155</f>
        <v/>
      </c>
      <c r="N155" s="37">
        <f>MIN($B$6,J155+C155*$B$8*H155*K155^2*(1-J155/$B$6)*$B$9*60)</f>
        <v/>
      </c>
      <c r="O155" s="11">
        <f>IF(C155=1,Inputs!$B$12*G155*E155^2/($B$3^2*M155^4*N155^2),NA())</f>
        <v/>
      </c>
      <c r="P155" s="30">
        <f>P154+C155*E155/(1+F155/(1000*$B$11))*F155*$B$9/$B$3</f>
        <v/>
      </c>
      <c r="Q155" s="38">
        <f>C155*H155*(E155/60)^2*$B$9*60</f>
        <v/>
      </c>
    </row>
    <row r="156">
      <c r="A156" s="7" t="n">
        <v>96</v>
      </c>
      <c r="B156" s="30">
        <f>A156*$B$9</f>
        <v/>
      </c>
      <c r="C156" s="15">
        <f>IF(B156&lt;=$B$12+0.000000001,1,0)</f>
        <v/>
      </c>
      <c r="D156" s="15">
        <f>IF(C156=1,MATCH(B156-$B$9/2,$E$16:$E$35,1),0)</f>
        <v/>
      </c>
      <c r="E156" s="16">
        <f>IF(C156=1,INDEX($C$16:$C$35,D156),0)</f>
        <v/>
      </c>
      <c r="F156" s="15">
        <f>IF(C156=1,N(INDEX($D$16:$D$35,D156)),0)</f>
        <v/>
      </c>
      <c r="G156" s="30">
        <f>($B$10+F156)/(1+F156/(1000*$B$11))</f>
        <v/>
      </c>
      <c r="H156" s="30">
        <f>F156/(1+F156/(1000*$B$11))</f>
        <v/>
      </c>
      <c r="I156" s="37">
        <f>M155</f>
        <v/>
      </c>
      <c r="J156" s="37">
        <f>N155</f>
        <v/>
      </c>
      <c r="K156" s="16">
        <f>(E156/60)/($B$3*PI()/4*(I156/1000)^2)</f>
        <v/>
      </c>
      <c r="L156" s="23">
        <f>C156*$B$7*H156*K156^2*$B$9*60*1000</f>
        <v/>
      </c>
      <c r="M156" s="37">
        <f>I156+L156</f>
        <v/>
      </c>
      <c r="N156" s="37">
        <f>MIN($B$6,J156+C156*$B$8*H156*K156^2*(1-J156/$B$6)*$B$9*60)</f>
        <v/>
      </c>
      <c r="O156" s="11">
        <f>IF(C156=1,Inputs!$B$12*G156*E156^2/($B$3^2*M156^4*N156^2),NA())</f>
        <v/>
      </c>
      <c r="P156" s="30">
        <f>P155+C156*E156/(1+F156/(1000*$B$11))*F156*$B$9/$B$3</f>
        <v/>
      </c>
      <c r="Q156" s="38">
        <f>C156*H156*(E156/60)^2*$B$9*60</f>
        <v/>
      </c>
    </row>
    <row r="157">
      <c r="A157" s="7" t="n">
        <v>97</v>
      </c>
      <c r="B157" s="30">
        <f>A157*$B$9</f>
        <v/>
      </c>
      <c r="C157" s="15">
        <f>IF(B157&lt;=$B$12+0.000000001,1,0)</f>
        <v/>
      </c>
      <c r="D157" s="15">
        <f>IF(C157=1,MATCH(B157-$B$9/2,$E$16:$E$35,1),0)</f>
        <v/>
      </c>
      <c r="E157" s="16">
        <f>IF(C157=1,INDEX($C$16:$C$35,D157),0)</f>
        <v/>
      </c>
      <c r="F157" s="15">
        <f>IF(C157=1,N(INDEX($D$16:$D$35,D157)),0)</f>
        <v/>
      </c>
      <c r="G157" s="30">
        <f>($B$10+F157)/(1+F157/(1000*$B$11))</f>
        <v/>
      </c>
      <c r="H157" s="30">
        <f>F157/(1+F157/(1000*$B$11))</f>
        <v/>
      </c>
      <c r="I157" s="37">
        <f>M156</f>
        <v/>
      </c>
      <c r="J157" s="37">
        <f>N156</f>
        <v/>
      </c>
      <c r="K157" s="16">
        <f>(E157/60)/($B$3*PI()/4*(I157/1000)^2)</f>
        <v/>
      </c>
      <c r="L157" s="23">
        <f>C157*$B$7*H157*K157^2*$B$9*60*1000</f>
        <v/>
      </c>
      <c r="M157" s="37">
        <f>I157+L157</f>
        <v/>
      </c>
      <c r="N157" s="37">
        <f>MIN($B$6,J157+C157*$B$8*H157*K157^2*(1-J157/$B$6)*$B$9*60)</f>
        <v/>
      </c>
      <c r="O157" s="11">
        <f>IF(C157=1,Inputs!$B$12*G157*E157^2/($B$3^2*M157^4*N157^2),NA())</f>
        <v/>
      </c>
      <c r="P157" s="30">
        <f>P156+C157*E157/(1+F157/(1000*$B$11))*F157*$B$9/$B$3</f>
        <v/>
      </c>
      <c r="Q157" s="38">
        <f>C157*H157*(E157/60)^2*$B$9*60</f>
        <v/>
      </c>
    </row>
    <row r="158">
      <c r="A158" s="7" t="n">
        <v>98</v>
      </c>
      <c r="B158" s="30">
        <f>A158*$B$9</f>
        <v/>
      </c>
      <c r="C158" s="15">
        <f>IF(B158&lt;=$B$12+0.000000001,1,0)</f>
        <v/>
      </c>
      <c r="D158" s="15">
        <f>IF(C158=1,MATCH(B158-$B$9/2,$E$16:$E$35,1),0)</f>
        <v/>
      </c>
      <c r="E158" s="16">
        <f>IF(C158=1,INDEX($C$16:$C$35,D158),0)</f>
        <v/>
      </c>
      <c r="F158" s="15">
        <f>IF(C158=1,N(INDEX($D$16:$D$35,D158)),0)</f>
        <v/>
      </c>
      <c r="G158" s="30">
        <f>($B$10+F158)/(1+F158/(1000*$B$11))</f>
        <v/>
      </c>
      <c r="H158" s="30">
        <f>F158/(1+F158/(1000*$B$11))</f>
        <v/>
      </c>
      <c r="I158" s="37">
        <f>M157</f>
        <v/>
      </c>
      <c r="J158" s="37">
        <f>N157</f>
        <v/>
      </c>
      <c r="K158" s="16">
        <f>(E158/60)/($B$3*PI()/4*(I158/1000)^2)</f>
        <v/>
      </c>
      <c r="L158" s="23">
        <f>C158*$B$7*H158*K158^2*$B$9*60*1000</f>
        <v/>
      </c>
      <c r="M158" s="37">
        <f>I158+L158</f>
        <v/>
      </c>
      <c r="N158" s="37">
        <f>MIN($B$6,J158+C158*$B$8*H158*K158^2*(1-J158/$B$6)*$B$9*60)</f>
        <v/>
      </c>
      <c r="O158" s="11">
        <f>IF(C158=1,Inputs!$B$12*G158*E158^2/($B$3^2*M158^4*N158^2),NA())</f>
        <v/>
      </c>
      <c r="P158" s="30">
        <f>P157+C158*E158/(1+F158/(1000*$B$11))*F158*$B$9/$B$3</f>
        <v/>
      </c>
      <c r="Q158" s="38">
        <f>C158*H158*(E158/60)^2*$B$9*60</f>
        <v/>
      </c>
    </row>
    <row r="159">
      <c r="A159" s="7" t="n">
        <v>99</v>
      </c>
      <c r="B159" s="30">
        <f>A159*$B$9</f>
        <v/>
      </c>
      <c r="C159" s="15">
        <f>IF(B159&lt;=$B$12+0.000000001,1,0)</f>
        <v/>
      </c>
      <c r="D159" s="15">
        <f>IF(C159=1,MATCH(B159-$B$9/2,$E$16:$E$35,1),0)</f>
        <v/>
      </c>
      <c r="E159" s="16">
        <f>IF(C159=1,INDEX($C$16:$C$35,D159),0)</f>
        <v/>
      </c>
      <c r="F159" s="15">
        <f>IF(C159=1,N(INDEX($D$16:$D$35,D159)),0)</f>
        <v/>
      </c>
      <c r="G159" s="30">
        <f>($B$10+F159)/(1+F159/(1000*$B$11))</f>
        <v/>
      </c>
      <c r="H159" s="30">
        <f>F159/(1+F159/(1000*$B$11))</f>
        <v/>
      </c>
      <c r="I159" s="37">
        <f>M158</f>
        <v/>
      </c>
      <c r="J159" s="37">
        <f>N158</f>
        <v/>
      </c>
      <c r="K159" s="16">
        <f>(E159/60)/($B$3*PI()/4*(I159/1000)^2)</f>
        <v/>
      </c>
      <c r="L159" s="23">
        <f>C159*$B$7*H159*K159^2*$B$9*60*1000</f>
        <v/>
      </c>
      <c r="M159" s="37">
        <f>I159+L159</f>
        <v/>
      </c>
      <c r="N159" s="37">
        <f>MIN($B$6,J159+C159*$B$8*H159*K159^2*(1-J159/$B$6)*$B$9*60)</f>
        <v/>
      </c>
      <c r="O159" s="11">
        <f>IF(C159=1,Inputs!$B$12*G159*E159^2/($B$3^2*M159^4*N159^2),NA())</f>
        <v/>
      </c>
      <c r="P159" s="30">
        <f>P158+C159*E159/(1+F159/(1000*$B$11))*F159*$B$9/$B$3</f>
        <v/>
      </c>
      <c r="Q159" s="38">
        <f>C159*H159*(E159/60)^2*$B$9*60</f>
        <v/>
      </c>
    </row>
    <row r="160">
      <c r="A160" s="7" t="n">
        <v>100</v>
      </c>
      <c r="B160" s="30">
        <f>A160*$B$9</f>
        <v/>
      </c>
      <c r="C160" s="15">
        <f>IF(B160&lt;=$B$12+0.000000001,1,0)</f>
        <v/>
      </c>
      <c r="D160" s="15">
        <f>IF(C160=1,MATCH(B160-$B$9/2,$E$16:$E$35,1),0)</f>
        <v/>
      </c>
      <c r="E160" s="16">
        <f>IF(C160=1,INDEX($C$16:$C$35,D160),0)</f>
        <v/>
      </c>
      <c r="F160" s="15">
        <f>IF(C160=1,N(INDEX($D$16:$D$35,D160)),0)</f>
        <v/>
      </c>
      <c r="G160" s="30">
        <f>($B$10+F160)/(1+F160/(1000*$B$11))</f>
        <v/>
      </c>
      <c r="H160" s="30">
        <f>F160/(1+F160/(1000*$B$11))</f>
        <v/>
      </c>
      <c r="I160" s="37">
        <f>M159</f>
        <v/>
      </c>
      <c r="J160" s="37">
        <f>N159</f>
        <v/>
      </c>
      <c r="K160" s="16">
        <f>(E160/60)/($B$3*PI()/4*(I160/1000)^2)</f>
        <v/>
      </c>
      <c r="L160" s="23">
        <f>C160*$B$7*H160*K160^2*$B$9*60*1000</f>
        <v/>
      </c>
      <c r="M160" s="37">
        <f>I160+L160</f>
        <v/>
      </c>
      <c r="N160" s="37">
        <f>MIN($B$6,J160+C160*$B$8*H160*K160^2*(1-J160/$B$6)*$B$9*60)</f>
        <v/>
      </c>
      <c r="O160" s="11">
        <f>IF(C160=1,Inputs!$B$12*G160*E160^2/($B$3^2*M160^4*N160^2),NA())</f>
        <v/>
      </c>
      <c r="P160" s="30">
        <f>P159+C160*E160/(1+F160/(1000*$B$11))*F160*$B$9/$B$3</f>
        <v/>
      </c>
      <c r="Q160" s="38">
        <f>C160*H160*(E160/60)^2*$B$9*60</f>
        <v/>
      </c>
    </row>
    <row r="161">
      <c r="A161" s="7" t="n">
        <v>101</v>
      </c>
      <c r="B161" s="30">
        <f>A161*$B$9</f>
        <v/>
      </c>
      <c r="C161" s="15">
        <f>IF(B161&lt;=$B$12+0.000000001,1,0)</f>
        <v/>
      </c>
      <c r="D161" s="15">
        <f>IF(C161=1,MATCH(B161-$B$9/2,$E$16:$E$35,1),0)</f>
        <v/>
      </c>
      <c r="E161" s="16">
        <f>IF(C161=1,INDEX($C$16:$C$35,D161),0)</f>
        <v/>
      </c>
      <c r="F161" s="15">
        <f>IF(C161=1,N(INDEX($D$16:$D$35,D161)),0)</f>
        <v/>
      </c>
      <c r="G161" s="30">
        <f>($B$10+F161)/(1+F161/(1000*$B$11))</f>
        <v/>
      </c>
      <c r="H161" s="30">
        <f>F161/(1+F161/(1000*$B$11))</f>
        <v/>
      </c>
      <c r="I161" s="37">
        <f>M160</f>
        <v/>
      </c>
      <c r="J161" s="37">
        <f>N160</f>
        <v/>
      </c>
      <c r="K161" s="16">
        <f>(E161/60)/($B$3*PI()/4*(I161/1000)^2)</f>
        <v/>
      </c>
      <c r="L161" s="23">
        <f>C161*$B$7*H161*K161^2*$B$9*60*1000</f>
        <v/>
      </c>
      <c r="M161" s="37">
        <f>I161+L161</f>
        <v/>
      </c>
      <c r="N161" s="37">
        <f>MIN($B$6,J161+C161*$B$8*H161*K161^2*(1-J161/$B$6)*$B$9*60)</f>
        <v/>
      </c>
      <c r="O161" s="11">
        <f>IF(C161=1,Inputs!$B$12*G161*E161^2/($B$3^2*M161^4*N161^2),NA())</f>
        <v/>
      </c>
      <c r="P161" s="30">
        <f>P160+C161*E161/(1+F161/(1000*$B$11))*F161*$B$9/$B$3</f>
        <v/>
      </c>
      <c r="Q161" s="38">
        <f>C161*H161*(E161/60)^2*$B$9*60</f>
        <v/>
      </c>
    </row>
    <row r="162">
      <c r="A162" s="7" t="n">
        <v>102</v>
      </c>
      <c r="B162" s="30">
        <f>A162*$B$9</f>
        <v/>
      </c>
      <c r="C162" s="15">
        <f>IF(B162&lt;=$B$12+0.000000001,1,0)</f>
        <v/>
      </c>
      <c r="D162" s="15">
        <f>IF(C162=1,MATCH(B162-$B$9/2,$E$16:$E$35,1),0)</f>
        <v/>
      </c>
      <c r="E162" s="16">
        <f>IF(C162=1,INDEX($C$16:$C$35,D162),0)</f>
        <v/>
      </c>
      <c r="F162" s="15">
        <f>IF(C162=1,N(INDEX($D$16:$D$35,D162)),0)</f>
        <v/>
      </c>
      <c r="G162" s="30">
        <f>($B$10+F162)/(1+F162/(1000*$B$11))</f>
        <v/>
      </c>
      <c r="H162" s="30">
        <f>F162/(1+F162/(1000*$B$11))</f>
        <v/>
      </c>
      <c r="I162" s="37">
        <f>M161</f>
        <v/>
      </c>
      <c r="J162" s="37">
        <f>N161</f>
        <v/>
      </c>
      <c r="K162" s="16">
        <f>(E162/60)/($B$3*PI()/4*(I162/1000)^2)</f>
        <v/>
      </c>
      <c r="L162" s="23">
        <f>C162*$B$7*H162*K162^2*$B$9*60*1000</f>
        <v/>
      </c>
      <c r="M162" s="37">
        <f>I162+L162</f>
        <v/>
      </c>
      <c r="N162" s="37">
        <f>MIN($B$6,J162+C162*$B$8*H162*K162^2*(1-J162/$B$6)*$B$9*60)</f>
        <v/>
      </c>
      <c r="O162" s="11">
        <f>IF(C162=1,Inputs!$B$12*G162*E162^2/($B$3^2*M162^4*N162^2),NA())</f>
        <v/>
      </c>
      <c r="P162" s="30">
        <f>P161+C162*E162/(1+F162/(1000*$B$11))*F162*$B$9/$B$3</f>
        <v/>
      </c>
      <c r="Q162" s="38">
        <f>C162*H162*(E162/60)^2*$B$9*60</f>
        <v/>
      </c>
    </row>
    <row r="163">
      <c r="A163" s="7" t="n">
        <v>103</v>
      </c>
      <c r="B163" s="30">
        <f>A163*$B$9</f>
        <v/>
      </c>
      <c r="C163" s="15">
        <f>IF(B163&lt;=$B$12+0.000000001,1,0)</f>
        <v/>
      </c>
      <c r="D163" s="15">
        <f>IF(C163=1,MATCH(B163-$B$9/2,$E$16:$E$35,1),0)</f>
        <v/>
      </c>
      <c r="E163" s="16">
        <f>IF(C163=1,INDEX($C$16:$C$35,D163),0)</f>
        <v/>
      </c>
      <c r="F163" s="15">
        <f>IF(C163=1,N(INDEX($D$16:$D$35,D163)),0)</f>
        <v/>
      </c>
      <c r="G163" s="30">
        <f>($B$10+F163)/(1+F163/(1000*$B$11))</f>
        <v/>
      </c>
      <c r="H163" s="30">
        <f>F163/(1+F163/(1000*$B$11))</f>
        <v/>
      </c>
      <c r="I163" s="37">
        <f>M162</f>
        <v/>
      </c>
      <c r="J163" s="37">
        <f>N162</f>
        <v/>
      </c>
      <c r="K163" s="16">
        <f>(E163/60)/($B$3*PI()/4*(I163/1000)^2)</f>
        <v/>
      </c>
      <c r="L163" s="23">
        <f>C163*$B$7*H163*K163^2*$B$9*60*1000</f>
        <v/>
      </c>
      <c r="M163" s="37">
        <f>I163+L163</f>
        <v/>
      </c>
      <c r="N163" s="37">
        <f>MIN($B$6,J163+C163*$B$8*H163*K163^2*(1-J163/$B$6)*$B$9*60)</f>
        <v/>
      </c>
      <c r="O163" s="11">
        <f>IF(C163=1,Inputs!$B$12*G163*E163^2/($B$3^2*M163^4*N163^2),NA())</f>
        <v/>
      </c>
      <c r="P163" s="30">
        <f>P162+C163*E163/(1+F163/(1000*$B$11))*F163*$B$9/$B$3</f>
        <v/>
      </c>
      <c r="Q163" s="38">
        <f>C163*H163*(E163/60)^2*$B$9*60</f>
        <v/>
      </c>
    </row>
    <row r="164">
      <c r="A164" s="7" t="n">
        <v>104</v>
      </c>
      <c r="B164" s="30">
        <f>A164*$B$9</f>
        <v/>
      </c>
      <c r="C164" s="15">
        <f>IF(B164&lt;=$B$12+0.000000001,1,0)</f>
        <v/>
      </c>
      <c r="D164" s="15">
        <f>IF(C164=1,MATCH(B164-$B$9/2,$E$16:$E$35,1),0)</f>
        <v/>
      </c>
      <c r="E164" s="16">
        <f>IF(C164=1,INDEX($C$16:$C$35,D164),0)</f>
        <v/>
      </c>
      <c r="F164" s="15">
        <f>IF(C164=1,N(INDEX($D$16:$D$35,D164)),0)</f>
        <v/>
      </c>
      <c r="G164" s="30">
        <f>($B$10+F164)/(1+F164/(1000*$B$11))</f>
        <v/>
      </c>
      <c r="H164" s="30">
        <f>F164/(1+F164/(1000*$B$11))</f>
        <v/>
      </c>
      <c r="I164" s="37">
        <f>M163</f>
        <v/>
      </c>
      <c r="J164" s="37">
        <f>N163</f>
        <v/>
      </c>
      <c r="K164" s="16">
        <f>(E164/60)/($B$3*PI()/4*(I164/1000)^2)</f>
        <v/>
      </c>
      <c r="L164" s="23">
        <f>C164*$B$7*H164*K164^2*$B$9*60*1000</f>
        <v/>
      </c>
      <c r="M164" s="37">
        <f>I164+L164</f>
        <v/>
      </c>
      <c r="N164" s="37">
        <f>MIN($B$6,J164+C164*$B$8*H164*K164^2*(1-J164/$B$6)*$B$9*60)</f>
        <v/>
      </c>
      <c r="O164" s="11">
        <f>IF(C164=1,Inputs!$B$12*G164*E164^2/($B$3^2*M164^4*N164^2),NA())</f>
        <v/>
      </c>
      <c r="P164" s="30">
        <f>P163+C164*E164/(1+F164/(1000*$B$11))*F164*$B$9/$B$3</f>
        <v/>
      </c>
      <c r="Q164" s="38">
        <f>C164*H164*(E164/60)^2*$B$9*60</f>
        <v/>
      </c>
    </row>
    <row r="165">
      <c r="A165" s="7" t="n">
        <v>105</v>
      </c>
      <c r="B165" s="30">
        <f>A165*$B$9</f>
        <v/>
      </c>
      <c r="C165" s="15">
        <f>IF(B165&lt;=$B$12+0.000000001,1,0)</f>
        <v/>
      </c>
      <c r="D165" s="15">
        <f>IF(C165=1,MATCH(B165-$B$9/2,$E$16:$E$35,1),0)</f>
        <v/>
      </c>
      <c r="E165" s="16">
        <f>IF(C165=1,INDEX($C$16:$C$35,D165),0)</f>
        <v/>
      </c>
      <c r="F165" s="15">
        <f>IF(C165=1,N(INDEX($D$16:$D$35,D165)),0)</f>
        <v/>
      </c>
      <c r="G165" s="30">
        <f>($B$10+F165)/(1+F165/(1000*$B$11))</f>
        <v/>
      </c>
      <c r="H165" s="30">
        <f>F165/(1+F165/(1000*$B$11))</f>
        <v/>
      </c>
      <c r="I165" s="37">
        <f>M164</f>
        <v/>
      </c>
      <c r="J165" s="37">
        <f>N164</f>
        <v/>
      </c>
      <c r="K165" s="16">
        <f>(E165/60)/($B$3*PI()/4*(I165/1000)^2)</f>
        <v/>
      </c>
      <c r="L165" s="23">
        <f>C165*$B$7*H165*K165^2*$B$9*60*1000</f>
        <v/>
      </c>
      <c r="M165" s="37">
        <f>I165+L165</f>
        <v/>
      </c>
      <c r="N165" s="37">
        <f>MIN($B$6,J165+C165*$B$8*H165*K165^2*(1-J165/$B$6)*$B$9*60)</f>
        <v/>
      </c>
      <c r="O165" s="11">
        <f>IF(C165=1,Inputs!$B$12*G165*E165^2/($B$3^2*M165^4*N165^2),NA())</f>
        <v/>
      </c>
      <c r="P165" s="30">
        <f>P164+C165*E165/(1+F165/(1000*$B$11))*F165*$B$9/$B$3</f>
        <v/>
      </c>
      <c r="Q165" s="38">
        <f>C165*H165*(E165/60)^2*$B$9*60</f>
        <v/>
      </c>
    </row>
    <row r="166">
      <c r="A166" s="7" t="n">
        <v>106</v>
      </c>
      <c r="B166" s="30">
        <f>A166*$B$9</f>
        <v/>
      </c>
      <c r="C166" s="15">
        <f>IF(B166&lt;=$B$12+0.000000001,1,0)</f>
        <v/>
      </c>
      <c r="D166" s="15">
        <f>IF(C166=1,MATCH(B166-$B$9/2,$E$16:$E$35,1),0)</f>
        <v/>
      </c>
      <c r="E166" s="16">
        <f>IF(C166=1,INDEX($C$16:$C$35,D166),0)</f>
        <v/>
      </c>
      <c r="F166" s="15">
        <f>IF(C166=1,N(INDEX($D$16:$D$35,D166)),0)</f>
        <v/>
      </c>
      <c r="G166" s="30">
        <f>($B$10+F166)/(1+F166/(1000*$B$11))</f>
        <v/>
      </c>
      <c r="H166" s="30">
        <f>F166/(1+F166/(1000*$B$11))</f>
        <v/>
      </c>
      <c r="I166" s="37">
        <f>M165</f>
        <v/>
      </c>
      <c r="J166" s="37">
        <f>N165</f>
        <v/>
      </c>
      <c r="K166" s="16">
        <f>(E166/60)/($B$3*PI()/4*(I166/1000)^2)</f>
        <v/>
      </c>
      <c r="L166" s="23">
        <f>C166*$B$7*H166*K166^2*$B$9*60*1000</f>
        <v/>
      </c>
      <c r="M166" s="37">
        <f>I166+L166</f>
        <v/>
      </c>
      <c r="N166" s="37">
        <f>MIN($B$6,J166+C166*$B$8*H166*K166^2*(1-J166/$B$6)*$B$9*60)</f>
        <v/>
      </c>
      <c r="O166" s="11">
        <f>IF(C166=1,Inputs!$B$12*G166*E166^2/($B$3^2*M166^4*N166^2),NA())</f>
        <v/>
      </c>
      <c r="P166" s="30">
        <f>P165+C166*E166/(1+F166/(1000*$B$11))*F166*$B$9/$B$3</f>
        <v/>
      </c>
      <c r="Q166" s="38">
        <f>C166*H166*(E166/60)^2*$B$9*60</f>
        <v/>
      </c>
    </row>
    <row r="167">
      <c r="A167" s="7" t="n">
        <v>107</v>
      </c>
      <c r="B167" s="30">
        <f>A167*$B$9</f>
        <v/>
      </c>
      <c r="C167" s="15">
        <f>IF(B167&lt;=$B$12+0.000000001,1,0)</f>
        <v/>
      </c>
      <c r="D167" s="15">
        <f>IF(C167=1,MATCH(B167-$B$9/2,$E$16:$E$35,1),0)</f>
        <v/>
      </c>
      <c r="E167" s="16">
        <f>IF(C167=1,INDEX($C$16:$C$35,D167),0)</f>
        <v/>
      </c>
      <c r="F167" s="15">
        <f>IF(C167=1,N(INDEX($D$16:$D$35,D167)),0)</f>
        <v/>
      </c>
      <c r="G167" s="30">
        <f>($B$10+F167)/(1+F167/(1000*$B$11))</f>
        <v/>
      </c>
      <c r="H167" s="30">
        <f>F167/(1+F167/(1000*$B$11))</f>
        <v/>
      </c>
      <c r="I167" s="37">
        <f>M166</f>
        <v/>
      </c>
      <c r="J167" s="37">
        <f>N166</f>
        <v/>
      </c>
      <c r="K167" s="16">
        <f>(E167/60)/($B$3*PI()/4*(I167/1000)^2)</f>
        <v/>
      </c>
      <c r="L167" s="23">
        <f>C167*$B$7*H167*K167^2*$B$9*60*1000</f>
        <v/>
      </c>
      <c r="M167" s="37">
        <f>I167+L167</f>
        <v/>
      </c>
      <c r="N167" s="37">
        <f>MIN($B$6,J167+C167*$B$8*H167*K167^2*(1-J167/$B$6)*$B$9*60)</f>
        <v/>
      </c>
      <c r="O167" s="11">
        <f>IF(C167=1,Inputs!$B$12*G167*E167^2/($B$3^2*M167^4*N167^2),NA())</f>
        <v/>
      </c>
      <c r="P167" s="30">
        <f>P166+C167*E167/(1+F167/(1000*$B$11))*F167*$B$9/$B$3</f>
        <v/>
      </c>
      <c r="Q167" s="38">
        <f>C167*H167*(E167/60)^2*$B$9*60</f>
        <v/>
      </c>
    </row>
    <row r="168">
      <c r="A168" s="7" t="n">
        <v>108</v>
      </c>
      <c r="B168" s="30">
        <f>A168*$B$9</f>
        <v/>
      </c>
      <c r="C168" s="15">
        <f>IF(B168&lt;=$B$12+0.000000001,1,0)</f>
        <v/>
      </c>
      <c r="D168" s="15">
        <f>IF(C168=1,MATCH(B168-$B$9/2,$E$16:$E$35,1),0)</f>
        <v/>
      </c>
      <c r="E168" s="16">
        <f>IF(C168=1,INDEX($C$16:$C$35,D168),0)</f>
        <v/>
      </c>
      <c r="F168" s="15">
        <f>IF(C168=1,N(INDEX($D$16:$D$35,D168)),0)</f>
        <v/>
      </c>
      <c r="G168" s="30">
        <f>($B$10+F168)/(1+F168/(1000*$B$11))</f>
        <v/>
      </c>
      <c r="H168" s="30">
        <f>F168/(1+F168/(1000*$B$11))</f>
        <v/>
      </c>
      <c r="I168" s="37">
        <f>M167</f>
        <v/>
      </c>
      <c r="J168" s="37">
        <f>N167</f>
        <v/>
      </c>
      <c r="K168" s="16">
        <f>(E168/60)/($B$3*PI()/4*(I168/1000)^2)</f>
        <v/>
      </c>
      <c r="L168" s="23">
        <f>C168*$B$7*H168*K168^2*$B$9*60*1000</f>
        <v/>
      </c>
      <c r="M168" s="37">
        <f>I168+L168</f>
        <v/>
      </c>
      <c r="N168" s="37">
        <f>MIN($B$6,J168+C168*$B$8*H168*K168^2*(1-J168/$B$6)*$B$9*60)</f>
        <v/>
      </c>
      <c r="O168" s="11">
        <f>IF(C168=1,Inputs!$B$12*G168*E168^2/($B$3^2*M168^4*N168^2),NA())</f>
        <v/>
      </c>
      <c r="P168" s="30">
        <f>P167+C168*E168/(1+F168/(1000*$B$11))*F168*$B$9/$B$3</f>
        <v/>
      </c>
      <c r="Q168" s="38">
        <f>C168*H168*(E168/60)^2*$B$9*60</f>
        <v/>
      </c>
    </row>
    <row r="169">
      <c r="A169" s="7" t="n">
        <v>109</v>
      </c>
      <c r="B169" s="30">
        <f>A169*$B$9</f>
        <v/>
      </c>
      <c r="C169" s="15">
        <f>IF(B169&lt;=$B$12+0.000000001,1,0)</f>
        <v/>
      </c>
      <c r="D169" s="15">
        <f>IF(C169=1,MATCH(B169-$B$9/2,$E$16:$E$35,1),0)</f>
        <v/>
      </c>
      <c r="E169" s="16">
        <f>IF(C169=1,INDEX($C$16:$C$35,D169),0)</f>
        <v/>
      </c>
      <c r="F169" s="15">
        <f>IF(C169=1,N(INDEX($D$16:$D$35,D169)),0)</f>
        <v/>
      </c>
      <c r="G169" s="30">
        <f>($B$10+F169)/(1+F169/(1000*$B$11))</f>
        <v/>
      </c>
      <c r="H169" s="30">
        <f>F169/(1+F169/(1000*$B$11))</f>
        <v/>
      </c>
      <c r="I169" s="37">
        <f>M168</f>
        <v/>
      </c>
      <c r="J169" s="37">
        <f>N168</f>
        <v/>
      </c>
      <c r="K169" s="16">
        <f>(E169/60)/($B$3*PI()/4*(I169/1000)^2)</f>
        <v/>
      </c>
      <c r="L169" s="23">
        <f>C169*$B$7*H169*K169^2*$B$9*60*1000</f>
        <v/>
      </c>
      <c r="M169" s="37">
        <f>I169+L169</f>
        <v/>
      </c>
      <c r="N169" s="37">
        <f>MIN($B$6,J169+C169*$B$8*H169*K169^2*(1-J169/$B$6)*$B$9*60)</f>
        <v/>
      </c>
      <c r="O169" s="11">
        <f>IF(C169=1,Inputs!$B$12*G169*E169^2/($B$3^2*M169^4*N169^2),NA())</f>
        <v/>
      </c>
      <c r="P169" s="30">
        <f>P168+C169*E169/(1+F169/(1000*$B$11))*F169*$B$9/$B$3</f>
        <v/>
      </c>
      <c r="Q169" s="38">
        <f>C169*H169*(E169/60)^2*$B$9*60</f>
        <v/>
      </c>
    </row>
    <row r="170">
      <c r="A170" s="7" t="n">
        <v>110</v>
      </c>
      <c r="B170" s="30">
        <f>A170*$B$9</f>
        <v/>
      </c>
      <c r="C170" s="15">
        <f>IF(B170&lt;=$B$12+0.000000001,1,0)</f>
        <v/>
      </c>
      <c r="D170" s="15">
        <f>IF(C170=1,MATCH(B170-$B$9/2,$E$16:$E$35,1),0)</f>
        <v/>
      </c>
      <c r="E170" s="16">
        <f>IF(C170=1,INDEX($C$16:$C$35,D170),0)</f>
        <v/>
      </c>
      <c r="F170" s="15">
        <f>IF(C170=1,N(INDEX($D$16:$D$35,D170)),0)</f>
        <v/>
      </c>
      <c r="G170" s="30">
        <f>($B$10+F170)/(1+F170/(1000*$B$11))</f>
        <v/>
      </c>
      <c r="H170" s="30">
        <f>F170/(1+F170/(1000*$B$11))</f>
        <v/>
      </c>
      <c r="I170" s="37">
        <f>M169</f>
        <v/>
      </c>
      <c r="J170" s="37">
        <f>N169</f>
        <v/>
      </c>
      <c r="K170" s="16">
        <f>(E170/60)/($B$3*PI()/4*(I170/1000)^2)</f>
        <v/>
      </c>
      <c r="L170" s="23">
        <f>C170*$B$7*H170*K170^2*$B$9*60*1000</f>
        <v/>
      </c>
      <c r="M170" s="37">
        <f>I170+L170</f>
        <v/>
      </c>
      <c r="N170" s="37">
        <f>MIN($B$6,J170+C170*$B$8*H170*K170^2*(1-J170/$B$6)*$B$9*60)</f>
        <v/>
      </c>
      <c r="O170" s="11">
        <f>IF(C170=1,Inputs!$B$12*G170*E170^2/($B$3^2*M170^4*N170^2),NA())</f>
        <v/>
      </c>
      <c r="P170" s="30">
        <f>P169+C170*E170/(1+F170/(1000*$B$11))*F170*$B$9/$B$3</f>
        <v/>
      </c>
      <c r="Q170" s="38">
        <f>C170*H170*(E170/60)^2*$B$9*60</f>
        <v/>
      </c>
    </row>
    <row r="171">
      <c r="A171" s="7" t="n">
        <v>111</v>
      </c>
      <c r="B171" s="30">
        <f>A171*$B$9</f>
        <v/>
      </c>
      <c r="C171" s="15">
        <f>IF(B171&lt;=$B$12+0.000000001,1,0)</f>
        <v/>
      </c>
      <c r="D171" s="15">
        <f>IF(C171=1,MATCH(B171-$B$9/2,$E$16:$E$35,1),0)</f>
        <v/>
      </c>
      <c r="E171" s="16">
        <f>IF(C171=1,INDEX($C$16:$C$35,D171),0)</f>
        <v/>
      </c>
      <c r="F171" s="15">
        <f>IF(C171=1,N(INDEX($D$16:$D$35,D171)),0)</f>
        <v/>
      </c>
      <c r="G171" s="30">
        <f>($B$10+F171)/(1+F171/(1000*$B$11))</f>
        <v/>
      </c>
      <c r="H171" s="30">
        <f>F171/(1+F171/(1000*$B$11))</f>
        <v/>
      </c>
      <c r="I171" s="37">
        <f>M170</f>
        <v/>
      </c>
      <c r="J171" s="37">
        <f>N170</f>
        <v/>
      </c>
      <c r="K171" s="16">
        <f>(E171/60)/($B$3*PI()/4*(I171/1000)^2)</f>
        <v/>
      </c>
      <c r="L171" s="23">
        <f>C171*$B$7*H171*K171^2*$B$9*60*1000</f>
        <v/>
      </c>
      <c r="M171" s="37">
        <f>I171+L171</f>
        <v/>
      </c>
      <c r="N171" s="37">
        <f>MIN($B$6,J171+C171*$B$8*H171*K171^2*(1-J171/$B$6)*$B$9*60)</f>
        <v/>
      </c>
      <c r="O171" s="11">
        <f>IF(C171=1,Inputs!$B$12*G171*E171^2/($B$3^2*M171^4*N171^2),NA())</f>
        <v/>
      </c>
      <c r="P171" s="30">
        <f>P170+C171*E171/(1+F171/(1000*$B$11))*F171*$B$9/$B$3</f>
        <v/>
      </c>
      <c r="Q171" s="38">
        <f>C171*H171*(E171/60)^2*$B$9*60</f>
        <v/>
      </c>
    </row>
    <row r="172">
      <c r="A172" s="7" t="n">
        <v>112</v>
      </c>
      <c r="B172" s="30">
        <f>A172*$B$9</f>
        <v/>
      </c>
      <c r="C172" s="15">
        <f>IF(B172&lt;=$B$12+0.000000001,1,0)</f>
        <v/>
      </c>
      <c r="D172" s="15">
        <f>IF(C172=1,MATCH(B172-$B$9/2,$E$16:$E$35,1),0)</f>
        <v/>
      </c>
      <c r="E172" s="16">
        <f>IF(C172=1,INDEX($C$16:$C$35,D172),0)</f>
        <v/>
      </c>
      <c r="F172" s="15">
        <f>IF(C172=1,N(INDEX($D$16:$D$35,D172)),0)</f>
        <v/>
      </c>
      <c r="G172" s="30">
        <f>($B$10+F172)/(1+F172/(1000*$B$11))</f>
        <v/>
      </c>
      <c r="H172" s="30">
        <f>F172/(1+F172/(1000*$B$11))</f>
        <v/>
      </c>
      <c r="I172" s="37">
        <f>M171</f>
        <v/>
      </c>
      <c r="J172" s="37">
        <f>N171</f>
        <v/>
      </c>
      <c r="K172" s="16">
        <f>(E172/60)/($B$3*PI()/4*(I172/1000)^2)</f>
        <v/>
      </c>
      <c r="L172" s="23">
        <f>C172*$B$7*H172*K172^2*$B$9*60*1000</f>
        <v/>
      </c>
      <c r="M172" s="37">
        <f>I172+L172</f>
        <v/>
      </c>
      <c r="N172" s="37">
        <f>MIN($B$6,J172+C172*$B$8*H172*K172^2*(1-J172/$B$6)*$B$9*60)</f>
        <v/>
      </c>
      <c r="O172" s="11">
        <f>IF(C172=1,Inputs!$B$12*G172*E172^2/($B$3^2*M172^4*N172^2),NA())</f>
        <v/>
      </c>
      <c r="P172" s="30">
        <f>P171+C172*E172/(1+F172/(1000*$B$11))*F172*$B$9/$B$3</f>
        <v/>
      </c>
      <c r="Q172" s="38">
        <f>C172*H172*(E172/60)^2*$B$9*60</f>
        <v/>
      </c>
    </row>
    <row r="173">
      <c r="A173" s="7" t="n">
        <v>113</v>
      </c>
      <c r="B173" s="30">
        <f>A173*$B$9</f>
        <v/>
      </c>
      <c r="C173" s="15">
        <f>IF(B173&lt;=$B$12+0.000000001,1,0)</f>
        <v/>
      </c>
      <c r="D173" s="15">
        <f>IF(C173=1,MATCH(B173-$B$9/2,$E$16:$E$35,1),0)</f>
        <v/>
      </c>
      <c r="E173" s="16">
        <f>IF(C173=1,INDEX($C$16:$C$35,D173),0)</f>
        <v/>
      </c>
      <c r="F173" s="15">
        <f>IF(C173=1,N(INDEX($D$16:$D$35,D173)),0)</f>
        <v/>
      </c>
      <c r="G173" s="30">
        <f>($B$10+F173)/(1+F173/(1000*$B$11))</f>
        <v/>
      </c>
      <c r="H173" s="30">
        <f>F173/(1+F173/(1000*$B$11))</f>
        <v/>
      </c>
      <c r="I173" s="37">
        <f>M172</f>
        <v/>
      </c>
      <c r="J173" s="37">
        <f>N172</f>
        <v/>
      </c>
      <c r="K173" s="16">
        <f>(E173/60)/($B$3*PI()/4*(I173/1000)^2)</f>
        <v/>
      </c>
      <c r="L173" s="23">
        <f>C173*$B$7*H173*K173^2*$B$9*60*1000</f>
        <v/>
      </c>
      <c r="M173" s="37">
        <f>I173+L173</f>
        <v/>
      </c>
      <c r="N173" s="37">
        <f>MIN($B$6,J173+C173*$B$8*H173*K173^2*(1-J173/$B$6)*$B$9*60)</f>
        <v/>
      </c>
      <c r="O173" s="11">
        <f>IF(C173=1,Inputs!$B$12*G173*E173^2/($B$3^2*M173^4*N173^2),NA())</f>
        <v/>
      </c>
      <c r="P173" s="30">
        <f>P172+C173*E173/(1+F173/(1000*$B$11))*F173*$B$9/$B$3</f>
        <v/>
      </c>
      <c r="Q173" s="38">
        <f>C173*H173*(E173/60)^2*$B$9*60</f>
        <v/>
      </c>
    </row>
    <row r="174">
      <c r="A174" s="7" t="n">
        <v>114</v>
      </c>
      <c r="B174" s="30">
        <f>A174*$B$9</f>
        <v/>
      </c>
      <c r="C174" s="15">
        <f>IF(B174&lt;=$B$12+0.000000001,1,0)</f>
        <v/>
      </c>
      <c r="D174" s="15">
        <f>IF(C174=1,MATCH(B174-$B$9/2,$E$16:$E$35,1),0)</f>
        <v/>
      </c>
      <c r="E174" s="16">
        <f>IF(C174=1,INDEX($C$16:$C$35,D174),0)</f>
        <v/>
      </c>
      <c r="F174" s="15">
        <f>IF(C174=1,N(INDEX($D$16:$D$35,D174)),0)</f>
        <v/>
      </c>
      <c r="G174" s="30">
        <f>($B$10+F174)/(1+F174/(1000*$B$11))</f>
        <v/>
      </c>
      <c r="H174" s="30">
        <f>F174/(1+F174/(1000*$B$11))</f>
        <v/>
      </c>
      <c r="I174" s="37">
        <f>M173</f>
        <v/>
      </c>
      <c r="J174" s="37">
        <f>N173</f>
        <v/>
      </c>
      <c r="K174" s="16">
        <f>(E174/60)/($B$3*PI()/4*(I174/1000)^2)</f>
        <v/>
      </c>
      <c r="L174" s="23">
        <f>C174*$B$7*H174*K174^2*$B$9*60*1000</f>
        <v/>
      </c>
      <c r="M174" s="37">
        <f>I174+L174</f>
        <v/>
      </c>
      <c r="N174" s="37">
        <f>MIN($B$6,J174+C174*$B$8*H174*K174^2*(1-J174/$B$6)*$B$9*60)</f>
        <v/>
      </c>
      <c r="O174" s="11">
        <f>IF(C174=1,Inputs!$B$12*G174*E174^2/($B$3^2*M174^4*N174^2),NA())</f>
        <v/>
      </c>
      <c r="P174" s="30">
        <f>P173+C174*E174/(1+F174/(1000*$B$11))*F174*$B$9/$B$3</f>
        <v/>
      </c>
      <c r="Q174" s="38">
        <f>C174*H174*(E174/60)^2*$B$9*60</f>
        <v/>
      </c>
    </row>
    <row r="175">
      <c r="A175" s="7" t="n">
        <v>115</v>
      </c>
      <c r="B175" s="30">
        <f>A175*$B$9</f>
        <v/>
      </c>
      <c r="C175" s="15">
        <f>IF(B175&lt;=$B$12+0.000000001,1,0)</f>
        <v/>
      </c>
      <c r="D175" s="15">
        <f>IF(C175=1,MATCH(B175-$B$9/2,$E$16:$E$35,1),0)</f>
        <v/>
      </c>
      <c r="E175" s="16">
        <f>IF(C175=1,INDEX($C$16:$C$35,D175),0)</f>
        <v/>
      </c>
      <c r="F175" s="15">
        <f>IF(C175=1,N(INDEX($D$16:$D$35,D175)),0)</f>
        <v/>
      </c>
      <c r="G175" s="30">
        <f>($B$10+F175)/(1+F175/(1000*$B$11))</f>
        <v/>
      </c>
      <c r="H175" s="30">
        <f>F175/(1+F175/(1000*$B$11))</f>
        <v/>
      </c>
      <c r="I175" s="37">
        <f>M174</f>
        <v/>
      </c>
      <c r="J175" s="37">
        <f>N174</f>
        <v/>
      </c>
      <c r="K175" s="16">
        <f>(E175/60)/($B$3*PI()/4*(I175/1000)^2)</f>
        <v/>
      </c>
      <c r="L175" s="23">
        <f>C175*$B$7*H175*K175^2*$B$9*60*1000</f>
        <v/>
      </c>
      <c r="M175" s="37">
        <f>I175+L175</f>
        <v/>
      </c>
      <c r="N175" s="37">
        <f>MIN($B$6,J175+C175*$B$8*H175*K175^2*(1-J175/$B$6)*$B$9*60)</f>
        <v/>
      </c>
      <c r="O175" s="11">
        <f>IF(C175=1,Inputs!$B$12*G175*E175^2/($B$3^2*M175^4*N175^2),NA())</f>
        <v/>
      </c>
      <c r="P175" s="30">
        <f>P174+C175*E175/(1+F175/(1000*$B$11))*F175*$B$9/$B$3</f>
        <v/>
      </c>
      <c r="Q175" s="38">
        <f>C175*H175*(E175/60)^2*$B$9*60</f>
        <v/>
      </c>
    </row>
    <row r="176">
      <c r="A176" s="7" t="n">
        <v>116</v>
      </c>
      <c r="B176" s="30">
        <f>A176*$B$9</f>
        <v/>
      </c>
      <c r="C176" s="15">
        <f>IF(B176&lt;=$B$12+0.000000001,1,0)</f>
        <v/>
      </c>
      <c r="D176" s="15">
        <f>IF(C176=1,MATCH(B176-$B$9/2,$E$16:$E$35,1),0)</f>
        <v/>
      </c>
      <c r="E176" s="16">
        <f>IF(C176=1,INDEX($C$16:$C$35,D176),0)</f>
        <v/>
      </c>
      <c r="F176" s="15">
        <f>IF(C176=1,N(INDEX($D$16:$D$35,D176)),0)</f>
        <v/>
      </c>
      <c r="G176" s="30">
        <f>($B$10+F176)/(1+F176/(1000*$B$11))</f>
        <v/>
      </c>
      <c r="H176" s="30">
        <f>F176/(1+F176/(1000*$B$11))</f>
        <v/>
      </c>
      <c r="I176" s="37">
        <f>M175</f>
        <v/>
      </c>
      <c r="J176" s="37">
        <f>N175</f>
        <v/>
      </c>
      <c r="K176" s="16">
        <f>(E176/60)/($B$3*PI()/4*(I176/1000)^2)</f>
        <v/>
      </c>
      <c r="L176" s="23">
        <f>C176*$B$7*H176*K176^2*$B$9*60*1000</f>
        <v/>
      </c>
      <c r="M176" s="37">
        <f>I176+L176</f>
        <v/>
      </c>
      <c r="N176" s="37">
        <f>MIN($B$6,J176+C176*$B$8*H176*K176^2*(1-J176/$B$6)*$B$9*60)</f>
        <v/>
      </c>
      <c r="O176" s="11">
        <f>IF(C176=1,Inputs!$B$12*G176*E176^2/($B$3^2*M176^4*N176^2),NA())</f>
        <v/>
      </c>
      <c r="P176" s="30">
        <f>P175+C176*E176/(1+F176/(1000*$B$11))*F176*$B$9/$B$3</f>
        <v/>
      </c>
      <c r="Q176" s="38">
        <f>C176*H176*(E176/60)^2*$B$9*60</f>
        <v/>
      </c>
    </row>
    <row r="177">
      <c r="A177" s="7" t="n">
        <v>117</v>
      </c>
      <c r="B177" s="30">
        <f>A177*$B$9</f>
        <v/>
      </c>
      <c r="C177" s="15">
        <f>IF(B177&lt;=$B$12+0.000000001,1,0)</f>
        <v/>
      </c>
      <c r="D177" s="15">
        <f>IF(C177=1,MATCH(B177-$B$9/2,$E$16:$E$35,1),0)</f>
        <v/>
      </c>
      <c r="E177" s="16">
        <f>IF(C177=1,INDEX($C$16:$C$35,D177),0)</f>
        <v/>
      </c>
      <c r="F177" s="15">
        <f>IF(C177=1,N(INDEX($D$16:$D$35,D177)),0)</f>
        <v/>
      </c>
      <c r="G177" s="30">
        <f>($B$10+F177)/(1+F177/(1000*$B$11))</f>
        <v/>
      </c>
      <c r="H177" s="30">
        <f>F177/(1+F177/(1000*$B$11))</f>
        <v/>
      </c>
      <c r="I177" s="37">
        <f>M176</f>
        <v/>
      </c>
      <c r="J177" s="37">
        <f>N176</f>
        <v/>
      </c>
      <c r="K177" s="16">
        <f>(E177/60)/($B$3*PI()/4*(I177/1000)^2)</f>
        <v/>
      </c>
      <c r="L177" s="23">
        <f>C177*$B$7*H177*K177^2*$B$9*60*1000</f>
        <v/>
      </c>
      <c r="M177" s="37">
        <f>I177+L177</f>
        <v/>
      </c>
      <c r="N177" s="37">
        <f>MIN($B$6,J177+C177*$B$8*H177*K177^2*(1-J177/$B$6)*$B$9*60)</f>
        <v/>
      </c>
      <c r="O177" s="11">
        <f>IF(C177=1,Inputs!$B$12*G177*E177^2/($B$3^2*M177^4*N177^2),NA())</f>
        <v/>
      </c>
      <c r="P177" s="30">
        <f>P176+C177*E177/(1+F177/(1000*$B$11))*F177*$B$9/$B$3</f>
        <v/>
      </c>
      <c r="Q177" s="38">
        <f>C177*H177*(E177/60)^2*$B$9*60</f>
        <v/>
      </c>
    </row>
    <row r="178">
      <c r="A178" s="7" t="n">
        <v>118</v>
      </c>
      <c r="B178" s="30">
        <f>A178*$B$9</f>
        <v/>
      </c>
      <c r="C178" s="15">
        <f>IF(B178&lt;=$B$12+0.000000001,1,0)</f>
        <v/>
      </c>
      <c r="D178" s="15">
        <f>IF(C178=1,MATCH(B178-$B$9/2,$E$16:$E$35,1),0)</f>
        <v/>
      </c>
      <c r="E178" s="16">
        <f>IF(C178=1,INDEX($C$16:$C$35,D178),0)</f>
        <v/>
      </c>
      <c r="F178" s="15">
        <f>IF(C178=1,N(INDEX($D$16:$D$35,D178)),0)</f>
        <v/>
      </c>
      <c r="G178" s="30">
        <f>($B$10+F178)/(1+F178/(1000*$B$11))</f>
        <v/>
      </c>
      <c r="H178" s="30">
        <f>F178/(1+F178/(1000*$B$11))</f>
        <v/>
      </c>
      <c r="I178" s="37">
        <f>M177</f>
        <v/>
      </c>
      <c r="J178" s="37">
        <f>N177</f>
        <v/>
      </c>
      <c r="K178" s="16">
        <f>(E178/60)/($B$3*PI()/4*(I178/1000)^2)</f>
        <v/>
      </c>
      <c r="L178" s="23">
        <f>C178*$B$7*H178*K178^2*$B$9*60*1000</f>
        <v/>
      </c>
      <c r="M178" s="37">
        <f>I178+L178</f>
        <v/>
      </c>
      <c r="N178" s="37">
        <f>MIN($B$6,J178+C178*$B$8*H178*K178^2*(1-J178/$B$6)*$B$9*60)</f>
        <v/>
      </c>
      <c r="O178" s="11">
        <f>IF(C178=1,Inputs!$B$12*G178*E178^2/($B$3^2*M178^4*N178^2),NA())</f>
        <v/>
      </c>
      <c r="P178" s="30">
        <f>P177+C178*E178/(1+F178/(1000*$B$11))*F178*$B$9/$B$3</f>
        <v/>
      </c>
      <c r="Q178" s="38">
        <f>C178*H178*(E178/60)^2*$B$9*60</f>
        <v/>
      </c>
    </row>
    <row r="179">
      <c r="A179" s="7" t="n">
        <v>119</v>
      </c>
      <c r="B179" s="30">
        <f>A179*$B$9</f>
        <v/>
      </c>
      <c r="C179" s="15">
        <f>IF(B179&lt;=$B$12+0.000000001,1,0)</f>
        <v/>
      </c>
      <c r="D179" s="15">
        <f>IF(C179=1,MATCH(B179-$B$9/2,$E$16:$E$35,1),0)</f>
        <v/>
      </c>
      <c r="E179" s="16">
        <f>IF(C179=1,INDEX($C$16:$C$35,D179),0)</f>
        <v/>
      </c>
      <c r="F179" s="15">
        <f>IF(C179=1,N(INDEX($D$16:$D$35,D179)),0)</f>
        <v/>
      </c>
      <c r="G179" s="30">
        <f>($B$10+F179)/(1+F179/(1000*$B$11))</f>
        <v/>
      </c>
      <c r="H179" s="30">
        <f>F179/(1+F179/(1000*$B$11))</f>
        <v/>
      </c>
      <c r="I179" s="37">
        <f>M178</f>
        <v/>
      </c>
      <c r="J179" s="37">
        <f>N178</f>
        <v/>
      </c>
      <c r="K179" s="16">
        <f>(E179/60)/($B$3*PI()/4*(I179/1000)^2)</f>
        <v/>
      </c>
      <c r="L179" s="23">
        <f>C179*$B$7*H179*K179^2*$B$9*60*1000</f>
        <v/>
      </c>
      <c r="M179" s="37">
        <f>I179+L179</f>
        <v/>
      </c>
      <c r="N179" s="37">
        <f>MIN($B$6,J179+C179*$B$8*H179*K179^2*(1-J179/$B$6)*$B$9*60)</f>
        <v/>
      </c>
      <c r="O179" s="11">
        <f>IF(C179=1,Inputs!$B$12*G179*E179^2/($B$3^2*M179^4*N179^2),NA())</f>
        <v/>
      </c>
      <c r="P179" s="30">
        <f>P178+C179*E179/(1+F179/(1000*$B$11))*F179*$B$9/$B$3</f>
        <v/>
      </c>
      <c r="Q179" s="38">
        <f>C179*H179*(E179/60)^2*$B$9*60</f>
        <v/>
      </c>
    </row>
    <row r="180">
      <c r="A180" s="7" t="n">
        <v>120</v>
      </c>
      <c r="B180" s="30">
        <f>A180*$B$9</f>
        <v/>
      </c>
      <c r="C180" s="15">
        <f>IF(B180&lt;=$B$12+0.000000001,1,0)</f>
        <v/>
      </c>
      <c r="D180" s="15">
        <f>IF(C180=1,MATCH(B180-$B$9/2,$E$16:$E$35,1),0)</f>
        <v/>
      </c>
      <c r="E180" s="16">
        <f>IF(C180=1,INDEX($C$16:$C$35,D180),0)</f>
        <v/>
      </c>
      <c r="F180" s="15">
        <f>IF(C180=1,N(INDEX($D$16:$D$35,D180)),0)</f>
        <v/>
      </c>
      <c r="G180" s="30">
        <f>($B$10+F180)/(1+F180/(1000*$B$11))</f>
        <v/>
      </c>
      <c r="H180" s="30">
        <f>F180/(1+F180/(1000*$B$11))</f>
        <v/>
      </c>
      <c r="I180" s="37">
        <f>M179</f>
        <v/>
      </c>
      <c r="J180" s="37">
        <f>N179</f>
        <v/>
      </c>
      <c r="K180" s="16">
        <f>(E180/60)/($B$3*PI()/4*(I180/1000)^2)</f>
        <v/>
      </c>
      <c r="L180" s="23">
        <f>C180*$B$7*H180*K180^2*$B$9*60*1000</f>
        <v/>
      </c>
      <c r="M180" s="37">
        <f>I180+L180</f>
        <v/>
      </c>
      <c r="N180" s="37">
        <f>MIN($B$6,J180+C180*$B$8*H180*K180^2*(1-J180/$B$6)*$B$9*60)</f>
        <v/>
      </c>
      <c r="O180" s="11">
        <f>IF(C180=1,Inputs!$B$12*G180*E180^2/($B$3^2*M180^4*N180^2),NA())</f>
        <v/>
      </c>
      <c r="P180" s="30">
        <f>P179+C180*E180/(1+F180/(1000*$B$11))*F180*$B$9/$B$3</f>
        <v/>
      </c>
      <c r="Q180" s="38">
        <f>C180*H180*(E180/60)^2*$B$9*60</f>
        <v/>
      </c>
    </row>
    <row r="181">
      <c r="A181" s="7" t="n">
        <v>121</v>
      </c>
      <c r="B181" s="30">
        <f>A181*$B$9</f>
        <v/>
      </c>
      <c r="C181" s="15">
        <f>IF(B181&lt;=$B$12+0.000000001,1,0)</f>
        <v/>
      </c>
      <c r="D181" s="15">
        <f>IF(C181=1,MATCH(B181-$B$9/2,$E$16:$E$35,1),0)</f>
        <v/>
      </c>
      <c r="E181" s="16">
        <f>IF(C181=1,INDEX($C$16:$C$35,D181),0)</f>
        <v/>
      </c>
      <c r="F181" s="15">
        <f>IF(C181=1,N(INDEX($D$16:$D$35,D181)),0)</f>
        <v/>
      </c>
      <c r="G181" s="30">
        <f>($B$10+F181)/(1+F181/(1000*$B$11))</f>
        <v/>
      </c>
      <c r="H181" s="30">
        <f>F181/(1+F181/(1000*$B$11))</f>
        <v/>
      </c>
      <c r="I181" s="37">
        <f>M180</f>
        <v/>
      </c>
      <c r="J181" s="37">
        <f>N180</f>
        <v/>
      </c>
      <c r="K181" s="16">
        <f>(E181/60)/($B$3*PI()/4*(I181/1000)^2)</f>
        <v/>
      </c>
      <c r="L181" s="23">
        <f>C181*$B$7*H181*K181^2*$B$9*60*1000</f>
        <v/>
      </c>
      <c r="M181" s="37">
        <f>I181+L181</f>
        <v/>
      </c>
      <c r="N181" s="37">
        <f>MIN($B$6,J181+C181*$B$8*H181*K181^2*(1-J181/$B$6)*$B$9*60)</f>
        <v/>
      </c>
      <c r="O181" s="11">
        <f>IF(C181=1,Inputs!$B$12*G181*E181^2/($B$3^2*M181^4*N181^2),NA())</f>
        <v/>
      </c>
      <c r="P181" s="30">
        <f>P180+C181*E181/(1+F181/(1000*$B$11))*F181*$B$9/$B$3</f>
        <v/>
      </c>
      <c r="Q181" s="38">
        <f>C181*H181*(E181/60)^2*$B$9*60</f>
        <v/>
      </c>
    </row>
    <row r="182">
      <c r="A182" s="7" t="n">
        <v>122</v>
      </c>
      <c r="B182" s="30">
        <f>A182*$B$9</f>
        <v/>
      </c>
      <c r="C182" s="15">
        <f>IF(B182&lt;=$B$12+0.000000001,1,0)</f>
        <v/>
      </c>
      <c r="D182" s="15">
        <f>IF(C182=1,MATCH(B182-$B$9/2,$E$16:$E$35,1),0)</f>
        <v/>
      </c>
      <c r="E182" s="16">
        <f>IF(C182=1,INDEX($C$16:$C$35,D182),0)</f>
        <v/>
      </c>
      <c r="F182" s="15">
        <f>IF(C182=1,N(INDEX($D$16:$D$35,D182)),0)</f>
        <v/>
      </c>
      <c r="G182" s="30">
        <f>($B$10+F182)/(1+F182/(1000*$B$11))</f>
        <v/>
      </c>
      <c r="H182" s="30">
        <f>F182/(1+F182/(1000*$B$11))</f>
        <v/>
      </c>
      <c r="I182" s="37">
        <f>M181</f>
        <v/>
      </c>
      <c r="J182" s="37">
        <f>N181</f>
        <v/>
      </c>
      <c r="K182" s="16">
        <f>(E182/60)/($B$3*PI()/4*(I182/1000)^2)</f>
        <v/>
      </c>
      <c r="L182" s="23">
        <f>C182*$B$7*H182*K182^2*$B$9*60*1000</f>
        <v/>
      </c>
      <c r="M182" s="37">
        <f>I182+L182</f>
        <v/>
      </c>
      <c r="N182" s="37">
        <f>MIN($B$6,J182+C182*$B$8*H182*K182^2*(1-J182/$B$6)*$B$9*60)</f>
        <v/>
      </c>
      <c r="O182" s="11">
        <f>IF(C182=1,Inputs!$B$12*G182*E182^2/($B$3^2*M182^4*N182^2),NA())</f>
        <v/>
      </c>
      <c r="P182" s="30">
        <f>P181+C182*E182/(1+F182/(1000*$B$11))*F182*$B$9/$B$3</f>
        <v/>
      </c>
      <c r="Q182" s="38">
        <f>C182*H182*(E182/60)^2*$B$9*60</f>
        <v/>
      </c>
    </row>
    <row r="183">
      <c r="A183" s="7" t="n">
        <v>123</v>
      </c>
      <c r="B183" s="30">
        <f>A183*$B$9</f>
        <v/>
      </c>
      <c r="C183" s="15">
        <f>IF(B183&lt;=$B$12+0.000000001,1,0)</f>
        <v/>
      </c>
      <c r="D183" s="15">
        <f>IF(C183=1,MATCH(B183-$B$9/2,$E$16:$E$35,1),0)</f>
        <v/>
      </c>
      <c r="E183" s="16">
        <f>IF(C183=1,INDEX($C$16:$C$35,D183),0)</f>
        <v/>
      </c>
      <c r="F183" s="15">
        <f>IF(C183=1,N(INDEX($D$16:$D$35,D183)),0)</f>
        <v/>
      </c>
      <c r="G183" s="30">
        <f>($B$10+F183)/(1+F183/(1000*$B$11))</f>
        <v/>
      </c>
      <c r="H183" s="30">
        <f>F183/(1+F183/(1000*$B$11))</f>
        <v/>
      </c>
      <c r="I183" s="37">
        <f>M182</f>
        <v/>
      </c>
      <c r="J183" s="37">
        <f>N182</f>
        <v/>
      </c>
      <c r="K183" s="16">
        <f>(E183/60)/($B$3*PI()/4*(I183/1000)^2)</f>
        <v/>
      </c>
      <c r="L183" s="23">
        <f>C183*$B$7*H183*K183^2*$B$9*60*1000</f>
        <v/>
      </c>
      <c r="M183" s="37">
        <f>I183+L183</f>
        <v/>
      </c>
      <c r="N183" s="37">
        <f>MIN($B$6,J183+C183*$B$8*H183*K183^2*(1-J183/$B$6)*$B$9*60)</f>
        <v/>
      </c>
      <c r="O183" s="11">
        <f>IF(C183=1,Inputs!$B$12*G183*E183^2/($B$3^2*M183^4*N183^2),NA())</f>
        <v/>
      </c>
      <c r="P183" s="30">
        <f>P182+C183*E183/(1+F183/(1000*$B$11))*F183*$B$9/$B$3</f>
        <v/>
      </c>
      <c r="Q183" s="38">
        <f>C183*H183*(E183/60)^2*$B$9*60</f>
        <v/>
      </c>
    </row>
    <row r="184">
      <c r="A184" s="7" t="n">
        <v>124</v>
      </c>
      <c r="B184" s="30">
        <f>A184*$B$9</f>
        <v/>
      </c>
      <c r="C184" s="15">
        <f>IF(B184&lt;=$B$12+0.000000001,1,0)</f>
        <v/>
      </c>
      <c r="D184" s="15">
        <f>IF(C184=1,MATCH(B184-$B$9/2,$E$16:$E$35,1),0)</f>
        <v/>
      </c>
      <c r="E184" s="16">
        <f>IF(C184=1,INDEX($C$16:$C$35,D184),0)</f>
        <v/>
      </c>
      <c r="F184" s="15">
        <f>IF(C184=1,N(INDEX($D$16:$D$35,D184)),0)</f>
        <v/>
      </c>
      <c r="G184" s="30">
        <f>($B$10+F184)/(1+F184/(1000*$B$11))</f>
        <v/>
      </c>
      <c r="H184" s="30">
        <f>F184/(1+F184/(1000*$B$11))</f>
        <v/>
      </c>
      <c r="I184" s="37">
        <f>M183</f>
        <v/>
      </c>
      <c r="J184" s="37">
        <f>N183</f>
        <v/>
      </c>
      <c r="K184" s="16">
        <f>(E184/60)/($B$3*PI()/4*(I184/1000)^2)</f>
        <v/>
      </c>
      <c r="L184" s="23">
        <f>C184*$B$7*H184*K184^2*$B$9*60*1000</f>
        <v/>
      </c>
      <c r="M184" s="37">
        <f>I184+L184</f>
        <v/>
      </c>
      <c r="N184" s="37">
        <f>MIN($B$6,J184+C184*$B$8*H184*K184^2*(1-J184/$B$6)*$B$9*60)</f>
        <v/>
      </c>
      <c r="O184" s="11">
        <f>IF(C184=1,Inputs!$B$12*G184*E184^2/($B$3^2*M184^4*N184^2),NA())</f>
        <v/>
      </c>
      <c r="P184" s="30">
        <f>P183+C184*E184/(1+F184/(1000*$B$11))*F184*$B$9/$B$3</f>
        <v/>
      </c>
      <c r="Q184" s="38">
        <f>C184*H184*(E184/60)^2*$B$9*60</f>
        <v/>
      </c>
    </row>
    <row r="185">
      <c r="A185" s="7" t="n">
        <v>125</v>
      </c>
      <c r="B185" s="30">
        <f>A185*$B$9</f>
        <v/>
      </c>
      <c r="C185" s="15">
        <f>IF(B185&lt;=$B$12+0.000000001,1,0)</f>
        <v/>
      </c>
      <c r="D185" s="15">
        <f>IF(C185=1,MATCH(B185-$B$9/2,$E$16:$E$35,1),0)</f>
        <v/>
      </c>
      <c r="E185" s="16">
        <f>IF(C185=1,INDEX($C$16:$C$35,D185),0)</f>
        <v/>
      </c>
      <c r="F185" s="15">
        <f>IF(C185=1,N(INDEX($D$16:$D$35,D185)),0)</f>
        <v/>
      </c>
      <c r="G185" s="30">
        <f>($B$10+F185)/(1+F185/(1000*$B$11))</f>
        <v/>
      </c>
      <c r="H185" s="30">
        <f>F185/(1+F185/(1000*$B$11))</f>
        <v/>
      </c>
      <c r="I185" s="37">
        <f>M184</f>
        <v/>
      </c>
      <c r="J185" s="37">
        <f>N184</f>
        <v/>
      </c>
      <c r="K185" s="16">
        <f>(E185/60)/($B$3*PI()/4*(I185/1000)^2)</f>
        <v/>
      </c>
      <c r="L185" s="23">
        <f>C185*$B$7*H185*K185^2*$B$9*60*1000</f>
        <v/>
      </c>
      <c r="M185" s="37">
        <f>I185+L185</f>
        <v/>
      </c>
      <c r="N185" s="37">
        <f>MIN($B$6,J185+C185*$B$8*H185*K185^2*(1-J185/$B$6)*$B$9*60)</f>
        <v/>
      </c>
      <c r="O185" s="11">
        <f>IF(C185=1,Inputs!$B$12*G185*E185^2/($B$3^2*M185^4*N185^2),NA())</f>
        <v/>
      </c>
      <c r="P185" s="30">
        <f>P184+C185*E185/(1+F185/(1000*$B$11))*F185*$B$9/$B$3</f>
        <v/>
      </c>
      <c r="Q185" s="38">
        <f>C185*H185*(E185/60)^2*$B$9*60</f>
        <v/>
      </c>
    </row>
    <row r="186">
      <c r="A186" s="7" t="n">
        <v>126</v>
      </c>
      <c r="B186" s="30">
        <f>A186*$B$9</f>
        <v/>
      </c>
      <c r="C186" s="15">
        <f>IF(B186&lt;=$B$12+0.000000001,1,0)</f>
        <v/>
      </c>
      <c r="D186" s="15">
        <f>IF(C186=1,MATCH(B186-$B$9/2,$E$16:$E$35,1),0)</f>
        <v/>
      </c>
      <c r="E186" s="16">
        <f>IF(C186=1,INDEX($C$16:$C$35,D186),0)</f>
        <v/>
      </c>
      <c r="F186" s="15">
        <f>IF(C186=1,N(INDEX($D$16:$D$35,D186)),0)</f>
        <v/>
      </c>
      <c r="G186" s="30">
        <f>($B$10+F186)/(1+F186/(1000*$B$11))</f>
        <v/>
      </c>
      <c r="H186" s="30">
        <f>F186/(1+F186/(1000*$B$11))</f>
        <v/>
      </c>
      <c r="I186" s="37">
        <f>M185</f>
        <v/>
      </c>
      <c r="J186" s="37">
        <f>N185</f>
        <v/>
      </c>
      <c r="K186" s="16">
        <f>(E186/60)/($B$3*PI()/4*(I186/1000)^2)</f>
        <v/>
      </c>
      <c r="L186" s="23">
        <f>C186*$B$7*H186*K186^2*$B$9*60*1000</f>
        <v/>
      </c>
      <c r="M186" s="37">
        <f>I186+L186</f>
        <v/>
      </c>
      <c r="N186" s="37">
        <f>MIN($B$6,J186+C186*$B$8*H186*K186^2*(1-J186/$B$6)*$B$9*60)</f>
        <v/>
      </c>
      <c r="O186" s="11">
        <f>IF(C186=1,Inputs!$B$12*G186*E186^2/($B$3^2*M186^4*N186^2),NA())</f>
        <v/>
      </c>
      <c r="P186" s="30">
        <f>P185+C186*E186/(1+F186/(1000*$B$11))*F186*$B$9/$B$3</f>
        <v/>
      </c>
      <c r="Q186" s="38">
        <f>C186*H186*(E186/60)^2*$B$9*60</f>
        <v/>
      </c>
    </row>
    <row r="187">
      <c r="A187" s="7" t="n">
        <v>127</v>
      </c>
      <c r="B187" s="30">
        <f>A187*$B$9</f>
        <v/>
      </c>
      <c r="C187" s="15">
        <f>IF(B187&lt;=$B$12+0.000000001,1,0)</f>
        <v/>
      </c>
      <c r="D187" s="15">
        <f>IF(C187=1,MATCH(B187-$B$9/2,$E$16:$E$35,1),0)</f>
        <v/>
      </c>
      <c r="E187" s="16">
        <f>IF(C187=1,INDEX($C$16:$C$35,D187),0)</f>
        <v/>
      </c>
      <c r="F187" s="15">
        <f>IF(C187=1,N(INDEX($D$16:$D$35,D187)),0)</f>
        <v/>
      </c>
      <c r="G187" s="30">
        <f>($B$10+F187)/(1+F187/(1000*$B$11))</f>
        <v/>
      </c>
      <c r="H187" s="30">
        <f>F187/(1+F187/(1000*$B$11))</f>
        <v/>
      </c>
      <c r="I187" s="37">
        <f>M186</f>
        <v/>
      </c>
      <c r="J187" s="37">
        <f>N186</f>
        <v/>
      </c>
      <c r="K187" s="16">
        <f>(E187/60)/($B$3*PI()/4*(I187/1000)^2)</f>
        <v/>
      </c>
      <c r="L187" s="23">
        <f>C187*$B$7*H187*K187^2*$B$9*60*1000</f>
        <v/>
      </c>
      <c r="M187" s="37">
        <f>I187+L187</f>
        <v/>
      </c>
      <c r="N187" s="37">
        <f>MIN($B$6,J187+C187*$B$8*H187*K187^2*(1-J187/$B$6)*$B$9*60)</f>
        <v/>
      </c>
      <c r="O187" s="11">
        <f>IF(C187=1,Inputs!$B$12*G187*E187^2/($B$3^2*M187^4*N187^2),NA())</f>
        <v/>
      </c>
      <c r="P187" s="30">
        <f>P186+C187*E187/(1+F187/(1000*$B$11))*F187*$B$9/$B$3</f>
        <v/>
      </c>
      <c r="Q187" s="38">
        <f>C187*H187*(E187/60)^2*$B$9*60</f>
        <v/>
      </c>
    </row>
    <row r="188">
      <c r="A188" s="7" t="n">
        <v>128</v>
      </c>
      <c r="B188" s="30">
        <f>A188*$B$9</f>
        <v/>
      </c>
      <c r="C188" s="15">
        <f>IF(B188&lt;=$B$12+0.000000001,1,0)</f>
        <v/>
      </c>
      <c r="D188" s="15">
        <f>IF(C188=1,MATCH(B188-$B$9/2,$E$16:$E$35,1),0)</f>
        <v/>
      </c>
      <c r="E188" s="16">
        <f>IF(C188=1,INDEX($C$16:$C$35,D188),0)</f>
        <v/>
      </c>
      <c r="F188" s="15">
        <f>IF(C188=1,N(INDEX($D$16:$D$35,D188)),0)</f>
        <v/>
      </c>
      <c r="G188" s="30">
        <f>($B$10+F188)/(1+F188/(1000*$B$11))</f>
        <v/>
      </c>
      <c r="H188" s="30">
        <f>F188/(1+F188/(1000*$B$11))</f>
        <v/>
      </c>
      <c r="I188" s="37">
        <f>M187</f>
        <v/>
      </c>
      <c r="J188" s="37">
        <f>N187</f>
        <v/>
      </c>
      <c r="K188" s="16">
        <f>(E188/60)/($B$3*PI()/4*(I188/1000)^2)</f>
        <v/>
      </c>
      <c r="L188" s="23">
        <f>C188*$B$7*H188*K188^2*$B$9*60*1000</f>
        <v/>
      </c>
      <c r="M188" s="37">
        <f>I188+L188</f>
        <v/>
      </c>
      <c r="N188" s="37">
        <f>MIN($B$6,J188+C188*$B$8*H188*K188^2*(1-J188/$B$6)*$B$9*60)</f>
        <v/>
      </c>
      <c r="O188" s="11">
        <f>IF(C188=1,Inputs!$B$12*G188*E188^2/($B$3^2*M188^4*N188^2),NA())</f>
        <v/>
      </c>
      <c r="P188" s="30">
        <f>P187+C188*E188/(1+F188/(1000*$B$11))*F188*$B$9/$B$3</f>
        <v/>
      </c>
      <c r="Q188" s="38">
        <f>C188*H188*(E188/60)^2*$B$9*60</f>
        <v/>
      </c>
    </row>
    <row r="189">
      <c r="A189" s="7" t="n">
        <v>129</v>
      </c>
      <c r="B189" s="30">
        <f>A189*$B$9</f>
        <v/>
      </c>
      <c r="C189" s="15">
        <f>IF(B189&lt;=$B$12+0.000000001,1,0)</f>
        <v/>
      </c>
      <c r="D189" s="15">
        <f>IF(C189=1,MATCH(B189-$B$9/2,$E$16:$E$35,1),0)</f>
        <v/>
      </c>
      <c r="E189" s="16">
        <f>IF(C189=1,INDEX($C$16:$C$35,D189),0)</f>
        <v/>
      </c>
      <c r="F189" s="15">
        <f>IF(C189=1,N(INDEX($D$16:$D$35,D189)),0)</f>
        <v/>
      </c>
      <c r="G189" s="30">
        <f>($B$10+F189)/(1+F189/(1000*$B$11))</f>
        <v/>
      </c>
      <c r="H189" s="30">
        <f>F189/(1+F189/(1000*$B$11))</f>
        <v/>
      </c>
      <c r="I189" s="37">
        <f>M188</f>
        <v/>
      </c>
      <c r="J189" s="37">
        <f>N188</f>
        <v/>
      </c>
      <c r="K189" s="16">
        <f>(E189/60)/($B$3*PI()/4*(I189/1000)^2)</f>
        <v/>
      </c>
      <c r="L189" s="23">
        <f>C189*$B$7*H189*K189^2*$B$9*60*1000</f>
        <v/>
      </c>
      <c r="M189" s="37">
        <f>I189+L189</f>
        <v/>
      </c>
      <c r="N189" s="37">
        <f>MIN($B$6,J189+C189*$B$8*H189*K189^2*(1-J189/$B$6)*$B$9*60)</f>
        <v/>
      </c>
      <c r="O189" s="11">
        <f>IF(C189=1,Inputs!$B$12*G189*E189^2/($B$3^2*M189^4*N189^2),NA())</f>
        <v/>
      </c>
      <c r="P189" s="30">
        <f>P188+C189*E189/(1+F189/(1000*$B$11))*F189*$B$9/$B$3</f>
        <v/>
      </c>
      <c r="Q189" s="38">
        <f>C189*H189*(E189/60)^2*$B$9*60</f>
        <v/>
      </c>
    </row>
    <row r="190">
      <c r="A190" s="7" t="n">
        <v>130</v>
      </c>
      <c r="B190" s="30">
        <f>A190*$B$9</f>
        <v/>
      </c>
      <c r="C190" s="15">
        <f>IF(B190&lt;=$B$12+0.000000001,1,0)</f>
        <v/>
      </c>
      <c r="D190" s="15">
        <f>IF(C190=1,MATCH(B190-$B$9/2,$E$16:$E$35,1),0)</f>
        <v/>
      </c>
      <c r="E190" s="16">
        <f>IF(C190=1,INDEX($C$16:$C$35,D190),0)</f>
        <v/>
      </c>
      <c r="F190" s="15">
        <f>IF(C190=1,N(INDEX($D$16:$D$35,D190)),0)</f>
        <v/>
      </c>
      <c r="G190" s="30">
        <f>($B$10+F190)/(1+F190/(1000*$B$11))</f>
        <v/>
      </c>
      <c r="H190" s="30">
        <f>F190/(1+F190/(1000*$B$11))</f>
        <v/>
      </c>
      <c r="I190" s="37">
        <f>M189</f>
        <v/>
      </c>
      <c r="J190" s="37">
        <f>N189</f>
        <v/>
      </c>
      <c r="K190" s="16">
        <f>(E190/60)/($B$3*PI()/4*(I190/1000)^2)</f>
        <v/>
      </c>
      <c r="L190" s="23">
        <f>C190*$B$7*H190*K190^2*$B$9*60*1000</f>
        <v/>
      </c>
      <c r="M190" s="37">
        <f>I190+L190</f>
        <v/>
      </c>
      <c r="N190" s="37">
        <f>MIN($B$6,J190+C190*$B$8*H190*K190^2*(1-J190/$B$6)*$B$9*60)</f>
        <v/>
      </c>
      <c r="O190" s="11">
        <f>IF(C190=1,Inputs!$B$12*G190*E190^2/($B$3^2*M190^4*N190^2),NA())</f>
        <v/>
      </c>
      <c r="P190" s="30">
        <f>P189+C190*E190/(1+F190/(1000*$B$11))*F190*$B$9/$B$3</f>
        <v/>
      </c>
      <c r="Q190" s="38">
        <f>C190*H190*(E190/60)^2*$B$9*60</f>
        <v/>
      </c>
    </row>
    <row r="191">
      <c r="A191" s="7" t="n">
        <v>131</v>
      </c>
      <c r="B191" s="30">
        <f>A191*$B$9</f>
        <v/>
      </c>
      <c r="C191" s="15">
        <f>IF(B191&lt;=$B$12+0.000000001,1,0)</f>
        <v/>
      </c>
      <c r="D191" s="15">
        <f>IF(C191=1,MATCH(B191-$B$9/2,$E$16:$E$35,1),0)</f>
        <v/>
      </c>
      <c r="E191" s="16">
        <f>IF(C191=1,INDEX($C$16:$C$35,D191),0)</f>
        <v/>
      </c>
      <c r="F191" s="15">
        <f>IF(C191=1,N(INDEX($D$16:$D$35,D191)),0)</f>
        <v/>
      </c>
      <c r="G191" s="30">
        <f>($B$10+F191)/(1+F191/(1000*$B$11))</f>
        <v/>
      </c>
      <c r="H191" s="30">
        <f>F191/(1+F191/(1000*$B$11))</f>
        <v/>
      </c>
      <c r="I191" s="37">
        <f>M190</f>
        <v/>
      </c>
      <c r="J191" s="37">
        <f>N190</f>
        <v/>
      </c>
      <c r="K191" s="16">
        <f>(E191/60)/($B$3*PI()/4*(I191/1000)^2)</f>
        <v/>
      </c>
      <c r="L191" s="23">
        <f>C191*$B$7*H191*K191^2*$B$9*60*1000</f>
        <v/>
      </c>
      <c r="M191" s="37">
        <f>I191+L191</f>
        <v/>
      </c>
      <c r="N191" s="37">
        <f>MIN($B$6,J191+C191*$B$8*H191*K191^2*(1-J191/$B$6)*$B$9*60)</f>
        <v/>
      </c>
      <c r="O191" s="11">
        <f>IF(C191=1,Inputs!$B$12*G191*E191^2/($B$3^2*M191^4*N191^2),NA())</f>
        <v/>
      </c>
      <c r="P191" s="30">
        <f>P190+C191*E191/(1+F191/(1000*$B$11))*F191*$B$9/$B$3</f>
        <v/>
      </c>
      <c r="Q191" s="38">
        <f>C191*H191*(E191/60)^2*$B$9*60</f>
        <v/>
      </c>
    </row>
    <row r="192">
      <c r="A192" s="7" t="n">
        <v>132</v>
      </c>
      <c r="B192" s="30">
        <f>A192*$B$9</f>
        <v/>
      </c>
      <c r="C192" s="15">
        <f>IF(B192&lt;=$B$12+0.000000001,1,0)</f>
        <v/>
      </c>
      <c r="D192" s="15">
        <f>IF(C192=1,MATCH(B192-$B$9/2,$E$16:$E$35,1),0)</f>
        <v/>
      </c>
      <c r="E192" s="16">
        <f>IF(C192=1,INDEX($C$16:$C$35,D192),0)</f>
        <v/>
      </c>
      <c r="F192" s="15">
        <f>IF(C192=1,N(INDEX($D$16:$D$35,D192)),0)</f>
        <v/>
      </c>
      <c r="G192" s="30">
        <f>($B$10+F192)/(1+F192/(1000*$B$11))</f>
        <v/>
      </c>
      <c r="H192" s="30">
        <f>F192/(1+F192/(1000*$B$11))</f>
        <v/>
      </c>
      <c r="I192" s="37">
        <f>M191</f>
        <v/>
      </c>
      <c r="J192" s="37">
        <f>N191</f>
        <v/>
      </c>
      <c r="K192" s="16">
        <f>(E192/60)/($B$3*PI()/4*(I192/1000)^2)</f>
        <v/>
      </c>
      <c r="L192" s="23">
        <f>C192*$B$7*H192*K192^2*$B$9*60*1000</f>
        <v/>
      </c>
      <c r="M192" s="37">
        <f>I192+L192</f>
        <v/>
      </c>
      <c r="N192" s="37">
        <f>MIN($B$6,J192+C192*$B$8*H192*K192^2*(1-J192/$B$6)*$B$9*60)</f>
        <v/>
      </c>
      <c r="O192" s="11">
        <f>IF(C192=1,Inputs!$B$12*G192*E192^2/($B$3^2*M192^4*N192^2),NA())</f>
        <v/>
      </c>
      <c r="P192" s="30">
        <f>P191+C192*E192/(1+F192/(1000*$B$11))*F192*$B$9/$B$3</f>
        <v/>
      </c>
      <c r="Q192" s="38">
        <f>C192*H192*(E192/60)^2*$B$9*60</f>
        <v/>
      </c>
    </row>
    <row r="193">
      <c r="A193" s="7" t="n">
        <v>133</v>
      </c>
      <c r="B193" s="30">
        <f>A193*$B$9</f>
        <v/>
      </c>
      <c r="C193" s="15">
        <f>IF(B193&lt;=$B$12+0.000000001,1,0)</f>
        <v/>
      </c>
      <c r="D193" s="15">
        <f>IF(C193=1,MATCH(B193-$B$9/2,$E$16:$E$35,1),0)</f>
        <v/>
      </c>
      <c r="E193" s="16">
        <f>IF(C193=1,INDEX($C$16:$C$35,D193),0)</f>
        <v/>
      </c>
      <c r="F193" s="15">
        <f>IF(C193=1,N(INDEX($D$16:$D$35,D193)),0)</f>
        <v/>
      </c>
      <c r="G193" s="30">
        <f>($B$10+F193)/(1+F193/(1000*$B$11))</f>
        <v/>
      </c>
      <c r="H193" s="30">
        <f>F193/(1+F193/(1000*$B$11))</f>
        <v/>
      </c>
      <c r="I193" s="37">
        <f>M192</f>
        <v/>
      </c>
      <c r="J193" s="37">
        <f>N192</f>
        <v/>
      </c>
      <c r="K193" s="16">
        <f>(E193/60)/($B$3*PI()/4*(I193/1000)^2)</f>
        <v/>
      </c>
      <c r="L193" s="23">
        <f>C193*$B$7*H193*K193^2*$B$9*60*1000</f>
        <v/>
      </c>
      <c r="M193" s="37">
        <f>I193+L193</f>
        <v/>
      </c>
      <c r="N193" s="37">
        <f>MIN($B$6,J193+C193*$B$8*H193*K193^2*(1-J193/$B$6)*$B$9*60)</f>
        <v/>
      </c>
      <c r="O193" s="11">
        <f>IF(C193=1,Inputs!$B$12*G193*E193^2/($B$3^2*M193^4*N193^2),NA())</f>
        <v/>
      </c>
      <c r="P193" s="30">
        <f>P192+C193*E193/(1+F193/(1000*$B$11))*F193*$B$9/$B$3</f>
        <v/>
      </c>
      <c r="Q193" s="38">
        <f>C193*H193*(E193/60)^2*$B$9*60</f>
        <v/>
      </c>
    </row>
    <row r="194">
      <c r="A194" s="7" t="n">
        <v>134</v>
      </c>
      <c r="B194" s="30">
        <f>A194*$B$9</f>
        <v/>
      </c>
      <c r="C194" s="15">
        <f>IF(B194&lt;=$B$12+0.000000001,1,0)</f>
        <v/>
      </c>
      <c r="D194" s="15">
        <f>IF(C194=1,MATCH(B194-$B$9/2,$E$16:$E$35,1),0)</f>
        <v/>
      </c>
      <c r="E194" s="16">
        <f>IF(C194=1,INDEX($C$16:$C$35,D194),0)</f>
        <v/>
      </c>
      <c r="F194" s="15">
        <f>IF(C194=1,N(INDEX($D$16:$D$35,D194)),0)</f>
        <v/>
      </c>
      <c r="G194" s="30">
        <f>($B$10+F194)/(1+F194/(1000*$B$11))</f>
        <v/>
      </c>
      <c r="H194" s="30">
        <f>F194/(1+F194/(1000*$B$11))</f>
        <v/>
      </c>
      <c r="I194" s="37">
        <f>M193</f>
        <v/>
      </c>
      <c r="J194" s="37">
        <f>N193</f>
        <v/>
      </c>
      <c r="K194" s="16">
        <f>(E194/60)/($B$3*PI()/4*(I194/1000)^2)</f>
        <v/>
      </c>
      <c r="L194" s="23">
        <f>C194*$B$7*H194*K194^2*$B$9*60*1000</f>
        <v/>
      </c>
      <c r="M194" s="37">
        <f>I194+L194</f>
        <v/>
      </c>
      <c r="N194" s="37">
        <f>MIN($B$6,J194+C194*$B$8*H194*K194^2*(1-J194/$B$6)*$B$9*60)</f>
        <v/>
      </c>
      <c r="O194" s="11">
        <f>IF(C194=1,Inputs!$B$12*G194*E194^2/($B$3^2*M194^4*N194^2),NA())</f>
        <v/>
      </c>
      <c r="P194" s="30">
        <f>P193+C194*E194/(1+F194/(1000*$B$11))*F194*$B$9/$B$3</f>
        <v/>
      </c>
      <c r="Q194" s="38">
        <f>C194*H194*(E194/60)^2*$B$9*60</f>
        <v/>
      </c>
    </row>
    <row r="195">
      <c r="A195" s="7" t="n">
        <v>135</v>
      </c>
      <c r="B195" s="30">
        <f>A195*$B$9</f>
        <v/>
      </c>
      <c r="C195" s="15">
        <f>IF(B195&lt;=$B$12+0.000000001,1,0)</f>
        <v/>
      </c>
      <c r="D195" s="15">
        <f>IF(C195=1,MATCH(B195-$B$9/2,$E$16:$E$35,1),0)</f>
        <v/>
      </c>
      <c r="E195" s="16">
        <f>IF(C195=1,INDEX($C$16:$C$35,D195),0)</f>
        <v/>
      </c>
      <c r="F195" s="15">
        <f>IF(C195=1,N(INDEX($D$16:$D$35,D195)),0)</f>
        <v/>
      </c>
      <c r="G195" s="30">
        <f>($B$10+F195)/(1+F195/(1000*$B$11))</f>
        <v/>
      </c>
      <c r="H195" s="30">
        <f>F195/(1+F195/(1000*$B$11))</f>
        <v/>
      </c>
      <c r="I195" s="37">
        <f>M194</f>
        <v/>
      </c>
      <c r="J195" s="37">
        <f>N194</f>
        <v/>
      </c>
      <c r="K195" s="16">
        <f>(E195/60)/($B$3*PI()/4*(I195/1000)^2)</f>
        <v/>
      </c>
      <c r="L195" s="23">
        <f>C195*$B$7*H195*K195^2*$B$9*60*1000</f>
        <v/>
      </c>
      <c r="M195" s="37">
        <f>I195+L195</f>
        <v/>
      </c>
      <c r="N195" s="37">
        <f>MIN($B$6,J195+C195*$B$8*H195*K195^2*(1-J195/$B$6)*$B$9*60)</f>
        <v/>
      </c>
      <c r="O195" s="11">
        <f>IF(C195=1,Inputs!$B$12*G195*E195^2/($B$3^2*M195^4*N195^2),NA())</f>
        <v/>
      </c>
      <c r="P195" s="30">
        <f>P194+C195*E195/(1+F195/(1000*$B$11))*F195*$B$9/$B$3</f>
        <v/>
      </c>
      <c r="Q195" s="38">
        <f>C195*H195*(E195/60)^2*$B$9*60</f>
        <v/>
      </c>
    </row>
    <row r="196">
      <c r="A196" s="7" t="n">
        <v>136</v>
      </c>
      <c r="B196" s="30">
        <f>A196*$B$9</f>
        <v/>
      </c>
      <c r="C196" s="15">
        <f>IF(B196&lt;=$B$12+0.000000001,1,0)</f>
        <v/>
      </c>
      <c r="D196" s="15">
        <f>IF(C196=1,MATCH(B196-$B$9/2,$E$16:$E$35,1),0)</f>
        <v/>
      </c>
      <c r="E196" s="16">
        <f>IF(C196=1,INDEX($C$16:$C$35,D196),0)</f>
        <v/>
      </c>
      <c r="F196" s="15">
        <f>IF(C196=1,N(INDEX($D$16:$D$35,D196)),0)</f>
        <v/>
      </c>
      <c r="G196" s="30">
        <f>($B$10+F196)/(1+F196/(1000*$B$11))</f>
        <v/>
      </c>
      <c r="H196" s="30">
        <f>F196/(1+F196/(1000*$B$11))</f>
        <v/>
      </c>
      <c r="I196" s="37">
        <f>M195</f>
        <v/>
      </c>
      <c r="J196" s="37">
        <f>N195</f>
        <v/>
      </c>
      <c r="K196" s="16">
        <f>(E196/60)/($B$3*PI()/4*(I196/1000)^2)</f>
        <v/>
      </c>
      <c r="L196" s="23">
        <f>C196*$B$7*H196*K196^2*$B$9*60*1000</f>
        <v/>
      </c>
      <c r="M196" s="37">
        <f>I196+L196</f>
        <v/>
      </c>
      <c r="N196" s="37">
        <f>MIN($B$6,J196+C196*$B$8*H196*K196^2*(1-J196/$B$6)*$B$9*60)</f>
        <v/>
      </c>
      <c r="O196" s="11">
        <f>IF(C196=1,Inputs!$B$12*G196*E196^2/($B$3^2*M196^4*N196^2),NA())</f>
        <v/>
      </c>
      <c r="P196" s="30">
        <f>P195+C196*E196/(1+F196/(1000*$B$11))*F196*$B$9/$B$3</f>
        <v/>
      </c>
      <c r="Q196" s="38">
        <f>C196*H196*(E196/60)^2*$B$9*60</f>
        <v/>
      </c>
    </row>
    <row r="197">
      <c r="A197" s="7" t="n">
        <v>137</v>
      </c>
      <c r="B197" s="30">
        <f>A197*$B$9</f>
        <v/>
      </c>
      <c r="C197" s="15">
        <f>IF(B197&lt;=$B$12+0.000000001,1,0)</f>
        <v/>
      </c>
      <c r="D197" s="15">
        <f>IF(C197=1,MATCH(B197-$B$9/2,$E$16:$E$35,1),0)</f>
        <v/>
      </c>
      <c r="E197" s="16">
        <f>IF(C197=1,INDEX($C$16:$C$35,D197),0)</f>
        <v/>
      </c>
      <c r="F197" s="15">
        <f>IF(C197=1,N(INDEX($D$16:$D$35,D197)),0)</f>
        <v/>
      </c>
      <c r="G197" s="30">
        <f>($B$10+F197)/(1+F197/(1000*$B$11))</f>
        <v/>
      </c>
      <c r="H197" s="30">
        <f>F197/(1+F197/(1000*$B$11))</f>
        <v/>
      </c>
      <c r="I197" s="37">
        <f>M196</f>
        <v/>
      </c>
      <c r="J197" s="37">
        <f>N196</f>
        <v/>
      </c>
      <c r="K197" s="16">
        <f>(E197/60)/($B$3*PI()/4*(I197/1000)^2)</f>
        <v/>
      </c>
      <c r="L197" s="23">
        <f>C197*$B$7*H197*K197^2*$B$9*60*1000</f>
        <v/>
      </c>
      <c r="M197" s="37">
        <f>I197+L197</f>
        <v/>
      </c>
      <c r="N197" s="37">
        <f>MIN($B$6,J197+C197*$B$8*H197*K197^2*(1-J197/$B$6)*$B$9*60)</f>
        <v/>
      </c>
      <c r="O197" s="11">
        <f>IF(C197=1,Inputs!$B$12*G197*E197^2/($B$3^2*M197^4*N197^2),NA())</f>
        <v/>
      </c>
      <c r="P197" s="30">
        <f>P196+C197*E197/(1+F197/(1000*$B$11))*F197*$B$9/$B$3</f>
        <v/>
      </c>
      <c r="Q197" s="38">
        <f>C197*H197*(E197/60)^2*$B$9*60</f>
        <v/>
      </c>
    </row>
    <row r="198">
      <c r="A198" s="7" t="n">
        <v>138</v>
      </c>
      <c r="B198" s="30">
        <f>A198*$B$9</f>
        <v/>
      </c>
      <c r="C198" s="15">
        <f>IF(B198&lt;=$B$12+0.000000001,1,0)</f>
        <v/>
      </c>
      <c r="D198" s="15">
        <f>IF(C198=1,MATCH(B198-$B$9/2,$E$16:$E$35,1),0)</f>
        <v/>
      </c>
      <c r="E198" s="16">
        <f>IF(C198=1,INDEX($C$16:$C$35,D198),0)</f>
        <v/>
      </c>
      <c r="F198" s="15">
        <f>IF(C198=1,N(INDEX($D$16:$D$35,D198)),0)</f>
        <v/>
      </c>
      <c r="G198" s="30">
        <f>($B$10+F198)/(1+F198/(1000*$B$11))</f>
        <v/>
      </c>
      <c r="H198" s="30">
        <f>F198/(1+F198/(1000*$B$11))</f>
        <v/>
      </c>
      <c r="I198" s="37">
        <f>M197</f>
        <v/>
      </c>
      <c r="J198" s="37">
        <f>N197</f>
        <v/>
      </c>
      <c r="K198" s="16">
        <f>(E198/60)/($B$3*PI()/4*(I198/1000)^2)</f>
        <v/>
      </c>
      <c r="L198" s="23">
        <f>C198*$B$7*H198*K198^2*$B$9*60*1000</f>
        <v/>
      </c>
      <c r="M198" s="37">
        <f>I198+L198</f>
        <v/>
      </c>
      <c r="N198" s="37">
        <f>MIN($B$6,J198+C198*$B$8*H198*K198^2*(1-J198/$B$6)*$B$9*60)</f>
        <v/>
      </c>
      <c r="O198" s="11">
        <f>IF(C198=1,Inputs!$B$12*G198*E198^2/($B$3^2*M198^4*N198^2),NA())</f>
        <v/>
      </c>
      <c r="P198" s="30">
        <f>P197+C198*E198/(1+F198/(1000*$B$11))*F198*$B$9/$B$3</f>
        <v/>
      </c>
      <c r="Q198" s="38">
        <f>C198*H198*(E198/60)^2*$B$9*60</f>
        <v/>
      </c>
    </row>
    <row r="199">
      <c r="A199" s="7" t="n">
        <v>139</v>
      </c>
      <c r="B199" s="30">
        <f>A199*$B$9</f>
        <v/>
      </c>
      <c r="C199" s="15">
        <f>IF(B199&lt;=$B$12+0.000000001,1,0)</f>
        <v/>
      </c>
      <c r="D199" s="15">
        <f>IF(C199=1,MATCH(B199-$B$9/2,$E$16:$E$35,1),0)</f>
        <v/>
      </c>
      <c r="E199" s="16">
        <f>IF(C199=1,INDEX($C$16:$C$35,D199),0)</f>
        <v/>
      </c>
      <c r="F199" s="15">
        <f>IF(C199=1,N(INDEX($D$16:$D$35,D199)),0)</f>
        <v/>
      </c>
      <c r="G199" s="30">
        <f>($B$10+F199)/(1+F199/(1000*$B$11))</f>
        <v/>
      </c>
      <c r="H199" s="30">
        <f>F199/(1+F199/(1000*$B$11))</f>
        <v/>
      </c>
      <c r="I199" s="37">
        <f>M198</f>
        <v/>
      </c>
      <c r="J199" s="37">
        <f>N198</f>
        <v/>
      </c>
      <c r="K199" s="16">
        <f>(E199/60)/($B$3*PI()/4*(I199/1000)^2)</f>
        <v/>
      </c>
      <c r="L199" s="23">
        <f>C199*$B$7*H199*K199^2*$B$9*60*1000</f>
        <v/>
      </c>
      <c r="M199" s="37">
        <f>I199+L199</f>
        <v/>
      </c>
      <c r="N199" s="37">
        <f>MIN($B$6,J199+C199*$B$8*H199*K199^2*(1-J199/$B$6)*$B$9*60)</f>
        <v/>
      </c>
      <c r="O199" s="11">
        <f>IF(C199=1,Inputs!$B$12*G199*E199^2/($B$3^2*M199^4*N199^2),NA())</f>
        <v/>
      </c>
      <c r="P199" s="30">
        <f>P198+C199*E199/(1+F199/(1000*$B$11))*F199*$B$9/$B$3</f>
        <v/>
      </c>
      <c r="Q199" s="38">
        <f>C199*H199*(E199/60)^2*$B$9*60</f>
        <v/>
      </c>
    </row>
    <row r="200">
      <c r="A200" s="7" t="n">
        <v>140</v>
      </c>
      <c r="B200" s="30">
        <f>A200*$B$9</f>
        <v/>
      </c>
      <c r="C200" s="15">
        <f>IF(B200&lt;=$B$12+0.000000001,1,0)</f>
        <v/>
      </c>
      <c r="D200" s="15">
        <f>IF(C200=1,MATCH(B200-$B$9/2,$E$16:$E$35,1),0)</f>
        <v/>
      </c>
      <c r="E200" s="16">
        <f>IF(C200=1,INDEX($C$16:$C$35,D200),0)</f>
        <v/>
      </c>
      <c r="F200" s="15">
        <f>IF(C200=1,N(INDEX($D$16:$D$35,D200)),0)</f>
        <v/>
      </c>
      <c r="G200" s="30">
        <f>($B$10+F200)/(1+F200/(1000*$B$11))</f>
        <v/>
      </c>
      <c r="H200" s="30">
        <f>F200/(1+F200/(1000*$B$11))</f>
        <v/>
      </c>
      <c r="I200" s="37">
        <f>M199</f>
        <v/>
      </c>
      <c r="J200" s="37">
        <f>N199</f>
        <v/>
      </c>
      <c r="K200" s="16">
        <f>(E200/60)/($B$3*PI()/4*(I200/1000)^2)</f>
        <v/>
      </c>
      <c r="L200" s="23">
        <f>C200*$B$7*H200*K200^2*$B$9*60*1000</f>
        <v/>
      </c>
      <c r="M200" s="37">
        <f>I200+L200</f>
        <v/>
      </c>
      <c r="N200" s="37">
        <f>MIN($B$6,J200+C200*$B$8*H200*K200^2*(1-J200/$B$6)*$B$9*60)</f>
        <v/>
      </c>
      <c r="O200" s="11">
        <f>IF(C200=1,Inputs!$B$12*G200*E200^2/($B$3^2*M200^4*N200^2),NA())</f>
        <v/>
      </c>
      <c r="P200" s="30">
        <f>P199+C200*E200/(1+F200/(1000*$B$11))*F200*$B$9/$B$3</f>
        <v/>
      </c>
      <c r="Q200" s="38">
        <f>C200*H200*(E200/60)^2*$B$9*60</f>
        <v/>
      </c>
    </row>
    <row r="201">
      <c r="A201" s="7" t="n">
        <v>141</v>
      </c>
      <c r="B201" s="30">
        <f>A201*$B$9</f>
        <v/>
      </c>
      <c r="C201" s="15">
        <f>IF(B201&lt;=$B$12+0.000000001,1,0)</f>
        <v/>
      </c>
      <c r="D201" s="15">
        <f>IF(C201=1,MATCH(B201-$B$9/2,$E$16:$E$35,1),0)</f>
        <v/>
      </c>
      <c r="E201" s="16">
        <f>IF(C201=1,INDEX($C$16:$C$35,D201),0)</f>
        <v/>
      </c>
      <c r="F201" s="15">
        <f>IF(C201=1,N(INDEX($D$16:$D$35,D201)),0)</f>
        <v/>
      </c>
      <c r="G201" s="30">
        <f>($B$10+F201)/(1+F201/(1000*$B$11))</f>
        <v/>
      </c>
      <c r="H201" s="30">
        <f>F201/(1+F201/(1000*$B$11))</f>
        <v/>
      </c>
      <c r="I201" s="37">
        <f>M200</f>
        <v/>
      </c>
      <c r="J201" s="37">
        <f>N200</f>
        <v/>
      </c>
      <c r="K201" s="16">
        <f>(E201/60)/($B$3*PI()/4*(I201/1000)^2)</f>
        <v/>
      </c>
      <c r="L201" s="23">
        <f>C201*$B$7*H201*K201^2*$B$9*60*1000</f>
        <v/>
      </c>
      <c r="M201" s="37">
        <f>I201+L201</f>
        <v/>
      </c>
      <c r="N201" s="37">
        <f>MIN($B$6,J201+C201*$B$8*H201*K201^2*(1-J201/$B$6)*$B$9*60)</f>
        <v/>
      </c>
      <c r="O201" s="11">
        <f>IF(C201=1,Inputs!$B$12*G201*E201^2/($B$3^2*M201^4*N201^2),NA())</f>
        <v/>
      </c>
      <c r="P201" s="30">
        <f>P200+C201*E201/(1+F201/(1000*$B$11))*F201*$B$9/$B$3</f>
        <v/>
      </c>
      <c r="Q201" s="38">
        <f>C201*H201*(E201/60)^2*$B$9*60</f>
        <v/>
      </c>
    </row>
    <row r="202">
      <c r="A202" s="7" t="n">
        <v>142</v>
      </c>
      <c r="B202" s="30">
        <f>A202*$B$9</f>
        <v/>
      </c>
      <c r="C202" s="15">
        <f>IF(B202&lt;=$B$12+0.000000001,1,0)</f>
        <v/>
      </c>
      <c r="D202" s="15">
        <f>IF(C202=1,MATCH(B202-$B$9/2,$E$16:$E$35,1),0)</f>
        <v/>
      </c>
      <c r="E202" s="16">
        <f>IF(C202=1,INDEX($C$16:$C$35,D202),0)</f>
        <v/>
      </c>
      <c r="F202" s="15">
        <f>IF(C202=1,N(INDEX($D$16:$D$35,D202)),0)</f>
        <v/>
      </c>
      <c r="G202" s="30">
        <f>($B$10+F202)/(1+F202/(1000*$B$11))</f>
        <v/>
      </c>
      <c r="H202" s="30">
        <f>F202/(1+F202/(1000*$B$11))</f>
        <v/>
      </c>
      <c r="I202" s="37">
        <f>M201</f>
        <v/>
      </c>
      <c r="J202" s="37">
        <f>N201</f>
        <v/>
      </c>
      <c r="K202" s="16">
        <f>(E202/60)/($B$3*PI()/4*(I202/1000)^2)</f>
        <v/>
      </c>
      <c r="L202" s="23">
        <f>C202*$B$7*H202*K202^2*$B$9*60*1000</f>
        <v/>
      </c>
      <c r="M202" s="37">
        <f>I202+L202</f>
        <v/>
      </c>
      <c r="N202" s="37">
        <f>MIN($B$6,J202+C202*$B$8*H202*K202^2*(1-J202/$B$6)*$B$9*60)</f>
        <v/>
      </c>
      <c r="O202" s="11">
        <f>IF(C202=1,Inputs!$B$12*G202*E202^2/($B$3^2*M202^4*N202^2),NA())</f>
        <v/>
      </c>
      <c r="P202" s="30">
        <f>P201+C202*E202/(1+F202/(1000*$B$11))*F202*$B$9/$B$3</f>
        <v/>
      </c>
      <c r="Q202" s="38">
        <f>C202*H202*(E202/60)^2*$B$9*60</f>
        <v/>
      </c>
    </row>
    <row r="203">
      <c r="A203" s="7" t="n">
        <v>143</v>
      </c>
      <c r="B203" s="30">
        <f>A203*$B$9</f>
        <v/>
      </c>
      <c r="C203" s="15">
        <f>IF(B203&lt;=$B$12+0.000000001,1,0)</f>
        <v/>
      </c>
      <c r="D203" s="15">
        <f>IF(C203=1,MATCH(B203-$B$9/2,$E$16:$E$35,1),0)</f>
        <v/>
      </c>
      <c r="E203" s="16">
        <f>IF(C203=1,INDEX($C$16:$C$35,D203),0)</f>
        <v/>
      </c>
      <c r="F203" s="15">
        <f>IF(C203=1,N(INDEX($D$16:$D$35,D203)),0)</f>
        <v/>
      </c>
      <c r="G203" s="30">
        <f>($B$10+F203)/(1+F203/(1000*$B$11))</f>
        <v/>
      </c>
      <c r="H203" s="30">
        <f>F203/(1+F203/(1000*$B$11))</f>
        <v/>
      </c>
      <c r="I203" s="37">
        <f>M202</f>
        <v/>
      </c>
      <c r="J203" s="37">
        <f>N202</f>
        <v/>
      </c>
      <c r="K203" s="16">
        <f>(E203/60)/($B$3*PI()/4*(I203/1000)^2)</f>
        <v/>
      </c>
      <c r="L203" s="23">
        <f>C203*$B$7*H203*K203^2*$B$9*60*1000</f>
        <v/>
      </c>
      <c r="M203" s="37">
        <f>I203+L203</f>
        <v/>
      </c>
      <c r="N203" s="37">
        <f>MIN($B$6,J203+C203*$B$8*H203*K203^2*(1-J203/$B$6)*$B$9*60)</f>
        <v/>
      </c>
      <c r="O203" s="11">
        <f>IF(C203=1,Inputs!$B$12*G203*E203^2/($B$3^2*M203^4*N203^2),NA())</f>
        <v/>
      </c>
      <c r="P203" s="30">
        <f>P202+C203*E203/(1+F203/(1000*$B$11))*F203*$B$9/$B$3</f>
        <v/>
      </c>
      <c r="Q203" s="38">
        <f>C203*H203*(E203/60)^2*$B$9*60</f>
        <v/>
      </c>
    </row>
    <row r="204">
      <c r="A204" s="7" t="n">
        <v>144</v>
      </c>
      <c r="B204" s="30">
        <f>A204*$B$9</f>
        <v/>
      </c>
      <c r="C204" s="15">
        <f>IF(B204&lt;=$B$12+0.000000001,1,0)</f>
        <v/>
      </c>
      <c r="D204" s="15">
        <f>IF(C204=1,MATCH(B204-$B$9/2,$E$16:$E$35,1),0)</f>
        <v/>
      </c>
      <c r="E204" s="16">
        <f>IF(C204=1,INDEX($C$16:$C$35,D204),0)</f>
        <v/>
      </c>
      <c r="F204" s="15">
        <f>IF(C204=1,N(INDEX($D$16:$D$35,D204)),0)</f>
        <v/>
      </c>
      <c r="G204" s="30">
        <f>($B$10+F204)/(1+F204/(1000*$B$11))</f>
        <v/>
      </c>
      <c r="H204" s="30">
        <f>F204/(1+F204/(1000*$B$11))</f>
        <v/>
      </c>
      <c r="I204" s="37">
        <f>M203</f>
        <v/>
      </c>
      <c r="J204" s="37">
        <f>N203</f>
        <v/>
      </c>
      <c r="K204" s="16">
        <f>(E204/60)/($B$3*PI()/4*(I204/1000)^2)</f>
        <v/>
      </c>
      <c r="L204" s="23">
        <f>C204*$B$7*H204*K204^2*$B$9*60*1000</f>
        <v/>
      </c>
      <c r="M204" s="37">
        <f>I204+L204</f>
        <v/>
      </c>
      <c r="N204" s="37">
        <f>MIN($B$6,J204+C204*$B$8*H204*K204^2*(1-J204/$B$6)*$B$9*60)</f>
        <v/>
      </c>
      <c r="O204" s="11">
        <f>IF(C204=1,Inputs!$B$12*G204*E204^2/($B$3^2*M204^4*N204^2),NA())</f>
        <v/>
      </c>
      <c r="P204" s="30">
        <f>P203+C204*E204/(1+F204/(1000*$B$11))*F204*$B$9/$B$3</f>
        <v/>
      </c>
      <c r="Q204" s="38">
        <f>C204*H204*(E204/60)^2*$B$9*60</f>
        <v/>
      </c>
    </row>
    <row r="205">
      <c r="A205" s="7" t="n">
        <v>145</v>
      </c>
      <c r="B205" s="30">
        <f>A205*$B$9</f>
        <v/>
      </c>
      <c r="C205" s="15">
        <f>IF(B205&lt;=$B$12+0.000000001,1,0)</f>
        <v/>
      </c>
      <c r="D205" s="15">
        <f>IF(C205=1,MATCH(B205-$B$9/2,$E$16:$E$35,1),0)</f>
        <v/>
      </c>
      <c r="E205" s="16">
        <f>IF(C205=1,INDEX($C$16:$C$35,D205),0)</f>
        <v/>
      </c>
      <c r="F205" s="15">
        <f>IF(C205=1,N(INDEX($D$16:$D$35,D205)),0)</f>
        <v/>
      </c>
      <c r="G205" s="30">
        <f>($B$10+F205)/(1+F205/(1000*$B$11))</f>
        <v/>
      </c>
      <c r="H205" s="30">
        <f>F205/(1+F205/(1000*$B$11))</f>
        <v/>
      </c>
      <c r="I205" s="37">
        <f>M204</f>
        <v/>
      </c>
      <c r="J205" s="37">
        <f>N204</f>
        <v/>
      </c>
      <c r="K205" s="16">
        <f>(E205/60)/($B$3*PI()/4*(I205/1000)^2)</f>
        <v/>
      </c>
      <c r="L205" s="23">
        <f>C205*$B$7*H205*K205^2*$B$9*60*1000</f>
        <v/>
      </c>
      <c r="M205" s="37">
        <f>I205+L205</f>
        <v/>
      </c>
      <c r="N205" s="37">
        <f>MIN($B$6,J205+C205*$B$8*H205*K205^2*(1-J205/$B$6)*$B$9*60)</f>
        <v/>
      </c>
      <c r="O205" s="11">
        <f>IF(C205=1,Inputs!$B$12*G205*E205^2/($B$3^2*M205^4*N205^2),NA())</f>
        <v/>
      </c>
      <c r="P205" s="30">
        <f>P204+C205*E205/(1+F205/(1000*$B$11))*F205*$B$9/$B$3</f>
        <v/>
      </c>
      <c r="Q205" s="38">
        <f>C205*H205*(E205/60)^2*$B$9*60</f>
        <v/>
      </c>
    </row>
    <row r="206">
      <c r="A206" s="7" t="n">
        <v>146</v>
      </c>
      <c r="B206" s="30">
        <f>A206*$B$9</f>
        <v/>
      </c>
      <c r="C206" s="15">
        <f>IF(B206&lt;=$B$12+0.000000001,1,0)</f>
        <v/>
      </c>
      <c r="D206" s="15">
        <f>IF(C206=1,MATCH(B206-$B$9/2,$E$16:$E$35,1),0)</f>
        <v/>
      </c>
      <c r="E206" s="16">
        <f>IF(C206=1,INDEX($C$16:$C$35,D206),0)</f>
        <v/>
      </c>
      <c r="F206" s="15">
        <f>IF(C206=1,N(INDEX($D$16:$D$35,D206)),0)</f>
        <v/>
      </c>
      <c r="G206" s="30">
        <f>($B$10+F206)/(1+F206/(1000*$B$11))</f>
        <v/>
      </c>
      <c r="H206" s="30">
        <f>F206/(1+F206/(1000*$B$11))</f>
        <v/>
      </c>
      <c r="I206" s="37">
        <f>M205</f>
        <v/>
      </c>
      <c r="J206" s="37">
        <f>N205</f>
        <v/>
      </c>
      <c r="K206" s="16">
        <f>(E206/60)/($B$3*PI()/4*(I206/1000)^2)</f>
        <v/>
      </c>
      <c r="L206" s="23">
        <f>C206*$B$7*H206*K206^2*$B$9*60*1000</f>
        <v/>
      </c>
      <c r="M206" s="37">
        <f>I206+L206</f>
        <v/>
      </c>
      <c r="N206" s="37">
        <f>MIN($B$6,J206+C206*$B$8*H206*K206^2*(1-J206/$B$6)*$B$9*60)</f>
        <v/>
      </c>
      <c r="O206" s="11">
        <f>IF(C206=1,Inputs!$B$12*G206*E206^2/($B$3^2*M206^4*N206^2),NA())</f>
        <v/>
      </c>
      <c r="P206" s="30">
        <f>P205+C206*E206/(1+F206/(1000*$B$11))*F206*$B$9/$B$3</f>
        <v/>
      </c>
      <c r="Q206" s="38">
        <f>C206*H206*(E206/60)^2*$B$9*60</f>
        <v/>
      </c>
    </row>
    <row r="207">
      <c r="A207" s="7" t="n">
        <v>147</v>
      </c>
      <c r="B207" s="30">
        <f>A207*$B$9</f>
        <v/>
      </c>
      <c r="C207" s="15">
        <f>IF(B207&lt;=$B$12+0.000000001,1,0)</f>
        <v/>
      </c>
      <c r="D207" s="15">
        <f>IF(C207=1,MATCH(B207-$B$9/2,$E$16:$E$35,1),0)</f>
        <v/>
      </c>
      <c r="E207" s="16">
        <f>IF(C207=1,INDEX($C$16:$C$35,D207),0)</f>
        <v/>
      </c>
      <c r="F207" s="15">
        <f>IF(C207=1,N(INDEX($D$16:$D$35,D207)),0)</f>
        <v/>
      </c>
      <c r="G207" s="30">
        <f>($B$10+F207)/(1+F207/(1000*$B$11))</f>
        <v/>
      </c>
      <c r="H207" s="30">
        <f>F207/(1+F207/(1000*$B$11))</f>
        <v/>
      </c>
      <c r="I207" s="37">
        <f>M206</f>
        <v/>
      </c>
      <c r="J207" s="37">
        <f>N206</f>
        <v/>
      </c>
      <c r="K207" s="16">
        <f>(E207/60)/($B$3*PI()/4*(I207/1000)^2)</f>
        <v/>
      </c>
      <c r="L207" s="23">
        <f>C207*$B$7*H207*K207^2*$B$9*60*1000</f>
        <v/>
      </c>
      <c r="M207" s="37">
        <f>I207+L207</f>
        <v/>
      </c>
      <c r="N207" s="37">
        <f>MIN($B$6,J207+C207*$B$8*H207*K207^2*(1-J207/$B$6)*$B$9*60)</f>
        <v/>
      </c>
      <c r="O207" s="11">
        <f>IF(C207=1,Inputs!$B$12*G207*E207^2/($B$3^2*M207^4*N207^2),NA())</f>
        <v/>
      </c>
      <c r="P207" s="30">
        <f>P206+C207*E207/(1+F207/(1000*$B$11))*F207*$B$9/$B$3</f>
        <v/>
      </c>
      <c r="Q207" s="38">
        <f>C207*H207*(E207/60)^2*$B$9*60</f>
        <v/>
      </c>
    </row>
    <row r="208">
      <c r="A208" s="7" t="n">
        <v>148</v>
      </c>
      <c r="B208" s="30">
        <f>A208*$B$9</f>
        <v/>
      </c>
      <c r="C208" s="15">
        <f>IF(B208&lt;=$B$12+0.000000001,1,0)</f>
        <v/>
      </c>
      <c r="D208" s="15">
        <f>IF(C208=1,MATCH(B208-$B$9/2,$E$16:$E$35,1),0)</f>
        <v/>
      </c>
      <c r="E208" s="16">
        <f>IF(C208=1,INDEX($C$16:$C$35,D208),0)</f>
        <v/>
      </c>
      <c r="F208" s="15">
        <f>IF(C208=1,N(INDEX($D$16:$D$35,D208)),0)</f>
        <v/>
      </c>
      <c r="G208" s="30">
        <f>($B$10+F208)/(1+F208/(1000*$B$11))</f>
        <v/>
      </c>
      <c r="H208" s="30">
        <f>F208/(1+F208/(1000*$B$11))</f>
        <v/>
      </c>
      <c r="I208" s="37">
        <f>M207</f>
        <v/>
      </c>
      <c r="J208" s="37">
        <f>N207</f>
        <v/>
      </c>
      <c r="K208" s="16">
        <f>(E208/60)/($B$3*PI()/4*(I208/1000)^2)</f>
        <v/>
      </c>
      <c r="L208" s="23">
        <f>C208*$B$7*H208*K208^2*$B$9*60*1000</f>
        <v/>
      </c>
      <c r="M208" s="37">
        <f>I208+L208</f>
        <v/>
      </c>
      <c r="N208" s="37">
        <f>MIN($B$6,J208+C208*$B$8*H208*K208^2*(1-J208/$B$6)*$B$9*60)</f>
        <v/>
      </c>
      <c r="O208" s="11">
        <f>IF(C208=1,Inputs!$B$12*G208*E208^2/($B$3^2*M208^4*N208^2),NA())</f>
        <v/>
      </c>
      <c r="P208" s="30">
        <f>P207+C208*E208/(1+F208/(1000*$B$11))*F208*$B$9/$B$3</f>
        <v/>
      </c>
      <c r="Q208" s="38">
        <f>C208*H208*(E208/60)^2*$B$9*60</f>
        <v/>
      </c>
    </row>
    <row r="209">
      <c r="A209" s="7" t="n">
        <v>149</v>
      </c>
      <c r="B209" s="30">
        <f>A209*$B$9</f>
        <v/>
      </c>
      <c r="C209" s="15">
        <f>IF(B209&lt;=$B$12+0.000000001,1,0)</f>
        <v/>
      </c>
      <c r="D209" s="15">
        <f>IF(C209=1,MATCH(B209-$B$9/2,$E$16:$E$35,1),0)</f>
        <v/>
      </c>
      <c r="E209" s="16">
        <f>IF(C209=1,INDEX($C$16:$C$35,D209),0)</f>
        <v/>
      </c>
      <c r="F209" s="15">
        <f>IF(C209=1,N(INDEX($D$16:$D$35,D209)),0)</f>
        <v/>
      </c>
      <c r="G209" s="30">
        <f>($B$10+F209)/(1+F209/(1000*$B$11))</f>
        <v/>
      </c>
      <c r="H209" s="30">
        <f>F209/(1+F209/(1000*$B$11))</f>
        <v/>
      </c>
      <c r="I209" s="37">
        <f>M208</f>
        <v/>
      </c>
      <c r="J209" s="37">
        <f>N208</f>
        <v/>
      </c>
      <c r="K209" s="16">
        <f>(E209/60)/($B$3*PI()/4*(I209/1000)^2)</f>
        <v/>
      </c>
      <c r="L209" s="23">
        <f>C209*$B$7*H209*K209^2*$B$9*60*1000</f>
        <v/>
      </c>
      <c r="M209" s="37">
        <f>I209+L209</f>
        <v/>
      </c>
      <c r="N209" s="37">
        <f>MIN($B$6,J209+C209*$B$8*H209*K209^2*(1-J209/$B$6)*$B$9*60)</f>
        <v/>
      </c>
      <c r="O209" s="11">
        <f>IF(C209=1,Inputs!$B$12*G209*E209^2/($B$3^2*M209^4*N209^2),NA())</f>
        <v/>
      </c>
      <c r="P209" s="30">
        <f>P208+C209*E209/(1+F209/(1000*$B$11))*F209*$B$9/$B$3</f>
        <v/>
      </c>
      <c r="Q209" s="38">
        <f>C209*H209*(E209/60)^2*$B$9*60</f>
        <v/>
      </c>
    </row>
    <row r="210">
      <c r="A210" s="7" t="n">
        <v>150</v>
      </c>
      <c r="B210" s="30">
        <f>A210*$B$9</f>
        <v/>
      </c>
      <c r="C210" s="15">
        <f>IF(B210&lt;=$B$12+0.000000001,1,0)</f>
        <v/>
      </c>
      <c r="D210" s="15">
        <f>IF(C210=1,MATCH(B210-$B$9/2,$E$16:$E$35,1),0)</f>
        <v/>
      </c>
      <c r="E210" s="16">
        <f>IF(C210=1,INDEX($C$16:$C$35,D210),0)</f>
        <v/>
      </c>
      <c r="F210" s="15">
        <f>IF(C210=1,N(INDEX($D$16:$D$35,D210)),0)</f>
        <v/>
      </c>
      <c r="G210" s="30">
        <f>($B$10+F210)/(1+F210/(1000*$B$11))</f>
        <v/>
      </c>
      <c r="H210" s="30">
        <f>F210/(1+F210/(1000*$B$11))</f>
        <v/>
      </c>
      <c r="I210" s="37">
        <f>M209</f>
        <v/>
      </c>
      <c r="J210" s="37">
        <f>N209</f>
        <v/>
      </c>
      <c r="K210" s="16">
        <f>(E210/60)/($B$3*PI()/4*(I210/1000)^2)</f>
        <v/>
      </c>
      <c r="L210" s="23">
        <f>C210*$B$7*H210*K210^2*$B$9*60*1000</f>
        <v/>
      </c>
      <c r="M210" s="37">
        <f>I210+L210</f>
        <v/>
      </c>
      <c r="N210" s="37">
        <f>MIN($B$6,J210+C210*$B$8*H210*K210^2*(1-J210/$B$6)*$B$9*60)</f>
        <v/>
      </c>
      <c r="O210" s="11">
        <f>IF(C210=1,Inputs!$B$12*G210*E210^2/($B$3^2*M210^4*N210^2),NA())</f>
        <v/>
      </c>
      <c r="P210" s="30">
        <f>P209+C210*E210/(1+F210/(1000*$B$11))*F210*$B$9/$B$3</f>
        <v/>
      </c>
      <c r="Q210" s="38">
        <f>C210*H210*(E210/60)^2*$B$9*60</f>
        <v/>
      </c>
    </row>
    <row r="211">
      <c r="A211" s="7" t="n">
        <v>151</v>
      </c>
      <c r="B211" s="30">
        <f>A211*$B$9</f>
        <v/>
      </c>
      <c r="C211" s="15">
        <f>IF(B211&lt;=$B$12+0.000000001,1,0)</f>
        <v/>
      </c>
      <c r="D211" s="15">
        <f>IF(C211=1,MATCH(B211-$B$9/2,$E$16:$E$35,1),0)</f>
        <v/>
      </c>
      <c r="E211" s="16">
        <f>IF(C211=1,INDEX($C$16:$C$35,D211),0)</f>
        <v/>
      </c>
      <c r="F211" s="15">
        <f>IF(C211=1,N(INDEX($D$16:$D$35,D211)),0)</f>
        <v/>
      </c>
      <c r="G211" s="30">
        <f>($B$10+F211)/(1+F211/(1000*$B$11))</f>
        <v/>
      </c>
      <c r="H211" s="30">
        <f>F211/(1+F211/(1000*$B$11))</f>
        <v/>
      </c>
      <c r="I211" s="37">
        <f>M210</f>
        <v/>
      </c>
      <c r="J211" s="37">
        <f>N210</f>
        <v/>
      </c>
      <c r="K211" s="16">
        <f>(E211/60)/($B$3*PI()/4*(I211/1000)^2)</f>
        <v/>
      </c>
      <c r="L211" s="23">
        <f>C211*$B$7*H211*K211^2*$B$9*60*1000</f>
        <v/>
      </c>
      <c r="M211" s="37">
        <f>I211+L211</f>
        <v/>
      </c>
      <c r="N211" s="37">
        <f>MIN($B$6,J211+C211*$B$8*H211*K211^2*(1-J211/$B$6)*$B$9*60)</f>
        <v/>
      </c>
      <c r="O211" s="11">
        <f>IF(C211=1,Inputs!$B$12*G211*E211^2/($B$3^2*M211^4*N211^2),NA())</f>
        <v/>
      </c>
      <c r="P211" s="30">
        <f>P210+C211*E211/(1+F211/(1000*$B$11))*F211*$B$9/$B$3</f>
        <v/>
      </c>
      <c r="Q211" s="38">
        <f>C211*H211*(E211/60)^2*$B$9*60</f>
        <v/>
      </c>
    </row>
    <row r="212">
      <c r="A212" s="7" t="n">
        <v>152</v>
      </c>
      <c r="B212" s="30">
        <f>A212*$B$9</f>
        <v/>
      </c>
      <c r="C212" s="15">
        <f>IF(B212&lt;=$B$12+0.000000001,1,0)</f>
        <v/>
      </c>
      <c r="D212" s="15">
        <f>IF(C212=1,MATCH(B212-$B$9/2,$E$16:$E$35,1),0)</f>
        <v/>
      </c>
      <c r="E212" s="16">
        <f>IF(C212=1,INDEX($C$16:$C$35,D212),0)</f>
        <v/>
      </c>
      <c r="F212" s="15">
        <f>IF(C212=1,N(INDEX($D$16:$D$35,D212)),0)</f>
        <v/>
      </c>
      <c r="G212" s="30">
        <f>($B$10+F212)/(1+F212/(1000*$B$11))</f>
        <v/>
      </c>
      <c r="H212" s="30">
        <f>F212/(1+F212/(1000*$B$11))</f>
        <v/>
      </c>
      <c r="I212" s="37">
        <f>M211</f>
        <v/>
      </c>
      <c r="J212" s="37">
        <f>N211</f>
        <v/>
      </c>
      <c r="K212" s="16">
        <f>(E212/60)/($B$3*PI()/4*(I212/1000)^2)</f>
        <v/>
      </c>
      <c r="L212" s="23">
        <f>C212*$B$7*H212*K212^2*$B$9*60*1000</f>
        <v/>
      </c>
      <c r="M212" s="37">
        <f>I212+L212</f>
        <v/>
      </c>
      <c r="N212" s="37">
        <f>MIN($B$6,J212+C212*$B$8*H212*K212^2*(1-J212/$B$6)*$B$9*60)</f>
        <v/>
      </c>
      <c r="O212" s="11">
        <f>IF(C212=1,Inputs!$B$12*G212*E212^2/($B$3^2*M212^4*N212^2),NA())</f>
        <v/>
      </c>
      <c r="P212" s="30">
        <f>P211+C212*E212/(1+F212/(1000*$B$11))*F212*$B$9/$B$3</f>
        <v/>
      </c>
      <c r="Q212" s="38">
        <f>C212*H212*(E212/60)^2*$B$9*60</f>
        <v/>
      </c>
    </row>
    <row r="213">
      <c r="A213" s="7" t="n">
        <v>153</v>
      </c>
      <c r="B213" s="30">
        <f>A213*$B$9</f>
        <v/>
      </c>
      <c r="C213" s="15">
        <f>IF(B213&lt;=$B$12+0.000000001,1,0)</f>
        <v/>
      </c>
      <c r="D213" s="15">
        <f>IF(C213=1,MATCH(B213-$B$9/2,$E$16:$E$35,1),0)</f>
        <v/>
      </c>
      <c r="E213" s="16">
        <f>IF(C213=1,INDEX($C$16:$C$35,D213),0)</f>
        <v/>
      </c>
      <c r="F213" s="15">
        <f>IF(C213=1,N(INDEX($D$16:$D$35,D213)),0)</f>
        <v/>
      </c>
      <c r="G213" s="30">
        <f>($B$10+F213)/(1+F213/(1000*$B$11))</f>
        <v/>
      </c>
      <c r="H213" s="30">
        <f>F213/(1+F213/(1000*$B$11))</f>
        <v/>
      </c>
      <c r="I213" s="37">
        <f>M212</f>
        <v/>
      </c>
      <c r="J213" s="37">
        <f>N212</f>
        <v/>
      </c>
      <c r="K213" s="16">
        <f>(E213/60)/($B$3*PI()/4*(I213/1000)^2)</f>
        <v/>
      </c>
      <c r="L213" s="23">
        <f>C213*$B$7*H213*K213^2*$B$9*60*1000</f>
        <v/>
      </c>
      <c r="M213" s="37">
        <f>I213+L213</f>
        <v/>
      </c>
      <c r="N213" s="37">
        <f>MIN($B$6,J213+C213*$B$8*H213*K213^2*(1-J213/$B$6)*$B$9*60)</f>
        <v/>
      </c>
      <c r="O213" s="11">
        <f>IF(C213=1,Inputs!$B$12*G213*E213^2/($B$3^2*M213^4*N213^2),NA())</f>
        <v/>
      </c>
      <c r="P213" s="30">
        <f>P212+C213*E213/(1+F213/(1000*$B$11))*F213*$B$9/$B$3</f>
        <v/>
      </c>
      <c r="Q213" s="38">
        <f>C213*H213*(E213/60)^2*$B$9*60</f>
        <v/>
      </c>
    </row>
    <row r="214">
      <c r="A214" s="7" t="n">
        <v>154</v>
      </c>
      <c r="B214" s="30">
        <f>A214*$B$9</f>
        <v/>
      </c>
      <c r="C214" s="15">
        <f>IF(B214&lt;=$B$12+0.000000001,1,0)</f>
        <v/>
      </c>
      <c r="D214" s="15">
        <f>IF(C214=1,MATCH(B214-$B$9/2,$E$16:$E$35,1),0)</f>
        <v/>
      </c>
      <c r="E214" s="16">
        <f>IF(C214=1,INDEX($C$16:$C$35,D214),0)</f>
        <v/>
      </c>
      <c r="F214" s="15">
        <f>IF(C214=1,N(INDEX($D$16:$D$35,D214)),0)</f>
        <v/>
      </c>
      <c r="G214" s="30">
        <f>($B$10+F214)/(1+F214/(1000*$B$11))</f>
        <v/>
      </c>
      <c r="H214" s="30">
        <f>F214/(1+F214/(1000*$B$11))</f>
        <v/>
      </c>
      <c r="I214" s="37">
        <f>M213</f>
        <v/>
      </c>
      <c r="J214" s="37">
        <f>N213</f>
        <v/>
      </c>
      <c r="K214" s="16">
        <f>(E214/60)/($B$3*PI()/4*(I214/1000)^2)</f>
        <v/>
      </c>
      <c r="L214" s="23">
        <f>C214*$B$7*H214*K214^2*$B$9*60*1000</f>
        <v/>
      </c>
      <c r="M214" s="37">
        <f>I214+L214</f>
        <v/>
      </c>
      <c r="N214" s="37">
        <f>MIN($B$6,J214+C214*$B$8*H214*K214^2*(1-J214/$B$6)*$B$9*60)</f>
        <v/>
      </c>
      <c r="O214" s="11">
        <f>IF(C214=1,Inputs!$B$12*G214*E214^2/($B$3^2*M214^4*N214^2),NA())</f>
        <v/>
      </c>
      <c r="P214" s="30">
        <f>P213+C214*E214/(1+F214/(1000*$B$11))*F214*$B$9/$B$3</f>
        <v/>
      </c>
      <c r="Q214" s="38">
        <f>C214*H214*(E214/60)^2*$B$9*60</f>
        <v/>
      </c>
    </row>
    <row r="215">
      <c r="A215" s="7" t="n">
        <v>155</v>
      </c>
      <c r="B215" s="30">
        <f>A215*$B$9</f>
        <v/>
      </c>
      <c r="C215" s="15">
        <f>IF(B215&lt;=$B$12+0.000000001,1,0)</f>
        <v/>
      </c>
      <c r="D215" s="15">
        <f>IF(C215=1,MATCH(B215-$B$9/2,$E$16:$E$35,1),0)</f>
        <v/>
      </c>
      <c r="E215" s="16">
        <f>IF(C215=1,INDEX($C$16:$C$35,D215),0)</f>
        <v/>
      </c>
      <c r="F215" s="15">
        <f>IF(C215=1,N(INDEX($D$16:$D$35,D215)),0)</f>
        <v/>
      </c>
      <c r="G215" s="30">
        <f>($B$10+F215)/(1+F215/(1000*$B$11))</f>
        <v/>
      </c>
      <c r="H215" s="30">
        <f>F215/(1+F215/(1000*$B$11))</f>
        <v/>
      </c>
      <c r="I215" s="37">
        <f>M214</f>
        <v/>
      </c>
      <c r="J215" s="37">
        <f>N214</f>
        <v/>
      </c>
      <c r="K215" s="16">
        <f>(E215/60)/($B$3*PI()/4*(I215/1000)^2)</f>
        <v/>
      </c>
      <c r="L215" s="23">
        <f>C215*$B$7*H215*K215^2*$B$9*60*1000</f>
        <v/>
      </c>
      <c r="M215" s="37">
        <f>I215+L215</f>
        <v/>
      </c>
      <c r="N215" s="37">
        <f>MIN($B$6,J215+C215*$B$8*H215*K215^2*(1-J215/$B$6)*$B$9*60)</f>
        <v/>
      </c>
      <c r="O215" s="11">
        <f>IF(C215=1,Inputs!$B$12*G215*E215^2/($B$3^2*M215^4*N215^2),NA())</f>
        <v/>
      </c>
      <c r="P215" s="30">
        <f>P214+C215*E215/(1+F215/(1000*$B$11))*F215*$B$9/$B$3</f>
        <v/>
      </c>
      <c r="Q215" s="38">
        <f>C215*H215*(E215/60)^2*$B$9*60</f>
        <v/>
      </c>
    </row>
    <row r="216">
      <c r="A216" s="7" t="n">
        <v>156</v>
      </c>
      <c r="B216" s="30">
        <f>A216*$B$9</f>
        <v/>
      </c>
      <c r="C216" s="15">
        <f>IF(B216&lt;=$B$12+0.000000001,1,0)</f>
        <v/>
      </c>
      <c r="D216" s="15">
        <f>IF(C216=1,MATCH(B216-$B$9/2,$E$16:$E$35,1),0)</f>
        <v/>
      </c>
      <c r="E216" s="16">
        <f>IF(C216=1,INDEX($C$16:$C$35,D216),0)</f>
        <v/>
      </c>
      <c r="F216" s="15">
        <f>IF(C216=1,N(INDEX($D$16:$D$35,D216)),0)</f>
        <v/>
      </c>
      <c r="G216" s="30">
        <f>($B$10+F216)/(1+F216/(1000*$B$11))</f>
        <v/>
      </c>
      <c r="H216" s="30">
        <f>F216/(1+F216/(1000*$B$11))</f>
        <v/>
      </c>
      <c r="I216" s="37">
        <f>M215</f>
        <v/>
      </c>
      <c r="J216" s="37">
        <f>N215</f>
        <v/>
      </c>
      <c r="K216" s="16">
        <f>(E216/60)/($B$3*PI()/4*(I216/1000)^2)</f>
        <v/>
      </c>
      <c r="L216" s="23">
        <f>C216*$B$7*H216*K216^2*$B$9*60*1000</f>
        <v/>
      </c>
      <c r="M216" s="37">
        <f>I216+L216</f>
        <v/>
      </c>
      <c r="N216" s="37">
        <f>MIN($B$6,J216+C216*$B$8*H216*K216^2*(1-J216/$B$6)*$B$9*60)</f>
        <v/>
      </c>
      <c r="O216" s="11">
        <f>IF(C216=1,Inputs!$B$12*G216*E216^2/($B$3^2*M216^4*N216^2),NA())</f>
        <v/>
      </c>
      <c r="P216" s="30">
        <f>P215+C216*E216/(1+F216/(1000*$B$11))*F216*$B$9/$B$3</f>
        <v/>
      </c>
      <c r="Q216" s="38">
        <f>C216*H216*(E216/60)^2*$B$9*60</f>
        <v/>
      </c>
    </row>
    <row r="217">
      <c r="A217" s="7" t="n">
        <v>157</v>
      </c>
      <c r="B217" s="30">
        <f>A217*$B$9</f>
        <v/>
      </c>
      <c r="C217" s="15">
        <f>IF(B217&lt;=$B$12+0.000000001,1,0)</f>
        <v/>
      </c>
      <c r="D217" s="15">
        <f>IF(C217=1,MATCH(B217-$B$9/2,$E$16:$E$35,1),0)</f>
        <v/>
      </c>
      <c r="E217" s="16">
        <f>IF(C217=1,INDEX($C$16:$C$35,D217),0)</f>
        <v/>
      </c>
      <c r="F217" s="15">
        <f>IF(C217=1,N(INDEX($D$16:$D$35,D217)),0)</f>
        <v/>
      </c>
      <c r="G217" s="30">
        <f>($B$10+F217)/(1+F217/(1000*$B$11))</f>
        <v/>
      </c>
      <c r="H217" s="30">
        <f>F217/(1+F217/(1000*$B$11))</f>
        <v/>
      </c>
      <c r="I217" s="37">
        <f>M216</f>
        <v/>
      </c>
      <c r="J217" s="37">
        <f>N216</f>
        <v/>
      </c>
      <c r="K217" s="16">
        <f>(E217/60)/($B$3*PI()/4*(I217/1000)^2)</f>
        <v/>
      </c>
      <c r="L217" s="23">
        <f>C217*$B$7*H217*K217^2*$B$9*60*1000</f>
        <v/>
      </c>
      <c r="M217" s="37">
        <f>I217+L217</f>
        <v/>
      </c>
      <c r="N217" s="37">
        <f>MIN($B$6,J217+C217*$B$8*H217*K217^2*(1-J217/$B$6)*$B$9*60)</f>
        <v/>
      </c>
      <c r="O217" s="11">
        <f>IF(C217=1,Inputs!$B$12*G217*E217^2/($B$3^2*M217^4*N217^2),NA())</f>
        <v/>
      </c>
      <c r="P217" s="30">
        <f>P216+C217*E217/(1+F217/(1000*$B$11))*F217*$B$9/$B$3</f>
        <v/>
      </c>
      <c r="Q217" s="38">
        <f>C217*H217*(E217/60)^2*$B$9*60</f>
        <v/>
      </c>
    </row>
    <row r="218">
      <c r="A218" s="7" t="n">
        <v>158</v>
      </c>
      <c r="B218" s="30">
        <f>A218*$B$9</f>
        <v/>
      </c>
      <c r="C218" s="15">
        <f>IF(B218&lt;=$B$12+0.000000001,1,0)</f>
        <v/>
      </c>
      <c r="D218" s="15">
        <f>IF(C218=1,MATCH(B218-$B$9/2,$E$16:$E$35,1),0)</f>
        <v/>
      </c>
      <c r="E218" s="16">
        <f>IF(C218=1,INDEX($C$16:$C$35,D218),0)</f>
        <v/>
      </c>
      <c r="F218" s="15">
        <f>IF(C218=1,N(INDEX($D$16:$D$35,D218)),0)</f>
        <v/>
      </c>
      <c r="G218" s="30">
        <f>($B$10+F218)/(1+F218/(1000*$B$11))</f>
        <v/>
      </c>
      <c r="H218" s="30">
        <f>F218/(1+F218/(1000*$B$11))</f>
        <v/>
      </c>
      <c r="I218" s="37">
        <f>M217</f>
        <v/>
      </c>
      <c r="J218" s="37">
        <f>N217</f>
        <v/>
      </c>
      <c r="K218" s="16">
        <f>(E218/60)/($B$3*PI()/4*(I218/1000)^2)</f>
        <v/>
      </c>
      <c r="L218" s="23">
        <f>C218*$B$7*H218*K218^2*$B$9*60*1000</f>
        <v/>
      </c>
      <c r="M218" s="37">
        <f>I218+L218</f>
        <v/>
      </c>
      <c r="N218" s="37">
        <f>MIN($B$6,J218+C218*$B$8*H218*K218^2*(1-J218/$B$6)*$B$9*60)</f>
        <v/>
      </c>
      <c r="O218" s="11">
        <f>IF(C218=1,Inputs!$B$12*G218*E218^2/($B$3^2*M218^4*N218^2),NA())</f>
        <v/>
      </c>
      <c r="P218" s="30">
        <f>P217+C218*E218/(1+F218/(1000*$B$11))*F218*$B$9/$B$3</f>
        <v/>
      </c>
      <c r="Q218" s="38">
        <f>C218*H218*(E218/60)^2*$B$9*60</f>
        <v/>
      </c>
    </row>
    <row r="219">
      <c r="A219" s="7" t="n">
        <v>159</v>
      </c>
      <c r="B219" s="30">
        <f>A219*$B$9</f>
        <v/>
      </c>
      <c r="C219" s="15">
        <f>IF(B219&lt;=$B$12+0.000000001,1,0)</f>
        <v/>
      </c>
      <c r="D219" s="15">
        <f>IF(C219=1,MATCH(B219-$B$9/2,$E$16:$E$35,1),0)</f>
        <v/>
      </c>
      <c r="E219" s="16">
        <f>IF(C219=1,INDEX($C$16:$C$35,D219),0)</f>
        <v/>
      </c>
      <c r="F219" s="15">
        <f>IF(C219=1,N(INDEX($D$16:$D$35,D219)),0)</f>
        <v/>
      </c>
      <c r="G219" s="30">
        <f>($B$10+F219)/(1+F219/(1000*$B$11))</f>
        <v/>
      </c>
      <c r="H219" s="30">
        <f>F219/(1+F219/(1000*$B$11))</f>
        <v/>
      </c>
      <c r="I219" s="37">
        <f>M218</f>
        <v/>
      </c>
      <c r="J219" s="37">
        <f>N218</f>
        <v/>
      </c>
      <c r="K219" s="16">
        <f>(E219/60)/($B$3*PI()/4*(I219/1000)^2)</f>
        <v/>
      </c>
      <c r="L219" s="23">
        <f>C219*$B$7*H219*K219^2*$B$9*60*1000</f>
        <v/>
      </c>
      <c r="M219" s="37">
        <f>I219+L219</f>
        <v/>
      </c>
      <c r="N219" s="37">
        <f>MIN($B$6,J219+C219*$B$8*H219*K219^2*(1-J219/$B$6)*$B$9*60)</f>
        <v/>
      </c>
      <c r="O219" s="11">
        <f>IF(C219=1,Inputs!$B$12*G219*E219^2/($B$3^2*M219^4*N219^2),NA())</f>
        <v/>
      </c>
      <c r="P219" s="30">
        <f>P218+C219*E219/(1+F219/(1000*$B$11))*F219*$B$9/$B$3</f>
        <v/>
      </c>
      <c r="Q219" s="38">
        <f>C219*H219*(E219/60)^2*$B$9*60</f>
        <v/>
      </c>
    </row>
    <row r="220">
      <c r="A220" s="7" t="n">
        <v>160</v>
      </c>
      <c r="B220" s="30">
        <f>A220*$B$9</f>
        <v/>
      </c>
      <c r="C220" s="15">
        <f>IF(B220&lt;=$B$12+0.000000001,1,0)</f>
        <v/>
      </c>
      <c r="D220" s="15">
        <f>IF(C220=1,MATCH(B220-$B$9/2,$E$16:$E$35,1),0)</f>
        <v/>
      </c>
      <c r="E220" s="16">
        <f>IF(C220=1,INDEX($C$16:$C$35,D220),0)</f>
        <v/>
      </c>
      <c r="F220" s="15">
        <f>IF(C220=1,N(INDEX($D$16:$D$35,D220)),0)</f>
        <v/>
      </c>
      <c r="G220" s="30">
        <f>($B$10+F220)/(1+F220/(1000*$B$11))</f>
        <v/>
      </c>
      <c r="H220" s="30">
        <f>F220/(1+F220/(1000*$B$11))</f>
        <v/>
      </c>
      <c r="I220" s="37">
        <f>M219</f>
        <v/>
      </c>
      <c r="J220" s="37">
        <f>N219</f>
        <v/>
      </c>
      <c r="K220" s="16">
        <f>(E220/60)/($B$3*PI()/4*(I220/1000)^2)</f>
        <v/>
      </c>
      <c r="L220" s="23">
        <f>C220*$B$7*H220*K220^2*$B$9*60*1000</f>
        <v/>
      </c>
      <c r="M220" s="37">
        <f>I220+L220</f>
        <v/>
      </c>
      <c r="N220" s="37">
        <f>MIN($B$6,J220+C220*$B$8*H220*K220^2*(1-J220/$B$6)*$B$9*60)</f>
        <v/>
      </c>
      <c r="O220" s="11">
        <f>IF(C220=1,Inputs!$B$12*G220*E220^2/($B$3^2*M220^4*N220^2),NA())</f>
        <v/>
      </c>
      <c r="P220" s="30">
        <f>P219+C220*E220/(1+F220/(1000*$B$11))*F220*$B$9/$B$3</f>
        <v/>
      </c>
      <c r="Q220" s="38">
        <f>C220*H220*(E220/60)^2*$B$9*60</f>
        <v/>
      </c>
    </row>
    <row r="221">
      <c r="A221" s="7" t="n">
        <v>161</v>
      </c>
      <c r="B221" s="30">
        <f>A221*$B$9</f>
        <v/>
      </c>
      <c r="C221" s="15">
        <f>IF(B221&lt;=$B$12+0.000000001,1,0)</f>
        <v/>
      </c>
      <c r="D221" s="15">
        <f>IF(C221=1,MATCH(B221-$B$9/2,$E$16:$E$35,1),0)</f>
        <v/>
      </c>
      <c r="E221" s="16">
        <f>IF(C221=1,INDEX($C$16:$C$35,D221),0)</f>
        <v/>
      </c>
      <c r="F221" s="15">
        <f>IF(C221=1,N(INDEX($D$16:$D$35,D221)),0)</f>
        <v/>
      </c>
      <c r="G221" s="30">
        <f>($B$10+F221)/(1+F221/(1000*$B$11))</f>
        <v/>
      </c>
      <c r="H221" s="30">
        <f>F221/(1+F221/(1000*$B$11))</f>
        <v/>
      </c>
      <c r="I221" s="37">
        <f>M220</f>
        <v/>
      </c>
      <c r="J221" s="37">
        <f>N220</f>
        <v/>
      </c>
      <c r="K221" s="16">
        <f>(E221/60)/($B$3*PI()/4*(I221/1000)^2)</f>
        <v/>
      </c>
      <c r="L221" s="23">
        <f>C221*$B$7*H221*K221^2*$B$9*60*1000</f>
        <v/>
      </c>
      <c r="M221" s="37">
        <f>I221+L221</f>
        <v/>
      </c>
      <c r="N221" s="37">
        <f>MIN($B$6,J221+C221*$B$8*H221*K221^2*(1-J221/$B$6)*$B$9*60)</f>
        <v/>
      </c>
      <c r="O221" s="11">
        <f>IF(C221=1,Inputs!$B$12*G221*E221^2/($B$3^2*M221^4*N221^2),NA())</f>
        <v/>
      </c>
      <c r="P221" s="30">
        <f>P220+C221*E221/(1+F221/(1000*$B$11))*F221*$B$9/$B$3</f>
        <v/>
      </c>
      <c r="Q221" s="38">
        <f>C221*H221*(E221/60)^2*$B$9*60</f>
        <v/>
      </c>
    </row>
    <row r="222">
      <c r="A222" s="7" t="n">
        <v>162</v>
      </c>
      <c r="B222" s="30">
        <f>A222*$B$9</f>
        <v/>
      </c>
      <c r="C222" s="15">
        <f>IF(B222&lt;=$B$12+0.000000001,1,0)</f>
        <v/>
      </c>
      <c r="D222" s="15">
        <f>IF(C222=1,MATCH(B222-$B$9/2,$E$16:$E$35,1),0)</f>
        <v/>
      </c>
      <c r="E222" s="16">
        <f>IF(C222=1,INDEX($C$16:$C$35,D222),0)</f>
        <v/>
      </c>
      <c r="F222" s="15">
        <f>IF(C222=1,N(INDEX($D$16:$D$35,D222)),0)</f>
        <v/>
      </c>
      <c r="G222" s="30">
        <f>($B$10+F222)/(1+F222/(1000*$B$11))</f>
        <v/>
      </c>
      <c r="H222" s="30">
        <f>F222/(1+F222/(1000*$B$11))</f>
        <v/>
      </c>
      <c r="I222" s="37">
        <f>M221</f>
        <v/>
      </c>
      <c r="J222" s="37">
        <f>N221</f>
        <v/>
      </c>
      <c r="K222" s="16">
        <f>(E222/60)/($B$3*PI()/4*(I222/1000)^2)</f>
        <v/>
      </c>
      <c r="L222" s="23">
        <f>C222*$B$7*H222*K222^2*$B$9*60*1000</f>
        <v/>
      </c>
      <c r="M222" s="37">
        <f>I222+L222</f>
        <v/>
      </c>
      <c r="N222" s="37">
        <f>MIN($B$6,J222+C222*$B$8*H222*K222^2*(1-J222/$B$6)*$B$9*60)</f>
        <v/>
      </c>
      <c r="O222" s="11">
        <f>IF(C222=1,Inputs!$B$12*G222*E222^2/($B$3^2*M222^4*N222^2),NA())</f>
        <v/>
      </c>
      <c r="P222" s="30">
        <f>P221+C222*E222/(1+F222/(1000*$B$11))*F222*$B$9/$B$3</f>
        <v/>
      </c>
      <c r="Q222" s="38">
        <f>C222*H222*(E222/60)^2*$B$9*60</f>
        <v/>
      </c>
    </row>
    <row r="223">
      <c r="A223" s="7" t="n">
        <v>163</v>
      </c>
      <c r="B223" s="30">
        <f>A223*$B$9</f>
        <v/>
      </c>
      <c r="C223" s="15">
        <f>IF(B223&lt;=$B$12+0.000000001,1,0)</f>
        <v/>
      </c>
      <c r="D223" s="15">
        <f>IF(C223=1,MATCH(B223-$B$9/2,$E$16:$E$35,1),0)</f>
        <v/>
      </c>
      <c r="E223" s="16">
        <f>IF(C223=1,INDEX($C$16:$C$35,D223),0)</f>
        <v/>
      </c>
      <c r="F223" s="15">
        <f>IF(C223=1,N(INDEX($D$16:$D$35,D223)),0)</f>
        <v/>
      </c>
      <c r="G223" s="30">
        <f>($B$10+F223)/(1+F223/(1000*$B$11))</f>
        <v/>
      </c>
      <c r="H223" s="30">
        <f>F223/(1+F223/(1000*$B$11))</f>
        <v/>
      </c>
      <c r="I223" s="37">
        <f>M222</f>
        <v/>
      </c>
      <c r="J223" s="37">
        <f>N222</f>
        <v/>
      </c>
      <c r="K223" s="16">
        <f>(E223/60)/($B$3*PI()/4*(I223/1000)^2)</f>
        <v/>
      </c>
      <c r="L223" s="23">
        <f>C223*$B$7*H223*K223^2*$B$9*60*1000</f>
        <v/>
      </c>
      <c r="M223" s="37">
        <f>I223+L223</f>
        <v/>
      </c>
      <c r="N223" s="37">
        <f>MIN($B$6,J223+C223*$B$8*H223*K223^2*(1-J223/$B$6)*$B$9*60)</f>
        <v/>
      </c>
      <c r="O223" s="11">
        <f>IF(C223=1,Inputs!$B$12*G223*E223^2/($B$3^2*M223^4*N223^2),NA())</f>
        <v/>
      </c>
      <c r="P223" s="30">
        <f>P222+C223*E223/(1+F223/(1000*$B$11))*F223*$B$9/$B$3</f>
        <v/>
      </c>
      <c r="Q223" s="38">
        <f>C223*H223*(E223/60)^2*$B$9*60</f>
        <v/>
      </c>
    </row>
    <row r="224">
      <c r="A224" s="7" t="n">
        <v>164</v>
      </c>
      <c r="B224" s="30">
        <f>A224*$B$9</f>
        <v/>
      </c>
      <c r="C224" s="15">
        <f>IF(B224&lt;=$B$12+0.000000001,1,0)</f>
        <v/>
      </c>
      <c r="D224" s="15">
        <f>IF(C224=1,MATCH(B224-$B$9/2,$E$16:$E$35,1),0)</f>
        <v/>
      </c>
      <c r="E224" s="16">
        <f>IF(C224=1,INDEX($C$16:$C$35,D224),0)</f>
        <v/>
      </c>
      <c r="F224" s="15">
        <f>IF(C224=1,N(INDEX($D$16:$D$35,D224)),0)</f>
        <v/>
      </c>
      <c r="G224" s="30">
        <f>($B$10+F224)/(1+F224/(1000*$B$11))</f>
        <v/>
      </c>
      <c r="H224" s="30">
        <f>F224/(1+F224/(1000*$B$11))</f>
        <v/>
      </c>
      <c r="I224" s="37">
        <f>M223</f>
        <v/>
      </c>
      <c r="J224" s="37">
        <f>N223</f>
        <v/>
      </c>
      <c r="K224" s="16">
        <f>(E224/60)/($B$3*PI()/4*(I224/1000)^2)</f>
        <v/>
      </c>
      <c r="L224" s="23">
        <f>C224*$B$7*H224*K224^2*$B$9*60*1000</f>
        <v/>
      </c>
      <c r="M224" s="37">
        <f>I224+L224</f>
        <v/>
      </c>
      <c r="N224" s="37">
        <f>MIN($B$6,J224+C224*$B$8*H224*K224^2*(1-J224/$B$6)*$B$9*60)</f>
        <v/>
      </c>
      <c r="O224" s="11">
        <f>IF(C224=1,Inputs!$B$12*G224*E224^2/($B$3^2*M224^4*N224^2),NA())</f>
        <v/>
      </c>
      <c r="P224" s="30">
        <f>P223+C224*E224/(1+F224/(1000*$B$11))*F224*$B$9/$B$3</f>
        <v/>
      </c>
      <c r="Q224" s="38">
        <f>C224*H224*(E224/60)^2*$B$9*60</f>
        <v/>
      </c>
    </row>
    <row r="225">
      <c r="A225" s="7" t="n">
        <v>165</v>
      </c>
      <c r="B225" s="30">
        <f>A225*$B$9</f>
        <v/>
      </c>
      <c r="C225" s="15">
        <f>IF(B225&lt;=$B$12+0.000000001,1,0)</f>
        <v/>
      </c>
      <c r="D225" s="15">
        <f>IF(C225=1,MATCH(B225-$B$9/2,$E$16:$E$35,1),0)</f>
        <v/>
      </c>
      <c r="E225" s="16">
        <f>IF(C225=1,INDEX($C$16:$C$35,D225),0)</f>
        <v/>
      </c>
      <c r="F225" s="15">
        <f>IF(C225=1,N(INDEX($D$16:$D$35,D225)),0)</f>
        <v/>
      </c>
      <c r="G225" s="30">
        <f>($B$10+F225)/(1+F225/(1000*$B$11))</f>
        <v/>
      </c>
      <c r="H225" s="30">
        <f>F225/(1+F225/(1000*$B$11))</f>
        <v/>
      </c>
      <c r="I225" s="37">
        <f>M224</f>
        <v/>
      </c>
      <c r="J225" s="37">
        <f>N224</f>
        <v/>
      </c>
      <c r="K225" s="16">
        <f>(E225/60)/($B$3*PI()/4*(I225/1000)^2)</f>
        <v/>
      </c>
      <c r="L225" s="23">
        <f>C225*$B$7*H225*K225^2*$B$9*60*1000</f>
        <v/>
      </c>
      <c r="M225" s="37">
        <f>I225+L225</f>
        <v/>
      </c>
      <c r="N225" s="37">
        <f>MIN($B$6,J225+C225*$B$8*H225*K225^2*(1-J225/$B$6)*$B$9*60)</f>
        <v/>
      </c>
      <c r="O225" s="11">
        <f>IF(C225=1,Inputs!$B$12*G225*E225^2/($B$3^2*M225^4*N225^2),NA())</f>
        <v/>
      </c>
      <c r="P225" s="30">
        <f>P224+C225*E225/(1+F225/(1000*$B$11))*F225*$B$9/$B$3</f>
        <v/>
      </c>
      <c r="Q225" s="38">
        <f>C225*H225*(E225/60)^2*$B$9*60</f>
        <v/>
      </c>
    </row>
    <row r="226">
      <c r="A226" s="7" t="n">
        <v>166</v>
      </c>
      <c r="B226" s="30">
        <f>A226*$B$9</f>
        <v/>
      </c>
      <c r="C226" s="15">
        <f>IF(B226&lt;=$B$12+0.000000001,1,0)</f>
        <v/>
      </c>
      <c r="D226" s="15">
        <f>IF(C226=1,MATCH(B226-$B$9/2,$E$16:$E$35,1),0)</f>
        <v/>
      </c>
      <c r="E226" s="16">
        <f>IF(C226=1,INDEX($C$16:$C$35,D226),0)</f>
        <v/>
      </c>
      <c r="F226" s="15">
        <f>IF(C226=1,N(INDEX($D$16:$D$35,D226)),0)</f>
        <v/>
      </c>
      <c r="G226" s="30">
        <f>($B$10+F226)/(1+F226/(1000*$B$11))</f>
        <v/>
      </c>
      <c r="H226" s="30">
        <f>F226/(1+F226/(1000*$B$11))</f>
        <v/>
      </c>
      <c r="I226" s="37">
        <f>M225</f>
        <v/>
      </c>
      <c r="J226" s="37">
        <f>N225</f>
        <v/>
      </c>
      <c r="K226" s="16">
        <f>(E226/60)/($B$3*PI()/4*(I226/1000)^2)</f>
        <v/>
      </c>
      <c r="L226" s="23">
        <f>C226*$B$7*H226*K226^2*$B$9*60*1000</f>
        <v/>
      </c>
      <c r="M226" s="37">
        <f>I226+L226</f>
        <v/>
      </c>
      <c r="N226" s="37">
        <f>MIN($B$6,J226+C226*$B$8*H226*K226^2*(1-J226/$B$6)*$B$9*60)</f>
        <v/>
      </c>
      <c r="O226" s="11">
        <f>IF(C226=1,Inputs!$B$12*G226*E226^2/($B$3^2*M226^4*N226^2),NA())</f>
        <v/>
      </c>
      <c r="P226" s="30">
        <f>P225+C226*E226/(1+F226/(1000*$B$11))*F226*$B$9/$B$3</f>
        <v/>
      </c>
      <c r="Q226" s="38">
        <f>C226*H226*(E226/60)^2*$B$9*60</f>
        <v/>
      </c>
    </row>
    <row r="227">
      <c r="A227" s="7" t="n">
        <v>167</v>
      </c>
      <c r="B227" s="30">
        <f>A227*$B$9</f>
        <v/>
      </c>
      <c r="C227" s="15">
        <f>IF(B227&lt;=$B$12+0.000000001,1,0)</f>
        <v/>
      </c>
      <c r="D227" s="15">
        <f>IF(C227=1,MATCH(B227-$B$9/2,$E$16:$E$35,1),0)</f>
        <v/>
      </c>
      <c r="E227" s="16">
        <f>IF(C227=1,INDEX($C$16:$C$35,D227),0)</f>
        <v/>
      </c>
      <c r="F227" s="15">
        <f>IF(C227=1,N(INDEX($D$16:$D$35,D227)),0)</f>
        <v/>
      </c>
      <c r="G227" s="30">
        <f>($B$10+F227)/(1+F227/(1000*$B$11))</f>
        <v/>
      </c>
      <c r="H227" s="30">
        <f>F227/(1+F227/(1000*$B$11))</f>
        <v/>
      </c>
      <c r="I227" s="37">
        <f>M226</f>
        <v/>
      </c>
      <c r="J227" s="37">
        <f>N226</f>
        <v/>
      </c>
      <c r="K227" s="16">
        <f>(E227/60)/($B$3*PI()/4*(I227/1000)^2)</f>
        <v/>
      </c>
      <c r="L227" s="23">
        <f>C227*$B$7*H227*K227^2*$B$9*60*1000</f>
        <v/>
      </c>
      <c r="M227" s="37">
        <f>I227+L227</f>
        <v/>
      </c>
      <c r="N227" s="37">
        <f>MIN($B$6,J227+C227*$B$8*H227*K227^2*(1-J227/$B$6)*$B$9*60)</f>
        <v/>
      </c>
      <c r="O227" s="11">
        <f>IF(C227=1,Inputs!$B$12*G227*E227^2/($B$3^2*M227^4*N227^2),NA())</f>
        <v/>
      </c>
      <c r="P227" s="30">
        <f>P226+C227*E227/(1+F227/(1000*$B$11))*F227*$B$9/$B$3</f>
        <v/>
      </c>
      <c r="Q227" s="38">
        <f>C227*H227*(E227/60)^2*$B$9*60</f>
        <v/>
      </c>
    </row>
    <row r="228">
      <c r="A228" s="7" t="n">
        <v>168</v>
      </c>
      <c r="B228" s="30">
        <f>A228*$B$9</f>
        <v/>
      </c>
      <c r="C228" s="15">
        <f>IF(B228&lt;=$B$12+0.000000001,1,0)</f>
        <v/>
      </c>
      <c r="D228" s="15">
        <f>IF(C228=1,MATCH(B228-$B$9/2,$E$16:$E$35,1),0)</f>
        <v/>
      </c>
      <c r="E228" s="16">
        <f>IF(C228=1,INDEX($C$16:$C$35,D228),0)</f>
        <v/>
      </c>
      <c r="F228" s="15">
        <f>IF(C228=1,N(INDEX($D$16:$D$35,D228)),0)</f>
        <v/>
      </c>
      <c r="G228" s="30">
        <f>($B$10+F228)/(1+F228/(1000*$B$11))</f>
        <v/>
      </c>
      <c r="H228" s="30">
        <f>F228/(1+F228/(1000*$B$11))</f>
        <v/>
      </c>
      <c r="I228" s="37">
        <f>M227</f>
        <v/>
      </c>
      <c r="J228" s="37">
        <f>N227</f>
        <v/>
      </c>
      <c r="K228" s="16">
        <f>(E228/60)/($B$3*PI()/4*(I228/1000)^2)</f>
        <v/>
      </c>
      <c r="L228" s="23">
        <f>C228*$B$7*H228*K228^2*$B$9*60*1000</f>
        <v/>
      </c>
      <c r="M228" s="37">
        <f>I228+L228</f>
        <v/>
      </c>
      <c r="N228" s="37">
        <f>MIN($B$6,J228+C228*$B$8*H228*K228^2*(1-J228/$B$6)*$B$9*60)</f>
        <v/>
      </c>
      <c r="O228" s="11">
        <f>IF(C228=1,Inputs!$B$12*G228*E228^2/($B$3^2*M228^4*N228^2),NA())</f>
        <v/>
      </c>
      <c r="P228" s="30">
        <f>P227+C228*E228/(1+F228/(1000*$B$11))*F228*$B$9/$B$3</f>
        <v/>
      </c>
      <c r="Q228" s="38">
        <f>C228*H228*(E228/60)^2*$B$9*60</f>
        <v/>
      </c>
    </row>
    <row r="229">
      <c r="A229" s="7" t="n">
        <v>169</v>
      </c>
      <c r="B229" s="30">
        <f>A229*$B$9</f>
        <v/>
      </c>
      <c r="C229" s="15">
        <f>IF(B229&lt;=$B$12+0.000000001,1,0)</f>
        <v/>
      </c>
      <c r="D229" s="15">
        <f>IF(C229=1,MATCH(B229-$B$9/2,$E$16:$E$35,1),0)</f>
        <v/>
      </c>
      <c r="E229" s="16">
        <f>IF(C229=1,INDEX($C$16:$C$35,D229),0)</f>
        <v/>
      </c>
      <c r="F229" s="15">
        <f>IF(C229=1,N(INDEX($D$16:$D$35,D229)),0)</f>
        <v/>
      </c>
      <c r="G229" s="30">
        <f>($B$10+F229)/(1+F229/(1000*$B$11))</f>
        <v/>
      </c>
      <c r="H229" s="30">
        <f>F229/(1+F229/(1000*$B$11))</f>
        <v/>
      </c>
      <c r="I229" s="37">
        <f>M228</f>
        <v/>
      </c>
      <c r="J229" s="37">
        <f>N228</f>
        <v/>
      </c>
      <c r="K229" s="16">
        <f>(E229/60)/($B$3*PI()/4*(I229/1000)^2)</f>
        <v/>
      </c>
      <c r="L229" s="23">
        <f>C229*$B$7*H229*K229^2*$B$9*60*1000</f>
        <v/>
      </c>
      <c r="M229" s="37">
        <f>I229+L229</f>
        <v/>
      </c>
      <c r="N229" s="37">
        <f>MIN($B$6,J229+C229*$B$8*H229*K229^2*(1-J229/$B$6)*$B$9*60)</f>
        <v/>
      </c>
      <c r="O229" s="11">
        <f>IF(C229=1,Inputs!$B$12*G229*E229^2/($B$3^2*M229^4*N229^2),NA())</f>
        <v/>
      </c>
      <c r="P229" s="30">
        <f>P228+C229*E229/(1+F229/(1000*$B$11))*F229*$B$9/$B$3</f>
        <v/>
      </c>
      <c r="Q229" s="38">
        <f>C229*H229*(E229/60)^2*$B$9*60</f>
        <v/>
      </c>
    </row>
    <row r="230">
      <c r="A230" s="7" t="n">
        <v>170</v>
      </c>
      <c r="B230" s="30">
        <f>A230*$B$9</f>
        <v/>
      </c>
      <c r="C230" s="15">
        <f>IF(B230&lt;=$B$12+0.000000001,1,0)</f>
        <v/>
      </c>
      <c r="D230" s="15">
        <f>IF(C230=1,MATCH(B230-$B$9/2,$E$16:$E$35,1),0)</f>
        <v/>
      </c>
      <c r="E230" s="16">
        <f>IF(C230=1,INDEX($C$16:$C$35,D230),0)</f>
        <v/>
      </c>
      <c r="F230" s="15">
        <f>IF(C230=1,N(INDEX($D$16:$D$35,D230)),0)</f>
        <v/>
      </c>
      <c r="G230" s="30">
        <f>($B$10+F230)/(1+F230/(1000*$B$11))</f>
        <v/>
      </c>
      <c r="H230" s="30">
        <f>F230/(1+F230/(1000*$B$11))</f>
        <v/>
      </c>
      <c r="I230" s="37">
        <f>M229</f>
        <v/>
      </c>
      <c r="J230" s="37">
        <f>N229</f>
        <v/>
      </c>
      <c r="K230" s="16">
        <f>(E230/60)/($B$3*PI()/4*(I230/1000)^2)</f>
        <v/>
      </c>
      <c r="L230" s="23">
        <f>C230*$B$7*H230*K230^2*$B$9*60*1000</f>
        <v/>
      </c>
      <c r="M230" s="37">
        <f>I230+L230</f>
        <v/>
      </c>
      <c r="N230" s="37">
        <f>MIN($B$6,J230+C230*$B$8*H230*K230^2*(1-J230/$B$6)*$B$9*60)</f>
        <v/>
      </c>
      <c r="O230" s="11">
        <f>IF(C230=1,Inputs!$B$12*G230*E230^2/($B$3^2*M230^4*N230^2),NA())</f>
        <v/>
      </c>
      <c r="P230" s="30">
        <f>P229+C230*E230/(1+F230/(1000*$B$11))*F230*$B$9/$B$3</f>
        <v/>
      </c>
      <c r="Q230" s="38">
        <f>C230*H230*(E230/60)^2*$B$9*60</f>
        <v/>
      </c>
    </row>
    <row r="231">
      <c r="A231" s="7" t="n">
        <v>171</v>
      </c>
      <c r="B231" s="30">
        <f>A231*$B$9</f>
        <v/>
      </c>
      <c r="C231" s="15">
        <f>IF(B231&lt;=$B$12+0.000000001,1,0)</f>
        <v/>
      </c>
      <c r="D231" s="15">
        <f>IF(C231=1,MATCH(B231-$B$9/2,$E$16:$E$35,1),0)</f>
        <v/>
      </c>
      <c r="E231" s="16">
        <f>IF(C231=1,INDEX($C$16:$C$35,D231),0)</f>
        <v/>
      </c>
      <c r="F231" s="15">
        <f>IF(C231=1,N(INDEX($D$16:$D$35,D231)),0)</f>
        <v/>
      </c>
      <c r="G231" s="30">
        <f>($B$10+F231)/(1+F231/(1000*$B$11))</f>
        <v/>
      </c>
      <c r="H231" s="30">
        <f>F231/(1+F231/(1000*$B$11))</f>
        <v/>
      </c>
      <c r="I231" s="37">
        <f>M230</f>
        <v/>
      </c>
      <c r="J231" s="37">
        <f>N230</f>
        <v/>
      </c>
      <c r="K231" s="16">
        <f>(E231/60)/($B$3*PI()/4*(I231/1000)^2)</f>
        <v/>
      </c>
      <c r="L231" s="23">
        <f>C231*$B$7*H231*K231^2*$B$9*60*1000</f>
        <v/>
      </c>
      <c r="M231" s="37">
        <f>I231+L231</f>
        <v/>
      </c>
      <c r="N231" s="37">
        <f>MIN($B$6,J231+C231*$B$8*H231*K231^2*(1-J231/$B$6)*$B$9*60)</f>
        <v/>
      </c>
      <c r="O231" s="11">
        <f>IF(C231=1,Inputs!$B$12*G231*E231^2/($B$3^2*M231^4*N231^2),NA())</f>
        <v/>
      </c>
      <c r="P231" s="30">
        <f>P230+C231*E231/(1+F231/(1000*$B$11))*F231*$B$9/$B$3</f>
        <v/>
      </c>
      <c r="Q231" s="38">
        <f>C231*H231*(E231/60)^2*$B$9*60</f>
        <v/>
      </c>
    </row>
    <row r="232">
      <c r="A232" s="7" t="n">
        <v>172</v>
      </c>
      <c r="B232" s="30">
        <f>A232*$B$9</f>
        <v/>
      </c>
      <c r="C232" s="15">
        <f>IF(B232&lt;=$B$12+0.000000001,1,0)</f>
        <v/>
      </c>
      <c r="D232" s="15">
        <f>IF(C232=1,MATCH(B232-$B$9/2,$E$16:$E$35,1),0)</f>
        <v/>
      </c>
      <c r="E232" s="16">
        <f>IF(C232=1,INDEX($C$16:$C$35,D232),0)</f>
        <v/>
      </c>
      <c r="F232" s="15">
        <f>IF(C232=1,N(INDEX($D$16:$D$35,D232)),0)</f>
        <v/>
      </c>
      <c r="G232" s="30">
        <f>($B$10+F232)/(1+F232/(1000*$B$11))</f>
        <v/>
      </c>
      <c r="H232" s="30">
        <f>F232/(1+F232/(1000*$B$11))</f>
        <v/>
      </c>
      <c r="I232" s="37">
        <f>M231</f>
        <v/>
      </c>
      <c r="J232" s="37">
        <f>N231</f>
        <v/>
      </c>
      <c r="K232" s="16">
        <f>(E232/60)/($B$3*PI()/4*(I232/1000)^2)</f>
        <v/>
      </c>
      <c r="L232" s="23">
        <f>C232*$B$7*H232*K232^2*$B$9*60*1000</f>
        <v/>
      </c>
      <c r="M232" s="37">
        <f>I232+L232</f>
        <v/>
      </c>
      <c r="N232" s="37">
        <f>MIN($B$6,J232+C232*$B$8*H232*K232^2*(1-J232/$B$6)*$B$9*60)</f>
        <v/>
      </c>
      <c r="O232" s="11">
        <f>IF(C232=1,Inputs!$B$12*G232*E232^2/($B$3^2*M232^4*N232^2),NA())</f>
        <v/>
      </c>
      <c r="P232" s="30">
        <f>P231+C232*E232/(1+F232/(1000*$B$11))*F232*$B$9/$B$3</f>
        <v/>
      </c>
      <c r="Q232" s="38">
        <f>C232*H232*(E232/60)^2*$B$9*60</f>
        <v/>
      </c>
    </row>
    <row r="233">
      <c r="A233" s="7" t="n">
        <v>173</v>
      </c>
      <c r="B233" s="30">
        <f>A233*$B$9</f>
        <v/>
      </c>
      <c r="C233" s="15">
        <f>IF(B233&lt;=$B$12+0.000000001,1,0)</f>
        <v/>
      </c>
      <c r="D233" s="15">
        <f>IF(C233=1,MATCH(B233-$B$9/2,$E$16:$E$35,1),0)</f>
        <v/>
      </c>
      <c r="E233" s="16">
        <f>IF(C233=1,INDEX($C$16:$C$35,D233),0)</f>
        <v/>
      </c>
      <c r="F233" s="15">
        <f>IF(C233=1,N(INDEX($D$16:$D$35,D233)),0)</f>
        <v/>
      </c>
      <c r="G233" s="30">
        <f>($B$10+F233)/(1+F233/(1000*$B$11))</f>
        <v/>
      </c>
      <c r="H233" s="30">
        <f>F233/(1+F233/(1000*$B$11))</f>
        <v/>
      </c>
      <c r="I233" s="37">
        <f>M232</f>
        <v/>
      </c>
      <c r="J233" s="37">
        <f>N232</f>
        <v/>
      </c>
      <c r="K233" s="16">
        <f>(E233/60)/($B$3*PI()/4*(I233/1000)^2)</f>
        <v/>
      </c>
      <c r="L233" s="23">
        <f>C233*$B$7*H233*K233^2*$B$9*60*1000</f>
        <v/>
      </c>
      <c r="M233" s="37">
        <f>I233+L233</f>
        <v/>
      </c>
      <c r="N233" s="37">
        <f>MIN($B$6,J233+C233*$B$8*H233*K233^2*(1-J233/$B$6)*$B$9*60)</f>
        <v/>
      </c>
      <c r="O233" s="11">
        <f>IF(C233=1,Inputs!$B$12*G233*E233^2/($B$3^2*M233^4*N233^2),NA())</f>
        <v/>
      </c>
      <c r="P233" s="30">
        <f>P232+C233*E233/(1+F233/(1000*$B$11))*F233*$B$9/$B$3</f>
        <v/>
      </c>
      <c r="Q233" s="38">
        <f>C233*H233*(E233/60)^2*$B$9*60</f>
        <v/>
      </c>
    </row>
    <row r="234">
      <c r="A234" s="7" t="n">
        <v>174</v>
      </c>
      <c r="B234" s="30">
        <f>A234*$B$9</f>
        <v/>
      </c>
      <c r="C234" s="15">
        <f>IF(B234&lt;=$B$12+0.000000001,1,0)</f>
        <v/>
      </c>
      <c r="D234" s="15">
        <f>IF(C234=1,MATCH(B234-$B$9/2,$E$16:$E$35,1),0)</f>
        <v/>
      </c>
      <c r="E234" s="16">
        <f>IF(C234=1,INDEX($C$16:$C$35,D234),0)</f>
        <v/>
      </c>
      <c r="F234" s="15">
        <f>IF(C234=1,N(INDEX($D$16:$D$35,D234)),0)</f>
        <v/>
      </c>
      <c r="G234" s="30">
        <f>($B$10+F234)/(1+F234/(1000*$B$11))</f>
        <v/>
      </c>
      <c r="H234" s="30">
        <f>F234/(1+F234/(1000*$B$11))</f>
        <v/>
      </c>
      <c r="I234" s="37">
        <f>M233</f>
        <v/>
      </c>
      <c r="J234" s="37">
        <f>N233</f>
        <v/>
      </c>
      <c r="K234" s="16">
        <f>(E234/60)/($B$3*PI()/4*(I234/1000)^2)</f>
        <v/>
      </c>
      <c r="L234" s="23">
        <f>C234*$B$7*H234*K234^2*$B$9*60*1000</f>
        <v/>
      </c>
      <c r="M234" s="37">
        <f>I234+L234</f>
        <v/>
      </c>
      <c r="N234" s="37">
        <f>MIN($B$6,J234+C234*$B$8*H234*K234^2*(1-J234/$B$6)*$B$9*60)</f>
        <v/>
      </c>
      <c r="O234" s="11">
        <f>IF(C234=1,Inputs!$B$12*G234*E234^2/($B$3^2*M234^4*N234^2),NA())</f>
        <v/>
      </c>
      <c r="P234" s="30">
        <f>P233+C234*E234/(1+F234/(1000*$B$11))*F234*$B$9/$B$3</f>
        <v/>
      </c>
      <c r="Q234" s="38">
        <f>C234*H234*(E234/60)^2*$B$9*60</f>
        <v/>
      </c>
    </row>
    <row r="235">
      <c r="A235" s="7" t="n">
        <v>175</v>
      </c>
      <c r="B235" s="30">
        <f>A235*$B$9</f>
        <v/>
      </c>
      <c r="C235" s="15">
        <f>IF(B235&lt;=$B$12+0.000000001,1,0)</f>
        <v/>
      </c>
      <c r="D235" s="15">
        <f>IF(C235=1,MATCH(B235-$B$9/2,$E$16:$E$35,1),0)</f>
        <v/>
      </c>
      <c r="E235" s="16">
        <f>IF(C235=1,INDEX($C$16:$C$35,D235),0)</f>
        <v/>
      </c>
      <c r="F235" s="15">
        <f>IF(C235=1,N(INDEX($D$16:$D$35,D235)),0)</f>
        <v/>
      </c>
      <c r="G235" s="30">
        <f>($B$10+F235)/(1+F235/(1000*$B$11))</f>
        <v/>
      </c>
      <c r="H235" s="30">
        <f>F235/(1+F235/(1000*$B$11))</f>
        <v/>
      </c>
      <c r="I235" s="37">
        <f>M234</f>
        <v/>
      </c>
      <c r="J235" s="37">
        <f>N234</f>
        <v/>
      </c>
      <c r="K235" s="16">
        <f>(E235/60)/($B$3*PI()/4*(I235/1000)^2)</f>
        <v/>
      </c>
      <c r="L235" s="23">
        <f>C235*$B$7*H235*K235^2*$B$9*60*1000</f>
        <v/>
      </c>
      <c r="M235" s="37">
        <f>I235+L235</f>
        <v/>
      </c>
      <c r="N235" s="37">
        <f>MIN($B$6,J235+C235*$B$8*H235*K235^2*(1-J235/$B$6)*$B$9*60)</f>
        <v/>
      </c>
      <c r="O235" s="11">
        <f>IF(C235=1,Inputs!$B$12*G235*E235^2/($B$3^2*M235^4*N235^2),NA())</f>
        <v/>
      </c>
      <c r="P235" s="30">
        <f>P234+C235*E235/(1+F235/(1000*$B$11))*F235*$B$9/$B$3</f>
        <v/>
      </c>
      <c r="Q235" s="38">
        <f>C235*H235*(E235/60)^2*$B$9*60</f>
        <v/>
      </c>
    </row>
    <row r="236">
      <c r="A236" s="7" t="n">
        <v>176</v>
      </c>
      <c r="B236" s="30">
        <f>A236*$B$9</f>
        <v/>
      </c>
      <c r="C236" s="15">
        <f>IF(B236&lt;=$B$12+0.000000001,1,0)</f>
        <v/>
      </c>
      <c r="D236" s="15">
        <f>IF(C236=1,MATCH(B236-$B$9/2,$E$16:$E$35,1),0)</f>
        <v/>
      </c>
      <c r="E236" s="16">
        <f>IF(C236=1,INDEX($C$16:$C$35,D236),0)</f>
        <v/>
      </c>
      <c r="F236" s="15">
        <f>IF(C236=1,N(INDEX($D$16:$D$35,D236)),0)</f>
        <v/>
      </c>
      <c r="G236" s="30">
        <f>($B$10+F236)/(1+F236/(1000*$B$11))</f>
        <v/>
      </c>
      <c r="H236" s="30">
        <f>F236/(1+F236/(1000*$B$11))</f>
        <v/>
      </c>
      <c r="I236" s="37">
        <f>M235</f>
        <v/>
      </c>
      <c r="J236" s="37">
        <f>N235</f>
        <v/>
      </c>
      <c r="K236" s="16">
        <f>(E236/60)/($B$3*PI()/4*(I236/1000)^2)</f>
        <v/>
      </c>
      <c r="L236" s="23">
        <f>C236*$B$7*H236*K236^2*$B$9*60*1000</f>
        <v/>
      </c>
      <c r="M236" s="37">
        <f>I236+L236</f>
        <v/>
      </c>
      <c r="N236" s="37">
        <f>MIN($B$6,J236+C236*$B$8*H236*K236^2*(1-J236/$B$6)*$B$9*60)</f>
        <v/>
      </c>
      <c r="O236" s="11">
        <f>IF(C236=1,Inputs!$B$12*G236*E236^2/($B$3^2*M236^4*N236^2),NA())</f>
        <v/>
      </c>
      <c r="P236" s="30">
        <f>P235+C236*E236/(1+F236/(1000*$B$11))*F236*$B$9/$B$3</f>
        <v/>
      </c>
      <c r="Q236" s="38">
        <f>C236*H236*(E236/60)^2*$B$9*60</f>
        <v/>
      </c>
    </row>
    <row r="237">
      <c r="A237" s="7" t="n">
        <v>177</v>
      </c>
      <c r="B237" s="30">
        <f>A237*$B$9</f>
        <v/>
      </c>
      <c r="C237" s="15">
        <f>IF(B237&lt;=$B$12+0.000000001,1,0)</f>
        <v/>
      </c>
      <c r="D237" s="15">
        <f>IF(C237=1,MATCH(B237-$B$9/2,$E$16:$E$35,1),0)</f>
        <v/>
      </c>
      <c r="E237" s="16">
        <f>IF(C237=1,INDEX($C$16:$C$35,D237),0)</f>
        <v/>
      </c>
      <c r="F237" s="15">
        <f>IF(C237=1,N(INDEX($D$16:$D$35,D237)),0)</f>
        <v/>
      </c>
      <c r="G237" s="30">
        <f>($B$10+F237)/(1+F237/(1000*$B$11))</f>
        <v/>
      </c>
      <c r="H237" s="30">
        <f>F237/(1+F237/(1000*$B$11))</f>
        <v/>
      </c>
      <c r="I237" s="37">
        <f>M236</f>
        <v/>
      </c>
      <c r="J237" s="37">
        <f>N236</f>
        <v/>
      </c>
      <c r="K237" s="16">
        <f>(E237/60)/($B$3*PI()/4*(I237/1000)^2)</f>
        <v/>
      </c>
      <c r="L237" s="23">
        <f>C237*$B$7*H237*K237^2*$B$9*60*1000</f>
        <v/>
      </c>
      <c r="M237" s="37">
        <f>I237+L237</f>
        <v/>
      </c>
      <c r="N237" s="37">
        <f>MIN($B$6,J237+C237*$B$8*H237*K237^2*(1-J237/$B$6)*$B$9*60)</f>
        <v/>
      </c>
      <c r="O237" s="11">
        <f>IF(C237=1,Inputs!$B$12*G237*E237^2/($B$3^2*M237^4*N237^2),NA())</f>
        <v/>
      </c>
      <c r="P237" s="30">
        <f>P236+C237*E237/(1+F237/(1000*$B$11))*F237*$B$9/$B$3</f>
        <v/>
      </c>
      <c r="Q237" s="38">
        <f>C237*H237*(E237/60)^2*$B$9*60</f>
        <v/>
      </c>
    </row>
    <row r="238">
      <c r="A238" s="7" t="n">
        <v>178</v>
      </c>
      <c r="B238" s="30">
        <f>A238*$B$9</f>
        <v/>
      </c>
      <c r="C238" s="15">
        <f>IF(B238&lt;=$B$12+0.000000001,1,0)</f>
        <v/>
      </c>
      <c r="D238" s="15">
        <f>IF(C238=1,MATCH(B238-$B$9/2,$E$16:$E$35,1),0)</f>
        <v/>
      </c>
      <c r="E238" s="16">
        <f>IF(C238=1,INDEX($C$16:$C$35,D238),0)</f>
        <v/>
      </c>
      <c r="F238" s="15">
        <f>IF(C238=1,N(INDEX($D$16:$D$35,D238)),0)</f>
        <v/>
      </c>
      <c r="G238" s="30">
        <f>($B$10+F238)/(1+F238/(1000*$B$11))</f>
        <v/>
      </c>
      <c r="H238" s="30">
        <f>F238/(1+F238/(1000*$B$11))</f>
        <v/>
      </c>
      <c r="I238" s="37">
        <f>M237</f>
        <v/>
      </c>
      <c r="J238" s="37">
        <f>N237</f>
        <v/>
      </c>
      <c r="K238" s="16">
        <f>(E238/60)/($B$3*PI()/4*(I238/1000)^2)</f>
        <v/>
      </c>
      <c r="L238" s="23">
        <f>C238*$B$7*H238*K238^2*$B$9*60*1000</f>
        <v/>
      </c>
      <c r="M238" s="37">
        <f>I238+L238</f>
        <v/>
      </c>
      <c r="N238" s="37">
        <f>MIN($B$6,J238+C238*$B$8*H238*K238^2*(1-J238/$B$6)*$B$9*60)</f>
        <v/>
      </c>
      <c r="O238" s="11">
        <f>IF(C238=1,Inputs!$B$12*G238*E238^2/($B$3^2*M238^4*N238^2),NA())</f>
        <v/>
      </c>
      <c r="P238" s="30">
        <f>P237+C238*E238/(1+F238/(1000*$B$11))*F238*$B$9/$B$3</f>
        <v/>
      </c>
      <c r="Q238" s="38">
        <f>C238*H238*(E238/60)^2*$B$9*60</f>
        <v/>
      </c>
    </row>
    <row r="239">
      <c r="A239" s="7" t="n">
        <v>179</v>
      </c>
      <c r="B239" s="30">
        <f>A239*$B$9</f>
        <v/>
      </c>
      <c r="C239" s="15">
        <f>IF(B239&lt;=$B$12+0.000000001,1,0)</f>
        <v/>
      </c>
      <c r="D239" s="15">
        <f>IF(C239=1,MATCH(B239-$B$9/2,$E$16:$E$35,1),0)</f>
        <v/>
      </c>
      <c r="E239" s="16">
        <f>IF(C239=1,INDEX($C$16:$C$35,D239),0)</f>
        <v/>
      </c>
      <c r="F239" s="15">
        <f>IF(C239=1,N(INDEX($D$16:$D$35,D239)),0)</f>
        <v/>
      </c>
      <c r="G239" s="30">
        <f>($B$10+F239)/(1+F239/(1000*$B$11))</f>
        <v/>
      </c>
      <c r="H239" s="30">
        <f>F239/(1+F239/(1000*$B$11))</f>
        <v/>
      </c>
      <c r="I239" s="37">
        <f>M238</f>
        <v/>
      </c>
      <c r="J239" s="37">
        <f>N238</f>
        <v/>
      </c>
      <c r="K239" s="16">
        <f>(E239/60)/($B$3*PI()/4*(I239/1000)^2)</f>
        <v/>
      </c>
      <c r="L239" s="23">
        <f>C239*$B$7*H239*K239^2*$B$9*60*1000</f>
        <v/>
      </c>
      <c r="M239" s="37">
        <f>I239+L239</f>
        <v/>
      </c>
      <c r="N239" s="37">
        <f>MIN($B$6,J239+C239*$B$8*H239*K239^2*(1-J239/$B$6)*$B$9*60)</f>
        <v/>
      </c>
      <c r="O239" s="11">
        <f>IF(C239=1,Inputs!$B$12*G239*E239^2/($B$3^2*M239^4*N239^2),NA())</f>
        <v/>
      </c>
      <c r="P239" s="30">
        <f>P238+C239*E239/(1+F239/(1000*$B$11))*F239*$B$9/$B$3</f>
        <v/>
      </c>
      <c r="Q239" s="38">
        <f>C239*H239*(E239/60)^2*$B$9*60</f>
        <v/>
      </c>
    </row>
    <row r="240">
      <c r="A240" s="7" t="n">
        <v>180</v>
      </c>
      <c r="B240" s="30">
        <f>A240*$B$9</f>
        <v/>
      </c>
      <c r="C240" s="15">
        <f>IF(B240&lt;=$B$12+0.000000001,1,0)</f>
        <v/>
      </c>
      <c r="D240" s="15">
        <f>IF(C240=1,MATCH(B240-$B$9/2,$E$16:$E$35,1),0)</f>
        <v/>
      </c>
      <c r="E240" s="16">
        <f>IF(C240=1,INDEX($C$16:$C$35,D240),0)</f>
        <v/>
      </c>
      <c r="F240" s="15">
        <f>IF(C240=1,N(INDEX($D$16:$D$35,D240)),0)</f>
        <v/>
      </c>
      <c r="G240" s="30">
        <f>($B$10+F240)/(1+F240/(1000*$B$11))</f>
        <v/>
      </c>
      <c r="H240" s="30">
        <f>F240/(1+F240/(1000*$B$11))</f>
        <v/>
      </c>
      <c r="I240" s="37">
        <f>M239</f>
        <v/>
      </c>
      <c r="J240" s="37">
        <f>N239</f>
        <v/>
      </c>
      <c r="K240" s="16">
        <f>(E240/60)/($B$3*PI()/4*(I240/1000)^2)</f>
        <v/>
      </c>
      <c r="L240" s="23">
        <f>C240*$B$7*H240*K240^2*$B$9*60*1000</f>
        <v/>
      </c>
      <c r="M240" s="37">
        <f>I240+L240</f>
        <v/>
      </c>
      <c r="N240" s="37">
        <f>MIN($B$6,J240+C240*$B$8*H240*K240^2*(1-J240/$B$6)*$B$9*60)</f>
        <v/>
      </c>
      <c r="O240" s="11">
        <f>IF(C240=1,Inputs!$B$12*G240*E240^2/($B$3^2*M240^4*N240^2),NA())</f>
        <v/>
      </c>
      <c r="P240" s="30">
        <f>P239+C240*E240/(1+F240/(1000*$B$11))*F240*$B$9/$B$3</f>
        <v/>
      </c>
      <c r="Q240" s="38">
        <f>C240*H240*(E240/60)^2*$B$9*60</f>
        <v/>
      </c>
    </row>
    <row r="241">
      <c r="A241" s="7" t="n">
        <v>181</v>
      </c>
      <c r="B241" s="30">
        <f>A241*$B$9</f>
        <v/>
      </c>
      <c r="C241" s="15">
        <f>IF(B241&lt;=$B$12+0.000000001,1,0)</f>
        <v/>
      </c>
      <c r="D241" s="15">
        <f>IF(C241=1,MATCH(B241-$B$9/2,$E$16:$E$35,1),0)</f>
        <v/>
      </c>
      <c r="E241" s="16">
        <f>IF(C241=1,INDEX($C$16:$C$35,D241),0)</f>
        <v/>
      </c>
      <c r="F241" s="15">
        <f>IF(C241=1,N(INDEX($D$16:$D$35,D241)),0)</f>
        <v/>
      </c>
      <c r="G241" s="30">
        <f>($B$10+F241)/(1+F241/(1000*$B$11))</f>
        <v/>
      </c>
      <c r="H241" s="30">
        <f>F241/(1+F241/(1000*$B$11))</f>
        <v/>
      </c>
      <c r="I241" s="37">
        <f>M240</f>
        <v/>
      </c>
      <c r="J241" s="37">
        <f>N240</f>
        <v/>
      </c>
      <c r="K241" s="16">
        <f>(E241/60)/($B$3*PI()/4*(I241/1000)^2)</f>
        <v/>
      </c>
      <c r="L241" s="23">
        <f>C241*$B$7*H241*K241^2*$B$9*60*1000</f>
        <v/>
      </c>
      <c r="M241" s="37">
        <f>I241+L241</f>
        <v/>
      </c>
      <c r="N241" s="37">
        <f>MIN($B$6,J241+C241*$B$8*H241*K241^2*(1-J241/$B$6)*$B$9*60)</f>
        <v/>
      </c>
      <c r="O241" s="11">
        <f>IF(C241=1,Inputs!$B$12*G241*E241^2/($B$3^2*M241^4*N241^2),NA())</f>
        <v/>
      </c>
      <c r="P241" s="30">
        <f>P240+C241*E241/(1+F241/(1000*$B$11))*F241*$B$9/$B$3</f>
        <v/>
      </c>
      <c r="Q241" s="38">
        <f>C241*H241*(E241/60)^2*$B$9*60</f>
        <v/>
      </c>
    </row>
    <row r="242">
      <c r="A242" s="7" t="n">
        <v>182</v>
      </c>
      <c r="B242" s="30">
        <f>A242*$B$9</f>
        <v/>
      </c>
      <c r="C242" s="15">
        <f>IF(B242&lt;=$B$12+0.000000001,1,0)</f>
        <v/>
      </c>
      <c r="D242" s="15">
        <f>IF(C242=1,MATCH(B242-$B$9/2,$E$16:$E$35,1),0)</f>
        <v/>
      </c>
      <c r="E242" s="16">
        <f>IF(C242=1,INDEX($C$16:$C$35,D242),0)</f>
        <v/>
      </c>
      <c r="F242" s="15">
        <f>IF(C242=1,N(INDEX($D$16:$D$35,D242)),0)</f>
        <v/>
      </c>
      <c r="G242" s="30">
        <f>($B$10+F242)/(1+F242/(1000*$B$11))</f>
        <v/>
      </c>
      <c r="H242" s="30">
        <f>F242/(1+F242/(1000*$B$11))</f>
        <v/>
      </c>
      <c r="I242" s="37">
        <f>M241</f>
        <v/>
      </c>
      <c r="J242" s="37">
        <f>N241</f>
        <v/>
      </c>
      <c r="K242" s="16">
        <f>(E242/60)/($B$3*PI()/4*(I242/1000)^2)</f>
        <v/>
      </c>
      <c r="L242" s="23">
        <f>C242*$B$7*H242*K242^2*$B$9*60*1000</f>
        <v/>
      </c>
      <c r="M242" s="37">
        <f>I242+L242</f>
        <v/>
      </c>
      <c r="N242" s="37">
        <f>MIN($B$6,J242+C242*$B$8*H242*K242^2*(1-J242/$B$6)*$B$9*60)</f>
        <v/>
      </c>
      <c r="O242" s="11">
        <f>IF(C242=1,Inputs!$B$12*G242*E242^2/($B$3^2*M242^4*N242^2),NA())</f>
        <v/>
      </c>
      <c r="P242" s="30">
        <f>P241+C242*E242/(1+F242/(1000*$B$11))*F242*$B$9/$B$3</f>
        <v/>
      </c>
      <c r="Q242" s="38">
        <f>C242*H242*(E242/60)^2*$B$9*60</f>
        <v/>
      </c>
    </row>
    <row r="243">
      <c r="A243" s="7" t="n">
        <v>183</v>
      </c>
      <c r="B243" s="30">
        <f>A243*$B$9</f>
        <v/>
      </c>
      <c r="C243" s="15">
        <f>IF(B243&lt;=$B$12+0.000000001,1,0)</f>
        <v/>
      </c>
      <c r="D243" s="15">
        <f>IF(C243=1,MATCH(B243-$B$9/2,$E$16:$E$35,1),0)</f>
        <v/>
      </c>
      <c r="E243" s="16">
        <f>IF(C243=1,INDEX($C$16:$C$35,D243),0)</f>
        <v/>
      </c>
      <c r="F243" s="15">
        <f>IF(C243=1,N(INDEX($D$16:$D$35,D243)),0)</f>
        <v/>
      </c>
      <c r="G243" s="30">
        <f>($B$10+F243)/(1+F243/(1000*$B$11))</f>
        <v/>
      </c>
      <c r="H243" s="30">
        <f>F243/(1+F243/(1000*$B$11))</f>
        <v/>
      </c>
      <c r="I243" s="37">
        <f>M242</f>
        <v/>
      </c>
      <c r="J243" s="37">
        <f>N242</f>
        <v/>
      </c>
      <c r="K243" s="16">
        <f>(E243/60)/($B$3*PI()/4*(I243/1000)^2)</f>
        <v/>
      </c>
      <c r="L243" s="23">
        <f>C243*$B$7*H243*K243^2*$B$9*60*1000</f>
        <v/>
      </c>
      <c r="M243" s="37">
        <f>I243+L243</f>
        <v/>
      </c>
      <c r="N243" s="37">
        <f>MIN($B$6,J243+C243*$B$8*H243*K243^2*(1-J243/$B$6)*$B$9*60)</f>
        <v/>
      </c>
      <c r="O243" s="11">
        <f>IF(C243=1,Inputs!$B$12*G243*E243^2/($B$3^2*M243^4*N243^2),NA())</f>
        <v/>
      </c>
      <c r="P243" s="30">
        <f>P242+C243*E243/(1+F243/(1000*$B$11))*F243*$B$9/$B$3</f>
        <v/>
      </c>
      <c r="Q243" s="38">
        <f>C243*H243*(E243/60)^2*$B$9*60</f>
        <v/>
      </c>
    </row>
    <row r="244">
      <c r="A244" s="7" t="n">
        <v>184</v>
      </c>
      <c r="B244" s="30">
        <f>A244*$B$9</f>
        <v/>
      </c>
      <c r="C244" s="15">
        <f>IF(B244&lt;=$B$12+0.000000001,1,0)</f>
        <v/>
      </c>
      <c r="D244" s="15">
        <f>IF(C244=1,MATCH(B244-$B$9/2,$E$16:$E$35,1),0)</f>
        <v/>
      </c>
      <c r="E244" s="16">
        <f>IF(C244=1,INDEX($C$16:$C$35,D244),0)</f>
        <v/>
      </c>
      <c r="F244" s="15">
        <f>IF(C244=1,N(INDEX($D$16:$D$35,D244)),0)</f>
        <v/>
      </c>
      <c r="G244" s="30">
        <f>($B$10+F244)/(1+F244/(1000*$B$11))</f>
        <v/>
      </c>
      <c r="H244" s="30">
        <f>F244/(1+F244/(1000*$B$11))</f>
        <v/>
      </c>
      <c r="I244" s="37">
        <f>M243</f>
        <v/>
      </c>
      <c r="J244" s="37">
        <f>N243</f>
        <v/>
      </c>
      <c r="K244" s="16">
        <f>(E244/60)/($B$3*PI()/4*(I244/1000)^2)</f>
        <v/>
      </c>
      <c r="L244" s="23">
        <f>C244*$B$7*H244*K244^2*$B$9*60*1000</f>
        <v/>
      </c>
      <c r="M244" s="37">
        <f>I244+L244</f>
        <v/>
      </c>
      <c r="N244" s="37">
        <f>MIN($B$6,J244+C244*$B$8*H244*K244^2*(1-J244/$B$6)*$B$9*60)</f>
        <v/>
      </c>
      <c r="O244" s="11">
        <f>IF(C244=1,Inputs!$B$12*G244*E244^2/($B$3^2*M244^4*N244^2),NA())</f>
        <v/>
      </c>
      <c r="P244" s="30">
        <f>P243+C244*E244/(1+F244/(1000*$B$11))*F244*$B$9/$B$3</f>
        <v/>
      </c>
      <c r="Q244" s="38">
        <f>C244*H244*(E244/60)^2*$B$9*60</f>
        <v/>
      </c>
    </row>
    <row r="245">
      <c r="A245" s="7" t="n">
        <v>185</v>
      </c>
      <c r="B245" s="30">
        <f>A245*$B$9</f>
        <v/>
      </c>
      <c r="C245" s="15">
        <f>IF(B245&lt;=$B$12+0.000000001,1,0)</f>
        <v/>
      </c>
      <c r="D245" s="15">
        <f>IF(C245=1,MATCH(B245-$B$9/2,$E$16:$E$35,1),0)</f>
        <v/>
      </c>
      <c r="E245" s="16">
        <f>IF(C245=1,INDEX($C$16:$C$35,D245),0)</f>
        <v/>
      </c>
      <c r="F245" s="15">
        <f>IF(C245=1,N(INDEX($D$16:$D$35,D245)),0)</f>
        <v/>
      </c>
      <c r="G245" s="30">
        <f>($B$10+F245)/(1+F245/(1000*$B$11))</f>
        <v/>
      </c>
      <c r="H245" s="30">
        <f>F245/(1+F245/(1000*$B$11))</f>
        <v/>
      </c>
      <c r="I245" s="37">
        <f>M244</f>
        <v/>
      </c>
      <c r="J245" s="37">
        <f>N244</f>
        <v/>
      </c>
      <c r="K245" s="16">
        <f>(E245/60)/($B$3*PI()/4*(I245/1000)^2)</f>
        <v/>
      </c>
      <c r="L245" s="23">
        <f>C245*$B$7*H245*K245^2*$B$9*60*1000</f>
        <v/>
      </c>
      <c r="M245" s="37">
        <f>I245+L245</f>
        <v/>
      </c>
      <c r="N245" s="37">
        <f>MIN($B$6,J245+C245*$B$8*H245*K245^2*(1-J245/$B$6)*$B$9*60)</f>
        <v/>
      </c>
      <c r="O245" s="11">
        <f>IF(C245=1,Inputs!$B$12*G245*E245^2/($B$3^2*M245^4*N245^2),NA())</f>
        <v/>
      </c>
      <c r="P245" s="30">
        <f>P244+C245*E245/(1+F245/(1000*$B$11))*F245*$B$9/$B$3</f>
        <v/>
      </c>
      <c r="Q245" s="38">
        <f>C245*H245*(E245/60)^2*$B$9*60</f>
        <v/>
      </c>
    </row>
    <row r="246">
      <c r="A246" s="7" t="n">
        <v>186</v>
      </c>
      <c r="B246" s="30">
        <f>A246*$B$9</f>
        <v/>
      </c>
      <c r="C246" s="15">
        <f>IF(B246&lt;=$B$12+0.000000001,1,0)</f>
        <v/>
      </c>
      <c r="D246" s="15">
        <f>IF(C246=1,MATCH(B246-$B$9/2,$E$16:$E$35,1),0)</f>
        <v/>
      </c>
      <c r="E246" s="16">
        <f>IF(C246=1,INDEX($C$16:$C$35,D246),0)</f>
        <v/>
      </c>
      <c r="F246" s="15">
        <f>IF(C246=1,N(INDEX($D$16:$D$35,D246)),0)</f>
        <v/>
      </c>
      <c r="G246" s="30">
        <f>($B$10+F246)/(1+F246/(1000*$B$11))</f>
        <v/>
      </c>
      <c r="H246" s="30">
        <f>F246/(1+F246/(1000*$B$11))</f>
        <v/>
      </c>
      <c r="I246" s="37">
        <f>M245</f>
        <v/>
      </c>
      <c r="J246" s="37">
        <f>N245</f>
        <v/>
      </c>
      <c r="K246" s="16">
        <f>(E246/60)/($B$3*PI()/4*(I246/1000)^2)</f>
        <v/>
      </c>
      <c r="L246" s="23">
        <f>C246*$B$7*H246*K246^2*$B$9*60*1000</f>
        <v/>
      </c>
      <c r="M246" s="37">
        <f>I246+L246</f>
        <v/>
      </c>
      <c r="N246" s="37">
        <f>MIN($B$6,J246+C246*$B$8*H246*K246^2*(1-J246/$B$6)*$B$9*60)</f>
        <v/>
      </c>
      <c r="O246" s="11">
        <f>IF(C246=1,Inputs!$B$12*G246*E246^2/($B$3^2*M246^4*N246^2),NA())</f>
        <v/>
      </c>
      <c r="P246" s="30">
        <f>P245+C246*E246/(1+F246/(1000*$B$11))*F246*$B$9/$B$3</f>
        <v/>
      </c>
      <c r="Q246" s="38">
        <f>C246*H246*(E246/60)^2*$B$9*60</f>
        <v/>
      </c>
    </row>
    <row r="247">
      <c r="A247" s="7" t="n">
        <v>187</v>
      </c>
      <c r="B247" s="30">
        <f>A247*$B$9</f>
        <v/>
      </c>
      <c r="C247" s="15">
        <f>IF(B247&lt;=$B$12+0.000000001,1,0)</f>
        <v/>
      </c>
      <c r="D247" s="15">
        <f>IF(C247=1,MATCH(B247-$B$9/2,$E$16:$E$35,1),0)</f>
        <v/>
      </c>
      <c r="E247" s="16">
        <f>IF(C247=1,INDEX($C$16:$C$35,D247),0)</f>
        <v/>
      </c>
      <c r="F247" s="15">
        <f>IF(C247=1,N(INDEX($D$16:$D$35,D247)),0)</f>
        <v/>
      </c>
      <c r="G247" s="30">
        <f>($B$10+F247)/(1+F247/(1000*$B$11))</f>
        <v/>
      </c>
      <c r="H247" s="30">
        <f>F247/(1+F247/(1000*$B$11))</f>
        <v/>
      </c>
      <c r="I247" s="37">
        <f>M246</f>
        <v/>
      </c>
      <c r="J247" s="37">
        <f>N246</f>
        <v/>
      </c>
      <c r="K247" s="16">
        <f>(E247/60)/($B$3*PI()/4*(I247/1000)^2)</f>
        <v/>
      </c>
      <c r="L247" s="23">
        <f>C247*$B$7*H247*K247^2*$B$9*60*1000</f>
        <v/>
      </c>
      <c r="M247" s="37">
        <f>I247+L247</f>
        <v/>
      </c>
      <c r="N247" s="37">
        <f>MIN($B$6,J247+C247*$B$8*H247*K247^2*(1-J247/$B$6)*$B$9*60)</f>
        <v/>
      </c>
      <c r="O247" s="11">
        <f>IF(C247=1,Inputs!$B$12*G247*E247^2/($B$3^2*M247^4*N247^2),NA())</f>
        <v/>
      </c>
      <c r="P247" s="30">
        <f>P246+C247*E247/(1+F247/(1000*$B$11))*F247*$B$9/$B$3</f>
        <v/>
      </c>
      <c r="Q247" s="38">
        <f>C247*H247*(E247/60)^2*$B$9*60</f>
        <v/>
      </c>
    </row>
    <row r="248">
      <c r="A248" s="7" t="n">
        <v>188</v>
      </c>
      <c r="B248" s="30">
        <f>A248*$B$9</f>
        <v/>
      </c>
      <c r="C248" s="15">
        <f>IF(B248&lt;=$B$12+0.000000001,1,0)</f>
        <v/>
      </c>
      <c r="D248" s="15">
        <f>IF(C248=1,MATCH(B248-$B$9/2,$E$16:$E$35,1),0)</f>
        <v/>
      </c>
      <c r="E248" s="16">
        <f>IF(C248=1,INDEX($C$16:$C$35,D248),0)</f>
        <v/>
      </c>
      <c r="F248" s="15">
        <f>IF(C248=1,N(INDEX($D$16:$D$35,D248)),0)</f>
        <v/>
      </c>
      <c r="G248" s="30">
        <f>($B$10+F248)/(1+F248/(1000*$B$11))</f>
        <v/>
      </c>
      <c r="H248" s="30">
        <f>F248/(1+F248/(1000*$B$11))</f>
        <v/>
      </c>
      <c r="I248" s="37">
        <f>M247</f>
        <v/>
      </c>
      <c r="J248" s="37">
        <f>N247</f>
        <v/>
      </c>
      <c r="K248" s="16">
        <f>(E248/60)/($B$3*PI()/4*(I248/1000)^2)</f>
        <v/>
      </c>
      <c r="L248" s="23">
        <f>C248*$B$7*H248*K248^2*$B$9*60*1000</f>
        <v/>
      </c>
      <c r="M248" s="37">
        <f>I248+L248</f>
        <v/>
      </c>
      <c r="N248" s="37">
        <f>MIN($B$6,J248+C248*$B$8*H248*K248^2*(1-J248/$B$6)*$B$9*60)</f>
        <v/>
      </c>
      <c r="O248" s="11">
        <f>IF(C248=1,Inputs!$B$12*G248*E248^2/($B$3^2*M248^4*N248^2),NA())</f>
        <v/>
      </c>
      <c r="P248" s="30">
        <f>P247+C248*E248/(1+F248/(1000*$B$11))*F248*$B$9/$B$3</f>
        <v/>
      </c>
      <c r="Q248" s="38">
        <f>C248*H248*(E248/60)^2*$B$9*60</f>
        <v/>
      </c>
    </row>
    <row r="249">
      <c r="A249" s="7" t="n">
        <v>189</v>
      </c>
      <c r="B249" s="30">
        <f>A249*$B$9</f>
        <v/>
      </c>
      <c r="C249" s="15">
        <f>IF(B249&lt;=$B$12+0.000000001,1,0)</f>
        <v/>
      </c>
      <c r="D249" s="15">
        <f>IF(C249=1,MATCH(B249-$B$9/2,$E$16:$E$35,1),0)</f>
        <v/>
      </c>
      <c r="E249" s="16">
        <f>IF(C249=1,INDEX($C$16:$C$35,D249),0)</f>
        <v/>
      </c>
      <c r="F249" s="15">
        <f>IF(C249=1,N(INDEX($D$16:$D$35,D249)),0)</f>
        <v/>
      </c>
      <c r="G249" s="30">
        <f>($B$10+F249)/(1+F249/(1000*$B$11))</f>
        <v/>
      </c>
      <c r="H249" s="30">
        <f>F249/(1+F249/(1000*$B$11))</f>
        <v/>
      </c>
      <c r="I249" s="37">
        <f>M248</f>
        <v/>
      </c>
      <c r="J249" s="37">
        <f>N248</f>
        <v/>
      </c>
      <c r="K249" s="16">
        <f>(E249/60)/($B$3*PI()/4*(I249/1000)^2)</f>
        <v/>
      </c>
      <c r="L249" s="23">
        <f>C249*$B$7*H249*K249^2*$B$9*60*1000</f>
        <v/>
      </c>
      <c r="M249" s="37">
        <f>I249+L249</f>
        <v/>
      </c>
      <c r="N249" s="37">
        <f>MIN($B$6,J249+C249*$B$8*H249*K249^2*(1-J249/$B$6)*$B$9*60)</f>
        <v/>
      </c>
      <c r="O249" s="11">
        <f>IF(C249=1,Inputs!$B$12*G249*E249^2/($B$3^2*M249^4*N249^2),NA())</f>
        <v/>
      </c>
      <c r="P249" s="30">
        <f>P248+C249*E249/(1+F249/(1000*$B$11))*F249*$B$9/$B$3</f>
        <v/>
      </c>
      <c r="Q249" s="38">
        <f>C249*H249*(E249/60)^2*$B$9*60</f>
        <v/>
      </c>
    </row>
    <row r="250">
      <c r="A250" s="7" t="n">
        <v>190</v>
      </c>
      <c r="B250" s="30">
        <f>A250*$B$9</f>
        <v/>
      </c>
      <c r="C250" s="15">
        <f>IF(B250&lt;=$B$12+0.000000001,1,0)</f>
        <v/>
      </c>
      <c r="D250" s="15">
        <f>IF(C250=1,MATCH(B250-$B$9/2,$E$16:$E$35,1),0)</f>
        <v/>
      </c>
      <c r="E250" s="16">
        <f>IF(C250=1,INDEX($C$16:$C$35,D250),0)</f>
        <v/>
      </c>
      <c r="F250" s="15">
        <f>IF(C250=1,N(INDEX($D$16:$D$35,D250)),0)</f>
        <v/>
      </c>
      <c r="G250" s="30">
        <f>($B$10+F250)/(1+F250/(1000*$B$11))</f>
        <v/>
      </c>
      <c r="H250" s="30">
        <f>F250/(1+F250/(1000*$B$11))</f>
        <v/>
      </c>
      <c r="I250" s="37">
        <f>M249</f>
        <v/>
      </c>
      <c r="J250" s="37">
        <f>N249</f>
        <v/>
      </c>
      <c r="K250" s="16">
        <f>(E250/60)/($B$3*PI()/4*(I250/1000)^2)</f>
        <v/>
      </c>
      <c r="L250" s="23">
        <f>C250*$B$7*H250*K250^2*$B$9*60*1000</f>
        <v/>
      </c>
      <c r="M250" s="37">
        <f>I250+L250</f>
        <v/>
      </c>
      <c r="N250" s="37">
        <f>MIN($B$6,J250+C250*$B$8*H250*K250^2*(1-J250/$B$6)*$B$9*60)</f>
        <v/>
      </c>
      <c r="O250" s="11">
        <f>IF(C250=1,Inputs!$B$12*G250*E250^2/($B$3^2*M250^4*N250^2),NA())</f>
        <v/>
      </c>
      <c r="P250" s="30">
        <f>P249+C250*E250/(1+F250/(1000*$B$11))*F250*$B$9/$B$3</f>
        <v/>
      </c>
      <c r="Q250" s="38">
        <f>C250*H250*(E250/60)^2*$B$9*60</f>
        <v/>
      </c>
    </row>
    <row r="251">
      <c r="A251" s="7" t="n">
        <v>191</v>
      </c>
      <c r="B251" s="30">
        <f>A251*$B$9</f>
        <v/>
      </c>
      <c r="C251" s="15">
        <f>IF(B251&lt;=$B$12+0.000000001,1,0)</f>
        <v/>
      </c>
      <c r="D251" s="15">
        <f>IF(C251=1,MATCH(B251-$B$9/2,$E$16:$E$35,1),0)</f>
        <v/>
      </c>
      <c r="E251" s="16">
        <f>IF(C251=1,INDEX($C$16:$C$35,D251),0)</f>
        <v/>
      </c>
      <c r="F251" s="15">
        <f>IF(C251=1,N(INDEX($D$16:$D$35,D251)),0)</f>
        <v/>
      </c>
      <c r="G251" s="30">
        <f>($B$10+F251)/(1+F251/(1000*$B$11))</f>
        <v/>
      </c>
      <c r="H251" s="30">
        <f>F251/(1+F251/(1000*$B$11))</f>
        <v/>
      </c>
      <c r="I251" s="37">
        <f>M250</f>
        <v/>
      </c>
      <c r="J251" s="37">
        <f>N250</f>
        <v/>
      </c>
      <c r="K251" s="16">
        <f>(E251/60)/($B$3*PI()/4*(I251/1000)^2)</f>
        <v/>
      </c>
      <c r="L251" s="23">
        <f>C251*$B$7*H251*K251^2*$B$9*60*1000</f>
        <v/>
      </c>
      <c r="M251" s="37">
        <f>I251+L251</f>
        <v/>
      </c>
      <c r="N251" s="37">
        <f>MIN($B$6,J251+C251*$B$8*H251*K251^2*(1-J251/$B$6)*$B$9*60)</f>
        <v/>
      </c>
      <c r="O251" s="11">
        <f>IF(C251=1,Inputs!$B$12*G251*E251^2/($B$3^2*M251^4*N251^2),NA())</f>
        <v/>
      </c>
      <c r="P251" s="30">
        <f>P250+C251*E251/(1+F251/(1000*$B$11))*F251*$B$9/$B$3</f>
        <v/>
      </c>
      <c r="Q251" s="38">
        <f>C251*H251*(E251/60)^2*$B$9*60</f>
        <v/>
      </c>
    </row>
    <row r="252">
      <c r="A252" s="7" t="n">
        <v>192</v>
      </c>
      <c r="B252" s="30">
        <f>A252*$B$9</f>
        <v/>
      </c>
      <c r="C252" s="15">
        <f>IF(B252&lt;=$B$12+0.000000001,1,0)</f>
        <v/>
      </c>
      <c r="D252" s="15">
        <f>IF(C252=1,MATCH(B252-$B$9/2,$E$16:$E$35,1),0)</f>
        <v/>
      </c>
      <c r="E252" s="16">
        <f>IF(C252=1,INDEX($C$16:$C$35,D252),0)</f>
        <v/>
      </c>
      <c r="F252" s="15">
        <f>IF(C252=1,N(INDEX($D$16:$D$35,D252)),0)</f>
        <v/>
      </c>
      <c r="G252" s="30">
        <f>($B$10+F252)/(1+F252/(1000*$B$11))</f>
        <v/>
      </c>
      <c r="H252" s="30">
        <f>F252/(1+F252/(1000*$B$11))</f>
        <v/>
      </c>
      <c r="I252" s="37">
        <f>M251</f>
        <v/>
      </c>
      <c r="J252" s="37">
        <f>N251</f>
        <v/>
      </c>
      <c r="K252" s="16">
        <f>(E252/60)/($B$3*PI()/4*(I252/1000)^2)</f>
        <v/>
      </c>
      <c r="L252" s="23">
        <f>C252*$B$7*H252*K252^2*$B$9*60*1000</f>
        <v/>
      </c>
      <c r="M252" s="37">
        <f>I252+L252</f>
        <v/>
      </c>
      <c r="N252" s="37">
        <f>MIN($B$6,J252+C252*$B$8*H252*K252^2*(1-J252/$B$6)*$B$9*60)</f>
        <v/>
      </c>
      <c r="O252" s="11">
        <f>IF(C252=1,Inputs!$B$12*G252*E252^2/($B$3^2*M252^4*N252^2),NA())</f>
        <v/>
      </c>
      <c r="P252" s="30">
        <f>P251+C252*E252/(1+F252/(1000*$B$11))*F252*$B$9/$B$3</f>
        <v/>
      </c>
      <c r="Q252" s="38">
        <f>C252*H252*(E252/60)^2*$B$9*60</f>
        <v/>
      </c>
    </row>
    <row r="253">
      <c r="A253" s="7" t="n">
        <v>193</v>
      </c>
      <c r="B253" s="30">
        <f>A253*$B$9</f>
        <v/>
      </c>
      <c r="C253" s="15">
        <f>IF(B253&lt;=$B$12+0.000000001,1,0)</f>
        <v/>
      </c>
      <c r="D253" s="15">
        <f>IF(C253=1,MATCH(B253-$B$9/2,$E$16:$E$35,1),0)</f>
        <v/>
      </c>
      <c r="E253" s="16">
        <f>IF(C253=1,INDEX($C$16:$C$35,D253),0)</f>
        <v/>
      </c>
      <c r="F253" s="15">
        <f>IF(C253=1,N(INDEX($D$16:$D$35,D253)),0)</f>
        <v/>
      </c>
      <c r="G253" s="30">
        <f>($B$10+F253)/(1+F253/(1000*$B$11))</f>
        <v/>
      </c>
      <c r="H253" s="30">
        <f>F253/(1+F253/(1000*$B$11))</f>
        <v/>
      </c>
      <c r="I253" s="37">
        <f>M252</f>
        <v/>
      </c>
      <c r="J253" s="37">
        <f>N252</f>
        <v/>
      </c>
      <c r="K253" s="16">
        <f>(E253/60)/($B$3*PI()/4*(I253/1000)^2)</f>
        <v/>
      </c>
      <c r="L253" s="23">
        <f>C253*$B$7*H253*K253^2*$B$9*60*1000</f>
        <v/>
      </c>
      <c r="M253" s="37">
        <f>I253+L253</f>
        <v/>
      </c>
      <c r="N253" s="37">
        <f>MIN($B$6,J253+C253*$B$8*H253*K253^2*(1-J253/$B$6)*$B$9*60)</f>
        <v/>
      </c>
      <c r="O253" s="11">
        <f>IF(C253=1,Inputs!$B$12*G253*E253^2/($B$3^2*M253^4*N253^2),NA())</f>
        <v/>
      </c>
      <c r="P253" s="30">
        <f>P252+C253*E253/(1+F253/(1000*$B$11))*F253*$B$9/$B$3</f>
        <v/>
      </c>
      <c r="Q253" s="38">
        <f>C253*H253*(E253/60)^2*$B$9*60</f>
        <v/>
      </c>
    </row>
    <row r="254">
      <c r="A254" s="7" t="n">
        <v>194</v>
      </c>
      <c r="B254" s="30">
        <f>A254*$B$9</f>
        <v/>
      </c>
      <c r="C254" s="15">
        <f>IF(B254&lt;=$B$12+0.000000001,1,0)</f>
        <v/>
      </c>
      <c r="D254" s="15">
        <f>IF(C254=1,MATCH(B254-$B$9/2,$E$16:$E$35,1),0)</f>
        <v/>
      </c>
      <c r="E254" s="16">
        <f>IF(C254=1,INDEX($C$16:$C$35,D254),0)</f>
        <v/>
      </c>
      <c r="F254" s="15">
        <f>IF(C254=1,N(INDEX($D$16:$D$35,D254)),0)</f>
        <v/>
      </c>
      <c r="G254" s="30">
        <f>($B$10+F254)/(1+F254/(1000*$B$11))</f>
        <v/>
      </c>
      <c r="H254" s="30">
        <f>F254/(1+F254/(1000*$B$11))</f>
        <v/>
      </c>
      <c r="I254" s="37">
        <f>M253</f>
        <v/>
      </c>
      <c r="J254" s="37">
        <f>N253</f>
        <v/>
      </c>
      <c r="K254" s="16">
        <f>(E254/60)/($B$3*PI()/4*(I254/1000)^2)</f>
        <v/>
      </c>
      <c r="L254" s="23">
        <f>C254*$B$7*H254*K254^2*$B$9*60*1000</f>
        <v/>
      </c>
      <c r="M254" s="37">
        <f>I254+L254</f>
        <v/>
      </c>
      <c r="N254" s="37">
        <f>MIN($B$6,J254+C254*$B$8*H254*K254^2*(1-J254/$B$6)*$B$9*60)</f>
        <v/>
      </c>
      <c r="O254" s="11">
        <f>IF(C254=1,Inputs!$B$12*G254*E254^2/($B$3^2*M254^4*N254^2),NA())</f>
        <v/>
      </c>
      <c r="P254" s="30">
        <f>P253+C254*E254/(1+F254/(1000*$B$11))*F254*$B$9/$B$3</f>
        <v/>
      </c>
      <c r="Q254" s="38">
        <f>C254*H254*(E254/60)^2*$B$9*60</f>
        <v/>
      </c>
    </row>
    <row r="255">
      <c r="A255" s="7" t="n">
        <v>195</v>
      </c>
      <c r="B255" s="30">
        <f>A255*$B$9</f>
        <v/>
      </c>
      <c r="C255" s="15">
        <f>IF(B255&lt;=$B$12+0.000000001,1,0)</f>
        <v/>
      </c>
      <c r="D255" s="15">
        <f>IF(C255=1,MATCH(B255-$B$9/2,$E$16:$E$35,1),0)</f>
        <v/>
      </c>
      <c r="E255" s="16">
        <f>IF(C255=1,INDEX($C$16:$C$35,D255),0)</f>
        <v/>
      </c>
      <c r="F255" s="15">
        <f>IF(C255=1,N(INDEX($D$16:$D$35,D255)),0)</f>
        <v/>
      </c>
      <c r="G255" s="30">
        <f>($B$10+F255)/(1+F255/(1000*$B$11))</f>
        <v/>
      </c>
      <c r="H255" s="30">
        <f>F255/(1+F255/(1000*$B$11))</f>
        <v/>
      </c>
      <c r="I255" s="37">
        <f>M254</f>
        <v/>
      </c>
      <c r="J255" s="37">
        <f>N254</f>
        <v/>
      </c>
      <c r="K255" s="16">
        <f>(E255/60)/($B$3*PI()/4*(I255/1000)^2)</f>
        <v/>
      </c>
      <c r="L255" s="23">
        <f>C255*$B$7*H255*K255^2*$B$9*60*1000</f>
        <v/>
      </c>
      <c r="M255" s="37">
        <f>I255+L255</f>
        <v/>
      </c>
      <c r="N255" s="37">
        <f>MIN($B$6,J255+C255*$B$8*H255*K255^2*(1-J255/$B$6)*$B$9*60)</f>
        <v/>
      </c>
      <c r="O255" s="11">
        <f>IF(C255=1,Inputs!$B$12*G255*E255^2/($B$3^2*M255^4*N255^2),NA())</f>
        <v/>
      </c>
      <c r="P255" s="30">
        <f>P254+C255*E255/(1+F255/(1000*$B$11))*F255*$B$9/$B$3</f>
        <v/>
      </c>
      <c r="Q255" s="38">
        <f>C255*H255*(E255/60)^2*$B$9*60</f>
        <v/>
      </c>
    </row>
    <row r="256">
      <c r="A256" s="7" t="n">
        <v>196</v>
      </c>
      <c r="B256" s="30">
        <f>A256*$B$9</f>
        <v/>
      </c>
      <c r="C256" s="15">
        <f>IF(B256&lt;=$B$12+0.000000001,1,0)</f>
        <v/>
      </c>
      <c r="D256" s="15">
        <f>IF(C256=1,MATCH(B256-$B$9/2,$E$16:$E$35,1),0)</f>
        <v/>
      </c>
      <c r="E256" s="16">
        <f>IF(C256=1,INDEX($C$16:$C$35,D256),0)</f>
        <v/>
      </c>
      <c r="F256" s="15">
        <f>IF(C256=1,N(INDEX($D$16:$D$35,D256)),0)</f>
        <v/>
      </c>
      <c r="G256" s="30">
        <f>($B$10+F256)/(1+F256/(1000*$B$11))</f>
        <v/>
      </c>
      <c r="H256" s="30">
        <f>F256/(1+F256/(1000*$B$11))</f>
        <v/>
      </c>
      <c r="I256" s="37">
        <f>M255</f>
        <v/>
      </c>
      <c r="J256" s="37">
        <f>N255</f>
        <v/>
      </c>
      <c r="K256" s="16">
        <f>(E256/60)/($B$3*PI()/4*(I256/1000)^2)</f>
        <v/>
      </c>
      <c r="L256" s="23">
        <f>C256*$B$7*H256*K256^2*$B$9*60*1000</f>
        <v/>
      </c>
      <c r="M256" s="37">
        <f>I256+L256</f>
        <v/>
      </c>
      <c r="N256" s="37">
        <f>MIN($B$6,J256+C256*$B$8*H256*K256^2*(1-J256/$B$6)*$B$9*60)</f>
        <v/>
      </c>
      <c r="O256" s="11">
        <f>IF(C256=1,Inputs!$B$12*G256*E256^2/($B$3^2*M256^4*N256^2),NA())</f>
        <v/>
      </c>
      <c r="P256" s="30">
        <f>P255+C256*E256/(1+F256/(1000*$B$11))*F256*$B$9/$B$3</f>
        <v/>
      </c>
      <c r="Q256" s="38">
        <f>C256*H256*(E256/60)^2*$B$9*60</f>
        <v/>
      </c>
    </row>
    <row r="257">
      <c r="A257" s="7" t="n">
        <v>197</v>
      </c>
      <c r="B257" s="30">
        <f>A257*$B$9</f>
        <v/>
      </c>
      <c r="C257" s="15">
        <f>IF(B257&lt;=$B$12+0.000000001,1,0)</f>
        <v/>
      </c>
      <c r="D257" s="15">
        <f>IF(C257=1,MATCH(B257-$B$9/2,$E$16:$E$35,1),0)</f>
        <v/>
      </c>
      <c r="E257" s="16">
        <f>IF(C257=1,INDEX($C$16:$C$35,D257),0)</f>
        <v/>
      </c>
      <c r="F257" s="15">
        <f>IF(C257=1,N(INDEX($D$16:$D$35,D257)),0)</f>
        <v/>
      </c>
      <c r="G257" s="30">
        <f>($B$10+F257)/(1+F257/(1000*$B$11))</f>
        <v/>
      </c>
      <c r="H257" s="30">
        <f>F257/(1+F257/(1000*$B$11))</f>
        <v/>
      </c>
      <c r="I257" s="37">
        <f>M256</f>
        <v/>
      </c>
      <c r="J257" s="37">
        <f>N256</f>
        <v/>
      </c>
      <c r="K257" s="16">
        <f>(E257/60)/($B$3*PI()/4*(I257/1000)^2)</f>
        <v/>
      </c>
      <c r="L257" s="23">
        <f>C257*$B$7*H257*K257^2*$B$9*60*1000</f>
        <v/>
      </c>
      <c r="M257" s="37">
        <f>I257+L257</f>
        <v/>
      </c>
      <c r="N257" s="37">
        <f>MIN($B$6,J257+C257*$B$8*H257*K257^2*(1-J257/$B$6)*$B$9*60)</f>
        <v/>
      </c>
      <c r="O257" s="11">
        <f>IF(C257=1,Inputs!$B$12*G257*E257^2/($B$3^2*M257^4*N257^2),NA())</f>
        <v/>
      </c>
      <c r="P257" s="30">
        <f>P256+C257*E257/(1+F257/(1000*$B$11))*F257*$B$9/$B$3</f>
        <v/>
      </c>
      <c r="Q257" s="38">
        <f>C257*H257*(E257/60)^2*$B$9*60</f>
        <v/>
      </c>
    </row>
    <row r="258">
      <c r="A258" s="7" t="n">
        <v>198</v>
      </c>
      <c r="B258" s="30">
        <f>A258*$B$9</f>
        <v/>
      </c>
      <c r="C258" s="15">
        <f>IF(B258&lt;=$B$12+0.000000001,1,0)</f>
        <v/>
      </c>
      <c r="D258" s="15">
        <f>IF(C258=1,MATCH(B258-$B$9/2,$E$16:$E$35,1),0)</f>
        <v/>
      </c>
      <c r="E258" s="16">
        <f>IF(C258=1,INDEX($C$16:$C$35,D258),0)</f>
        <v/>
      </c>
      <c r="F258" s="15">
        <f>IF(C258=1,N(INDEX($D$16:$D$35,D258)),0)</f>
        <v/>
      </c>
      <c r="G258" s="30">
        <f>($B$10+F258)/(1+F258/(1000*$B$11))</f>
        <v/>
      </c>
      <c r="H258" s="30">
        <f>F258/(1+F258/(1000*$B$11))</f>
        <v/>
      </c>
      <c r="I258" s="37">
        <f>M257</f>
        <v/>
      </c>
      <c r="J258" s="37">
        <f>N257</f>
        <v/>
      </c>
      <c r="K258" s="16">
        <f>(E258/60)/($B$3*PI()/4*(I258/1000)^2)</f>
        <v/>
      </c>
      <c r="L258" s="23">
        <f>C258*$B$7*H258*K258^2*$B$9*60*1000</f>
        <v/>
      </c>
      <c r="M258" s="37">
        <f>I258+L258</f>
        <v/>
      </c>
      <c r="N258" s="37">
        <f>MIN($B$6,J258+C258*$B$8*H258*K258^2*(1-J258/$B$6)*$B$9*60)</f>
        <v/>
      </c>
      <c r="O258" s="11">
        <f>IF(C258=1,Inputs!$B$12*G258*E258^2/($B$3^2*M258^4*N258^2),NA())</f>
        <v/>
      </c>
      <c r="P258" s="30">
        <f>P257+C258*E258/(1+F258/(1000*$B$11))*F258*$B$9/$B$3</f>
        <v/>
      </c>
      <c r="Q258" s="38">
        <f>C258*H258*(E258/60)^2*$B$9*60</f>
        <v/>
      </c>
    </row>
    <row r="259">
      <c r="A259" s="7" t="n">
        <v>199</v>
      </c>
      <c r="B259" s="30">
        <f>A259*$B$9</f>
        <v/>
      </c>
      <c r="C259" s="15">
        <f>IF(B259&lt;=$B$12+0.000000001,1,0)</f>
        <v/>
      </c>
      <c r="D259" s="15">
        <f>IF(C259=1,MATCH(B259-$B$9/2,$E$16:$E$35,1),0)</f>
        <v/>
      </c>
      <c r="E259" s="16">
        <f>IF(C259=1,INDEX($C$16:$C$35,D259),0)</f>
        <v/>
      </c>
      <c r="F259" s="15">
        <f>IF(C259=1,N(INDEX($D$16:$D$35,D259)),0)</f>
        <v/>
      </c>
      <c r="G259" s="30">
        <f>($B$10+F259)/(1+F259/(1000*$B$11))</f>
        <v/>
      </c>
      <c r="H259" s="30">
        <f>F259/(1+F259/(1000*$B$11))</f>
        <v/>
      </c>
      <c r="I259" s="37">
        <f>M258</f>
        <v/>
      </c>
      <c r="J259" s="37">
        <f>N258</f>
        <v/>
      </c>
      <c r="K259" s="16">
        <f>(E259/60)/($B$3*PI()/4*(I259/1000)^2)</f>
        <v/>
      </c>
      <c r="L259" s="23">
        <f>C259*$B$7*H259*K259^2*$B$9*60*1000</f>
        <v/>
      </c>
      <c r="M259" s="37">
        <f>I259+L259</f>
        <v/>
      </c>
      <c r="N259" s="37">
        <f>MIN($B$6,J259+C259*$B$8*H259*K259^2*(1-J259/$B$6)*$B$9*60)</f>
        <v/>
      </c>
      <c r="O259" s="11">
        <f>IF(C259=1,Inputs!$B$12*G259*E259^2/($B$3^2*M259^4*N259^2),NA())</f>
        <v/>
      </c>
      <c r="P259" s="30">
        <f>P258+C259*E259/(1+F259/(1000*$B$11))*F259*$B$9/$B$3</f>
        <v/>
      </c>
      <c r="Q259" s="38">
        <f>C259*H259*(E259/60)^2*$B$9*60</f>
        <v/>
      </c>
    </row>
    <row r="260">
      <c r="A260" s="7" t="n">
        <v>200</v>
      </c>
      <c r="B260" s="30">
        <f>A260*$B$9</f>
        <v/>
      </c>
      <c r="C260" s="15">
        <f>IF(B260&lt;=$B$12+0.000000001,1,0)</f>
        <v/>
      </c>
      <c r="D260" s="15">
        <f>IF(C260=1,MATCH(B260-$B$9/2,$E$16:$E$35,1),0)</f>
        <v/>
      </c>
      <c r="E260" s="16">
        <f>IF(C260=1,INDEX($C$16:$C$35,D260),0)</f>
        <v/>
      </c>
      <c r="F260" s="15">
        <f>IF(C260=1,N(INDEX($D$16:$D$35,D260)),0)</f>
        <v/>
      </c>
      <c r="G260" s="30">
        <f>($B$10+F260)/(1+F260/(1000*$B$11))</f>
        <v/>
      </c>
      <c r="H260" s="30">
        <f>F260/(1+F260/(1000*$B$11))</f>
        <v/>
      </c>
      <c r="I260" s="37">
        <f>M259</f>
        <v/>
      </c>
      <c r="J260" s="37">
        <f>N259</f>
        <v/>
      </c>
      <c r="K260" s="16">
        <f>(E260/60)/($B$3*PI()/4*(I260/1000)^2)</f>
        <v/>
      </c>
      <c r="L260" s="23">
        <f>C260*$B$7*H260*K260^2*$B$9*60*1000</f>
        <v/>
      </c>
      <c r="M260" s="37">
        <f>I260+L260</f>
        <v/>
      </c>
      <c r="N260" s="37">
        <f>MIN($B$6,J260+C260*$B$8*H260*K260^2*(1-J260/$B$6)*$B$9*60)</f>
        <v/>
      </c>
      <c r="O260" s="11">
        <f>IF(C260=1,Inputs!$B$12*G260*E260^2/($B$3^2*M260^4*N260^2),NA())</f>
        <v/>
      </c>
      <c r="P260" s="30">
        <f>P259+C260*E260/(1+F260/(1000*$B$11))*F260*$B$9/$B$3</f>
        <v/>
      </c>
      <c r="Q260" s="38">
        <f>C260*H260*(E260/60)^2*$B$9*60</f>
        <v/>
      </c>
    </row>
    <row r="261">
      <c r="A261" s="7" t="n">
        <v>201</v>
      </c>
      <c r="B261" s="30">
        <f>A261*$B$9</f>
        <v/>
      </c>
      <c r="C261" s="15">
        <f>IF(B261&lt;=$B$12+0.000000001,1,0)</f>
        <v/>
      </c>
      <c r="D261" s="15">
        <f>IF(C261=1,MATCH(B261-$B$9/2,$E$16:$E$35,1),0)</f>
        <v/>
      </c>
      <c r="E261" s="16">
        <f>IF(C261=1,INDEX($C$16:$C$35,D261),0)</f>
        <v/>
      </c>
      <c r="F261" s="15">
        <f>IF(C261=1,N(INDEX($D$16:$D$35,D261)),0)</f>
        <v/>
      </c>
      <c r="G261" s="30">
        <f>($B$10+F261)/(1+F261/(1000*$B$11))</f>
        <v/>
      </c>
      <c r="H261" s="30">
        <f>F261/(1+F261/(1000*$B$11))</f>
        <v/>
      </c>
      <c r="I261" s="37">
        <f>M260</f>
        <v/>
      </c>
      <c r="J261" s="37">
        <f>N260</f>
        <v/>
      </c>
      <c r="K261" s="16">
        <f>(E261/60)/($B$3*PI()/4*(I261/1000)^2)</f>
        <v/>
      </c>
      <c r="L261" s="23">
        <f>C261*$B$7*H261*K261^2*$B$9*60*1000</f>
        <v/>
      </c>
      <c r="M261" s="37">
        <f>I261+L261</f>
        <v/>
      </c>
      <c r="N261" s="37">
        <f>MIN($B$6,J261+C261*$B$8*H261*K261^2*(1-J261/$B$6)*$B$9*60)</f>
        <v/>
      </c>
      <c r="O261" s="11">
        <f>IF(C261=1,Inputs!$B$12*G261*E261^2/($B$3^2*M261^4*N261^2),NA())</f>
        <v/>
      </c>
      <c r="P261" s="30">
        <f>P260+C261*E261/(1+F261/(1000*$B$11))*F261*$B$9/$B$3</f>
        <v/>
      </c>
      <c r="Q261" s="38">
        <f>C261*H261*(E261/60)^2*$B$9*60</f>
        <v/>
      </c>
    </row>
    <row r="262">
      <c r="A262" s="7" t="n">
        <v>202</v>
      </c>
      <c r="B262" s="30">
        <f>A262*$B$9</f>
        <v/>
      </c>
      <c r="C262" s="15">
        <f>IF(B262&lt;=$B$12+0.000000001,1,0)</f>
        <v/>
      </c>
      <c r="D262" s="15">
        <f>IF(C262=1,MATCH(B262-$B$9/2,$E$16:$E$35,1),0)</f>
        <v/>
      </c>
      <c r="E262" s="16">
        <f>IF(C262=1,INDEX($C$16:$C$35,D262),0)</f>
        <v/>
      </c>
      <c r="F262" s="15">
        <f>IF(C262=1,N(INDEX($D$16:$D$35,D262)),0)</f>
        <v/>
      </c>
      <c r="G262" s="30">
        <f>($B$10+F262)/(1+F262/(1000*$B$11))</f>
        <v/>
      </c>
      <c r="H262" s="30">
        <f>F262/(1+F262/(1000*$B$11))</f>
        <v/>
      </c>
      <c r="I262" s="37">
        <f>M261</f>
        <v/>
      </c>
      <c r="J262" s="37">
        <f>N261</f>
        <v/>
      </c>
      <c r="K262" s="16">
        <f>(E262/60)/($B$3*PI()/4*(I262/1000)^2)</f>
        <v/>
      </c>
      <c r="L262" s="23">
        <f>C262*$B$7*H262*K262^2*$B$9*60*1000</f>
        <v/>
      </c>
      <c r="M262" s="37">
        <f>I262+L262</f>
        <v/>
      </c>
      <c r="N262" s="37">
        <f>MIN($B$6,J262+C262*$B$8*H262*K262^2*(1-J262/$B$6)*$B$9*60)</f>
        <v/>
      </c>
      <c r="O262" s="11">
        <f>IF(C262=1,Inputs!$B$12*G262*E262^2/($B$3^2*M262^4*N262^2),NA())</f>
        <v/>
      </c>
      <c r="P262" s="30">
        <f>P261+C262*E262/(1+F262/(1000*$B$11))*F262*$B$9/$B$3</f>
        <v/>
      </c>
      <c r="Q262" s="38">
        <f>C262*H262*(E262/60)^2*$B$9*60</f>
        <v/>
      </c>
    </row>
    <row r="263">
      <c r="A263" s="7" t="n">
        <v>203</v>
      </c>
      <c r="B263" s="30">
        <f>A263*$B$9</f>
        <v/>
      </c>
      <c r="C263" s="15">
        <f>IF(B263&lt;=$B$12+0.000000001,1,0)</f>
        <v/>
      </c>
      <c r="D263" s="15">
        <f>IF(C263=1,MATCH(B263-$B$9/2,$E$16:$E$35,1),0)</f>
        <v/>
      </c>
      <c r="E263" s="16">
        <f>IF(C263=1,INDEX($C$16:$C$35,D263),0)</f>
        <v/>
      </c>
      <c r="F263" s="15">
        <f>IF(C263=1,N(INDEX($D$16:$D$35,D263)),0)</f>
        <v/>
      </c>
      <c r="G263" s="30">
        <f>($B$10+F263)/(1+F263/(1000*$B$11))</f>
        <v/>
      </c>
      <c r="H263" s="30">
        <f>F263/(1+F263/(1000*$B$11))</f>
        <v/>
      </c>
      <c r="I263" s="37">
        <f>M262</f>
        <v/>
      </c>
      <c r="J263" s="37">
        <f>N262</f>
        <v/>
      </c>
      <c r="K263" s="16">
        <f>(E263/60)/($B$3*PI()/4*(I263/1000)^2)</f>
        <v/>
      </c>
      <c r="L263" s="23">
        <f>C263*$B$7*H263*K263^2*$B$9*60*1000</f>
        <v/>
      </c>
      <c r="M263" s="37">
        <f>I263+L263</f>
        <v/>
      </c>
      <c r="N263" s="37">
        <f>MIN($B$6,J263+C263*$B$8*H263*K263^2*(1-J263/$B$6)*$B$9*60)</f>
        <v/>
      </c>
      <c r="O263" s="11">
        <f>IF(C263=1,Inputs!$B$12*G263*E263^2/($B$3^2*M263^4*N263^2),NA())</f>
        <v/>
      </c>
      <c r="P263" s="30">
        <f>P262+C263*E263/(1+F263/(1000*$B$11))*F263*$B$9/$B$3</f>
        <v/>
      </c>
      <c r="Q263" s="38">
        <f>C263*H263*(E263/60)^2*$B$9*60</f>
        <v/>
      </c>
    </row>
    <row r="264">
      <c r="A264" s="7" t="n">
        <v>204</v>
      </c>
      <c r="B264" s="30">
        <f>A264*$B$9</f>
        <v/>
      </c>
      <c r="C264" s="15">
        <f>IF(B264&lt;=$B$12+0.000000001,1,0)</f>
        <v/>
      </c>
      <c r="D264" s="15">
        <f>IF(C264=1,MATCH(B264-$B$9/2,$E$16:$E$35,1),0)</f>
        <v/>
      </c>
      <c r="E264" s="16">
        <f>IF(C264=1,INDEX($C$16:$C$35,D264),0)</f>
        <v/>
      </c>
      <c r="F264" s="15">
        <f>IF(C264=1,N(INDEX($D$16:$D$35,D264)),0)</f>
        <v/>
      </c>
      <c r="G264" s="30">
        <f>($B$10+F264)/(1+F264/(1000*$B$11))</f>
        <v/>
      </c>
      <c r="H264" s="30">
        <f>F264/(1+F264/(1000*$B$11))</f>
        <v/>
      </c>
      <c r="I264" s="37">
        <f>M263</f>
        <v/>
      </c>
      <c r="J264" s="37">
        <f>N263</f>
        <v/>
      </c>
      <c r="K264" s="16">
        <f>(E264/60)/($B$3*PI()/4*(I264/1000)^2)</f>
        <v/>
      </c>
      <c r="L264" s="23">
        <f>C264*$B$7*H264*K264^2*$B$9*60*1000</f>
        <v/>
      </c>
      <c r="M264" s="37">
        <f>I264+L264</f>
        <v/>
      </c>
      <c r="N264" s="37">
        <f>MIN($B$6,J264+C264*$B$8*H264*K264^2*(1-J264/$B$6)*$B$9*60)</f>
        <v/>
      </c>
      <c r="O264" s="11">
        <f>IF(C264=1,Inputs!$B$12*G264*E264^2/($B$3^2*M264^4*N264^2),NA())</f>
        <v/>
      </c>
      <c r="P264" s="30">
        <f>P263+C264*E264/(1+F264/(1000*$B$11))*F264*$B$9/$B$3</f>
        <v/>
      </c>
      <c r="Q264" s="38">
        <f>C264*H264*(E264/60)^2*$B$9*60</f>
        <v/>
      </c>
    </row>
    <row r="265">
      <c r="A265" s="7" t="n">
        <v>205</v>
      </c>
      <c r="B265" s="30">
        <f>A265*$B$9</f>
        <v/>
      </c>
      <c r="C265" s="15">
        <f>IF(B265&lt;=$B$12+0.000000001,1,0)</f>
        <v/>
      </c>
      <c r="D265" s="15">
        <f>IF(C265=1,MATCH(B265-$B$9/2,$E$16:$E$35,1),0)</f>
        <v/>
      </c>
      <c r="E265" s="16">
        <f>IF(C265=1,INDEX($C$16:$C$35,D265),0)</f>
        <v/>
      </c>
      <c r="F265" s="15">
        <f>IF(C265=1,N(INDEX($D$16:$D$35,D265)),0)</f>
        <v/>
      </c>
      <c r="G265" s="30">
        <f>($B$10+F265)/(1+F265/(1000*$B$11))</f>
        <v/>
      </c>
      <c r="H265" s="30">
        <f>F265/(1+F265/(1000*$B$11))</f>
        <v/>
      </c>
      <c r="I265" s="37">
        <f>M264</f>
        <v/>
      </c>
      <c r="J265" s="37">
        <f>N264</f>
        <v/>
      </c>
      <c r="K265" s="16">
        <f>(E265/60)/($B$3*PI()/4*(I265/1000)^2)</f>
        <v/>
      </c>
      <c r="L265" s="23">
        <f>C265*$B$7*H265*K265^2*$B$9*60*1000</f>
        <v/>
      </c>
      <c r="M265" s="37">
        <f>I265+L265</f>
        <v/>
      </c>
      <c r="N265" s="37">
        <f>MIN($B$6,J265+C265*$B$8*H265*K265^2*(1-J265/$B$6)*$B$9*60)</f>
        <v/>
      </c>
      <c r="O265" s="11">
        <f>IF(C265=1,Inputs!$B$12*G265*E265^2/($B$3^2*M265^4*N265^2),NA())</f>
        <v/>
      </c>
      <c r="P265" s="30">
        <f>P264+C265*E265/(1+F265/(1000*$B$11))*F265*$B$9/$B$3</f>
        <v/>
      </c>
      <c r="Q265" s="38">
        <f>C265*H265*(E265/60)^2*$B$9*60</f>
        <v/>
      </c>
    </row>
    <row r="266">
      <c r="A266" s="7" t="n">
        <v>206</v>
      </c>
      <c r="B266" s="30">
        <f>A266*$B$9</f>
        <v/>
      </c>
      <c r="C266" s="15">
        <f>IF(B266&lt;=$B$12+0.000000001,1,0)</f>
        <v/>
      </c>
      <c r="D266" s="15">
        <f>IF(C266=1,MATCH(B266-$B$9/2,$E$16:$E$35,1),0)</f>
        <v/>
      </c>
      <c r="E266" s="16">
        <f>IF(C266=1,INDEX($C$16:$C$35,D266),0)</f>
        <v/>
      </c>
      <c r="F266" s="15">
        <f>IF(C266=1,N(INDEX($D$16:$D$35,D266)),0)</f>
        <v/>
      </c>
      <c r="G266" s="30">
        <f>($B$10+F266)/(1+F266/(1000*$B$11))</f>
        <v/>
      </c>
      <c r="H266" s="30">
        <f>F266/(1+F266/(1000*$B$11))</f>
        <v/>
      </c>
      <c r="I266" s="37">
        <f>M265</f>
        <v/>
      </c>
      <c r="J266" s="37">
        <f>N265</f>
        <v/>
      </c>
      <c r="K266" s="16">
        <f>(E266/60)/($B$3*PI()/4*(I266/1000)^2)</f>
        <v/>
      </c>
      <c r="L266" s="23">
        <f>C266*$B$7*H266*K266^2*$B$9*60*1000</f>
        <v/>
      </c>
      <c r="M266" s="37">
        <f>I266+L266</f>
        <v/>
      </c>
      <c r="N266" s="37">
        <f>MIN($B$6,J266+C266*$B$8*H266*K266^2*(1-J266/$B$6)*$B$9*60)</f>
        <v/>
      </c>
      <c r="O266" s="11">
        <f>IF(C266=1,Inputs!$B$12*G266*E266^2/($B$3^2*M266^4*N266^2),NA())</f>
        <v/>
      </c>
      <c r="P266" s="30">
        <f>P265+C266*E266/(1+F266/(1000*$B$11))*F266*$B$9/$B$3</f>
        <v/>
      </c>
      <c r="Q266" s="38">
        <f>C266*H266*(E266/60)^2*$B$9*60</f>
        <v/>
      </c>
    </row>
    <row r="267">
      <c r="A267" s="7" t="n">
        <v>207</v>
      </c>
      <c r="B267" s="30">
        <f>A267*$B$9</f>
        <v/>
      </c>
      <c r="C267" s="15">
        <f>IF(B267&lt;=$B$12+0.000000001,1,0)</f>
        <v/>
      </c>
      <c r="D267" s="15">
        <f>IF(C267=1,MATCH(B267-$B$9/2,$E$16:$E$35,1),0)</f>
        <v/>
      </c>
      <c r="E267" s="16">
        <f>IF(C267=1,INDEX($C$16:$C$35,D267),0)</f>
        <v/>
      </c>
      <c r="F267" s="15">
        <f>IF(C267=1,N(INDEX($D$16:$D$35,D267)),0)</f>
        <v/>
      </c>
      <c r="G267" s="30">
        <f>($B$10+F267)/(1+F267/(1000*$B$11))</f>
        <v/>
      </c>
      <c r="H267" s="30">
        <f>F267/(1+F267/(1000*$B$11))</f>
        <v/>
      </c>
      <c r="I267" s="37">
        <f>M266</f>
        <v/>
      </c>
      <c r="J267" s="37">
        <f>N266</f>
        <v/>
      </c>
      <c r="K267" s="16">
        <f>(E267/60)/($B$3*PI()/4*(I267/1000)^2)</f>
        <v/>
      </c>
      <c r="L267" s="23">
        <f>C267*$B$7*H267*K267^2*$B$9*60*1000</f>
        <v/>
      </c>
      <c r="M267" s="37">
        <f>I267+L267</f>
        <v/>
      </c>
      <c r="N267" s="37">
        <f>MIN($B$6,J267+C267*$B$8*H267*K267^2*(1-J267/$B$6)*$B$9*60)</f>
        <v/>
      </c>
      <c r="O267" s="11">
        <f>IF(C267=1,Inputs!$B$12*G267*E267^2/($B$3^2*M267^4*N267^2),NA())</f>
        <v/>
      </c>
      <c r="P267" s="30">
        <f>P266+C267*E267/(1+F267/(1000*$B$11))*F267*$B$9/$B$3</f>
        <v/>
      </c>
      <c r="Q267" s="38">
        <f>C267*H267*(E267/60)^2*$B$9*60</f>
        <v/>
      </c>
    </row>
    <row r="268">
      <c r="A268" s="7" t="n">
        <v>208</v>
      </c>
      <c r="B268" s="30">
        <f>A268*$B$9</f>
        <v/>
      </c>
      <c r="C268" s="15">
        <f>IF(B268&lt;=$B$12+0.000000001,1,0)</f>
        <v/>
      </c>
      <c r="D268" s="15">
        <f>IF(C268=1,MATCH(B268-$B$9/2,$E$16:$E$35,1),0)</f>
        <v/>
      </c>
      <c r="E268" s="16">
        <f>IF(C268=1,INDEX($C$16:$C$35,D268),0)</f>
        <v/>
      </c>
      <c r="F268" s="15">
        <f>IF(C268=1,N(INDEX($D$16:$D$35,D268)),0)</f>
        <v/>
      </c>
      <c r="G268" s="30">
        <f>($B$10+F268)/(1+F268/(1000*$B$11))</f>
        <v/>
      </c>
      <c r="H268" s="30">
        <f>F268/(1+F268/(1000*$B$11))</f>
        <v/>
      </c>
      <c r="I268" s="37">
        <f>M267</f>
        <v/>
      </c>
      <c r="J268" s="37">
        <f>N267</f>
        <v/>
      </c>
      <c r="K268" s="16">
        <f>(E268/60)/($B$3*PI()/4*(I268/1000)^2)</f>
        <v/>
      </c>
      <c r="L268" s="23">
        <f>C268*$B$7*H268*K268^2*$B$9*60*1000</f>
        <v/>
      </c>
      <c r="M268" s="37">
        <f>I268+L268</f>
        <v/>
      </c>
      <c r="N268" s="37">
        <f>MIN($B$6,J268+C268*$B$8*H268*K268^2*(1-J268/$B$6)*$B$9*60)</f>
        <v/>
      </c>
      <c r="O268" s="11">
        <f>IF(C268=1,Inputs!$B$12*G268*E268^2/($B$3^2*M268^4*N268^2),NA())</f>
        <v/>
      </c>
      <c r="P268" s="30">
        <f>P267+C268*E268/(1+F268/(1000*$B$11))*F268*$B$9/$B$3</f>
        <v/>
      </c>
      <c r="Q268" s="38">
        <f>C268*H268*(E268/60)^2*$B$9*60</f>
        <v/>
      </c>
    </row>
    <row r="269">
      <c r="A269" s="7" t="n">
        <v>209</v>
      </c>
      <c r="B269" s="30">
        <f>A269*$B$9</f>
        <v/>
      </c>
      <c r="C269" s="15">
        <f>IF(B269&lt;=$B$12+0.000000001,1,0)</f>
        <v/>
      </c>
      <c r="D269" s="15">
        <f>IF(C269=1,MATCH(B269-$B$9/2,$E$16:$E$35,1),0)</f>
        <v/>
      </c>
      <c r="E269" s="16">
        <f>IF(C269=1,INDEX($C$16:$C$35,D269),0)</f>
        <v/>
      </c>
      <c r="F269" s="15">
        <f>IF(C269=1,N(INDEX($D$16:$D$35,D269)),0)</f>
        <v/>
      </c>
      <c r="G269" s="30">
        <f>($B$10+F269)/(1+F269/(1000*$B$11))</f>
        <v/>
      </c>
      <c r="H269" s="30">
        <f>F269/(1+F269/(1000*$B$11))</f>
        <v/>
      </c>
      <c r="I269" s="37">
        <f>M268</f>
        <v/>
      </c>
      <c r="J269" s="37">
        <f>N268</f>
        <v/>
      </c>
      <c r="K269" s="16">
        <f>(E269/60)/($B$3*PI()/4*(I269/1000)^2)</f>
        <v/>
      </c>
      <c r="L269" s="23">
        <f>C269*$B$7*H269*K269^2*$B$9*60*1000</f>
        <v/>
      </c>
      <c r="M269" s="37">
        <f>I269+L269</f>
        <v/>
      </c>
      <c r="N269" s="37">
        <f>MIN($B$6,J269+C269*$B$8*H269*K269^2*(1-J269/$B$6)*$B$9*60)</f>
        <v/>
      </c>
      <c r="O269" s="11">
        <f>IF(C269=1,Inputs!$B$12*G269*E269^2/($B$3^2*M269^4*N269^2),NA())</f>
        <v/>
      </c>
      <c r="P269" s="30">
        <f>P268+C269*E269/(1+F269/(1000*$B$11))*F269*$B$9/$B$3</f>
        <v/>
      </c>
      <c r="Q269" s="38">
        <f>C269*H269*(E269/60)^2*$B$9*60</f>
        <v/>
      </c>
    </row>
    <row r="270">
      <c r="A270" s="7" t="n">
        <v>210</v>
      </c>
      <c r="B270" s="30">
        <f>A270*$B$9</f>
        <v/>
      </c>
      <c r="C270" s="15">
        <f>IF(B270&lt;=$B$12+0.000000001,1,0)</f>
        <v/>
      </c>
      <c r="D270" s="15">
        <f>IF(C270=1,MATCH(B270-$B$9/2,$E$16:$E$35,1),0)</f>
        <v/>
      </c>
      <c r="E270" s="16">
        <f>IF(C270=1,INDEX($C$16:$C$35,D270),0)</f>
        <v/>
      </c>
      <c r="F270" s="15">
        <f>IF(C270=1,N(INDEX($D$16:$D$35,D270)),0)</f>
        <v/>
      </c>
      <c r="G270" s="30">
        <f>($B$10+F270)/(1+F270/(1000*$B$11))</f>
        <v/>
      </c>
      <c r="H270" s="30">
        <f>F270/(1+F270/(1000*$B$11))</f>
        <v/>
      </c>
      <c r="I270" s="37">
        <f>M269</f>
        <v/>
      </c>
      <c r="J270" s="37">
        <f>N269</f>
        <v/>
      </c>
      <c r="K270" s="16">
        <f>(E270/60)/($B$3*PI()/4*(I270/1000)^2)</f>
        <v/>
      </c>
      <c r="L270" s="23">
        <f>C270*$B$7*H270*K270^2*$B$9*60*1000</f>
        <v/>
      </c>
      <c r="M270" s="37">
        <f>I270+L270</f>
        <v/>
      </c>
      <c r="N270" s="37">
        <f>MIN($B$6,J270+C270*$B$8*H270*K270^2*(1-J270/$B$6)*$B$9*60)</f>
        <v/>
      </c>
      <c r="O270" s="11">
        <f>IF(C270=1,Inputs!$B$12*G270*E270^2/($B$3^2*M270^4*N270^2),NA())</f>
        <v/>
      </c>
      <c r="P270" s="30">
        <f>P269+C270*E270/(1+F270/(1000*$B$11))*F270*$B$9/$B$3</f>
        <v/>
      </c>
      <c r="Q270" s="38">
        <f>C270*H270*(E270/60)^2*$B$9*60</f>
        <v/>
      </c>
    </row>
    <row r="271">
      <c r="A271" s="7" t="n">
        <v>211</v>
      </c>
      <c r="B271" s="30">
        <f>A271*$B$9</f>
        <v/>
      </c>
      <c r="C271" s="15">
        <f>IF(B271&lt;=$B$12+0.000000001,1,0)</f>
        <v/>
      </c>
      <c r="D271" s="15">
        <f>IF(C271=1,MATCH(B271-$B$9/2,$E$16:$E$35,1),0)</f>
        <v/>
      </c>
      <c r="E271" s="16">
        <f>IF(C271=1,INDEX($C$16:$C$35,D271),0)</f>
        <v/>
      </c>
      <c r="F271" s="15">
        <f>IF(C271=1,N(INDEX($D$16:$D$35,D271)),0)</f>
        <v/>
      </c>
      <c r="G271" s="30">
        <f>($B$10+F271)/(1+F271/(1000*$B$11))</f>
        <v/>
      </c>
      <c r="H271" s="30">
        <f>F271/(1+F271/(1000*$B$11))</f>
        <v/>
      </c>
      <c r="I271" s="37">
        <f>M270</f>
        <v/>
      </c>
      <c r="J271" s="37">
        <f>N270</f>
        <v/>
      </c>
      <c r="K271" s="16">
        <f>(E271/60)/($B$3*PI()/4*(I271/1000)^2)</f>
        <v/>
      </c>
      <c r="L271" s="23">
        <f>C271*$B$7*H271*K271^2*$B$9*60*1000</f>
        <v/>
      </c>
      <c r="M271" s="37">
        <f>I271+L271</f>
        <v/>
      </c>
      <c r="N271" s="37">
        <f>MIN($B$6,J271+C271*$B$8*H271*K271^2*(1-J271/$B$6)*$B$9*60)</f>
        <v/>
      </c>
      <c r="O271" s="11">
        <f>IF(C271=1,Inputs!$B$12*G271*E271^2/($B$3^2*M271^4*N271^2),NA())</f>
        <v/>
      </c>
      <c r="P271" s="30">
        <f>P270+C271*E271/(1+F271/(1000*$B$11))*F271*$B$9/$B$3</f>
        <v/>
      </c>
      <c r="Q271" s="38">
        <f>C271*H271*(E271/60)^2*$B$9*60</f>
        <v/>
      </c>
    </row>
    <row r="272">
      <c r="A272" s="7" t="n">
        <v>212</v>
      </c>
      <c r="B272" s="30">
        <f>A272*$B$9</f>
        <v/>
      </c>
      <c r="C272" s="15">
        <f>IF(B272&lt;=$B$12+0.000000001,1,0)</f>
        <v/>
      </c>
      <c r="D272" s="15">
        <f>IF(C272=1,MATCH(B272-$B$9/2,$E$16:$E$35,1),0)</f>
        <v/>
      </c>
      <c r="E272" s="16">
        <f>IF(C272=1,INDEX($C$16:$C$35,D272),0)</f>
        <v/>
      </c>
      <c r="F272" s="15">
        <f>IF(C272=1,N(INDEX($D$16:$D$35,D272)),0)</f>
        <v/>
      </c>
      <c r="G272" s="30">
        <f>($B$10+F272)/(1+F272/(1000*$B$11))</f>
        <v/>
      </c>
      <c r="H272" s="30">
        <f>F272/(1+F272/(1000*$B$11))</f>
        <v/>
      </c>
      <c r="I272" s="37">
        <f>M271</f>
        <v/>
      </c>
      <c r="J272" s="37">
        <f>N271</f>
        <v/>
      </c>
      <c r="K272" s="16">
        <f>(E272/60)/($B$3*PI()/4*(I272/1000)^2)</f>
        <v/>
      </c>
      <c r="L272" s="23">
        <f>C272*$B$7*H272*K272^2*$B$9*60*1000</f>
        <v/>
      </c>
      <c r="M272" s="37">
        <f>I272+L272</f>
        <v/>
      </c>
      <c r="N272" s="37">
        <f>MIN($B$6,J272+C272*$B$8*H272*K272^2*(1-J272/$B$6)*$B$9*60)</f>
        <v/>
      </c>
      <c r="O272" s="11">
        <f>IF(C272=1,Inputs!$B$12*G272*E272^2/($B$3^2*M272^4*N272^2),NA())</f>
        <v/>
      </c>
      <c r="P272" s="30">
        <f>P271+C272*E272/(1+F272/(1000*$B$11))*F272*$B$9/$B$3</f>
        <v/>
      </c>
      <c r="Q272" s="38">
        <f>C272*H272*(E272/60)^2*$B$9*60</f>
        <v/>
      </c>
    </row>
    <row r="273">
      <c r="A273" s="7" t="n">
        <v>213</v>
      </c>
      <c r="B273" s="30">
        <f>A273*$B$9</f>
        <v/>
      </c>
      <c r="C273" s="15">
        <f>IF(B273&lt;=$B$12+0.000000001,1,0)</f>
        <v/>
      </c>
      <c r="D273" s="15">
        <f>IF(C273=1,MATCH(B273-$B$9/2,$E$16:$E$35,1),0)</f>
        <v/>
      </c>
      <c r="E273" s="16">
        <f>IF(C273=1,INDEX($C$16:$C$35,D273),0)</f>
        <v/>
      </c>
      <c r="F273" s="15">
        <f>IF(C273=1,N(INDEX($D$16:$D$35,D273)),0)</f>
        <v/>
      </c>
      <c r="G273" s="30">
        <f>($B$10+F273)/(1+F273/(1000*$B$11))</f>
        <v/>
      </c>
      <c r="H273" s="30">
        <f>F273/(1+F273/(1000*$B$11))</f>
        <v/>
      </c>
      <c r="I273" s="37">
        <f>M272</f>
        <v/>
      </c>
      <c r="J273" s="37">
        <f>N272</f>
        <v/>
      </c>
      <c r="K273" s="16">
        <f>(E273/60)/($B$3*PI()/4*(I273/1000)^2)</f>
        <v/>
      </c>
      <c r="L273" s="23">
        <f>C273*$B$7*H273*K273^2*$B$9*60*1000</f>
        <v/>
      </c>
      <c r="M273" s="37">
        <f>I273+L273</f>
        <v/>
      </c>
      <c r="N273" s="37">
        <f>MIN($B$6,J273+C273*$B$8*H273*K273^2*(1-J273/$B$6)*$B$9*60)</f>
        <v/>
      </c>
      <c r="O273" s="11">
        <f>IF(C273=1,Inputs!$B$12*G273*E273^2/($B$3^2*M273^4*N273^2),NA())</f>
        <v/>
      </c>
      <c r="P273" s="30">
        <f>P272+C273*E273/(1+F273/(1000*$B$11))*F273*$B$9/$B$3</f>
        <v/>
      </c>
      <c r="Q273" s="38">
        <f>C273*H273*(E273/60)^2*$B$9*60</f>
        <v/>
      </c>
    </row>
    <row r="274">
      <c r="A274" s="7" t="n">
        <v>214</v>
      </c>
      <c r="B274" s="30">
        <f>A274*$B$9</f>
        <v/>
      </c>
      <c r="C274" s="15">
        <f>IF(B274&lt;=$B$12+0.000000001,1,0)</f>
        <v/>
      </c>
      <c r="D274" s="15">
        <f>IF(C274=1,MATCH(B274-$B$9/2,$E$16:$E$35,1),0)</f>
        <v/>
      </c>
      <c r="E274" s="16">
        <f>IF(C274=1,INDEX($C$16:$C$35,D274),0)</f>
        <v/>
      </c>
      <c r="F274" s="15">
        <f>IF(C274=1,N(INDEX($D$16:$D$35,D274)),0)</f>
        <v/>
      </c>
      <c r="G274" s="30">
        <f>($B$10+F274)/(1+F274/(1000*$B$11))</f>
        <v/>
      </c>
      <c r="H274" s="30">
        <f>F274/(1+F274/(1000*$B$11))</f>
        <v/>
      </c>
      <c r="I274" s="37">
        <f>M273</f>
        <v/>
      </c>
      <c r="J274" s="37">
        <f>N273</f>
        <v/>
      </c>
      <c r="K274" s="16">
        <f>(E274/60)/($B$3*PI()/4*(I274/1000)^2)</f>
        <v/>
      </c>
      <c r="L274" s="23">
        <f>C274*$B$7*H274*K274^2*$B$9*60*1000</f>
        <v/>
      </c>
      <c r="M274" s="37">
        <f>I274+L274</f>
        <v/>
      </c>
      <c r="N274" s="37">
        <f>MIN($B$6,J274+C274*$B$8*H274*K274^2*(1-J274/$B$6)*$B$9*60)</f>
        <v/>
      </c>
      <c r="O274" s="11">
        <f>IF(C274=1,Inputs!$B$12*G274*E274^2/($B$3^2*M274^4*N274^2),NA())</f>
        <v/>
      </c>
      <c r="P274" s="30">
        <f>P273+C274*E274/(1+F274/(1000*$B$11))*F274*$B$9/$B$3</f>
        <v/>
      </c>
      <c r="Q274" s="38">
        <f>C274*H274*(E274/60)^2*$B$9*60</f>
        <v/>
      </c>
    </row>
    <row r="275">
      <c r="A275" s="7" t="n">
        <v>215</v>
      </c>
      <c r="B275" s="30">
        <f>A275*$B$9</f>
        <v/>
      </c>
      <c r="C275" s="15">
        <f>IF(B275&lt;=$B$12+0.000000001,1,0)</f>
        <v/>
      </c>
      <c r="D275" s="15">
        <f>IF(C275=1,MATCH(B275-$B$9/2,$E$16:$E$35,1),0)</f>
        <v/>
      </c>
      <c r="E275" s="16">
        <f>IF(C275=1,INDEX($C$16:$C$35,D275),0)</f>
        <v/>
      </c>
      <c r="F275" s="15">
        <f>IF(C275=1,N(INDEX($D$16:$D$35,D275)),0)</f>
        <v/>
      </c>
      <c r="G275" s="30">
        <f>($B$10+F275)/(1+F275/(1000*$B$11))</f>
        <v/>
      </c>
      <c r="H275" s="30">
        <f>F275/(1+F275/(1000*$B$11))</f>
        <v/>
      </c>
      <c r="I275" s="37">
        <f>M274</f>
        <v/>
      </c>
      <c r="J275" s="37">
        <f>N274</f>
        <v/>
      </c>
      <c r="K275" s="16">
        <f>(E275/60)/($B$3*PI()/4*(I275/1000)^2)</f>
        <v/>
      </c>
      <c r="L275" s="23">
        <f>C275*$B$7*H275*K275^2*$B$9*60*1000</f>
        <v/>
      </c>
      <c r="M275" s="37">
        <f>I275+L275</f>
        <v/>
      </c>
      <c r="N275" s="37">
        <f>MIN($B$6,J275+C275*$B$8*H275*K275^2*(1-J275/$B$6)*$B$9*60)</f>
        <v/>
      </c>
      <c r="O275" s="11">
        <f>IF(C275=1,Inputs!$B$12*G275*E275^2/($B$3^2*M275^4*N275^2),NA())</f>
        <v/>
      </c>
      <c r="P275" s="30">
        <f>P274+C275*E275/(1+F275/(1000*$B$11))*F275*$B$9/$B$3</f>
        <v/>
      </c>
      <c r="Q275" s="38">
        <f>C275*H275*(E275/60)^2*$B$9*60</f>
        <v/>
      </c>
    </row>
    <row r="276">
      <c r="A276" s="7" t="n">
        <v>216</v>
      </c>
      <c r="B276" s="30">
        <f>A276*$B$9</f>
        <v/>
      </c>
      <c r="C276" s="15">
        <f>IF(B276&lt;=$B$12+0.000000001,1,0)</f>
        <v/>
      </c>
      <c r="D276" s="15">
        <f>IF(C276=1,MATCH(B276-$B$9/2,$E$16:$E$35,1),0)</f>
        <v/>
      </c>
      <c r="E276" s="16">
        <f>IF(C276=1,INDEX($C$16:$C$35,D276),0)</f>
        <v/>
      </c>
      <c r="F276" s="15">
        <f>IF(C276=1,N(INDEX($D$16:$D$35,D276)),0)</f>
        <v/>
      </c>
      <c r="G276" s="30">
        <f>($B$10+F276)/(1+F276/(1000*$B$11))</f>
        <v/>
      </c>
      <c r="H276" s="30">
        <f>F276/(1+F276/(1000*$B$11))</f>
        <v/>
      </c>
      <c r="I276" s="37">
        <f>M275</f>
        <v/>
      </c>
      <c r="J276" s="37">
        <f>N275</f>
        <v/>
      </c>
      <c r="K276" s="16">
        <f>(E276/60)/($B$3*PI()/4*(I276/1000)^2)</f>
        <v/>
      </c>
      <c r="L276" s="23">
        <f>C276*$B$7*H276*K276^2*$B$9*60*1000</f>
        <v/>
      </c>
      <c r="M276" s="37">
        <f>I276+L276</f>
        <v/>
      </c>
      <c r="N276" s="37">
        <f>MIN($B$6,J276+C276*$B$8*H276*K276^2*(1-J276/$B$6)*$B$9*60)</f>
        <v/>
      </c>
      <c r="O276" s="11">
        <f>IF(C276=1,Inputs!$B$12*G276*E276^2/($B$3^2*M276^4*N276^2),NA())</f>
        <v/>
      </c>
      <c r="P276" s="30">
        <f>P275+C276*E276/(1+F276/(1000*$B$11))*F276*$B$9/$B$3</f>
        <v/>
      </c>
      <c r="Q276" s="38">
        <f>C276*H276*(E276/60)^2*$B$9*60</f>
        <v/>
      </c>
    </row>
    <row r="277">
      <c r="A277" s="7" t="n">
        <v>217</v>
      </c>
      <c r="B277" s="30">
        <f>A277*$B$9</f>
        <v/>
      </c>
      <c r="C277" s="15">
        <f>IF(B277&lt;=$B$12+0.000000001,1,0)</f>
        <v/>
      </c>
      <c r="D277" s="15">
        <f>IF(C277=1,MATCH(B277-$B$9/2,$E$16:$E$35,1),0)</f>
        <v/>
      </c>
      <c r="E277" s="16">
        <f>IF(C277=1,INDEX($C$16:$C$35,D277),0)</f>
        <v/>
      </c>
      <c r="F277" s="15">
        <f>IF(C277=1,N(INDEX($D$16:$D$35,D277)),0)</f>
        <v/>
      </c>
      <c r="G277" s="30">
        <f>($B$10+F277)/(1+F277/(1000*$B$11))</f>
        <v/>
      </c>
      <c r="H277" s="30">
        <f>F277/(1+F277/(1000*$B$11))</f>
        <v/>
      </c>
      <c r="I277" s="37">
        <f>M276</f>
        <v/>
      </c>
      <c r="J277" s="37">
        <f>N276</f>
        <v/>
      </c>
      <c r="K277" s="16">
        <f>(E277/60)/($B$3*PI()/4*(I277/1000)^2)</f>
        <v/>
      </c>
      <c r="L277" s="23">
        <f>C277*$B$7*H277*K277^2*$B$9*60*1000</f>
        <v/>
      </c>
      <c r="M277" s="37">
        <f>I277+L277</f>
        <v/>
      </c>
      <c r="N277" s="37">
        <f>MIN($B$6,J277+C277*$B$8*H277*K277^2*(1-J277/$B$6)*$B$9*60)</f>
        <v/>
      </c>
      <c r="O277" s="11">
        <f>IF(C277=1,Inputs!$B$12*G277*E277^2/($B$3^2*M277^4*N277^2),NA())</f>
        <v/>
      </c>
      <c r="P277" s="30">
        <f>P276+C277*E277/(1+F277/(1000*$B$11))*F277*$B$9/$B$3</f>
        <v/>
      </c>
      <c r="Q277" s="38">
        <f>C277*H277*(E277/60)^2*$B$9*60</f>
        <v/>
      </c>
    </row>
    <row r="278">
      <c r="A278" s="7" t="n">
        <v>218</v>
      </c>
      <c r="B278" s="30">
        <f>A278*$B$9</f>
        <v/>
      </c>
      <c r="C278" s="15">
        <f>IF(B278&lt;=$B$12+0.000000001,1,0)</f>
        <v/>
      </c>
      <c r="D278" s="15">
        <f>IF(C278=1,MATCH(B278-$B$9/2,$E$16:$E$35,1),0)</f>
        <v/>
      </c>
      <c r="E278" s="16">
        <f>IF(C278=1,INDEX($C$16:$C$35,D278),0)</f>
        <v/>
      </c>
      <c r="F278" s="15">
        <f>IF(C278=1,N(INDEX($D$16:$D$35,D278)),0)</f>
        <v/>
      </c>
      <c r="G278" s="30">
        <f>($B$10+F278)/(1+F278/(1000*$B$11))</f>
        <v/>
      </c>
      <c r="H278" s="30">
        <f>F278/(1+F278/(1000*$B$11))</f>
        <v/>
      </c>
      <c r="I278" s="37">
        <f>M277</f>
        <v/>
      </c>
      <c r="J278" s="37">
        <f>N277</f>
        <v/>
      </c>
      <c r="K278" s="16">
        <f>(E278/60)/($B$3*PI()/4*(I278/1000)^2)</f>
        <v/>
      </c>
      <c r="L278" s="23">
        <f>C278*$B$7*H278*K278^2*$B$9*60*1000</f>
        <v/>
      </c>
      <c r="M278" s="37">
        <f>I278+L278</f>
        <v/>
      </c>
      <c r="N278" s="37">
        <f>MIN($B$6,J278+C278*$B$8*H278*K278^2*(1-J278/$B$6)*$B$9*60)</f>
        <v/>
      </c>
      <c r="O278" s="11">
        <f>IF(C278=1,Inputs!$B$12*G278*E278^2/($B$3^2*M278^4*N278^2),NA())</f>
        <v/>
      </c>
      <c r="P278" s="30">
        <f>P277+C278*E278/(1+F278/(1000*$B$11))*F278*$B$9/$B$3</f>
        <v/>
      </c>
      <c r="Q278" s="38">
        <f>C278*H278*(E278/60)^2*$B$9*60</f>
        <v/>
      </c>
    </row>
    <row r="279">
      <c r="A279" s="7" t="n">
        <v>219</v>
      </c>
      <c r="B279" s="30">
        <f>A279*$B$9</f>
        <v/>
      </c>
      <c r="C279" s="15">
        <f>IF(B279&lt;=$B$12+0.000000001,1,0)</f>
        <v/>
      </c>
      <c r="D279" s="15">
        <f>IF(C279=1,MATCH(B279-$B$9/2,$E$16:$E$35,1),0)</f>
        <v/>
      </c>
      <c r="E279" s="16">
        <f>IF(C279=1,INDEX($C$16:$C$35,D279),0)</f>
        <v/>
      </c>
      <c r="F279" s="15">
        <f>IF(C279=1,N(INDEX($D$16:$D$35,D279)),0)</f>
        <v/>
      </c>
      <c r="G279" s="30">
        <f>($B$10+F279)/(1+F279/(1000*$B$11))</f>
        <v/>
      </c>
      <c r="H279" s="30">
        <f>F279/(1+F279/(1000*$B$11))</f>
        <v/>
      </c>
      <c r="I279" s="37">
        <f>M278</f>
        <v/>
      </c>
      <c r="J279" s="37">
        <f>N278</f>
        <v/>
      </c>
      <c r="K279" s="16">
        <f>(E279/60)/($B$3*PI()/4*(I279/1000)^2)</f>
        <v/>
      </c>
      <c r="L279" s="23">
        <f>C279*$B$7*H279*K279^2*$B$9*60*1000</f>
        <v/>
      </c>
      <c r="M279" s="37">
        <f>I279+L279</f>
        <v/>
      </c>
      <c r="N279" s="37">
        <f>MIN($B$6,J279+C279*$B$8*H279*K279^2*(1-J279/$B$6)*$B$9*60)</f>
        <v/>
      </c>
      <c r="O279" s="11">
        <f>IF(C279=1,Inputs!$B$12*G279*E279^2/($B$3^2*M279^4*N279^2),NA())</f>
        <v/>
      </c>
      <c r="P279" s="30">
        <f>P278+C279*E279/(1+F279/(1000*$B$11))*F279*$B$9/$B$3</f>
        <v/>
      </c>
      <c r="Q279" s="38">
        <f>C279*H279*(E279/60)^2*$B$9*60</f>
        <v/>
      </c>
    </row>
    <row r="280">
      <c r="A280" s="7" t="n">
        <v>220</v>
      </c>
      <c r="B280" s="30">
        <f>A280*$B$9</f>
        <v/>
      </c>
      <c r="C280" s="15">
        <f>IF(B280&lt;=$B$12+0.000000001,1,0)</f>
        <v/>
      </c>
      <c r="D280" s="15">
        <f>IF(C280=1,MATCH(B280-$B$9/2,$E$16:$E$35,1),0)</f>
        <v/>
      </c>
      <c r="E280" s="16">
        <f>IF(C280=1,INDEX($C$16:$C$35,D280),0)</f>
        <v/>
      </c>
      <c r="F280" s="15">
        <f>IF(C280=1,N(INDEX($D$16:$D$35,D280)),0)</f>
        <v/>
      </c>
      <c r="G280" s="30">
        <f>($B$10+F280)/(1+F280/(1000*$B$11))</f>
        <v/>
      </c>
      <c r="H280" s="30">
        <f>F280/(1+F280/(1000*$B$11))</f>
        <v/>
      </c>
      <c r="I280" s="37">
        <f>M279</f>
        <v/>
      </c>
      <c r="J280" s="37">
        <f>N279</f>
        <v/>
      </c>
      <c r="K280" s="16">
        <f>(E280/60)/($B$3*PI()/4*(I280/1000)^2)</f>
        <v/>
      </c>
      <c r="L280" s="23">
        <f>C280*$B$7*H280*K280^2*$B$9*60*1000</f>
        <v/>
      </c>
      <c r="M280" s="37">
        <f>I280+L280</f>
        <v/>
      </c>
      <c r="N280" s="37">
        <f>MIN($B$6,J280+C280*$B$8*H280*K280^2*(1-J280/$B$6)*$B$9*60)</f>
        <v/>
      </c>
      <c r="O280" s="11">
        <f>IF(C280=1,Inputs!$B$12*G280*E280^2/($B$3^2*M280^4*N280^2),NA())</f>
        <v/>
      </c>
      <c r="P280" s="30">
        <f>P279+C280*E280/(1+F280/(1000*$B$11))*F280*$B$9/$B$3</f>
        <v/>
      </c>
      <c r="Q280" s="38">
        <f>C280*H280*(E280/60)^2*$B$9*60</f>
        <v/>
      </c>
    </row>
    <row r="281">
      <c r="A281" s="7" t="n">
        <v>221</v>
      </c>
      <c r="B281" s="30">
        <f>A281*$B$9</f>
        <v/>
      </c>
      <c r="C281" s="15">
        <f>IF(B281&lt;=$B$12+0.000000001,1,0)</f>
        <v/>
      </c>
      <c r="D281" s="15">
        <f>IF(C281=1,MATCH(B281-$B$9/2,$E$16:$E$35,1),0)</f>
        <v/>
      </c>
      <c r="E281" s="16">
        <f>IF(C281=1,INDEX($C$16:$C$35,D281),0)</f>
        <v/>
      </c>
      <c r="F281" s="15">
        <f>IF(C281=1,N(INDEX($D$16:$D$35,D281)),0)</f>
        <v/>
      </c>
      <c r="G281" s="30">
        <f>($B$10+F281)/(1+F281/(1000*$B$11))</f>
        <v/>
      </c>
      <c r="H281" s="30">
        <f>F281/(1+F281/(1000*$B$11))</f>
        <v/>
      </c>
      <c r="I281" s="37">
        <f>M280</f>
        <v/>
      </c>
      <c r="J281" s="37">
        <f>N280</f>
        <v/>
      </c>
      <c r="K281" s="16">
        <f>(E281/60)/($B$3*PI()/4*(I281/1000)^2)</f>
        <v/>
      </c>
      <c r="L281" s="23">
        <f>C281*$B$7*H281*K281^2*$B$9*60*1000</f>
        <v/>
      </c>
      <c r="M281" s="37">
        <f>I281+L281</f>
        <v/>
      </c>
      <c r="N281" s="37">
        <f>MIN($B$6,J281+C281*$B$8*H281*K281^2*(1-J281/$B$6)*$B$9*60)</f>
        <v/>
      </c>
      <c r="O281" s="11">
        <f>IF(C281=1,Inputs!$B$12*G281*E281^2/($B$3^2*M281^4*N281^2),NA())</f>
        <v/>
      </c>
      <c r="P281" s="30">
        <f>P280+C281*E281/(1+F281/(1000*$B$11))*F281*$B$9/$B$3</f>
        <v/>
      </c>
      <c r="Q281" s="38">
        <f>C281*H281*(E281/60)^2*$B$9*60</f>
        <v/>
      </c>
    </row>
    <row r="282">
      <c r="A282" s="7" t="n">
        <v>222</v>
      </c>
      <c r="B282" s="30">
        <f>A282*$B$9</f>
        <v/>
      </c>
      <c r="C282" s="15">
        <f>IF(B282&lt;=$B$12+0.000000001,1,0)</f>
        <v/>
      </c>
      <c r="D282" s="15">
        <f>IF(C282=1,MATCH(B282-$B$9/2,$E$16:$E$35,1),0)</f>
        <v/>
      </c>
      <c r="E282" s="16">
        <f>IF(C282=1,INDEX($C$16:$C$35,D282),0)</f>
        <v/>
      </c>
      <c r="F282" s="15">
        <f>IF(C282=1,N(INDEX($D$16:$D$35,D282)),0)</f>
        <v/>
      </c>
      <c r="G282" s="30">
        <f>($B$10+F282)/(1+F282/(1000*$B$11))</f>
        <v/>
      </c>
      <c r="H282" s="30">
        <f>F282/(1+F282/(1000*$B$11))</f>
        <v/>
      </c>
      <c r="I282" s="37">
        <f>M281</f>
        <v/>
      </c>
      <c r="J282" s="37">
        <f>N281</f>
        <v/>
      </c>
      <c r="K282" s="16">
        <f>(E282/60)/($B$3*PI()/4*(I282/1000)^2)</f>
        <v/>
      </c>
      <c r="L282" s="23">
        <f>C282*$B$7*H282*K282^2*$B$9*60*1000</f>
        <v/>
      </c>
      <c r="M282" s="37">
        <f>I282+L282</f>
        <v/>
      </c>
      <c r="N282" s="37">
        <f>MIN($B$6,J282+C282*$B$8*H282*K282^2*(1-J282/$B$6)*$B$9*60)</f>
        <v/>
      </c>
      <c r="O282" s="11">
        <f>IF(C282=1,Inputs!$B$12*G282*E282^2/($B$3^2*M282^4*N282^2),NA())</f>
        <v/>
      </c>
      <c r="P282" s="30">
        <f>P281+C282*E282/(1+F282/(1000*$B$11))*F282*$B$9/$B$3</f>
        <v/>
      </c>
      <c r="Q282" s="38">
        <f>C282*H282*(E282/60)^2*$B$9*60</f>
        <v/>
      </c>
    </row>
    <row r="283">
      <c r="A283" s="7" t="n">
        <v>223</v>
      </c>
      <c r="B283" s="30">
        <f>A283*$B$9</f>
        <v/>
      </c>
      <c r="C283" s="15">
        <f>IF(B283&lt;=$B$12+0.000000001,1,0)</f>
        <v/>
      </c>
      <c r="D283" s="15">
        <f>IF(C283=1,MATCH(B283-$B$9/2,$E$16:$E$35,1),0)</f>
        <v/>
      </c>
      <c r="E283" s="16">
        <f>IF(C283=1,INDEX($C$16:$C$35,D283),0)</f>
        <v/>
      </c>
      <c r="F283" s="15">
        <f>IF(C283=1,N(INDEX($D$16:$D$35,D283)),0)</f>
        <v/>
      </c>
      <c r="G283" s="30">
        <f>($B$10+F283)/(1+F283/(1000*$B$11))</f>
        <v/>
      </c>
      <c r="H283" s="30">
        <f>F283/(1+F283/(1000*$B$11))</f>
        <v/>
      </c>
      <c r="I283" s="37">
        <f>M282</f>
        <v/>
      </c>
      <c r="J283" s="37">
        <f>N282</f>
        <v/>
      </c>
      <c r="K283" s="16">
        <f>(E283/60)/($B$3*PI()/4*(I283/1000)^2)</f>
        <v/>
      </c>
      <c r="L283" s="23">
        <f>C283*$B$7*H283*K283^2*$B$9*60*1000</f>
        <v/>
      </c>
      <c r="M283" s="37">
        <f>I283+L283</f>
        <v/>
      </c>
      <c r="N283" s="37">
        <f>MIN($B$6,J283+C283*$B$8*H283*K283^2*(1-J283/$B$6)*$B$9*60)</f>
        <v/>
      </c>
      <c r="O283" s="11">
        <f>IF(C283=1,Inputs!$B$12*G283*E283^2/($B$3^2*M283^4*N283^2),NA())</f>
        <v/>
      </c>
      <c r="P283" s="30">
        <f>P282+C283*E283/(1+F283/(1000*$B$11))*F283*$B$9/$B$3</f>
        <v/>
      </c>
      <c r="Q283" s="38">
        <f>C283*H283*(E283/60)^2*$B$9*60</f>
        <v/>
      </c>
    </row>
    <row r="284">
      <c r="A284" s="7" t="n">
        <v>224</v>
      </c>
      <c r="B284" s="30">
        <f>A284*$B$9</f>
        <v/>
      </c>
      <c r="C284" s="15">
        <f>IF(B284&lt;=$B$12+0.000000001,1,0)</f>
        <v/>
      </c>
      <c r="D284" s="15">
        <f>IF(C284=1,MATCH(B284-$B$9/2,$E$16:$E$35,1),0)</f>
        <v/>
      </c>
      <c r="E284" s="16">
        <f>IF(C284=1,INDEX($C$16:$C$35,D284),0)</f>
        <v/>
      </c>
      <c r="F284" s="15">
        <f>IF(C284=1,N(INDEX($D$16:$D$35,D284)),0)</f>
        <v/>
      </c>
      <c r="G284" s="30">
        <f>($B$10+F284)/(1+F284/(1000*$B$11))</f>
        <v/>
      </c>
      <c r="H284" s="30">
        <f>F284/(1+F284/(1000*$B$11))</f>
        <v/>
      </c>
      <c r="I284" s="37">
        <f>M283</f>
        <v/>
      </c>
      <c r="J284" s="37">
        <f>N283</f>
        <v/>
      </c>
      <c r="K284" s="16">
        <f>(E284/60)/($B$3*PI()/4*(I284/1000)^2)</f>
        <v/>
      </c>
      <c r="L284" s="23">
        <f>C284*$B$7*H284*K284^2*$B$9*60*1000</f>
        <v/>
      </c>
      <c r="M284" s="37">
        <f>I284+L284</f>
        <v/>
      </c>
      <c r="N284" s="37">
        <f>MIN($B$6,J284+C284*$B$8*H284*K284^2*(1-J284/$B$6)*$B$9*60)</f>
        <v/>
      </c>
      <c r="O284" s="11">
        <f>IF(C284=1,Inputs!$B$12*G284*E284^2/($B$3^2*M284^4*N284^2),NA())</f>
        <v/>
      </c>
      <c r="P284" s="30">
        <f>P283+C284*E284/(1+F284/(1000*$B$11))*F284*$B$9/$B$3</f>
        <v/>
      </c>
      <c r="Q284" s="38">
        <f>C284*H284*(E284/60)^2*$B$9*60</f>
        <v/>
      </c>
    </row>
    <row r="285">
      <c r="A285" s="7" t="n">
        <v>225</v>
      </c>
      <c r="B285" s="30">
        <f>A285*$B$9</f>
        <v/>
      </c>
      <c r="C285" s="15">
        <f>IF(B285&lt;=$B$12+0.000000001,1,0)</f>
        <v/>
      </c>
      <c r="D285" s="15">
        <f>IF(C285=1,MATCH(B285-$B$9/2,$E$16:$E$35,1),0)</f>
        <v/>
      </c>
      <c r="E285" s="16">
        <f>IF(C285=1,INDEX($C$16:$C$35,D285),0)</f>
        <v/>
      </c>
      <c r="F285" s="15">
        <f>IF(C285=1,N(INDEX($D$16:$D$35,D285)),0)</f>
        <v/>
      </c>
      <c r="G285" s="30">
        <f>($B$10+F285)/(1+F285/(1000*$B$11))</f>
        <v/>
      </c>
      <c r="H285" s="30">
        <f>F285/(1+F285/(1000*$B$11))</f>
        <v/>
      </c>
      <c r="I285" s="37">
        <f>M284</f>
        <v/>
      </c>
      <c r="J285" s="37">
        <f>N284</f>
        <v/>
      </c>
      <c r="K285" s="16">
        <f>(E285/60)/($B$3*PI()/4*(I285/1000)^2)</f>
        <v/>
      </c>
      <c r="L285" s="23">
        <f>C285*$B$7*H285*K285^2*$B$9*60*1000</f>
        <v/>
      </c>
      <c r="M285" s="37">
        <f>I285+L285</f>
        <v/>
      </c>
      <c r="N285" s="37">
        <f>MIN($B$6,J285+C285*$B$8*H285*K285^2*(1-J285/$B$6)*$B$9*60)</f>
        <v/>
      </c>
      <c r="O285" s="11">
        <f>IF(C285=1,Inputs!$B$12*G285*E285^2/($B$3^2*M285^4*N285^2),NA())</f>
        <v/>
      </c>
      <c r="P285" s="30">
        <f>P284+C285*E285/(1+F285/(1000*$B$11))*F285*$B$9/$B$3</f>
        <v/>
      </c>
      <c r="Q285" s="38">
        <f>C285*H285*(E285/60)^2*$B$9*60</f>
        <v/>
      </c>
    </row>
    <row r="286">
      <c r="A286" s="7" t="n">
        <v>226</v>
      </c>
      <c r="B286" s="30">
        <f>A286*$B$9</f>
        <v/>
      </c>
      <c r="C286" s="15">
        <f>IF(B286&lt;=$B$12+0.000000001,1,0)</f>
        <v/>
      </c>
      <c r="D286" s="15">
        <f>IF(C286=1,MATCH(B286-$B$9/2,$E$16:$E$35,1),0)</f>
        <v/>
      </c>
      <c r="E286" s="16">
        <f>IF(C286=1,INDEX($C$16:$C$35,D286),0)</f>
        <v/>
      </c>
      <c r="F286" s="15">
        <f>IF(C286=1,N(INDEX($D$16:$D$35,D286)),0)</f>
        <v/>
      </c>
      <c r="G286" s="30">
        <f>($B$10+F286)/(1+F286/(1000*$B$11))</f>
        <v/>
      </c>
      <c r="H286" s="30">
        <f>F286/(1+F286/(1000*$B$11))</f>
        <v/>
      </c>
      <c r="I286" s="37">
        <f>M285</f>
        <v/>
      </c>
      <c r="J286" s="37">
        <f>N285</f>
        <v/>
      </c>
      <c r="K286" s="16">
        <f>(E286/60)/($B$3*PI()/4*(I286/1000)^2)</f>
        <v/>
      </c>
      <c r="L286" s="23">
        <f>C286*$B$7*H286*K286^2*$B$9*60*1000</f>
        <v/>
      </c>
      <c r="M286" s="37">
        <f>I286+L286</f>
        <v/>
      </c>
      <c r="N286" s="37">
        <f>MIN($B$6,J286+C286*$B$8*H286*K286^2*(1-J286/$B$6)*$B$9*60)</f>
        <v/>
      </c>
      <c r="O286" s="11">
        <f>IF(C286=1,Inputs!$B$12*G286*E286^2/($B$3^2*M286^4*N286^2),NA())</f>
        <v/>
      </c>
      <c r="P286" s="30">
        <f>P285+C286*E286/(1+F286/(1000*$B$11))*F286*$B$9/$B$3</f>
        <v/>
      </c>
      <c r="Q286" s="38">
        <f>C286*H286*(E286/60)^2*$B$9*60</f>
        <v/>
      </c>
    </row>
    <row r="287">
      <c r="A287" s="7" t="n">
        <v>227</v>
      </c>
      <c r="B287" s="30">
        <f>A287*$B$9</f>
        <v/>
      </c>
      <c r="C287" s="15">
        <f>IF(B287&lt;=$B$12+0.000000001,1,0)</f>
        <v/>
      </c>
      <c r="D287" s="15">
        <f>IF(C287=1,MATCH(B287-$B$9/2,$E$16:$E$35,1),0)</f>
        <v/>
      </c>
      <c r="E287" s="16">
        <f>IF(C287=1,INDEX($C$16:$C$35,D287),0)</f>
        <v/>
      </c>
      <c r="F287" s="15">
        <f>IF(C287=1,N(INDEX($D$16:$D$35,D287)),0)</f>
        <v/>
      </c>
      <c r="G287" s="30">
        <f>($B$10+F287)/(1+F287/(1000*$B$11))</f>
        <v/>
      </c>
      <c r="H287" s="30">
        <f>F287/(1+F287/(1000*$B$11))</f>
        <v/>
      </c>
      <c r="I287" s="37">
        <f>M286</f>
        <v/>
      </c>
      <c r="J287" s="37">
        <f>N286</f>
        <v/>
      </c>
      <c r="K287" s="16">
        <f>(E287/60)/($B$3*PI()/4*(I287/1000)^2)</f>
        <v/>
      </c>
      <c r="L287" s="23">
        <f>C287*$B$7*H287*K287^2*$B$9*60*1000</f>
        <v/>
      </c>
      <c r="M287" s="37">
        <f>I287+L287</f>
        <v/>
      </c>
      <c r="N287" s="37">
        <f>MIN($B$6,J287+C287*$B$8*H287*K287^2*(1-J287/$B$6)*$B$9*60)</f>
        <v/>
      </c>
      <c r="O287" s="11">
        <f>IF(C287=1,Inputs!$B$12*G287*E287^2/($B$3^2*M287^4*N287^2),NA())</f>
        <v/>
      </c>
      <c r="P287" s="30">
        <f>P286+C287*E287/(1+F287/(1000*$B$11))*F287*$B$9/$B$3</f>
        <v/>
      </c>
      <c r="Q287" s="38">
        <f>C287*H287*(E287/60)^2*$B$9*60</f>
        <v/>
      </c>
    </row>
    <row r="288">
      <c r="A288" s="7" t="n">
        <v>228</v>
      </c>
      <c r="B288" s="30">
        <f>A288*$B$9</f>
        <v/>
      </c>
      <c r="C288" s="15">
        <f>IF(B288&lt;=$B$12+0.000000001,1,0)</f>
        <v/>
      </c>
      <c r="D288" s="15">
        <f>IF(C288=1,MATCH(B288-$B$9/2,$E$16:$E$35,1),0)</f>
        <v/>
      </c>
      <c r="E288" s="16">
        <f>IF(C288=1,INDEX($C$16:$C$35,D288),0)</f>
        <v/>
      </c>
      <c r="F288" s="15">
        <f>IF(C288=1,N(INDEX($D$16:$D$35,D288)),0)</f>
        <v/>
      </c>
      <c r="G288" s="30">
        <f>($B$10+F288)/(1+F288/(1000*$B$11))</f>
        <v/>
      </c>
      <c r="H288" s="30">
        <f>F288/(1+F288/(1000*$B$11))</f>
        <v/>
      </c>
      <c r="I288" s="37">
        <f>M287</f>
        <v/>
      </c>
      <c r="J288" s="37">
        <f>N287</f>
        <v/>
      </c>
      <c r="K288" s="16">
        <f>(E288/60)/($B$3*PI()/4*(I288/1000)^2)</f>
        <v/>
      </c>
      <c r="L288" s="23">
        <f>C288*$B$7*H288*K288^2*$B$9*60*1000</f>
        <v/>
      </c>
      <c r="M288" s="37">
        <f>I288+L288</f>
        <v/>
      </c>
      <c r="N288" s="37">
        <f>MIN($B$6,J288+C288*$B$8*H288*K288^2*(1-J288/$B$6)*$B$9*60)</f>
        <v/>
      </c>
      <c r="O288" s="11">
        <f>IF(C288=1,Inputs!$B$12*G288*E288^2/($B$3^2*M288^4*N288^2),NA())</f>
        <v/>
      </c>
      <c r="P288" s="30">
        <f>P287+C288*E288/(1+F288/(1000*$B$11))*F288*$B$9/$B$3</f>
        <v/>
      </c>
      <c r="Q288" s="38">
        <f>C288*H288*(E288/60)^2*$B$9*60</f>
        <v/>
      </c>
    </row>
    <row r="289">
      <c r="A289" s="7" t="n">
        <v>229</v>
      </c>
      <c r="B289" s="30">
        <f>A289*$B$9</f>
        <v/>
      </c>
      <c r="C289" s="15">
        <f>IF(B289&lt;=$B$12+0.000000001,1,0)</f>
        <v/>
      </c>
      <c r="D289" s="15">
        <f>IF(C289=1,MATCH(B289-$B$9/2,$E$16:$E$35,1),0)</f>
        <v/>
      </c>
      <c r="E289" s="16">
        <f>IF(C289=1,INDEX($C$16:$C$35,D289),0)</f>
        <v/>
      </c>
      <c r="F289" s="15">
        <f>IF(C289=1,N(INDEX($D$16:$D$35,D289)),0)</f>
        <v/>
      </c>
      <c r="G289" s="30">
        <f>($B$10+F289)/(1+F289/(1000*$B$11))</f>
        <v/>
      </c>
      <c r="H289" s="30">
        <f>F289/(1+F289/(1000*$B$11))</f>
        <v/>
      </c>
      <c r="I289" s="37">
        <f>M288</f>
        <v/>
      </c>
      <c r="J289" s="37">
        <f>N288</f>
        <v/>
      </c>
      <c r="K289" s="16">
        <f>(E289/60)/($B$3*PI()/4*(I289/1000)^2)</f>
        <v/>
      </c>
      <c r="L289" s="23">
        <f>C289*$B$7*H289*K289^2*$B$9*60*1000</f>
        <v/>
      </c>
      <c r="M289" s="37">
        <f>I289+L289</f>
        <v/>
      </c>
      <c r="N289" s="37">
        <f>MIN($B$6,J289+C289*$B$8*H289*K289^2*(1-J289/$B$6)*$B$9*60)</f>
        <v/>
      </c>
      <c r="O289" s="11">
        <f>IF(C289=1,Inputs!$B$12*G289*E289^2/($B$3^2*M289^4*N289^2),NA())</f>
        <v/>
      </c>
      <c r="P289" s="30">
        <f>P288+C289*E289/(1+F289/(1000*$B$11))*F289*$B$9/$B$3</f>
        <v/>
      </c>
      <c r="Q289" s="38">
        <f>C289*H289*(E289/60)^2*$B$9*60</f>
        <v/>
      </c>
    </row>
    <row r="290">
      <c r="A290" s="7" t="n">
        <v>230</v>
      </c>
      <c r="B290" s="30">
        <f>A290*$B$9</f>
        <v/>
      </c>
      <c r="C290" s="15">
        <f>IF(B290&lt;=$B$12+0.000000001,1,0)</f>
        <v/>
      </c>
      <c r="D290" s="15">
        <f>IF(C290=1,MATCH(B290-$B$9/2,$E$16:$E$35,1),0)</f>
        <v/>
      </c>
      <c r="E290" s="16">
        <f>IF(C290=1,INDEX($C$16:$C$35,D290),0)</f>
        <v/>
      </c>
      <c r="F290" s="15">
        <f>IF(C290=1,N(INDEX($D$16:$D$35,D290)),0)</f>
        <v/>
      </c>
      <c r="G290" s="30">
        <f>($B$10+F290)/(1+F290/(1000*$B$11))</f>
        <v/>
      </c>
      <c r="H290" s="30">
        <f>F290/(1+F290/(1000*$B$11))</f>
        <v/>
      </c>
      <c r="I290" s="37">
        <f>M289</f>
        <v/>
      </c>
      <c r="J290" s="37">
        <f>N289</f>
        <v/>
      </c>
      <c r="K290" s="16">
        <f>(E290/60)/($B$3*PI()/4*(I290/1000)^2)</f>
        <v/>
      </c>
      <c r="L290" s="23">
        <f>C290*$B$7*H290*K290^2*$B$9*60*1000</f>
        <v/>
      </c>
      <c r="M290" s="37">
        <f>I290+L290</f>
        <v/>
      </c>
      <c r="N290" s="37">
        <f>MIN($B$6,J290+C290*$B$8*H290*K290^2*(1-J290/$B$6)*$B$9*60)</f>
        <v/>
      </c>
      <c r="O290" s="11">
        <f>IF(C290=1,Inputs!$B$12*G290*E290^2/($B$3^2*M290^4*N290^2),NA())</f>
        <v/>
      </c>
      <c r="P290" s="30">
        <f>P289+C290*E290/(1+F290/(1000*$B$11))*F290*$B$9/$B$3</f>
        <v/>
      </c>
      <c r="Q290" s="38">
        <f>C290*H290*(E290/60)^2*$B$9*60</f>
        <v/>
      </c>
    </row>
    <row r="291">
      <c r="A291" s="7" t="n">
        <v>231</v>
      </c>
      <c r="B291" s="30">
        <f>A291*$B$9</f>
        <v/>
      </c>
      <c r="C291" s="15">
        <f>IF(B291&lt;=$B$12+0.000000001,1,0)</f>
        <v/>
      </c>
      <c r="D291" s="15">
        <f>IF(C291=1,MATCH(B291-$B$9/2,$E$16:$E$35,1),0)</f>
        <v/>
      </c>
      <c r="E291" s="16">
        <f>IF(C291=1,INDEX($C$16:$C$35,D291),0)</f>
        <v/>
      </c>
      <c r="F291" s="15">
        <f>IF(C291=1,N(INDEX($D$16:$D$35,D291)),0)</f>
        <v/>
      </c>
      <c r="G291" s="30">
        <f>($B$10+F291)/(1+F291/(1000*$B$11))</f>
        <v/>
      </c>
      <c r="H291" s="30">
        <f>F291/(1+F291/(1000*$B$11))</f>
        <v/>
      </c>
      <c r="I291" s="37">
        <f>M290</f>
        <v/>
      </c>
      <c r="J291" s="37">
        <f>N290</f>
        <v/>
      </c>
      <c r="K291" s="16">
        <f>(E291/60)/($B$3*PI()/4*(I291/1000)^2)</f>
        <v/>
      </c>
      <c r="L291" s="23">
        <f>C291*$B$7*H291*K291^2*$B$9*60*1000</f>
        <v/>
      </c>
      <c r="M291" s="37">
        <f>I291+L291</f>
        <v/>
      </c>
      <c r="N291" s="37">
        <f>MIN($B$6,J291+C291*$B$8*H291*K291^2*(1-J291/$B$6)*$B$9*60)</f>
        <v/>
      </c>
      <c r="O291" s="11">
        <f>IF(C291=1,Inputs!$B$12*G291*E291^2/($B$3^2*M291^4*N291^2),NA())</f>
        <v/>
      </c>
      <c r="P291" s="30">
        <f>P290+C291*E291/(1+F291/(1000*$B$11))*F291*$B$9/$B$3</f>
        <v/>
      </c>
      <c r="Q291" s="38">
        <f>C291*H291*(E291/60)^2*$B$9*60</f>
        <v/>
      </c>
    </row>
    <row r="292">
      <c r="A292" s="7" t="n">
        <v>232</v>
      </c>
      <c r="B292" s="30">
        <f>A292*$B$9</f>
        <v/>
      </c>
      <c r="C292" s="15">
        <f>IF(B292&lt;=$B$12+0.000000001,1,0)</f>
        <v/>
      </c>
      <c r="D292" s="15">
        <f>IF(C292=1,MATCH(B292-$B$9/2,$E$16:$E$35,1),0)</f>
        <v/>
      </c>
      <c r="E292" s="16">
        <f>IF(C292=1,INDEX($C$16:$C$35,D292),0)</f>
        <v/>
      </c>
      <c r="F292" s="15">
        <f>IF(C292=1,N(INDEX($D$16:$D$35,D292)),0)</f>
        <v/>
      </c>
      <c r="G292" s="30">
        <f>($B$10+F292)/(1+F292/(1000*$B$11))</f>
        <v/>
      </c>
      <c r="H292" s="30">
        <f>F292/(1+F292/(1000*$B$11))</f>
        <v/>
      </c>
      <c r="I292" s="37">
        <f>M291</f>
        <v/>
      </c>
      <c r="J292" s="37">
        <f>N291</f>
        <v/>
      </c>
      <c r="K292" s="16">
        <f>(E292/60)/($B$3*PI()/4*(I292/1000)^2)</f>
        <v/>
      </c>
      <c r="L292" s="23">
        <f>C292*$B$7*H292*K292^2*$B$9*60*1000</f>
        <v/>
      </c>
      <c r="M292" s="37">
        <f>I292+L292</f>
        <v/>
      </c>
      <c r="N292" s="37">
        <f>MIN($B$6,J292+C292*$B$8*H292*K292^2*(1-J292/$B$6)*$B$9*60)</f>
        <v/>
      </c>
      <c r="O292" s="11">
        <f>IF(C292=1,Inputs!$B$12*G292*E292^2/($B$3^2*M292^4*N292^2),NA())</f>
        <v/>
      </c>
      <c r="P292" s="30">
        <f>P291+C292*E292/(1+F292/(1000*$B$11))*F292*$B$9/$B$3</f>
        <v/>
      </c>
      <c r="Q292" s="38">
        <f>C292*H292*(E292/60)^2*$B$9*60</f>
        <v/>
      </c>
    </row>
    <row r="293">
      <c r="A293" s="7" t="n">
        <v>233</v>
      </c>
      <c r="B293" s="30">
        <f>A293*$B$9</f>
        <v/>
      </c>
      <c r="C293" s="15">
        <f>IF(B293&lt;=$B$12+0.000000001,1,0)</f>
        <v/>
      </c>
      <c r="D293" s="15">
        <f>IF(C293=1,MATCH(B293-$B$9/2,$E$16:$E$35,1),0)</f>
        <v/>
      </c>
      <c r="E293" s="16">
        <f>IF(C293=1,INDEX($C$16:$C$35,D293),0)</f>
        <v/>
      </c>
      <c r="F293" s="15">
        <f>IF(C293=1,N(INDEX($D$16:$D$35,D293)),0)</f>
        <v/>
      </c>
      <c r="G293" s="30">
        <f>($B$10+F293)/(1+F293/(1000*$B$11))</f>
        <v/>
      </c>
      <c r="H293" s="30">
        <f>F293/(1+F293/(1000*$B$11))</f>
        <v/>
      </c>
      <c r="I293" s="37">
        <f>M292</f>
        <v/>
      </c>
      <c r="J293" s="37">
        <f>N292</f>
        <v/>
      </c>
      <c r="K293" s="16">
        <f>(E293/60)/($B$3*PI()/4*(I293/1000)^2)</f>
        <v/>
      </c>
      <c r="L293" s="23">
        <f>C293*$B$7*H293*K293^2*$B$9*60*1000</f>
        <v/>
      </c>
      <c r="M293" s="37">
        <f>I293+L293</f>
        <v/>
      </c>
      <c r="N293" s="37">
        <f>MIN($B$6,J293+C293*$B$8*H293*K293^2*(1-J293/$B$6)*$B$9*60)</f>
        <v/>
      </c>
      <c r="O293" s="11">
        <f>IF(C293=1,Inputs!$B$12*G293*E293^2/($B$3^2*M293^4*N293^2),NA())</f>
        <v/>
      </c>
      <c r="P293" s="30">
        <f>P292+C293*E293/(1+F293/(1000*$B$11))*F293*$B$9/$B$3</f>
        <v/>
      </c>
      <c r="Q293" s="38">
        <f>C293*H293*(E293/60)^2*$B$9*60</f>
        <v/>
      </c>
    </row>
    <row r="294">
      <c r="A294" s="7" t="n">
        <v>234</v>
      </c>
      <c r="B294" s="30">
        <f>A294*$B$9</f>
        <v/>
      </c>
      <c r="C294" s="15">
        <f>IF(B294&lt;=$B$12+0.000000001,1,0)</f>
        <v/>
      </c>
      <c r="D294" s="15">
        <f>IF(C294=1,MATCH(B294-$B$9/2,$E$16:$E$35,1),0)</f>
        <v/>
      </c>
      <c r="E294" s="16">
        <f>IF(C294=1,INDEX($C$16:$C$35,D294),0)</f>
        <v/>
      </c>
      <c r="F294" s="15">
        <f>IF(C294=1,N(INDEX($D$16:$D$35,D294)),0)</f>
        <v/>
      </c>
      <c r="G294" s="30">
        <f>($B$10+F294)/(1+F294/(1000*$B$11))</f>
        <v/>
      </c>
      <c r="H294" s="30">
        <f>F294/(1+F294/(1000*$B$11))</f>
        <v/>
      </c>
      <c r="I294" s="37">
        <f>M293</f>
        <v/>
      </c>
      <c r="J294" s="37">
        <f>N293</f>
        <v/>
      </c>
      <c r="K294" s="16">
        <f>(E294/60)/($B$3*PI()/4*(I294/1000)^2)</f>
        <v/>
      </c>
      <c r="L294" s="23">
        <f>C294*$B$7*H294*K294^2*$B$9*60*1000</f>
        <v/>
      </c>
      <c r="M294" s="37">
        <f>I294+L294</f>
        <v/>
      </c>
      <c r="N294" s="37">
        <f>MIN($B$6,J294+C294*$B$8*H294*K294^2*(1-J294/$B$6)*$B$9*60)</f>
        <v/>
      </c>
      <c r="O294" s="11">
        <f>IF(C294=1,Inputs!$B$12*G294*E294^2/($B$3^2*M294^4*N294^2),NA())</f>
        <v/>
      </c>
      <c r="P294" s="30">
        <f>P293+C294*E294/(1+F294/(1000*$B$11))*F294*$B$9/$B$3</f>
        <v/>
      </c>
      <c r="Q294" s="38">
        <f>C294*H294*(E294/60)^2*$B$9*60</f>
        <v/>
      </c>
    </row>
    <row r="295">
      <c r="A295" s="7" t="n">
        <v>235</v>
      </c>
      <c r="B295" s="30">
        <f>A295*$B$9</f>
        <v/>
      </c>
      <c r="C295" s="15">
        <f>IF(B295&lt;=$B$12+0.000000001,1,0)</f>
        <v/>
      </c>
      <c r="D295" s="15">
        <f>IF(C295=1,MATCH(B295-$B$9/2,$E$16:$E$35,1),0)</f>
        <v/>
      </c>
      <c r="E295" s="16">
        <f>IF(C295=1,INDEX($C$16:$C$35,D295),0)</f>
        <v/>
      </c>
      <c r="F295" s="15">
        <f>IF(C295=1,N(INDEX($D$16:$D$35,D295)),0)</f>
        <v/>
      </c>
      <c r="G295" s="30">
        <f>($B$10+F295)/(1+F295/(1000*$B$11))</f>
        <v/>
      </c>
      <c r="H295" s="30">
        <f>F295/(1+F295/(1000*$B$11))</f>
        <v/>
      </c>
      <c r="I295" s="37">
        <f>M294</f>
        <v/>
      </c>
      <c r="J295" s="37">
        <f>N294</f>
        <v/>
      </c>
      <c r="K295" s="16">
        <f>(E295/60)/($B$3*PI()/4*(I295/1000)^2)</f>
        <v/>
      </c>
      <c r="L295" s="23">
        <f>C295*$B$7*H295*K295^2*$B$9*60*1000</f>
        <v/>
      </c>
      <c r="M295" s="37">
        <f>I295+L295</f>
        <v/>
      </c>
      <c r="N295" s="37">
        <f>MIN($B$6,J295+C295*$B$8*H295*K295^2*(1-J295/$B$6)*$B$9*60)</f>
        <v/>
      </c>
      <c r="O295" s="11">
        <f>IF(C295=1,Inputs!$B$12*G295*E295^2/($B$3^2*M295^4*N295^2),NA())</f>
        <v/>
      </c>
      <c r="P295" s="30">
        <f>P294+C295*E295/(1+F295/(1000*$B$11))*F295*$B$9/$B$3</f>
        <v/>
      </c>
      <c r="Q295" s="38">
        <f>C295*H295*(E295/60)^2*$B$9*60</f>
        <v/>
      </c>
    </row>
    <row r="296">
      <c r="A296" s="7" t="n">
        <v>236</v>
      </c>
      <c r="B296" s="30">
        <f>A296*$B$9</f>
        <v/>
      </c>
      <c r="C296" s="15">
        <f>IF(B296&lt;=$B$12+0.000000001,1,0)</f>
        <v/>
      </c>
      <c r="D296" s="15">
        <f>IF(C296=1,MATCH(B296-$B$9/2,$E$16:$E$35,1),0)</f>
        <v/>
      </c>
      <c r="E296" s="16">
        <f>IF(C296=1,INDEX($C$16:$C$35,D296),0)</f>
        <v/>
      </c>
      <c r="F296" s="15">
        <f>IF(C296=1,N(INDEX($D$16:$D$35,D296)),0)</f>
        <v/>
      </c>
      <c r="G296" s="30">
        <f>($B$10+F296)/(1+F296/(1000*$B$11))</f>
        <v/>
      </c>
      <c r="H296" s="30">
        <f>F296/(1+F296/(1000*$B$11))</f>
        <v/>
      </c>
      <c r="I296" s="37">
        <f>M295</f>
        <v/>
      </c>
      <c r="J296" s="37">
        <f>N295</f>
        <v/>
      </c>
      <c r="K296" s="16">
        <f>(E296/60)/($B$3*PI()/4*(I296/1000)^2)</f>
        <v/>
      </c>
      <c r="L296" s="23">
        <f>C296*$B$7*H296*K296^2*$B$9*60*1000</f>
        <v/>
      </c>
      <c r="M296" s="37">
        <f>I296+L296</f>
        <v/>
      </c>
      <c r="N296" s="37">
        <f>MIN($B$6,J296+C296*$B$8*H296*K296^2*(1-J296/$B$6)*$B$9*60)</f>
        <v/>
      </c>
      <c r="O296" s="11">
        <f>IF(C296=1,Inputs!$B$12*G296*E296^2/($B$3^2*M296^4*N296^2),NA())</f>
        <v/>
      </c>
      <c r="P296" s="30">
        <f>P295+C296*E296/(1+F296/(1000*$B$11))*F296*$B$9/$B$3</f>
        <v/>
      </c>
      <c r="Q296" s="38">
        <f>C296*H296*(E296/60)^2*$B$9*60</f>
        <v/>
      </c>
    </row>
    <row r="297">
      <c r="A297" s="7" t="n">
        <v>237</v>
      </c>
      <c r="B297" s="30">
        <f>A297*$B$9</f>
        <v/>
      </c>
      <c r="C297" s="15">
        <f>IF(B297&lt;=$B$12+0.000000001,1,0)</f>
        <v/>
      </c>
      <c r="D297" s="15">
        <f>IF(C297=1,MATCH(B297-$B$9/2,$E$16:$E$35,1),0)</f>
        <v/>
      </c>
      <c r="E297" s="16">
        <f>IF(C297=1,INDEX($C$16:$C$35,D297),0)</f>
        <v/>
      </c>
      <c r="F297" s="15">
        <f>IF(C297=1,N(INDEX($D$16:$D$35,D297)),0)</f>
        <v/>
      </c>
      <c r="G297" s="30">
        <f>($B$10+F297)/(1+F297/(1000*$B$11))</f>
        <v/>
      </c>
      <c r="H297" s="30">
        <f>F297/(1+F297/(1000*$B$11))</f>
        <v/>
      </c>
      <c r="I297" s="37">
        <f>M296</f>
        <v/>
      </c>
      <c r="J297" s="37">
        <f>N296</f>
        <v/>
      </c>
      <c r="K297" s="16">
        <f>(E297/60)/($B$3*PI()/4*(I297/1000)^2)</f>
        <v/>
      </c>
      <c r="L297" s="23">
        <f>C297*$B$7*H297*K297^2*$B$9*60*1000</f>
        <v/>
      </c>
      <c r="M297" s="37">
        <f>I297+L297</f>
        <v/>
      </c>
      <c r="N297" s="37">
        <f>MIN($B$6,J297+C297*$B$8*H297*K297^2*(1-J297/$B$6)*$B$9*60)</f>
        <v/>
      </c>
      <c r="O297" s="11">
        <f>IF(C297=1,Inputs!$B$12*G297*E297^2/($B$3^2*M297^4*N297^2),NA())</f>
        <v/>
      </c>
      <c r="P297" s="30">
        <f>P296+C297*E297/(1+F297/(1000*$B$11))*F297*$B$9/$B$3</f>
        <v/>
      </c>
      <c r="Q297" s="38">
        <f>C297*H297*(E297/60)^2*$B$9*60</f>
        <v/>
      </c>
    </row>
    <row r="298">
      <c r="A298" s="7" t="n">
        <v>238</v>
      </c>
      <c r="B298" s="30">
        <f>A298*$B$9</f>
        <v/>
      </c>
      <c r="C298" s="15">
        <f>IF(B298&lt;=$B$12+0.000000001,1,0)</f>
        <v/>
      </c>
      <c r="D298" s="15">
        <f>IF(C298=1,MATCH(B298-$B$9/2,$E$16:$E$35,1),0)</f>
        <v/>
      </c>
      <c r="E298" s="16">
        <f>IF(C298=1,INDEX($C$16:$C$35,D298),0)</f>
        <v/>
      </c>
      <c r="F298" s="15">
        <f>IF(C298=1,N(INDEX($D$16:$D$35,D298)),0)</f>
        <v/>
      </c>
      <c r="G298" s="30">
        <f>($B$10+F298)/(1+F298/(1000*$B$11))</f>
        <v/>
      </c>
      <c r="H298" s="30">
        <f>F298/(1+F298/(1000*$B$11))</f>
        <v/>
      </c>
      <c r="I298" s="37">
        <f>M297</f>
        <v/>
      </c>
      <c r="J298" s="37">
        <f>N297</f>
        <v/>
      </c>
      <c r="K298" s="16">
        <f>(E298/60)/($B$3*PI()/4*(I298/1000)^2)</f>
        <v/>
      </c>
      <c r="L298" s="23">
        <f>C298*$B$7*H298*K298^2*$B$9*60*1000</f>
        <v/>
      </c>
      <c r="M298" s="37">
        <f>I298+L298</f>
        <v/>
      </c>
      <c r="N298" s="37">
        <f>MIN($B$6,J298+C298*$B$8*H298*K298^2*(1-J298/$B$6)*$B$9*60)</f>
        <v/>
      </c>
      <c r="O298" s="11">
        <f>IF(C298=1,Inputs!$B$12*G298*E298^2/($B$3^2*M298^4*N298^2),NA())</f>
        <v/>
      </c>
      <c r="P298" s="30">
        <f>P297+C298*E298/(1+F298/(1000*$B$11))*F298*$B$9/$B$3</f>
        <v/>
      </c>
      <c r="Q298" s="38">
        <f>C298*H298*(E298/60)^2*$B$9*60</f>
        <v/>
      </c>
    </row>
    <row r="299">
      <c r="A299" s="7" t="n">
        <v>239</v>
      </c>
      <c r="B299" s="30">
        <f>A299*$B$9</f>
        <v/>
      </c>
      <c r="C299" s="15">
        <f>IF(B299&lt;=$B$12+0.000000001,1,0)</f>
        <v/>
      </c>
      <c r="D299" s="15">
        <f>IF(C299=1,MATCH(B299-$B$9/2,$E$16:$E$35,1),0)</f>
        <v/>
      </c>
      <c r="E299" s="16">
        <f>IF(C299=1,INDEX($C$16:$C$35,D299),0)</f>
        <v/>
      </c>
      <c r="F299" s="15">
        <f>IF(C299=1,N(INDEX($D$16:$D$35,D299)),0)</f>
        <v/>
      </c>
      <c r="G299" s="30">
        <f>($B$10+F299)/(1+F299/(1000*$B$11))</f>
        <v/>
      </c>
      <c r="H299" s="30">
        <f>F299/(1+F299/(1000*$B$11))</f>
        <v/>
      </c>
      <c r="I299" s="37">
        <f>M298</f>
        <v/>
      </c>
      <c r="J299" s="37">
        <f>N298</f>
        <v/>
      </c>
      <c r="K299" s="16">
        <f>(E299/60)/($B$3*PI()/4*(I299/1000)^2)</f>
        <v/>
      </c>
      <c r="L299" s="23">
        <f>C299*$B$7*H299*K299^2*$B$9*60*1000</f>
        <v/>
      </c>
      <c r="M299" s="37">
        <f>I299+L299</f>
        <v/>
      </c>
      <c r="N299" s="37">
        <f>MIN($B$6,J299+C299*$B$8*H299*K299^2*(1-J299/$B$6)*$B$9*60)</f>
        <v/>
      </c>
      <c r="O299" s="11">
        <f>IF(C299=1,Inputs!$B$12*G299*E299^2/($B$3^2*M299^4*N299^2),NA())</f>
        <v/>
      </c>
      <c r="P299" s="30">
        <f>P298+C299*E299/(1+F299/(1000*$B$11))*F299*$B$9/$B$3</f>
        <v/>
      </c>
      <c r="Q299" s="38">
        <f>C299*H299*(E299/60)^2*$B$9*60</f>
        <v/>
      </c>
    </row>
    <row r="300">
      <c r="A300" s="7" t="n">
        <v>240</v>
      </c>
      <c r="B300" s="30">
        <f>A300*$B$9</f>
        <v/>
      </c>
      <c r="C300" s="15">
        <f>IF(B300&lt;=$B$12+0.000000001,1,0)</f>
        <v/>
      </c>
      <c r="D300" s="15">
        <f>IF(C300=1,MATCH(B300-$B$9/2,$E$16:$E$35,1),0)</f>
        <v/>
      </c>
      <c r="E300" s="16">
        <f>IF(C300=1,INDEX($C$16:$C$35,D300),0)</f>
        <v/>
      </c>
      <c r="F300" s="15">
        <f>IF(C300=1,N(INDEX($D$16:$D$35,D300)),0)</f>
        <v/>
      </c>
      <c r="G300" s="30">
        <f>($B$10+F300)/(1+F300/(1000*$B$11))</f>
        <v/>
      </c>
      <c r="H300" s="30">
        <f>F300/(1+F300/(1000*$B$11))</f>
        <v/>
      </c>
      <c r="I300" s="37">
        <f>M299</f>
        <v/>
      </c>
      <c r="J300" s="37">
        <f>N299</f>
        <v/>
      </c>
      <c r="K300" s="16">
        <f>(E300/60)/($B$3*PI()/4*(I300/1000)^2)</f>
        <v/>
      </c>
      <c r="L300" s="23">
        <f>C300*$B$7*H300*K300^2*$B$9*60*1000</f>
        <v/>
      </c>
      <c r="M300" s="37">
        <f>I300+L300</f>
        <v/>
      </c>
      <c r="N300" s="37">
        <f>MIN($B$6,J300+C300*$B$8*H300*K300^2*(1-J300/$B$6)*$B$9*60)</f>
        <v/>
      </c>
      <c r="O300" s="11">
        <f>IF(C300=1,Inputs!$B$12*G300*E300^2/($B$3^2*M300^4*N300^2),NA())</f>
        <v/>
      </c>
      <c r="P300" s="30">
        <f>P299+C300*E300/(1+F300/(1000*$B$11))*F300*$B$9/$B$3</f>
        <v/>
      </c>
      <c r="Q300" s="38">
        <f>C300*H300*(E300/60)^2*$B$9*60</f>
        <v/>
      </c>
    </row>
    <row r="301">
      <c r="A301" s="7" t="n">
        <v>241</v>
      </c>
      <c r="B301" s="30">
        <f>A301*$B$9</f>
        <v/>
      </c>
      <c r="C301" s="15">
        <f>IF(B301&lt;=$B$12+0.000000001,1,0)</f>
        <v/>
      </c>
      <c r="D301" s="15">
        <f>IF(C301=1,MATCH(B301-$B$9/2,$E$16:$E$35,1),0)</f>
        <v/>
      </c>
      <c r="E301" s="16">
        <f>IF(C301=1,INDEX($C$16:$C$35,D301),0)</f>
        <v/>
      </c>
      <c r="F301" s="15">
        <f>IF(C301=1,N(INDEX($D$16:$D$35,D301)),0)</f>
        <v/>
      </c>
      <c r="G301" s="30">
        <f>($B$10+F301)/(1+F301/(1000*$B$11))</f>
        <v/>
      </c>
      <c r="H301" s="30">
        <f>F301/(1+F301/(1000*$B$11))</f>
        <v/>
      </c>
      <c r="I301" s="37">
        <f>M300</f>
        <v/>
      </c>
      <c r="J301" s="37">
        <f>N300</f>
        <v/>
      </c>
      <c r="K301" s="16">
        <f>(E301/60)/($B$3*PI()/4*(I301/1000)^2)</f>
        <v/>
      </c>
      <c r="L301" s="23">
        <f>C301*$B$7*H301*K301^2*$B$9*60*1000</f>
        <v/>
      </c>
      <c r="M301" s="37">
        <f>I301+L301</f>
        <v/>
      </c>
      <c r="N301" s="37">
        <f>MIN($B$6,J301+C301*$B$8*H301*K301^2*(1-J301/$B$6)*$B$9*60)</f>
        <v/>
      </c>
      <c r="O301" s="11">
        <f>IF(C301=1,Inputs!$B$12*G301*E301^2/($B$3^2*M301^4*N301^2),NA())</f>
        <v/>
      </c>
      <c r="P301" s="30">
        <f>P300+C301*E301/(1+F301/(1000*$B$11))*F301*$B$9/$B$3</f>
        <v/>
      </c>
      <c r="Q301" s="38">
        <f>C301*H301*(E301/60)^2*$B$9*60</f>
        <v/>
      </c>
    </row>
    <row r="302">
      <c r="A302" s="7" t="n">
        <v>242</v>
      </c>
      <c r="B302" s="30">
        <f>A302*$B$9</f>
        <v/>
      </c>
      <c r="C302" s="15">
        <f>IF(B302&lt;=$B$12+0.000000001,1,0)</f>
        <v/>
      </c>
      <c r="D302" s="15">
        <f>IF(C302=1,MATCH(B302-$B$9/2,$E$16:$E$35,1),0)</f>
        <v/>
      </c>
      <c r="E302" s="16">
        <f>IF(C302=1,INDEX($C$16:$C$35,D302),0)</f>
        <v/>
      </c>
      <c r="F302" s="15">
        <f>IF(C302=1,N(INDEX($D$16:$D$35,D302)),0)</f>
        <v/>
      </c>
      <c r="G302" s="30">
        <f>($B$10+F302)/(1+F302/(1000*$B$11))</f>
        <v/>
      </c>
      <c r="H302" s="30">
        <f>F302/(1+F302/(1000*$B$11))</f>
        <v/>
      </c>
      <c r="I302" s="37">
        <f>M301</f>
        <v/>
      </c>
      <c r="J302" s="37">
        <f>N301</f>
        <v/>
      </c>
      <c r="K302" s="16">
        <f>(E302/60)/($B$3*PI()/4*(I302/1000)^2)</f>
        <v/>
      </c>
      <c r="L302" s="23">
        <f>C302*$B$7*H302*K302^2*$B$9*60*1000</f>
        <v/>
      </c>
      <c r="M302" s="37">
        <f>I302+L302</f>
        <v/>
      </c>
      <c r="N302" s="37">
        <f>MIN($B$6,J302+C302*$B$8*H302*K302^2*(1-J302/$B$6)*$B$9*60)</f>
        <v/>
      </c>
      <c r="O302" s="11">
        <f>IF(C302=1,Inputs!$B$12*G302*E302^2/($B$3^2*M302^4*N302^2),NA())</f>
        <v/>
      </c>
      <c r="P302" s="30">
        <f>P301+C302*E302/(1+F302/(1000*$B$11))*F302*$B$9/$B$3</f>
        <v/>
      </c>
      <c r="Q302" s="38">
        <f>C302*H302*(E302/60)^2*$B$9*60</f>
        <v/>
      </c>
    </row>
    <row r="303">
      <c r="A303" s="7" t="n">
        <v>243</v>
      </c>
      <c r="B303" s="30">
        <f>A303*$B$9</f>
        <v/>
      </c>
      <c r="C303" s="15">
        <f>IF(B303&lt;=$B$12+0.000000001,1,0)</f>
        <v/>
      </c>
      <c r="D303" s="15">
        <f>IF(C303=1,MATCH(B303-$B$9/2,$E$16:$E$35,1),0)</f>
        <v/>
      </c>
      <c r="E303" s="16">
        <f>IF(C303=1,INDEX($C$16:$C$35,D303),0)</f>
        <v/>
      </c>
      <c r="F303" s="15">
        <f>IF(C303=1,N(INDEX($D$16:$D$35,D303)),0)</f>
        <v/>
      </c>
      <c r="G303" s="30">
        <f>($B$10+F303)/(1+F303/(1000*$B$11))</f>
        <v/>
      </c>
      <c r="H303" s="30">
        <f>F303/(1+F303/(1000*$B$11))</f>
        <v/>
      </c>
      <c r="I303" s="37">
        <f>M302</f>
        <v/>
      </c>
      <c r="J303" s="37">
        <f>N302</f>
        <v/>
      </c>
      <c r="K303" s="16">
        <f>(E303/60)/($B$3*PI()/4*(I303/1000)^2)</f>
        <v/>
      </c>
      <c r="L303" s="23">
        <f>C303*$B$7*H303*K303^2*$B$9*60*1000</f>
        <v/>
      </c>
      <c r="M303" s="37">
        <f>I303+L303</f>
        <v/>
      </c>
      <c r="N303" s="37">
        <f>MIN($B$6,J303+C303*$B$8*H303*K303^2*(1-J303/$B$6)*$B$9*60)</f>
        <v/>
      </c>
      <c r="O303" s="11">
        <f>IF(C303=1,Inputs!$B$12*G303*E303^2/($B$3^2*M303^4*N303^2),NA())</f>
        <v/>
      </c>
      <c r="P303" s="30">
        <f>P302+C303*E303/(1+F303/(1000*$B$11))*F303*$B$9/$B$3</f>
        <v/>
      </c>
      <c r="Q303" s="38">
        <f>C303*H303*(E303/60)^2*$B$9*60</f>
        <v/>
      </c>
    </row>
    <row r="304">
      <c r="A304" s="7" t="n">
        <v>244</v>
      </c>
      <c r="B304" s="30">
        <f>A304*$B$9</f>
        <v/>
      </c>
      <c r="C304" s="15">
        <f>IF(B304&lt;=$B$12+0.000000001,1,0)</f>
        <v/>
      </c>
      <c r="D304" s="15">
        <f>IF(C304=1,MATCH(B304-$B$9/2,$E$16:$E$35,1),0)</f>
        <v/>
      </c>
      <c r="E304" s="16">
        <f>IF(C304=1,INDEX($C$16:$C$35,D304),0)</f>
        <v/>
      </c>
      <c r="F304" s="15">
        <f>IF(C304=1,N(INDEX($D$16:$D$35,D304)),0)</f>
        <v/>
      </c>
      <c r="G304" s="30">
        <f>($B$10+F304)/(1+F304/(1000*$B$11))</f>
        <v/>
      </c>
      <c r="H304" s="30">
        <f>F304/(1+F304/(1000*$B$11))</f>
        <v/>
      </c>
      <c r="I304" s="37">
        <f>M303</f>
        <v/>
      </c>
      <c r="J304" s="37">
        <f>N303</f>
        <v/>
      </c>
      <c r="K304" s="16">
        <f>(E304/60)/($B$3*PI()/4*(I304/1000)^2)</f>
        <v/>
      </c>
      <c r="L304" s="23">
        <f>C304*$B$7*H304*K304^2*$B$9*60*1000</f>
        <v/>
      </c>
      <c r="M304" s="37">
        <f>I304+L304</f>
        <v/>
      </c>
      <c r="N304" s="37">
        <f>MIN($B$6,J304+C304*$B$8*H304*K304^2*(1-J304/$B$6)*$B$9*60)</f>
        <v/>
      </c>
      <c r="O304" s="11">
        <f>IF(C304=1,Inputs!$B$12*G304*E304^2/($B$3^2*M304^4*N304^2),NA())</f>
        <v/>
      </c>
      <c r="P304" s="30">
        <f>P303+C304*E304/(1+F304/(1000*$B$11))*F304*$B$9/$B$3</f>
        <v/>
      </c>
      <c r="Q304" s="38">
        <f>C304*H304*(E304/60)^2*$B$9*60</f>
        <v/>
      </c>
    </row>
    <row r="305">
      <c r="A305" s="7" t="n">
        <v>245</v>
      </c>
      <c r="B305" s="30">
        <f>A305*$B$9</f>
        <v/>
      </c>
      <c r="C305" s="15">
        <f>IF(B305&lt;=$B$12+0.000000001,1,0)</f>
        <v/>
      </c>
      <c r="D305" s="15">
        <f>IF(C305=1,MATCH(B305-$B$9/2,$E$16:$E$35,1),0)</f>
        <v/>
      </c>
      <c r="E305" s="16">
        <f>IF(C305=1,INDEX($C$16:$C$35,D305),0)</f>
        <v/>
      </c>
      <c r="F305" s="15">
        <f>IF(C305=1,N(INDEX($D$16:$D$35,D305)),0)</f>
        <v/>
      </c>
      <c r="G305" s="30">
        <f>($B$10+F305)/(1+F305/(1000*$B$11))</f>
        <v/>
      </c>
      <c r="H305" s="30">
        <f>F305/(1+F305/(1000*$B$11))</f>
        <v/>
      </c>
      <c r="I305" s="37">
        <f>M304</f>
        <v/>
      </c>
      <c r="J305" s="37">
        <f>N304</f>
        <v/>
      </c>
      <c r="K305" s="16">
        <f>(E305/60)/($B$3*PI()/4*(I305/1000)^2)</f>
        <v/>
      </c>
      <c r="L305" s="23">
        <f>C305*$B$7*H305*K305^2*$B$9*60*1000</f>
        <v/>
      </c>
      <c r="M305" s="37">
        <f>I305+L305</f>
        <v/>
      </c>
      <c r="N305" s="37">
        <f>MIN($B$6,J305+C305*$B$8*H305*K305^2*(1-J305/$B$6)*$B$9*60)</f>
        <v/>
      </c>
      <c r="O305" s="11">
        <f>IF(C305=1,Inputs!$B$12*G305*E305^2/($B$3^2*M305^4*N305^2),NA())</f>
        <v/>
      </c>
      <c r="P305" s="30">
        <f>P304+C305*E305/(1+F305/(1000*$B$11))*F305*$B$9/$B$3</f>
        <v/>
      </c>
      <c r="Q305" s="38">
        <f>C305*H305*(E305/60)^2*$B$9*60</f>
        <v/>
      </c>
    </row>
    <row r="306">
      <c r="A306" s="7" t="n">
        <v>246</v>
      </c>
      <c r="B306" s="30">
        <f>A306*$B$9</f>
        <v/>
      </c>
      <c r="C306" s="15">
        <f>IF(B306&lt;=$B$12+0.000000001,1,0)</f>
        <v/>
      </c>
      <c r="D306" s="15">
        <f>IF(C306=1,MATCH(B306-$B$9/2,$E$16:$E$35,1),0)</f>
        <v/>
      </c>
      <c r="E306" s="16">
        <f>IF(C306=1,INDEX($C$16:$C$35,D306),0)</f>
        <v/>
      </c>
      <c r="F306" s="15">
        <f>IF(C306=1,N(INDEX($D$16:$D$35,D306)),0)</f>
        <v/>
      </c>
      <c r="G306" s="30">
        <f>($B$10+F306)/(1+F306/(1000*$B$11))</f>
        <v/>
      </c>
      <c r="H306" s="30">
        <f>F306/(1+F306/(1000*$B$11))</f>
        <v/>
      </c>
      <c r="I306" s="37">
        <f>M305</f>
        <v/>
      </c>
      <c r="J306" s="37">
        <f>N305</f>
        <v/>
      </c>
      <c r="K306" s="16">
        <f>(E306/60)/($B$3*PI()/4*(I306/1000)^2)</f>
        <v/>
      </c>
      <c r="L306" s="23">
        <f>C306*$B$7*H306*K306^2*$B$9*60*1000</f>
        <v/>
      </c>
      <c r="M306" s="37">
        <f>I306+L306</f>
        <v/>
      </c>
      <c r="N306" s="37">
        <f>MIN($B$6,J306+C306*$B$8*H306*K306^2*(1-J306/$B$6)*$B$9*60)</f>
        <v/>
      </c>
      <c r="O306" s="11">
        <f>IF(C306=1,Inputs!$B$12*G306*E306^2/($B$3^2*M306^4*N306^2),NA())</f>
        <v/>
      </c>
      <c r="P306" s="30">
        <f>P305+C306*E306/(1+F306/(1000*$B$11))*F306*$B$9/$B$3</f>
        <v/>
      </c>
      <c r="Q306" s="38">
        <f>C306*H306*(E306/60)^2*$B$9*60</f>
        <v/>
      </c>
    </row>
    <row r="307">
      <c r="A307" s="7" t="n">
        <v>247</v>
      </c>
      <c r="B307" s="30">
        <f>A307*$B$9</f>
        <v/>
      </c>
      <c r="C307" s="15">
        <f>IF(B307&lt;=$B$12+0.000000001,1,0)</f>
        <v/>
      </c>
      <c r="D307" s="15">
        <f>IF(C307=1,MATCH(B307-$B$9/2,$E$16:$E$35,1),0)</f>
        <v/>
      </c>
      <c r="E307" s="16">
        <f>IF(C307=1,INDEX($C$16:$C$35,D307),0)</f>
        <v/>
      </c>
      <c r="F307" s="15">
        <f>IF(C307=1,N(INDEX($D$16:$D$35,D307)),0)</f>
        <v/>
      </c>
      <c r="G307" s="30">
        <f>($B$10+F307)/(1+F307/(1000*$B$11))</f>
        <v/>
      </c>
      <c r="H307" s="30">
        <f>F307/(1+F307/(1000*$B$11))</f>
        <v/>
      </c>
      <c r="I307" s="37">
        <f>M306</f>
        <v/>
      </c>
      <c r="J307" s="37">
        <f>N306</f>
        <v/>
      </c>
      <c r="K307" s="16">
        <f>(E307/60)/($B$3*PI()/4*(I307/1000)^2)</f>
        <v/>
      </c>
      <c r="L307" s="23">
        <f>C307*$B$7*H307*K307^2*$B$9*60*1000</f>
        <v/>
      </c>
      <c r="M307" s="37">
        <f>I307+L307</f>
        <v/>
      </c>
      <c r="N307" s="37">
        <f>MIN($B$6,J307+C307*$B$8*H307*K307^2*(1-J307/$B$6)*$B$9*60)</f>
        <v/>
      </c>
      <c r="O307" s="11">
        <f>IF(C307=1,Inputs!$B$12*G307*E307^2/($B$3^2*M307^4*N307^2),NA())</f>
        <v/>
      </c>
      <c r="P307" s="30">
        <f>P306+C307*E307/(1+F307/(1000*$B$11))*F307*$B$9/$B$3</f>
        <v/>
      </c>
      <c r="Q307" s="38">
        <f>C307*H307*(E307/60)^2*$B$9*60</f>
        <v/>
      </c>
    </row>
    <row r="308">
      <c r="A308" s="7" t="n">
        <v>248</v>
      </c>
      <c r="B308" s="30">
        <f>A308*$B$9</f>
        <v/>
      </c>
      <c r="C308" s="15">
        <f>IF(B308&lt;=$B$12+0.000000001,1,0)</f>
        <v/>
      </c>
      <c r="D308" s="15">
        <f>IF(C308=1,MATCH(B308-$B$9/2,$E$16:$E$35,1),0)</f>
        <v/>
      </c>
      <c r="E308" s="16">
        <f>IF(C308=1,INDEX($C$16:$C$35,D308),0)</f>
        <v/>
      </c>
      <c r="F308" s="15">
        <f>IF(C308=1,N(INDEX($D$16:$D$35,D308)),0)</f>
        <v/>
      </c>
      <c r="G308" s="30">
        <f>($B$10+F308)/(1+F308/(1000*$B$11))</f>
        <v/>
      </c>
      <c r="H308" s="30">
        <f>F308/(1+F308/(1000*$B$11))</f>
        <v/>
      </c>
      <c r="I308" s="37">
        <f>M307</f>
        <v/>
      </c>
      <c r="J308" s="37">
        <f>N307</f>
        <v/>
      </c>
      <c r="K308" s="16">
        <f>(E308/60)/($B$3*PI()/4*(I308/1000)^2)</f>
        <v/>
      </c>
      <c r="L308" s="23">
        <f>C308*$B$7*H308*K308^2*$B$9*60*1000</f>
        <v/>
      </c>
      <c r="M308" s="37">
        <f>I308+L308</f>
        <v/>
      </c>
      <c r="N308" s="37">
        <f>MIN($B$6,J308+C308*$B$8*H308*K308^2*(1-J308/$B$6)*$B$9*60)</f>
        <v/>
      </c>
      <c r="O308" s="11">
        <f>IF(C308=1,Inputs!$B$12*G308*E308^2/($B$3^2*M308^4*N308^2),NA())</f>
        <v/>
      </c>
      <c r="P308" s="30">
        <f>P307+C308*E308/(1+F308/(1000*$B$11))*F308*$B$9/$B$3</f>
        <v/>
      </c>
      <c r="Q308" s="38">
        <f>C308*H308*(E308/60)^2*$B$9*60</f>
        <v/>
      </c>
    </row>
    <row r="309">
      <c r="A309" s="7" t="n">
        <v>249</v>
      </c>
      <c r="B309" s="30">
        <f>A309*$B$9</f>
        <v/>
      </c>
      <c r="C309" s="15">
        <f>IF(B309&lt;=$B$12+0.000000001,1,0)</f>
        <v/>
      </c>
      <c r="D309" s="15">
        <f>IF(C309=1,MATCH(B309-$B$9/2,$E$16:$E$35,1),0)</f>
        <v/>
      </c>
      <c r="E309" s="16">
        <f>IF(C309=1,INDEX($C$16:$C$35,D309),0)</f>
        <v/>
      </c>
      <c r="F309" s="15">
        <f>IF(C309=1,N(INDEX($D$16:$D$35,D309)),0)</f>
        <v/>
      </c>
      <c r="G309" s="30">
        <f>($B$10+F309)/(1+F309/(1000*$B$11))</f>
        <v/>
      </c>
      <c r="H309" s="30">
        <f>F309/(1+F309/(1000*$B$11))</f>
        <v/>
      </c>
      <c r="I309" s="37">
        <f>M308</f>
        <v/>
      </c>
      <c r="J309" s="37">
        <f>N308</f>
        <v/>
      </c>
      <c r="K309" s="16">
        <f>(E309/60)/($B$3*PI()/4*(I309/1000)^2)</f>
        <v/>
      </c>
      <c r="L309" s="23">
        <f>C309*$B$7*H309*K309^2*$B$9*60*1000</f>
        <v/>
      </c>
      <c r="M309" s="37">
        <f>I309+L309</f>
        <v/>
      </c>
      <c r="N309" s="37">
        <f>MIN($B$6,J309+C309*$B$8*H309*K309^2*(1-J309/$B$6)*$B$9*60)</f>
        <v/>
      </c>
      <c r="O309" s="11">
        <f>IF(C309=1,Inputs!$B$12*G309*E309^2/($B$3^2*M309^4*N309^2),NA())</f>
        <v/>
      </c>
      <c r="P309" s="30">
        <f>P308+C309*E309/(1+F309/(1000*$B$11))*F309*$B$9/$B$3</f>
        <v/>
      </c>
      <c r="Q309" s="38">
        <f>C309*H309*(E309/60)^2*$B$9*60</f>
        <v/>
      </c>
    </row>
    <row r="310">
      <c r="A310" s="7" t="n">
        <v>250</v>
      </c>
      <c r="B310" s="30">
        <f>A310*$B$9</f>
        <v/>
      </c>
      <c r="C310" s="15">
        <f>IF(B310&lt;=$B$12+0.000000001,1,0)</f>
        <v/>
      </c>
      <c r="D310" s="15">
        <f>IF(C310=1,MATCH(B310-$B$9/2,$E$16:$E$35,1),0)</f>
        <v/>
      </c>
      <c r="E310" s="16">
        <f>IF(C310=1,INDEX($C$16:$C$35,D310),0)</f>
        <v/>
      </c>
      <c r="F310" s="15">
        <f>IF(C310=1,N(INDEX($D$16:$D$35,D310)),0)</f>
        <v/>
      </c>
      <c r="G310" s="30">
        <f>($B$10+F310)/(1+F310/(1000*$B$11))</f>
        <v/>
      </c>
      <c r="H310" s="30">
        <f>F310/(1+F310/(1000*$B$11))</f>
        <v/>
      </c>
      <c r="I310" s="37">
        <f>M309</f>
        <v/>
      </c>
      <c r="J310" s="37">
        <f>N309</f>
        <v/>
      </c>
      <c r="K310" s="16">
        <f>(E310/60)/($B$3*PI()/4*(I310/1000)^2)</f>
        <v/>
      </c>
      <c r="L310" s="23">
        <f>C310*$B$7*H310*K310^2*$B$9*60*1000</f>
        <v/>
      </c>
      <c r="M310" s="37">
        <f>I310+L310</f>
        <v/>
      </c>
      <c r="N310" s="37">
        <f>MIN($B$6,J310+C310*$B$8*H310*K310^2*(1-J310/$B$6)*$B$9*60)</f>
        <v/>
      </c>
      <c r="O310" s="11">
        <f>IF(C310=1,Inputs!$B$12*G310*E310^2/($B$3^2*M310^4*N310^2),NA())</f>
        <v/>
      </c>
      <c r="P310" s="30">
        <f>P309+C310*E310/(1+F310/(1000*$B$11))*F310*$B$9/$B$3</f>
        <v/>
      </c>
      <c r="Q310" s="38">
        <f>C310*H310*(E310/60)^2*$B$9*60</f>
        <v/>
      </c>
    </row>
    <row r="311">
      <c r="A311" s="7" t="n">
        <v>251</v>
      </c>
      <c r="B311" s="30">
        <f>A311*$B$9</f>
        <v/>
      </c>
      <c r="C311" s="15">
        <f>IF(B311&lt;=$B$12+0.000000001,1,0)</f>
        <v/>
      </c>
      <c r="D311" s="15">
        <f>IF(C311=1,MATCH(B311-$B$9/2,$E$16:$E$35,1),0)</f>
        <v/>
      </c>
      <c r="E311" s="16">
        <f>IF(C311=1,INDEX($C$16:$C$35,D311),0)</f>
        <v/>
      </c>
      <c r="F311" s="15">
        <f>IF(C311=1,N(INDEX($D$16:$D$35,D311)),0)</f>
        <v/>
      </c>
      <c r="G311" s="30">
        <f>($B$10+F311)/(1+F311/(1000*$B$11))</f>
        <v/>
      </c>
      <c r="H311" s="30">
        <f>F311/(1+F311/(1000*$B$11))</f>
        <v/>
      </c>
      <c r="I311" s="37">
        <f>M310</f>
        <v/>
      </c>
      <c r="J311" s="37">
        <f>N310</f>
        <v/>
      </c>
      <c r="K311" s="16">
        <f>(E311/60)/($B$3*PI()/4*(I311/1000)^2)</f>
        <v/>
      </c>
      <c r="L311" s="23">
        <f>C311*$B$7*H311*K311^2*$B$9*60*1000</f>
        <v/>
      </c>
      <c r="M311" s="37">
        <f>I311+L311</f>
        <v/>
      </c>
      <c r="N311" s="37">
        <f>MIN($B$6,J311+C311*$B$8*H311*K311^2*(1-J311/$B$6)*$B$9*60)</f>
        <v/>
      </c>
      <c r="O311" s="11">
        <f>IF(C311=1,Inputs!$B$12*G311*E311^2/($B$3^2*M311^4*N311^2),NA())</f>
        <v/>
      </c>
      <c r="P311" s="30">
        <f>P310+C311*E311/(1+F311/(1000*$B$11))*F311*$B$9/$B$3</f>
        <v/>
      </c>
      <c r="Q311" s="38">
        <f>C311*H311*(E311/60)^2*$B$9*60</f>
        <v/>
      </c>
    </row>
    <row r="312">
      <c r="A312" s="7" t="n">
        <v>252</v>
      </c>
      <c r="B312" s="30">
        <f>A312*$B$9</f>
        <v/>
      </c>
      <c r="C312" s="15">
        <f>IF(B312&lt;=$B$12+0.000000001,1,0)</f>
        <v/>
      </c>
      <c r="D312" s="15">
        <f>IF(C312=1,MATCH(B312-$B$9/2,$E$16:$E$35,1),0)</f>
        <v/>
      </c>
      <c r="E312" s="16">
        <f>IF(C312=1,INDEX($C$16:$C$35,D312),0)</f>
        <v/>
      </c>
      <c r="F312" s="15">
        <f>IF(C312=1,N(INDEX($D$16:$D$35,D312)),0)</f>
        <v/>
      </c>
      <c r="G312" s="30">
        <f>($B$10+F312)/(1+F312/(1000*$B$11))</f>
        <v/>
      </c>
      <c r="H312" s="30">
        <f>F312/(1+F312/(1000*$B$11))</f>
        <v/>
      </c>
      <c r="I312" s="37">
        <f>M311</f>
        <v/>
      </c>
      <c r="J312" s="37">
        <f>N311</f>
        <v/>
      </c>
      <c r="K312" s="16">
        <f>(E312/60)/($B$3*PI()/4*(I312/1000)^2)</f>
        <v/>
      </c>
      <c r="L312" s="23">
        <f>C312*$B$7*H312*K312^2*$B$9*60*1000</f>
        <v/>
      </c>
      <c r="M312" s="37">
        <f>I312+L312</f>
        <v/>
      </c>
      <c r="N312" s="37">
        <f>MIN($B$6,J312+C312*$B$8*H312*K312^2*(1-J312/$B$6)*$B$9*60)</f>
        <v/>
      </c>
      <c r="O312" s="11">
        <f>IF(C312=1,Inputs!$B$12*G312*E312^2/($B$3^2*M312^4*N312^2),NA())</f>
        <v/>
      </c>
      <c r="P312" s="30">
        <f>P311+C312*E312/(1+F312/(1000*$B$11))*F312*$B$9/$B$3</f>
        <v/>
      </c>
      <c r="Q312" s="38">
        <f>C312*H312*(E312/60)^2*$B$9*60</f>
        <v/>
      </c>
    </row>
    <row r="313">
      <c r="A313" s="7" t="n">
        <v>253</v>
      </c>
      <c r="B313" s="30">
        <f>A313*$B$9</f>
        <v/>
      </c>
      <c r="C313" s="15">
        <f>IF(B313&lt;=$B$12+0.000000001,1,0)</f>
        <v/>
      </c>
      <c r="D313" s="15">
        <f>IF(C313=1,MATCH(B313-$B$9/2,$E$16:$E$35,1),0)</f>
        <v/>
      </c>
      <c r="E313" s="16">
        <f>IF(C313=1,INDEX($C$16:$C$35,D313),0)</f>
        <v/>
      </c>
      <c r="F313" s="15">
        <f>IF(C313=1,N(INDEX($D$16:$D$35,D313)),0)</f>
        <v/>
      </c>
      <c r="G313" s="30">
        <f>($B$10+F313)/(1+F313/(1000*$B$11))</f>
        <v/>
      </c>
      <c r="H313" s="30">
        <f>F313/(1+F313/(1000*$B$11))</f>
        <v/>
      </c>
      <c r="I313" s="37">
        <f>M312</f>
        <v/>
      </c>
      <c r="J313" s="37">
        <f>N312</f>
        <v/>
      </c>
      <c r="K313" s="16">
        <f>(E313/60)/($B$3*PI()/4*(I313/1000)^2)</f>
        <v/>
      </c>
      <c r="L313" s="23">
        <f>C313*$B$7*H313*K313^2*$B$9*60*1000</f>
        <v/>
      </c>
      <c r="M313" s="37">
        <f>I313+L313</f>
        <v/>
      </c>
      <c r="N313" s="37">
        <f>MIN($B$6,J313+C313*$B$8*H313*K313^2*(1-J313/$B$6)*$B$9*60)</f>
        <v/>
      </c>
      <c r="O313" s="11">
        <f>IF(C313=1,Inputs!$B$12*G313*E313^2/($B$3^2*M313^4*N313^2),NA())</f>
        <v/>
      </c>
      <c r="P313" s="30">
        <f>P312+C313*E313/(1+F313/(1000*$B$11))*F313*$B$9/$B$3</f>
        <v/>
      </c>
      <c r="Q313" s="38">
        <f>C313*H313*(E313/60)^2*$B$9*60</f>
        <v/>
      </c>
    </row>
    <row r="314">
      <c r="A314" s="7" t="n">
        <v>254</v>
      </c>
      <c r="B314" s="30">
        <f>A314*$B$9</f>
        <v/>
      </c>
      <c r="C314" s="15">
        <f>IF(B314&lt;=$B$12+0.000000001,1,0)</f>
        <v/>
      </c>
      <c r="D314" s="15">
        <f>IF(C314=1,MATCH(B314-$B$9/2,$E$16:$E$35,1),0)</f>
        <v/>
      </c>
      <c r="E314" s="16">
        <f>IF(C314=1,INDEX($C$16:$C$35,D314),0)</f>
        <v/>
      </c>
      <c r="F314" s="15">
        <f>IF(C314=1,N(INDEX($D$16:$D$35,D314)),0)</f>
        <v/>
      </c>
      <c r="G314" s="30">
        <f>($B$10+F314)/(1+F314/(1000*$B$11))</f>
        <v/>
      </c>
      <c r="H314" s="30">
        <f>F314/(1+F314/(1000*$B$11))</f>
        <v/>
      </c>
      <c r="I314" s="37">
        <f>M313</f>
        <v/>
      </c>
      <c r="J314" s="37">
        <f>N313</f>
        <v/>
      </c>
      <c r="K314" s="16">
        <f>(E314/60)/($B$3*PI()/4*(I314/1000)^2)</f>
        <v/>
      </c>
      <c r="L314" s="23">
        <f>C314*$B$7*H314*K314^2*$B$9*60*1000</f>
        <v/>
      </c>
      <c r="M314" s="37">
        <f>I314+L314</f>
        <v/>
      </c>
      <c r="N314" s="37">
        <f>MIN($B$6,J314+C314*$B$8*H314*K314^2*(1-J314/$B$6)*$B$9*60)</f>
        <v/>
      </c>
      <c r="O314" s="11">
        <f>IF(C314=1,Inputs!$B$12*G314*E314^2/($B$3^2*M314^4*N314^2),NA())</f>
        <v/>
      </c>
      <c r="P314" s="30">
        <f>P313+C314*E314/(1+F314/(1000*$B$11))*F314*$B$9/$B$3</f>
        <v/>
      </c>
      <c r="Q314" s="38">
        <f>C314*H314*(E314/60)^2*$B$9*60</f>
        <v/>
      </c>
    </row>
    <row r="315">
      <c r="A315" s="7" t="n">
        <v>255</v>
      </c>
      <c r="B315" s="30">
        <f>A315*$B$9</f>
        <v/>
      </c>
      <c r="C315" s="15">
        <f>IF(B315&lt;=$B$12+0.000000001,1,0)</f>
        <v/>
      </c>
      <c r="D315" s="15">
        <f>IF(C315=1,MATCH(B315-$B$9/2,$E$16:$E$35,1),0)</f>
        <v/>
      </c>
      <c r="E315" s="16">
        <f>IF(C315=1,INDEX($C$16:$C$35,D315),0)</f>
        <v/>
      </c>
      <c r="F315" s="15">
        <f>IF(C315=1,N(INDEX($D$16:$D$35,D315)),0)</f>
        <v/>
      </c>
      <c r="G315" s="30">
        <f>($B$10+F315)/(1+F315/(1000*$B$11))</f>
        <v/>
      </c>
      <c r="H315" s="30">
        <f>F315/(1+F315/(1000*$B$11))</f>
        <v/>
      </c>
      <c r="I315" s="37">
        <f>M314</f>
        <v/>
      </c>
      <c r="J315" s="37">
        <f>N314</f>
        <v/>
      </c>
      <c r="K315" s="16">
        <f>(E315/60)/($B$3*PI()/4*(I315/1000)^2)</f>
        <v/>
      </c>
      <c r="L315" s="23">
        <f>C315*$B$7*H315*K315^2*$B$9*60*1000</f>
        <v/>
      </c>
      <c r="M315" s="37">
        <f>I315+L315</f>
        <v/>
      </c>
      <c r="N315" s="37">
        <f>MIN($B$6,J315+C315*$B$8*H315*K315^2*(1-J315/$B$6)*$B$9*60)</f>
        <v/>
      </c>
      <c r="O315" s="11">
        <f>IF(C315=1,Inputs!$B$12*G315*E315^2/($B$3^2*M315^4*N315^2),NA())</f>
        <v/>
      </c>
      <c r="P315" s="30">
        <f>P314+C315*E315/(1+F315/(1000*$B$11))*F315*$B$9/$B$3</f>
        <v/>
      </c>
      <c r="Q315" s="38">
        <f>C315*H315*(E315/60)^2*$B$9*60</f>
        <v/>
      </c>
    </row>
    <row r="316">
      <c r="A316" s="7" t="n">
        <v>256</v>
      </c>
      <c r="B316" s="30">
        <f>A316*$B$9</f>
        <v/>
      </c>
      <c r="C316" s="15">
        <f>IF(B316&lt;=$B$12+0.000000001,1,0)</f>
        <v/>
      </c>
      <c r="D316" s="15">
        <f>IF(C316=1,MATCH(B316-$B$9/2,$E$16:$E$35,1),0)</f>
        <v/>
      </c>
      <c r="E316" s="16">
        <f>IF(C316=1,INDEX($C$16:$C$35,D316),0)</f>
        <v/>
      </c>
      <c r="F316" s="15">
        <f>IF(C316=1,N(INDEX($D$16:$D$35,D316)),0)</f>
        <v/>
      </c>
      <c r="G316" s="30">
        <f>($B$10+F316)/(1+F316/(1000*$B$11))</f>
        <v/>
      </c>
      <c r="H316" s="30">
        <f>F316/(1+F316/(1000*$B$11))</f>
        <v/>
      </c>
      <c r="I316" s="37">
        <f>M315</f>
        <v/>
      </c>
      <c r="J316" s="37">
        <f>N315</f>
        <v/>
      </c>
      <c r="K316" s="16">
        <f>(E316/60)/($B$3*PI()/4*(I316/1000)^2)</f>
        <v/>
      </c>
      <c r="L316" s="23">
        <f>C316*$B$7*H316*K316^2*$B$9*60*1000</f>
        <v/>
      </c>
      <c r="M316" s="37">
        <f>I316+L316</f>
        <v/>
      </c>
      <c r="N316" s="37">
        <f>MIN($B$6,J316+C316*$B$8*H316*K316^2*(1-J316/$B$6)*$B$9*60)</f>
        <v/>
      </c>
      <c r="O316" s="11">
        <f>IF(C316=1,Inputs!$B$12*G316*E316^2/($B$3^2*M316^4*N316^2),NA())</f>
        <v/>
      </c>
      <c r="P316" s="30">
        <f>P315+C316*E316/(1+F316/(1000*$B$11))*F316*$B$9/$B$3</f>
        <v/>
      </c>
      <c r="Q316" s="38">
        <f>C316*H316*(E316/60)^2*$B$9*60</f>
        <v/>
      </c>
    </row>
    <row r="317">
      <c r="A317" s="7" t="n">
        <v>257</v>
      </c>
      <c r="B317" s="30">
        <f>A317*$B$9</f>
        <v/>
      </c>
      <c r="C317" s="15">
        <f>IF(B317&lt;=$B$12+0.000000001,1,0)</f>
        <v/>
      </c>
      <c r="D317" s="15">
        <f>IF(C317=1,MATCH(B317-$B$9/2,$E$16:$E$35,1),0)</f>
        <v/>
      </c>
      <c r="E317" s="16">
        <f>IF(C317=1,INDEX($C$16:$C$35,D317),0)</f>
        <v/>
      </c>
      <c r="F317" s="15">
        <f>IF(C317=1,N(INDEX($D$16:$D$35,D317)),0)</f>
        <v/>
      </c>
      <c r="G317" s="30">
        <f>($B$10+F317)/(1+F317/(1000*$B$11))</f>
        <v/>
      </c>
      <c r="H317" s="30">
        <f>F317/(1+F317/(1000*$B$11))</f>
        <v/>
      </c>
      <c r="I317" s="37">
        <f>M316</f>
        <v/>
      </c>
      <c r="J317" s="37">
        <f>N316</f>
        <v/>
      </c>
      <c r="K317" s="16">
        <f>(E317/60)/($B$3*PI()/4*(I317/1000)^2)</f>
        <v/>
      </c>
      <c r="L317" s="23">
        <f>C317*$B$7*H317*K317^2*$B$9*60*1000</f>
        <v/>
      </c>
      <c r="M317" s="37">
        <f>I317+L317</f>
        <v/>
      </c>
      <c r="N317" s="37">
        <f>MIN($B$6,J317+C317*$B$8*H317*K317^2*(1-J317/$B$6)*$B$9*60)</f>
        <v/>
      </c>
      <c r="O317" s="11">
        <f>IF(C317=1,Inputs!$B$12*G317*E317^2/($B$3^2*M317^4*N317^2),NA())</f>
        <v/>
      </c>
      <c r="P317" s="30">
        <f>P316+C317*E317/(1+F317/(1000*$B$11))*F317*$B$9/$B$3</f>
        <v/>
      </c>
      <c r="Q317" s="38">
        <f>C317*H317*(E317/60)^2*$B$9*60</f>
        <v/>
      </c>
    </row>
    <row r="318">
      <c r="A318" s="7" t="n">
        <v>258</v>
      </c>
      <c r="B318" s="30">
        <f>A318*$B$9</f>
        <v/>
      </c>
      <c r="C318" s="15">
        <f>IF(B318&lt;=$B$12+0.000000001,1,0)</f>
        <v/>
      </c>
      <c r="D318" s="15">
        <f>IF(C318=1,MATCH(B318-$B$9/2,$E$16:$E$35,1),0)</f>
        <v/>
      </c>
      <c r="E318" s="16">
        <f>IF(C318=1,INDEX($C$16:$C$35,D318),0)</f>
        <v/>
      </c>
      <c r="F318" s="15">
        <f>IF(C318=1,N(INDEX($D$16:$D$35,D318)),0)</f>
        <v/>
      </c>
      <c r="G318" s="30">
        <f>($B$10+F318)/(1+F318/(1000*$B$11))</f>
        <v/>
      </c>
      <c r="H318" s="30">
        <f>F318/(1+F318/(1000*$B$11))</f>
        <v/>
      </c>
      <c r="I318" s="37">
        <f>M317</f>
        <v/>
      </c>
      <c r="J318" s="37">
        <f>N317</f>
        <v/>
      </c>
      <c r="K318" s="16">
        <f>(E318/60)/($B$3*PI()/4*(I318/1000)^2)</f>
        <v/>
      </c>
      <c r="L318" s="23">
        <f>C318*$B$7*H318*K318^2*$B$9*60*1000</f>
        <v/>
      </c>
      <c r="M318" s="37">
        <f>I318+L318</f>
        <v/>
      </c>
      <c r="N318" s="37">
        <f>MIN($B$6,J318+C318*$B$8*H318*K318^2*(1-J318/$B$6)*$B$9*60)</f>
        <v/>
      </c>
      <c r="O318" s="11">
        <f>IF(C318=1,Inputs!$B$12*G318*E318^2/($B$3^2*M318^4*N318^2),NA())</f>
        <v/>
      </c>
      <c r="P318" s="30">
        <f>P317+C318*E318/(1+F318/(1000*$B$11))*F318*$B$9/$B$3</f>
        <v/>
      </c>
      <c r="Q318" s="38">
        <f>C318*H318*(E318/60)^2*$B$9*60</f>
        <v/>
      </c>
    </row>
    <row r="319">
      <c r="A319" s="7" t="n">
        <v>259</v>
      </c>
      <c r="B319" s="30">
        <f>A319*$B$9</f>
        <v/>
      </c>
      <c r="C319" s="15">
        <f>IF(B319&lt;=$B$12+0.000000001,1,0)</f>
        <v/>
      </c>
      <c r="D319" s="15">
        <f>IF(C319=1,MATCH(B319-$B$9/2,$E$16:$E$35,1),0)</f>
        <v/>
      </c>
      <c r="E319" s="16">
        <f>IF(C319=1,INDEX($C$16:$C$35,D319),0)</f>
        <v/>
      </c>
      <c r="F319" s="15">
        <f>IF(C319=1,N(INDEX($D$16:$D$35,D319)),0)</f>
        <v/>
      </c>
      <c r="G319" s="30">
        <f>($B$10+F319)/(1+F319/(1000*$B$11))</f>
        <v/>
      </c>
      <c r="H319" s="30">
        <f>F319/(1+F319/(1000*$B$11))</f>
        <v/>
      </c>
      <c r="I319" s="37">
        <f>M318</f>
        <v/>
      </c>
      <c r="J319" s="37">
        <f>N318</f>
        <v/>
      </c>
      <c r="K319" s="16">
        <f>(E319/60)/($B$3*PI()/4*(I319/1000)^2)</f>
        <v/>
      </c>
      <c r="L319" s="23">
        <f>C319*$B$7*H319*K319^2*$B$9*60*1000</f>
        <v/>
      </c>
      <c r="M319" s="37">
        <f>I319+L319</f>
        <v/>
      </c>
      <c r="N319" s="37">
        <f>MIN($B$6,J319+C319*$B$8*H319*K319^2*(1-J319/$B$6)*$B$9*60)</f>
        <v/>
      </c>
      <c r="O319" s="11">
        <f>IF(C319=1,Inputs!$B$12*G319*E319^2/($B$3^2*M319^4*N319^2),NA())</f>
        <v/>
      </c>
      <c r="P319" s="30">
        <f>P318+C319*E319/(1+F319/(1000*$B$11))*F319*$B$9/$B$3</f>
        <v/>
      </c>
      <c r="Q319" s="38">
        <f>C319*H319*(E319/60)^2*$B$9*60</f>
        <v/>
      </c>
    </row>
    <row r="320">
      <c r="A320" s="7" t="n">
        <v>260</v>
      </c>
      <c r="B320" s="30">
        <f>A320*$B$9</f>
        <v/>
      </c>
      <c r="C320" s="15">
        <f>IF(B320&lt;=$B$12+0.000000001,1,0)</f>
        <v/>
      </c>
      <c r="D320" s="15">
        <f>IF(C320=1,MATCH(B320-$B$9/2,$E$16:$E$35,1),0)</f>
        <v/>
      </c>
      <c r="E320" s="16">
        <f>IF(C320=1,INDEX($C$16:$C$35,D320),0)</f>
        <v/>
      </c>
      <c r="F320" s="15">
        <f>IF(C320=1,N(INDEX($D$16:$D$35,D320)),0)</f>
        <v/>
      </c>
      <c r="G320" s="30">
        <f>($B$10+F320)/(1+F320/(1000*$B$11))</f>
        <v/>
      </c>
      <c r="H320" s="30">
        <f>F320/(1+F320/(1000*$B$11))</f>
        <v/>
      </c>
      <c r="I320" s="37">
        <f>M319</f>
        <v/>
      </c>
      <c r="J320" s="37">
        <f>N319</f>
        <v/>
      </c>
      <c r="K320" s="16">
        <f>(E320/60)/($B$3*PI()/4*(I320/1000)^2)</f>
        <v/>
      </c>
      <c r="L320" s="23">
        <f>C320*$B$7*H320*K320^2*$B$9*60*1000</f>
        <v/>
      </c>
      <c r="M320" s="37">
        <f>I320+L320</f>
        <v/>
      </c>
      <c r="N320" s="37">
        <f>MIN($B$6,J320+C320*$B$8*H320*K320^2*(1-J320/$B$6)*$B$9*60)</f>
        <v/>
      </c>
      <c r="O320" s="11">
        <f>IF(C320=1,Inputs!$B$12*G320*E320^2/($B$3^2*M320^4*N320^2),NA())</f>
        <v/>
      </c>
      <c r="P320" s="30">
        <f>P319+C320*E320/(1+F320/(1000*$B$11))*F320*$B$9/$B$3</f>
        <v/>
      </c>
      <c r="Q320" s="38">
        <f>C320*H320*(E320/60)^2*$B$9*60</f>
        <v/>
      </c>
    </row>
    <row r="321">
      <c r="A321" s="7" t="n">
        <v>261</v>
      </c>
      <c r="B321" s="30">
        <f>A321*$B$9</f>
        <v/>
      </c>
      <c r="C321" s="15">
        <f>IF(B321&lt;=$B$12+0.000000001,1,0)</f>
        <v/>
      </c>
      <c r="D321" s="15">
        <f>IF(C321=1,MATCH(B321-$B$9/2,$E$16:$E$35,1),0)</f>
        <v/>
      </c>
      <c r="E321" s="16">
        <f>IF(C321=1,INDEX($C$16:$C$35,D321),0)</f>
        <v/>
      </c>
      <c r="F321" s="15">
        <f>IF(C321=1,N(INDEX($D$16:$D$35,D321)),0)</f>
        <v/>
      </c>
      <c r="G321" s="30">
        <f>($B$10+F321)/(1+F321/(1000*$B$11))</f>
        <v/>
      </c>
      <c r="H321" s="30">
        <f>F321/(1+F321/(1000*$B$11))</f>
        <v/>
      </c>
      <c r="I321" s="37">
        <f>M320</f>
        <v/>
      </c>
      <c r="J321" s="37">
        <f>N320</f>
        <v/>
      </c>
      <c r="K321" s="16">
        <f>(E321/60)/($B$3*PI()/4*(I321/1000)^2)</f>
        <v/>
      </c>
      <c r="L321" s="23">
        <f>C321*$B$7*H321*K321^2*$B$9*60*1000</f>
        <v/>
      </c>
      <c r="M321" s="37">
        <f>I321+L321</f>
        <v/>
      </c>
      <c r="N321" s="37">
        <f>MIN($B$6,J321+C321*$B$8*H321*K321^2*(1-J321/$B$6)*$B$9*60)</f>
        <v/>
      </c>
      <c r="O321" s="11">
        <f>IF(C321=1,Inputs!$B$12*G321*E321^2/($B$3^2*M321^4*N321^2),NA())</f>
        <v/>
      </c>
      <c r="P321" s="30">
        <f>P320+C321*E321/(1+F321/(1000*$B$11))*F321*$B$9/$B$3</f>
        <v/>
      </c>
      <c r="Q321" s="38">
        <f>C321*H321*(E321/60)^2*$B$9*60</f>
        <v/>
      </c>
    </row>
    <row r="322">
      <c r="A322" s="7" t="n">
        <v>262</v>
      </c>
      <c r="B322" s="30">
        <f>A322*$B$9</f>
        <v/>
      </c>
      <c r="C322" s="15">
        <f>IF(B322&lt;=$B$12+0.000000001,1,0)</f>
        <v/>
      </c>
      <c r="D322" s="15">
        <f>IF(C322=1,MATCH(B322-$B$9/2,$E$16:$E$35,1),0)</f>
        <v/>
      </c>
      <c r="E322" s="16">
        <f>IF(C322=1,INDEX($C$16:$C$35,D322),0)</f>
        <v/>
      </c>
      <c r="F322" s="15">
        <f>IF(C322=1,N(INDEX($D$16:$D$35,D322)),0)</f>
        <v/>
      </c>
      <c r="G322" s="30">
        <f>($B$10+F322)/(1+F322/(1000*$B$11))</f>
        <v/>
      </c>
      <c r="H322" s="30">
        <f>F322/(1+F322/(1000*$B$11))</f>
        <v/>
      </c>
      <c r="I322" s="37">
        <f>M321</f>
        <v/>
      </c>
      <c r="J322" s="37">
        <f>N321</f>
        <v/>
      </c>
      <c r="K322" s="16">
        <f>(E322/60)/($B$3*PI()/4*(I322/1000)^2)</f>
        <v/>
      </c>
      <c r="L322" s="23">
        <f>C322*$B$7*H322*K322^2*$B$9*60*1000</f>
        <v/>
      </c>
      <c r="M322" s="37">
        <f>I322+L322</f>
        <v/>
      </c>
      <c r="N322" s="37">
        <f>MIN($B$6,J322+C322*$B$8*H322*K322^2*(1-J322/$B$6)*$B$9*60)</f>
        <v/>
      </c>
      <c r="O322" s="11">
        <f>IF(C322=1,Inputs!$B$12*G322*E322^2/($B$3^2*M322^4*N322^2),NA())</f>
        <v/>
      </c>
      <c r="P322" s="30">
        <f>P321+C322*E322/(1+F322/(1000*$B$11))*F322*$B$9/$B$3</f>
        <v/>
      </c>
      <c r="Q322" s="38">
        <f>C322*H322*(E322/60)^2*$B$9*60</f>
        <v/>
      </c>
    </row>
    <row r="323">
      <c r="A323" s="7" t="n">
        <v>263</v>
      </c>
      <c r="B323" s="30">
        <f>A323*$B$9</f>
        <v/>
      </c>
      <c r="C323" s="15">
        <f>IF(B323&lt;=$B$12+0.000000001,1,0)</f>
        <v/>
      </c>
      <c r="D323" s="15">
        <f>IF(C323=1,MATCH(B323-$B$9/2,$E$16:$E$35,1),0)</f>
        <v/>
      </c>
      <c r="E323" s="16">
        <f>IF(C323=1,INDEX($C$16:$C$35,D323),0)</f>
        <v/>
      </c>
      <c r="F323" s="15">
        <f>IF(C323=1,N(INDEX($D$16:$D$35,D323)),0)</f>
        <v/>
      </c>
      <c r="G323" s="30">
        <f>($B$10+F323)/(1+F323/(1000*$B$11))</f>
        <v/>
      </c>
      <c r="H323" s="30">
        <f>F323/(1+F323/(1000*$B$11))</f>
        <v/>
      </c>
      <c r="I323" s="37">
        <f>M322</f>
        <v/>
      </c>
      <c r="J323" s="37">
        <f>N322</f>
        <v/>
      </c>
      <c r="K323" s="16">
        <f>(E323/60)/($B$3*PI()/4*(I323/1000)^2)</f>
        <v/>
      </c>
      <c r="L323" s="23">
        <f>C323*$B$7*H323*K323^2*$B$9*60*1000</f>
        <v/>
      </c>
      <c r="M323" s="37">
        <f>I323+L323</f>
        <v/>
      </c>
      <c r="N323" s="37">
        <f>MIN($B$6,J323+C323*$B$8*H323*K323^2*(1-J323/$B$6)*$B$9*60)</f>
        <v/>
      </c>
      <c r="O323" s="11">
        <f>IF(C323=1,Inputs!$B$12*G323*E323^2/($B$3^2*M323^4*N323^2),NA())</f>
        <v/>
      </c>
      <c r="P323" s="30">
        <f>P322+C323*E323/(1+F323/(1000*$B$11))*F323*$B$9/$B$3</f>
        <v/>
      </c>
      <c r="Q323" s="38">
        <f>C323*H323*(E323/60)^2*$B$9*60</f>
        <v/>
      </c>
    </row>
    <row r="324">
      <c r="A324" s="7" t="n">
        <v>264</v>
      </c>
      <c r="B324" s="30">
        <f>A324*$B$9</f>
        <v/>
      </c>
      <c r="C324" s="15">
        <f>IF(B324&lt;=$B$12+0.000000001,1,0)</f>
        <v/>
      </c>
      <c r="D324" s="15">
        <f>IF(C324=1,MATCH(B324-$B$9/2,$E$16:$E$35,1),0)</f>
        <v/>
      </c>
      <c r="E324" s="16">
        <f>IF(C324=1,INDEX($C$16:$C$35,D324),0)</f>
        <v/>
      </c>
      <c r="F324" s="15">
        <f>IF(C324=1,N(INDEX($D$16:$D$35,D324)),0)</f>
        <v/>
      </c>
      <c r="G324" s="30">
        <f>($B$10+F324)/(1+F324/(1000*$B$11))</f>
        <v/>
      </c>
      <c r="H324" s="30">
        <f>F324/(1+F324/(1000*$B$11))</f>
        <v/>
      </c>
      <c r="I324" s="37">
        <f>M323</f>
        <v/>
      </c>
      <c r="J324" s="37">
        <f>N323</f>
        <v/>
      </c>
      <c r="K324" s="16">
        <f>(E324/60)/($B$3*PI()/4*(I324/1000)^2)</f>
        <v/>
      </c>
      <c r="L324" s="23">
        <f>C324*$B$7*H324*K324^2*$B$9*60*1000</f>
        <v/>
      </c>
      <c r="M324" s="37">
        <f>I324+L324</f>
        <v/>
      </c>
      <c r="N324" s="37">
        <f>MIN($B$6,J324+C324*$B$8*H324*K324^2*(1-J324/$B$6)*$B$9*60)</f>
        <v/>
      </c>
      <c r="O324" s="11">
        <f>IF(C324=1,Inputs!$B$12*G324*E324^2/($B$3^2*M324^4*N324^2),NA())</f>
        <v/>
      </c>
      <c r="P324" s="30">
        <f>P323+C324*E324/(1+F324/(1000*$B$11))*F324*$B$9/$B$3</f>
        <v/>
      </c>
      <c r="Q324" s="38">
        <f>C324*H324*(E324/60)^2*$B$9*60</f>
        <v/>
      </c>
    </row>
    <row r="325">
      <c r="A325" s="7" t="n">
        <v>265</v>
      </c>
      <c r="B325" s="30">
        <f>A325*$B$9</f>
        <v/>
      </c>
      <c r="C325" s="15">
        <f>IF(B325&lt;=$B$12+0.000000001,1,0)</f>
        <v/>
      </c>
      <c r="D325" s="15">
        <f>IF(C325=1,MATCH(B325-$B$9/2,$E$16:$E$35,1),0)</f>
        <v/>
      </c>
      <c r="E325" s="16">
        <f>IF(C325=1,INDEX($C$16:$C$35,D325),0)</f>
        <v/>
      </c>
      <c r="F325" s="15">
        <f>IF(C325=1,N(INDEX($D$16:$D$35,D325)),0)</f>
        <v/>
      </c>
      <c r="G325" s="30">
        <f>($B$10+F325)/(1+F325/(1000*$B$11))</f>
        <v/>
      </c>
      <c r="H325" s="30">
        <f>F325/(1+F325/(1000*$B$11))</f>
        <v/>
      </c>
      <c r="I325" s="37">
        <f>M324</f>
        <v/>
      </c>
      <c r="J325" s="37">
        <f>N324</f>
        <v/>
      </c>
      <c r="K325" s="16">
        <f>(E325/60)/($B$3*PI()/4*(I325/1000)^2)</f>
        <v/>
      </c>
      <c r="L325" s="23">
        <f>C325*$B$7*H325*K325^2*$B$9*60*1000</f>
        <v/>
      </c>
      <c r="M325" s="37">
        <f>I325+L325</f>
        <v/>
      </c>
      <c r="N325" s="37">
        <f>MIN($B$6,J325+C325*$B$8*H325*K325^2*(1-J325/$B$6)*$B$9*60)</f>
        <v/>
      </c>
      <c r="O325" s="11">
        <f>IF(C325=1,Inputs!$B$12*G325*E325^2/($B$3^2*M325^4*N325^2),NA())</f>
        <v/>
      </c>
      <c r="P325" s="30">
        <f>P324+C325*E325/(1+F325/(1000*$B$11))*F325*$B$9/$B$3</f>
        <v/>
      </c>
      <c r="Q325" s="38">
        <f>C325*H325*(E325/60)^2*$B$9*60</f>
        <v/>
      </c>
    </row>
    <row r="326">
      <c r="A326" s="7" t="n">
        <v>266</v>
      </c>
      <c r="B326" s="30">
        <f>A326*$B$9</f>
        <v/>
      </c>
      <c r="C326" s="15">
        <f>IF(B326&lt;=$B$12+0.000000001,1,0)</f>
        <v/>
      </c>
      <c r="D326" s="15">
        <f>IF(C326=1,MATCH(B326-$B$9/2,$E$16:$E$35,1),0)</f>
        <v/>
      </c>
      <c r="E326" s="16">
        <f>IF(C326=1,INDEX($C$16:$C$35,D326),0)</f>
        <v/>
      </c>
      <c r="F326" s="15">
        <f>IF(C326=1,N(INDEX($D$16:$D$35,D326)),0)</f>
        <v/>
      </c>
      <c r="G326" s="30">
        <f>($B$10+F326)/(1+F326/(1000*$B$11))</f>
        <v/>
      </c>
      <c r="H326" s="30">
        <f>F326/(1+F326/(1000*$B$11))</f>
        <v/>
      </c>
      <c r="I326" s="37">
        <f>M325</f>
        <v/>
      </c>
      <c r="J326" s="37">
        <f>N325</f>
        <v/>
      </c>
      <c r="K326" s="16">
        <f>(E326/60)/($B$3*PI()/4*(I326/1000)^2)</f>
        <v/>
      </c>
      <c r="L326" s="23">
        <f>C326*$B$7*H326*K326^2*$B$9*60*1000</f>
        <v/>
      </c>
      <c r="M326" s="37">
        <f>I326+L326</f>
        <v/>
      </c>
      <c r="N326" s="37">
        <f>MIN($B$6,J326+C326*$B$8*H326*K326^2*(1-J326/$B$6)*$B$9*60)</f>
        <v/>
      </c>
      <c r="O326" s="11">
        <f>IF(C326=1,Inputs!$B$12*G326*E326^2/($B$3^2*M326^4*N326^2),NA())</f>
        <v/>
      </c>
      <c r="P326" s="30">
        <f>P325+C326*E326/(1+F326/(1000*$B$11))*F326*$B$9/$B$3</f>
        <v/>
      </c>
      <c r="Q326" s="38">
        <f>C326*H326*(E326/60)^2*$B$9*60</f>
        <v/>
      </c>
    </row>
    <row r="327">
      <c r="A327" s="7" t="n">
        <v>267</v>
      </c>
      <c r="B327" s="30">
        <f>A327*$B$9</f>
        <v/>
      </c>
      <c r="C327" s="15">
        <f>IF(B327&lt;=$B$12+0.000000001,1,0)</f>
        <v/>
      </c>
      <c r="D327" s="15">
        <f>IF(C327=1,MATCH(B327-$B$9/2,$E$16:$E$35,1),0)</f>
        <v/>
      </c>
      <c r="E327" s="16">
        <f>IF(C327=1,INDEX($C$16:$C$35,D327),0)</f>
        <v/>
      </c>
      <c r="F327" s="15">
        <f>IF(C327=1,N(INDEX($D$16:$D$35,D327)),0)</f>
        <v/>
      </c>
      <c r="G327" s="30">
        <f>($B$10+F327)/(1+F327/(1000*$B$11))</f>
        <v/>
      </c>
      <c r="H327" s="30">
        <f>F327/(1+F327/(1000*$B$11))</f>
        <v/>
      </c>
      <c r="I327" s="37">
        <f>M326</f>
        <v/>
      </c>
      <c r="J327" s="37">
        <f>N326</f>
        <v/>
      </c>
      <c r="K327" s="16">
        <f>(E327/60)/($B$3*PI()/4*(I327/1000)^2)</f>
        <v/>
      </c>
      <c r="L327" s="23">
        <f>C327*$B$7*H327*K327^2*$B$9*60*1000</f>
        <v/>
      </c>
      <c r="M327" s="37">
        <f>I327+L327</f>
        <v/>
      </c>
      <c r="N327" s="37">
        <f>MIN($B$6,J327+C327*$B$8*H327*K327^2*(1-J327/$B$6)*$B$9*60)</f>
        <v/>
      </c>
      <c r="O327" s="11">
        <f>IF(C327=1,Inputs!$B$12*G327*E327^2/($B$3^2*M327^4*N327^2),NA())</f>
        <v/>
      </c>
      <c r="P327" s="30">
        <f>P326+C327*E327/(1+F327/(1000*$B$11))*F327*$B$9/$B$3</f>
        <v/>
      </c>
      <c r="Q327" s="38">
        <f>C327*H327*(E327/60)^2*$B$9*60</f>
        <v/>
      </c>
    </row>
    <row r="328">
      <c r="A328" s="7" t="n">
        <v>268</v>
      </c>
      <c r="B328" s="30">
        <f>A328*$B$9</f>
        <v/>
      </c>
      <c r="C328" s="15">
        <f>IF(B328&lt;=$B$12+0.000000001,1,0)</f>
        <v/>
      </c>
      <c r="D328" s="15">
        <f>IF(C328=1,MATCH(B328-$B$9/2,$E$16:$E$35,1),0)</f>
        <v/>
      </c>
      <c r="E328" s="16">
        <f>IF(C328=1,INDEX($C$16:$C$35,D328),0)</f>
        <v/>
      </c>
      <c r="F328" s="15">
        <f>IF(C328=1,N(INDEX($D$16:$D$35,D328)),0)</f>
        <v/>
      </c>
      <c r="G328" s="30">
        <f>($B$10+F328)/(1+F328/(1000*$B$11))</f>
        <v/>
      </c>
      <c r="H328" s="30">
        <f>F328/(1+F328/(1000*$B$11))</f>
        <v/>
      </c>
      <c r="I328" s="37">
        <f>M327</f>
        <v/>
      </c>
      <c r="J328" s="37">
        <f>N327</f>
        <v/>
      </c>
      <c r="K328" s="16">
        <f>(E328/60)/($B$3*PI()/4*(I328/1000)^2)</f>
        <v/>
      </c>
      <c r="L328" s="23">
        <f>C328*$B$7*H328*K328^2*$B$9*60*1000</f>
        <v/>
      </c>
      <c r="M328" s="37">
        <f>I328+L328</f>
        <v/>
      </c>
      <c r="N328" s="37">
        <f>MIN($B$6,J328+C328*$B$8*H328*K328^2*(1-J328/$B$6)*$B$9*60)</f>
        <v/>
      </c>
      <c r="O328" s="11">
        <f>IF(C328=1,Inputs!$B$12*G328*E328^2/($B$3^2*M328^4*N328^2),NA())</f>
        <v/>
      </c>
      <c r="P328" s="30">
        <f>P327+C328*E328/(1+F328/(1000*$B$11))*F328*$B$9/$B$3</f>
        <v/>
      </c>
      <c r="Q328" s="38">
        <f>C328*H328*(E328/60)^2*$B$9*60</f>
        <v/>
      </c>
    </row>
    <row r="329">
      <c r="A329" s="7" t="n">
        <v>269</v>
      </c>
      <c r="B329" s="30">
        <f>A329*$B$9</f>
        <v/>
      </c>
      <c r="C329" s="15">
        <f>IF(B329&lt;=$B$12+0.000000001,1,0)</f>
        <v/>
      </c>
      <c r="D329" s="15">
        <f>IF(C329=1,MATCH(B329-$B$9/2,$E$16:$E$35,1),0)</f>
        <v/>
      </c>
      <c r="E329" s="16">
        <f>IF(C329=1,INDEX($C$16:$C$35,D329),0)</f>
        <v/>
      </c>
      <c r="F329" s="15">
        <f>IF(C329=1,N(INDEX($D$16:$D$35,D329)),0)</f>
        <v/>
      </c>
      <c r="G329" s="30">
        <f>($B$10+F329)/(1+F329/(1000*$B$11))</f>
        <v/>
      </c>
      <c r="H329" s="30">
        <f>F329/(1+F329/(1000*$B$11))</f>
        <v/>
      </c>
      <c r="I329" s="37">
        <f>M328</f>
        <v/>
      </c>
      <c r="J329" s="37">
        <f>N328</f>
        <v/>
      </c>
      <c r="K329" s="16">
        <f>(E329/60)/($B$3*PI()/4*(I329/1000)^2)</f>
        <v/>
      </c>
      <c r="L329" s="23">
        <f>C329*$B$7*H329*K329^2*$B$9*60*1000</f>
        <v/>
      </c>
      <c r="M329" s="37">
        <f>I329+L329</f>
        <v/>
      </c>
      <c r="N329" s="37">
        <f>MIN($B$6,J329+C329*$B$8*H329*K329^2*(1-J329/$B$6)*$B$9*60)</f>
        <v/>
      </c>
      <c r="O329" s="11">
        <f>IF(C329=1,Inputs!$B$12*G329*E329^2/($B$3^2*M329^4*N329^2),NA())</f>
        <v/>
      </c>
      <c r="P329" s="30">
        <f>P328+C329*E329/(1+F329/(1000*$B$11))*F329*$B$9/$B$3</f>
        <v/>
      </c>
      <c r="Q329" s="38">
        <f>C329*H329*(E329/60)^2*$B$9*60</f>
        <v/>
      </c>
    </row>
    <row r="330">
      <c r="A330" s="7" t="n">
        <v>270</v>
      </c>
      <c r="B330" s="30">
        <f>A330*$B$9</f>
        <v/>
      </c>
      <c r="C330" s="15">
        <f>IF(B330&lt;=$B$12+0.000000001,1,0)</f>
        <v/>
      </c>
      <c r="D330" s="15">
        <f>IF(C330=1,MATCH(B330-$B$9/2,$E$16:$E$35,1),0)</f>
        <v/>
      </c>
      <c r="E330" s="16">
        <f>IF(C330=1,INDEX($C$16:$C$35,D330),0)</f>
        <v/>
      </c>
      <c r="F330" s="15">
        <f>IF(C330=1,N(INDEX($D$16:$D$35,D330)),0)</f>
        <v/>
      </c>
      <c r="G330" s="30">
        <f>($B$10+F330)/(1+F330/(1000*$B$11))</f>
        <v/>
      </c>
      <c r="H330" s="30">
        <f>F330/(1+F330/(1000*$B$11))</f>
        <v/>
      </c>
      <c r="I330" s="37">
        <f>M329</f>
        <v/>
      </c>
      <c r="J330" s="37">
        <f>N329</f>
        <v/>
      </c>
      <c r="K330" s="16">
        <f>(E330/60)/($B$3*PI()/4*(I330/1000)^2)</f>
        <v/>
      </c>
      <c r="L330" s="23">
        <f>C330*$B$7*H330*K330^2*$B$9*60*1000</f>
        <v/>
      </c>
      <c r="M330" s="37">
        <f>I330+L330</f>
        <v/>
      </c>
      <c r="N330" s="37">
        <f>MIN($B$6,J330+C330*$B$8*H330*K330^2*(1-J330/$B$6)*$B$9*60)</f>
        <v/>
      </c>
      <c r="O330" s="11">
        <f>IF(C330=1,Inputs!$B$12*G330*E330^2/($B$3^2*M330^4*N330^2),NA())</f>
        <v/>
      </c>
      <c r="P330" s="30">
        <f>P329+C330*E330/(1+F330/(1000*$B$11))*F330*$B$9/$B$3</f>
        <v/>
      </c>
      <c r="Q330" s="38">
        <f>C330*H330*(E330/60)^2*$B$9*60</f>
        <v/>
      </c>
    </row>
    <row r="331">
      <c r="A331" s="7" t="n">
        <v>271</v>
      </c>
      <c r="B331" s="30">
        <f>A331*$B$9</f>
        <v/>
      </c>
      <c r="C331" s="15">
        <f>IF(B331&lt;=$B$12+0.000000001,1,0)</f>
        <v/>
      </c>
      <c r="D331" s="15">
        <f>IF(C331=1,MATCH(B331-$B$9/2,$E$16:$E$35,1),0)</f>
        <v/>
      </c>
      <c r="E331" s="16">
        <f>IF(C331=1,INDEX($C$16:$C$35,D331),0)</f>
        <v/>
      </c>
      <c r="F331" s="15">
        <f>IF(C331=1,N(INDEX($D$16:$D$35,D331)),0)</f>
        <v/>
      </c>
      <c r="G331" s="30">
        <f>($B$10+F331)/(1+F331/(1000*$B$11))</f>
        <v/>
      </c>
      <c r="H331" s="30">
        <f>F331/(1+F331/(1000*$B$11))</f>
        <v/>
      </c>
      <c r="I331" s="37">
        <f>M330</f>
        <v/>
      </c>
      <c r="J331" s="37">
        <f>N330</f>
        <v/>
      </c>
      <c r="K331" s="16">
        <f>(E331/60)/($B$3*PI()/4*(I331/1000)^2)</f>
        <v/>
      </c>
      <c r="L331" s="23">
        <f>C331*$B$7*H331*K331^2*$B$9*60*1000</f>
        <v/>
      </c>
      <c r="M331" s="37">
        <f>I331+L331</f>
        <v/>
      </c>
      <c r="N331" s="37">
        <f>MIN($B$6,J331+C331*$B$8*H331*K331^2*(1-J331/$B$6)*$B$9*60)</f>
        <v/>
      </c>
      <c r="O331" s="11">
        <f>IF(C331=1,Inputs!$B$12*G331*E331^2/($B$3^2*M331^4*N331^2),NA())</f>
        <v/>
      </c>
      <c r="P331" s="30">
        <f>P330+C331*E331/(1+F331/(1000*$B$11))*F331*$B$9/$B$3</f>
        <v/>
      </c>
      <c r="Q331" s="38">
        <f>C331*H331*(E331/60)^2*$B$9*60</f>
        <v/>
      </c>
    </row>
    <row r="332">
      <c r="A332" s="7" t="n">
        <v>272</v>
      </c>
      <c r="B332" s="30">
        <f>A332*$B$9</f>
        <v/>
      </c>
      <c r="C332" s="15">
        <f>IF(B332&lt;=$B$12+0.000000001,1,0)</f>
        <v/>
      </c>
      <c r="D332" s="15">
        <f>IF(C332=1,MATCH(B332-$B$9/2,$E$16:$E$35,1),0)</f>
        <v/>
      </c>
      <c r="E332" s="16">
        <f>IF(C332=1,INDEX($C$16:$C$35,D332),0)</f>
        <v/>
      </c>
      <c r="F332" s="15">
        <f>IF(C332=1,N(INDEX($D$16:$D$35,D332)),0)</f>
        <v/>
      </c>
      <c r="G332" s="30">
        <f>($B$10+F332)/(1+F332/(1000*$B$11))</f>
        <v/>
      </c>
      <c r="H332" s="30">
        <f>F332/(1+F332/(1000*$B$11))</f>
        <v/>
      </c>
      <c r="I332" s="37">
        <f>M331</f>
        <v/>
      </c>
      <c r="J332" s="37">
        <f>N331</f>
        <v/>
      </c>
      <c r="K332" s="16">
        <f>(E332/60)/($B$3*PI()/4*(I332/1000)^2)</f>
        <v/>
      </c>
      <c r="L332" s="23">
        <f>C332*$B$7*H332*K332^2*$B$9*60*1000</f>
        <v/>
      </c>
      <c r="M332" s="37">
        <f>I332+L332</f>
        <v/>
      </c>
      <c r="N332" s="37">
        <f>MIN($B$6,J332+C332*$B$8*H332*K332^2*(1-J332/$B$6)*$B$9*60)</f>
        <v/>
      </c>
      <c r="O332" s="11">
        <f>IF(C332=1,Inputs!$B$12*G332*E332^2/($B$3^2*M332^4*N332^2),NA())</f>
        <v/>
      </c>
      <c r="P332" s="30">
        <f>P331+C332*E332/(1+F332/(1000*$B$11))*F332*$B$9/$B$3</f>
        <v/>
      </c>
      <c r="Q332" s="38">
        <f>C332*H332*(E332/60)^2*$B$9*60</f>
        <v/>
      </c>
    </row>
    <row r="333">
      <c r="A333" s="7" t="n">
        <v>273</v>
      </c>
      <c r="B333" s="30">
        <f>A333*$B$9</f>
        <v/>
      </c>
      <c r="C333" s="15">
        <f>IF(B333&lt;=$B$12+0.000000001,1,0)</f>
        <v/>
      </c>
      <c r="D333" s="15">
        <f>IF(C333=1,MATCH(B333-$B$9/2,$E$16:$E$35,1),0)</f>
        <v/>
      </c>
      <c r="E333" s="16">
        <f>IF(C333=1,INDEX($C$16:$C$35,D333),0)</f>
        <v/>
      </c>
      <c r="F333" s="15">
        <f>IF(C333=1,N(INDEX($D$16:$D$35,D333)),0)</f>
        <v/>
      </c>
      <c r="G333" s="30">
        <f>($B$10+F333)/(1+F333/(1000*$B$11))</f>
        <v/>
      </c>
      <c r="H333" s="30">
        <f>F333/(1+F333/(1000*$B$11))</f>
        <v/>
      </c>
      <c r="I333" s="37">
        <f>M332</f>
        <v/>
      </c>
      <c r="J333" s="37">
        <f>N332</f>
        <v/>
      </c>
      <c r="K333" s="16">
        <f>(E333/60)/($B$3*PI()/4*(I333/1000)^2)</f>
        <v/>
      </c>
      <c r="L333" s="23">
        <f>C333*$B$7*H333*K333^2*$B$9*60*1000</f>
        <v/>
      </c>
      <c r="M333" s="37">
        <f>I333+L333</f>
        <v/>
      </c>
      <c r="N333" s="37">
        <f>MIN($B$6,J333+C333*$B$8*H333*K333^2*(1-J333/$B$6)*$B$9*60)</f>
        <v/>
      </c>
      <c r="O333" s="11">
        <f>IF(C333=1,Inputs!$B$12*G333*E333^2/($B$3^2*M333^4*N333^2),NA())</f>
        <v/>
      </c>
      <c r="P333" s="30">
        <f>P332+C333*E333/(1+F333/(1000*$B$11))*F333*$B$9/$B$3</f>
        <v/>
      </c>
      <c r="Q333" s="38">
        <f>C333*H333*(E333/60)^2*$B$9*60</f>
        <v/>
      </c>
    </row>
    <row r="334">
      <c r="A334" s="7" t="n">
        <v>274</v>
      </c>
      <c r="B334" s="30">
        <f>A334*$B$9</f>
        <v/>
      </c>
      <c r="C334" s="15">
        <f>IF(B334&lt;=$B$12+0.000000001,1,0)</f>
        <v/>
      </c>
      <c r="D334" s="15">
        <f>IF(C334=1,MATCH(B334-$B$9/2,$E$16:$E$35,1),0)</f>
        <v/>
      </c>
      <c r="E334" s="16">
        <f>IF(C334=1,INDEX($C$16:$C$35,D334),0)</f>
        <v/>
      </c>
      <c r="F334" s="15">
        <f>IF(C334=1,N(INDEX($D$16:$D$35,D334)),0)</f>
        <v/>
      </c>
      <c r="G334" s="30">
        <f>($B$10+F334)/(1+F334/(1000*$B$11))</f>
        <v/>
      </c>
      <c r="H334" s="30">
        <f>F334/(1+F334/(1000*$B$11))</f>
        <v/>
      </c>
      <c r="I334" s="37">
        <f>M333</f>
        <v/>
      </c>
      <c r="J334" s="37">
        <f>N333</f>
        <v/>
      </c>
      <c r="K334" s="16">
        <f>(E334/60)/($B$3*PI()/4*(I334/1000)^2)</f>
        <v/>
      </c>
      <c r="L334" s="23">
        <f>C334*$B$7*H334*K334^2*$B$9*60*1000</f>
        <v/>
      </c>
      <c r="M334" s="37">
        <f>I334+L334</f>
        <v/>
      </c>
      <c r="N334" s="37">
        <f>MIN($B$6,J334+C334*$B$8*H334*K334^2*(1-J334/$B$6)*$B$9*60)</f>
        <v/>
      </c>
      <c r="O334" s="11">
        <f>IF(C334=1,Inputs!$B$12*G334*E334^2/($B$3^2*M334^4*N334^2),NA())</f>
        <v/>
      </c>
      <c r="P334" s="30">
        <f>P333+C334*E334/(1+F334/(1000*$B$11))*F334*$B$9/$B$3</f>
        <v/>
      </c>
      <c r="Q334" s="38">
        <f>C334*H334*(E334/60)^2*$B$9*60</f>
        <v/>
      </c>
    </row>
    <row r="335">
      <c r="A335" s="7" t="n">
        <v>275</v>
      </c>
      <c r="B335" s="30">
        <f>A335*$B$9</f>
        <v/>
      </c>
      <c r="C335" s="15">
        <f>IF(B335&lt;=$B$12+0.000000001,1,0)</f>
        <v/>
      </c>
      <c r="D335" s="15">
        <f>IF(C335=1,MATCH(B335-$B$9/2,$E$16:$E$35,1),0)</f>
        <v/>
      </c>
      <c r="E335" s="16">
        <f>IF(C335=1,INDEX($C$16:$C$35,D335),0)</f>
        <v/>
      </c>
      <c r="F335" s="15">
        <f>IF(C335=1,N(INDEX($D$16:$D$35,D335)),0)</f>
        <v/>
      </c>
      <c r="G335" s="30">
        <f>($B$10+F335)/(1+F335/(1000*$B$11))</f>
        <v/>
      </c>
      <c r="H335" s="30">
        <f>F335/(1+F335/(1000*$B$11))</f>
        <v/>
      </c>
      <c r="I335" s="37">
        <f>M334</f>
        <v/>
      </c>
      <c r="J335" s="37">
        <f>N334</f>
        <v/>
      </c>
      <c r="K335" s="16">
        <f>(E335/60)/($B$3*PI()/4*(I335/1000)^2)</f>
        <v/>
      </c>
      <c r="L335" s="23">
        <f>C335*$B$7*H335*K335^2*$B$9*60*1000</f>
        <v/>
      </c>
      <c r="M335" s="37">
        <f>I335+L335</f>
        <v/>
      </c>
      <c r="N335" s="37">
        <f>MIN($B$6,J335+C335*$B$8*H335*K335^2*(1-J335/$B$6)*$B$9*60)</f>
        <v/>
      </c>
      <c r="O335" s="11">
        <f>IF(C335=1,Inputs!$B$12*G335*E335^2/($B$3^2*M335^4*N335^2),NA())</f>
        <v/>
      </c>
      <c r="P335" s="30">
        <f>P334+C335*E335/(1+F335/(1000*$B$11))*F335*$B$9/$B$3</f>
        <v/>
      </c>
      <c r="Q335" s="38">
        <f>C335*H335*(E335/60)^2*$B$9*60</f>
        <v/>
      </c>
    </row>
    <row r="336">
      <c r="A336" s="7" t="n">
        <v>276</v>
      </c>
      <c r="B336" s="30">
        <f>A336*$B$9</f>
        <v/>
      </c>
      <c r="C336" s="15">
        <f>IF(B336&lt;=$B$12+0.000000001,1,0)</f>
        <v/>
      </c>
      <c r="D336" s="15">
        <f>IF(C336=1,MATCH(B336-$B$9/2,$E$16:$E$35,1),0)</f>
        <v/>
      </c>
      <c r="E336" s="16">
        <f>IF(C336=1,INDEX($C$16:$C$35,D336),0)</f>
        <v/>
      </c>
      <c r="F336" s="15">
        <f>IF(C336=1,N(INDEX($D$16:$D$35,D336)),0)</f>
        <v/>
      </c>
      <c r="G336" s="30">
        <f>($B$10+F336)/(1+F336/(1000*$B$11))</f>
        <v/>
      </c>
      <c r="H336" s="30">
        <f>F336/(1+F336/(1000*$B$11))</f>
        <v/>
      </c>
      <c r="I336" s="37">
        <f>M335</f>
        <v/>
      </c>
      <c r="J336" s="37">
        <f>N335</f>
        <v/>
      </c>
      <c r="K336" s="16">
        <f>(E336/60)/($B$3*PI()/4*(I336/1000)^2)</f>
        <v/>
      </c>
      <c r="L336" s="23">
        <f>C336*$B$7*H336*K336^2*$B$9*60*1000</f>
        <v/>
      </c>
      <c r="M336" s="37">
        <f>I336+L336</f>
        <v/>
      </c>
      <c r="N336" s="37">
        <f>MIN($B$6,J336+C336*$B$8*H336*K336^2*(1-J336/$B$6)*$B$9*60)</f>
        <v/>
      </c>
      <c r="O336" s="11">
        <f>IF(C336=1,Inputs!$B$12*G336*E336^2/($B$3^2*M336^4*N336^2),NA())</f>
        <v/>
      </c>
      <c r="P336" s="30">
        <f>P335+C336*E336/(1+F336/(1000*$B$11))*F336*$B$9/$B$3</f>
        <v/>
      </c>
      <c r="Q336" s="38">
        <f>C336*H336*(E336/60)^2*$B$9*60</f>
        <v/>
      </c>
    </row>
    <row r="337">
      <c r="A337" s="7" t="n">
        <v>277</v>
      </c>
      <c r="B337" s="30">
        <f>A337*$B$9</f>
        <v/>
      </c>
      <c r="C337" s="15">
        <f>IF(B337&lt;=$B$12+0.000000001,1,0)</f>
        <v/>
      </c>
      <c r="D337" s="15">
        <f>IF(C337=1,MATCH(B337-$B$9/2,$E$16:$E$35,1),0)</f>
        <v/>
      </c>
      <c r="E337" s="16">
        <f>IF(C337=1,INDEX($C$16:$C$35,D337),0)</f>
        <v/>
      </c>
      <c r="F337" s="15">
        <f>IF(C337=1,N(INDEX($D$16:$D$35,D337)),0)</f>
        <v/>
      </c>
      <c r="G337" s="30">
        <f>($B$10+F337)/(1+F337/(1000*$B$11))</f>
        <v/>
      </c>
      <c r="H337" s="30">
        <f>F337/(1+F337/(1000*$B$11))</f>
        <v/>
      </c>
      <c r="I337" s="37">
        <f>M336</f>
        <v/>
      </c>
      <c r="J337" s="37">
        <f>N336</f>
        <v/>
      </c>
      <c r="K337" s="16">
        <f>(E337/60)/($B$3*PI()/4*(I337/1000)^2)</f>
        <v/>
      </c>
      <c r="L337" s="23">
        <f>C337*$B$7*H337*K337^2*$B$9*60*1000</f>
        <v/>
      </c>
      <c r="M337" s="37">
        <f>I337+L337</f>
        <v/>
      </c>
      <c r="N337" s="37">
        <f>MIN($B$6,J337+C337*$B$8*H337*K337^2*(1-J337/$B$6)*$B$9*60)</f>
        <v/>
      </c>
      <c r="O337" s="11">
        <f>IF(C337=1,Inputs!$B$12*G337*E337^2/($B$3^2*M337^4*N337^2),NA())</f>
        <v/>
      </c>
      <c r="P337" s="30">
        <f>P336+C337*E337/(1+F337/(1000*$B$11))*F337*$B$9/$B$3</f>
        <v/>
      </c>
      <c r="Q337" s="38">
        <f>C337*H337*(E337/60)^2*$B$9*60</f>
        <v/>
      </c>
    </row>
    <row r="338">
      <c r="A338" s="7" t="n">
        <v>278</v>
      </c>
      <c r="B338" s="30">
        <f>A338*$B$9</f>
        <v/>
      </c>
      <c r="C338" s="15">
        <f>IF(B338&lt;=$B$12+0.000000001,1,0)</f>
        <v/>
      </c>
      <c r="D338" s="15">
        <f>IF(C338=1,MATCH(B338-$B$9/2,$E$16:$E$35,1),0)</f>
        <v/>
      </c>
      <c r="E338" s="16">
        <f>IF(C338=1,INDEX($C$16:$C$35,D338),0)</f>
        <v/>
      </c>
      <c r="F338" s="15">
        <f>IF(C338=1,N(INDEX($D$16:$D$35,D338)),0)</f>
        <v/>
      </c>
      <c r="G338" s="30">
        <f>($B$10+F338)/(1+F338/(1000*$B$11))</f>
        <v/>
      </c>
      <c r="H338" s="30">
        <f>F338/(1+F338/(1000*$B$11))</f>
        <v/>
      </c>
      <c r="I338" s="37">
        <f>M337</f>
        <v/>
      </c>
      <c r="J338" s="37">
        <f>N337</f>
        <v/>
      </c>
      <c r="K338" s="16">
        <f>(E338/60)/($B$3*PI()/4*(I338/1000)^2)</f>
        <v/>
      </c>
      <c r="L338" s="23">
        <f>C338*$B$7*H338*K338^2*$B$9*60*1000</f>
        <v/>
      </c>
      <c r="M338" s="37">
        <f>I338+L338</f>
        <v/>
      </c>
      <c r="N338" s="37">
        <f>MIN($B$6,J338+C338*$B$8*H338*K338^2*(1-J338/$B$6)*$B$9*60)</f>
        <v/>
      </c>
      <c r="O338" s="11">
        <f>IF(C338=1,Inputs!$B$12*G338*E338^2/($B$3^2*M338^4*N338^2),NA())</f>
        <v/>
      </c>
      <c r="P338" s="30">
        <f>P337+C338*E338/(1+F338/(1000*$B$11))*F338*$B$9/$B$3</f>
        <v/>
      </c>
      <c r="Q338" s="38">
        <f>C338*H338*(E338/60)^2*$B$9*60</f>
        <v/>
      </c>
    </row>
    <row r="339">
      <c r="A339" s="7" t="n">
        <v>279</v>
      </c>
      <c r="B339" s="30">
        <f>A339*$B$9</f>
        <v/>
      </c>
      <c r="C339" s="15">
        <f>IF(B339&lt;=$B$12+0.000000001,1,0)</f>
        <v/>
      </c>
      <c r="D339" s="15">
        <f>IF(C339=1,MATCH(B339-$B$9/2,$E$16:$E$35,1),0)</f>
        <v/>
      </c>
      <c r="E339" s="16">
        <f>IF(C339=1,INDEX($C$16:$C$35,D339),0)</f>
        <v/>
      </c>
      <c r="F339" s="15">
        <f>IF(C339=1,N(INDEX($D$16:$D$35,D339)),0)</f>
        <v/>
      </c>
      <c r="G339" s="30">
        <f>($B$10+F339)/(1+F339/(1000*$B$11))</f>
        <v/>
      </c>
      <c r="H339" s="30">
        <f>F339/(1+F339/(1000*$B$11))</f>
        <v/>
      </c>
      <c r="I339" s="37">
        <f>M338</f>
        <v/>
      </c>
      <c r="J339" s="37">
        <f>N338</f>
        <v/>
      </c>
      <c r="K339" s="16">
        <f>(E339/60)/($B$3*PI()/4*(I339/1000)^2)</f>
        <v/>
      </c>
      <c r="L339" s="23">
        <f>C339*$B$7*H339*K339^2*$B$9*60*1000</f>
        <v/>
      </c>
      <c r="M339" s="37">
        <f>I339+L339</f>
        <v/>
      </c>
      <c r="N339" s="37">
        <f>MIN($B$6,J339+C339*$B$8*H339*K339^2*(1-J339/$B$6)*$B$9*60)</f>
        <v/>
      </c>
      <c r="O339" s="11">
        <f>IF(C339=1,Inputs!$B$12*G339*E339^2/($B$3^2*M339^4*N339^2),NA())</f>
        <v/>
      </c>
      <c r="P339" s="30">
        <f>P338+C339*E339/(1+F339/(1000*$B$11))*F339*$B$9/$B$3</f>
        <v/>
      </c>
      <c r="Q339" s="38">
        <f>C339*H339*(E339/60)^2*$B$9*60</f>
        <v/>
      </c>
    </row>
    <row r="340">
      <c r="A340" s="7" t="n">
        <v>280</v>
      </c>
      <c r="B340" s="30">
        <f>A340*$B$9</f>
        <v/>
      </c>
      <c r="C340" s="15">
        <f>IF(B340&lt;=$B$12+0.000000001,1,0)</f>
        <v/>
      </c>
      <c r="D340" s="15">
        <f>IF(C340=1,MATCH(B340-$B$9/2,$E$16:$E$35,1),0)</f>
        <v/>
      </c>
      <c r="E340" s="16">
        <f>IF(C340=1,INDEX($C$16:$C$35,D340),0)</f>
        <v/>
      </c>
      <c r="F340" s="15">
        <f>IF(C340=1,N(INDEX($D$16:$D$35,D340)),0)</f>
        <v/>
      </c>
      <c r="G340" s="30">
        <f>($B$10+F340)/(1+F340/(1000*$B$11))</f>
        <v/>
      </c>
      <c r="H340" s="30">
        <f>F340/(1+F340/(1000*$B$11))</f>
        <v/>
      </c>
      <c r="I340" s="37">
        <f>M339</f>
        <v/>
      </c>
      <c r="J340" s="37">
        <f>N339</f>
        <v/>
      </c>
      <c r="K340" s="16">
        <f>(E340/60)/($B$3*PI()/4*(I340/1000)^2)</f>
        <v/>
      </c>
      <c r="L340" s="23">
        <f>C340*$B$7*H340*K340^2*$B$9*60*1000</f>
        <v/>
      </c>
      <c r="M340" s="37">
        <f>I340+L340</f>
        <v/>
      </c>
      <c r="N340" s="37">
        <f>MIN($B$6,J340+C340*$B$8*H340*K340^2*(1-J340/$B$6)*$B$9*60)</f>
        <v/>
      </c>
      <c r="O340" s="11">
        <f>IF(C340=1,Inputs!$B$12*G340*E340^2/($B$3^2*M340^4*N340^2),NA())</f>
        <v/>
      </c>
      <c r="P340" s="30">
        <f>P339+C340*E340/(1+F340/(1000*$B$11))*F340*$B$9/$B$3</f>
        <v/>
      </c>
      <c r="Q340" s="38">
        <f>C340*H340*(E340/60)^2*$B$9*60</f>
        <v/>
      </c>
    </row>
    <row r="341">
      <c r="A341" s="7" t="n">
        <v>281</v>
      </c>
      <c r="B341" s="30">
        <f>A341*$B$9</f>
        <v/>
      </c>
      <c r="C341" s="15">
        <f>IF(B341&lt;=$B$12+0.000000001,1,0)</f>
        <v/>
      </c>
      <c r="D341" s="15">
        <f>IF(C341=1,MATCH(B341-$B$9/2,$E$16:$E$35,1),0)</f>
        <v/>
      </c>
      <c r="E341" s="16">
        <f>IF(C341=1,INDEX($C$16:$C$35,D341),0)</f>
        <v/>
      </c>
      <c r="F341" s="15">
        <f>IF(C341=1,N(INDEX($D$16:$D$35,D341)),0)</f>
        <v/>
      </c>
      <c r="G341" s="30">
        <f>($B$10+F341)/(1+F341/(1000*$B$11))</f>
        <v/>
      </c>
      <c r="H341" s="30">
        <f>F341/(1+F341/(1000*$B$11))</f>
        <v/>
      </c>
      <c r="I341" s="37">
        <f>M340</f>
        <v/>
      </c>
      <c r="J341" s="37">
        <f>N340</f>
        <v/>
      </c>
      <c r="K341" s="16">
        <f>(E341/60)/($B$3*PI()/4*(I341/1000)^2)</f>
        <v/>
      </c>
      <c r="L341" s="23">
        <f>C341*$B$7*H341*K341^2*$B$9*60*1000</f>
        <v/>
      </c>
      <c r="M341" s="37">
        <f>I341+L341</f>
        <v/>
      </c>
      <c r="N341" s="37">
        <f>MIN($B$6,J341+C341*$B$8*H341*K341^2*(1-J341/$B$6)*$B$9*60)</f>
        <v/>
      </c>
      <c r="O341" s="11">
        <f>IF(C341=1,Inputs!$B$12*G341*E341^2/($B$3^2*M341^4*N341^2),NA())</f>
        <v/>
      </c>
      <c r="P341" s="30">
        <f>P340+C341*E341/(1+F341/(1000*$B$11))*F341*$B$9/$B$3</f>
        <v/>
      </c>
      <c r="Q341" s="38">
        <f>C341*H341*(E341/60)^2*$B$9*60</f>
        <v/>
      </c>
    </row>
    <row r="342">
      <c r="A342" s="7" t="n">
        <v>282</v>
      </c>
      <c r="B342" s="30">
        <f>A342*$B$9</f>
        <v/>
      </c>
      <c r="C342" s="15">
        <f>IF(B342&lt;=$B$12+0.000000001,1,0)</f>
        <v/>
      </c>
      <c r="D342" s="15">
        <f>IF(C342=1,MATCH(B342-$B$9/2,$E$16:$E$35,1),0)</f>
        <v/>
      </c>
      <c r="E342" s="16">
        <f>IF(C342=1,INDEX($C$16:$C$35,D342),0)</f>
        <v/>
      </c>
      <c r="F342" s="15">
        <f>IF(C342=1,N(INDEX($D$16:$D$35,D342)),0)</f>
        <v/>
      </c>
      <c r="G342" s="30">
        <f>($B$10+F342)/(1+F342/(1000*$B$11))</f>
        <v/>
      </c>
      <c r="H342" s="30">
        <f>F342/(1+F342/(1000*$B$11))</f>
        <v/>
      </c>
      <c r="I342" s="37">
        <f>M341</f>
        <v/>
      </c>
      <c r="J342" s="37">
        <f>N341</f>
        <v/>
      </c>
      <c r="K342" s="16">
        <f>(E342/60)/($B$3*PI()/4*(I342/1000)^2)</f>
        <v/>
      </c>
      <c r="L342" s="23">
        <f>C342*$B$7*H342*K342^2*$B$9*60*1000</f>
        <v/>
      </c>
      <c r="M342" s="37">
        <f>I342+L342</f>
        <v/>
      </c>
      <c r="N342" s="37">
        <f>MIN($B$6,J342+C342*$B$8*H342*K342^2*(1-J342/$B$6)*$B$9*60)</f>
        <v/>
      </c>
      <c r="O342" s="11">
        <f>IF(C342=1,Inputs!$B$12*G342*E342^2/($B$3^2*M342^4*N342^2),NA())</f>
        <v/>
      </c>
      <c r="P342" s="30">
        <f>P341+C342*E342/(1+F342/(1000*$B$11))*F342*$B$9/$B$3</f>
        <v/>
      </c>
      <c r="Q342" s="38">
        <f>C342*H342*(E342/60)^2*$B$9*60</f>
        <v/>
      </c>
    </row>
    <row r="343">
      <c r="A343" s="7" t="n">
        <v>283</v>
      </c>
      <c r="B343" s="30">
        <f>A343*$B$9</f>
        <v/>
      </c>
      <c r="C343" s="15">
        <f>IF(B343&lt;=$B$12+0.000000001,1,0)</f>
        <v/>
      </c>
      <c r="D343" s="15">
        <f>IF(C343=1,MATCH(B343-$B$9/2,$E$16:$E$35,1),0)</f>
        <v/>
      </c>
      <c r="E343" s="16">
        <f>IF(C343=1,INDEX($C$16:$C$35,D343),0)</f>
        <v/>
      </c>
      <c r="F343" s="15">
        <f>IF(C343=1,N(INDEX($D$16:$D$35,D343)),0)</f>
        <v/>
      </c>
      <c r="G343" s="30">
        <f>($B$10+F343)/(1+F343/(1000*$B$11))</f>
        <v/>
      </c>
      <c r="H343" s="30">
        <f>F343/(1+F343/(1000*$B$11))</f>
        <v/>
      </c>
      <c r="I343" s="37">
        <f>M342</f>
        <v/>
      </c>
      <c r="J343" s="37">
        <f>N342</f>
        <v/>
      </c>
      <c r="K343" s="16">
        <f>(E343/60)/($B$3*PI()/4*(I343/1000)^2)</f>
        <v/>
      </c>
      <c r="L343" s="23">
        <f>C343*$B$7*H343*K343^2*$B$9*60*1000</f>
        <v/>
      </c>
      <c r="M343" s="37">
        <f>I343+L343</f>
        <v/>
      </c>
      <c r="N343" s="37">
        <f>MIN($B$6,J343+C343*$B$8*H343*K343^2*(1-J343/$B$6)*$B$9*60)</f>
        <v/>
      </c>
      <c r="O343" s="11">
        <f>IF(C343=1,Inputs!$B$12*G343*E343^2/($B$3^2*M343^4*N343^2),NA())</f>
        <v/>
      </c>
      <c r="P343" s="30">
        <f>P342+C343*E343/(1+F343/(1000*$B$11))*F343*$B$9/$B$3</f>
        <v/>
      </c>
      <c r="Q343" s="38">
        <f>C343*H343*(E343/60)^2*$B$9*60</f>
        <v/>
      </c>
    </row>
    <row r="344">
      <c r="A344" s="7" t="n">
        <v>284</v>
      </c>
      <c r="B344" s="30">
        <f>A344*$B$9</f>
        <v/>
      </c>
      <c r="C344" s="15">
        <f>IF(B344&lt;=$B$12+0.000000001,1,0)</f>
        <v/>
      </c>
      <c r="D344" s="15">
        <f>IF(C344=1,MATCH(B344-$B$9/2,$E$16:$E$35,1),0)</f>
        <v/>
      </c>
      <c r="E344" s="16">
        <f>IF(C344=1,INDEX($C$16:$C$35,D344),0)</f>
        <v/>
      </c>
      <c r="F344" s="15">
        <f>IF(C344=1,N(INDEX($D$16:$D$35,D344)),0)</f>
        <v/>
      </c>
      <c r="G344" s="30">
        <f>($B$10+F344)/(1+F344/(1000*$B$11))</f>
        <v/>
      </c>
      <c r="H344" s="30">
        <f>F344/(1+F344/(1000*$B$11))</f>
        <v/>
      </c>
      <c r="I344" s="37">
        <f>M343</f>
        <v/>
      </c>
      <c r="J344" s="37">
        <f>N343</f>
        <v/>
      </c>
      <c r="K344" s="16">
        <f>(E344/60)/($B$3*PI()/4*(I344/1000)^2)</f>
        <v/>
      </c>
      <c r="L344" s="23">
        <f>C344*$B$7*H344*K344^2*$B$9*60*1000</f>
        <v/>
      </c>
      <c r="M344" s="37">
        <f>I344+L344</f>
        <v/>
      </c>
      <c r="N344" s="37">
        <f>MIN($B$6,J344+C344*$B$8*H344*K344^2*(1-J344/$B$6)*$B$9*60)</f>
        <v/>
      </c>
      <c r="O344" s="11">
        <f>IF(C344=1,Inputs!$B$12*G344*E344^2/($B$3^2*M344^4*N344^2),NA())</f>
        <v/>
      </c>
      <c r="P344" s="30">
        <f>P343+C344*E344/(1+F344/(1000*$B$11))*F344*$B$9/$B$3</f>
        <v/>
      </c>
      <c r="Q344" s="38">
        <f>C344*H344*(E344/60)^2*$B$9*60</f>
        <v/>
      </c>
    </row>
    <row r="345">
      <c r="A345" s="7" t="n">
        <v>285</v>
      </c>
      <c r="B345" s="30">
        <f>A345*$B$9</f>
        <v/>
      </c>
      <c r="C345" s="15">
        <f>IF(B345&lt;=$B$12+0.000000001,1,0)</f>
        <v/>
      </c>
      <c r="D345" s="15">
        <f>IF(C345=1,MATCH(B345-$B$9/2,$E$16:$E$35,1),0)</f>
        <v/>
      </c>
      <c r="E345" s="16">
        <f>IF(C345=1,INDEX($C$16:$C$35,D345),0)</f>
        <v/>
      </c>
      <c r="F345" s="15">
        <f>IF(C345=1,N(INDEX($D$16:$D$35,D345)),0)</f>
        <v/>
      </c>
      <c r="G345" s="30">
        <f>($B$10+F345)/(1+F345/(1000*$B$11))</f>
        <v/>
      </c>
      <c r="H345" s="30">
        <f>F345/(1+F345/(1000*$B$11))</f>
        <v/>
      </c>
      <c r="I345" s="37">
        <f>M344</f>
        <v/>
      </c>
      <c r="J345" s="37">
        <f>N344</f>
        <v/>
      </c>
      <c r="K345" s="16">
        <f>(E345/60)/($B$3*PI()/4*(I345/1000)^2)</f>
        <v/>
      </c>
      <c r="L345" s="23">
        <f>C345*$B$7*H345*K345^2*$B$9*60*1000</f>
        <v/>
      </c>
      <c r="M345" s="37">
        <f>I345+L345</f>
        <v/>
      </c>
      <c r="N345" s="37">
        <f>MIN($B$6,J345+C345*$B$8*H345*K345^2*(1-J345/$B$6)*$B$9*60)</f>
        <v/>
      </c>
      <c r="O345" s="11">
        <f>IF(C345=1,Inputs!$B$12*G345*E345^2/($B$3^2*M345^4*N345^2),NA())</f>
        <v/>
      </c>
      <c r="P345" s="30">
        <f>P344+C345*E345/(1+F345/(1000*$B$11))*F345*$B$9/$B$3</f>
        <v/>
      </c>
      <c r="Q345" s="38">
        <f>C345*H345*(E345/60)^2*$B$9*60</f>
        <v/>
      </c>
    </row>
    <row r="346">
      <c r="A346" s="7" t="n">
        <v>286</v>
      </c>
      <c r="B346" s="30">
        <f>A346*$B$9</f>
        <v/>
      </c>
      <c r="C346" s="15">
        <f>IF(B346&lt;=$B$12+0.000000001,1,0)</f>
        <v/>
      </c>
      <c r="D346" s="15">
        <f>IF(C346=1,MATCH(B346-$B$9/2,$E$16:$E$35,1),0)</f>
        <v/>
      </c>
      <c r="E346" s="16">
        <f>IF(C346=1,INDEX($C$16:$C$35,D346),0)</f>
        <v/>
      </c>
      <c r="F346" s="15">
        <f>IF(C346=1,N(INDEX($D$16:$D$35,D346)),0)</f>
        <v/>
      </c>
      <c r="G346" s="30">
        <f>($B$10+F346)/(1+F346/(1000*$B$11))</f>
        <v/>
      </c>
      <c r="H346" s="30">
        <f>F346/(1+F346/(1000*$B$11))</f>
        <v/>
      </c>
      <c r="I346" s="37">
        <f>M345</f>
        <v/>
      </c>
      <c r="J346" s="37">
        <f>N345</f>
        <v/>
      </c>
      <c r="K346" s="16">
        <f>(E346/60)/($B$3*PI()/4*(I346/1000)^2)</f>
        <v/>
      </c>
      <c r="L346" s="23">
        <f>C346*$B$7*H346*K346^2*$B$9*60*1000</f>
        <v/>
      </c>
      <c r="M346" s="37">
        <f>I346+L346</f>
        <v/>
      </c>
      <c r="N346" s="37">
        <f>MIN($B$6,J346+C346*$B$8*H346*K346^2*(1-J346/$B$6)*$B$9*60)</f>
        <v/>
      </c>
      <c r="O346" s="11">
        <f>IF(C346=1,Inputs!$B$12*G346*E346^2/($B$3^2*M346^4*N346^2),NA())</f>
        <v/>
      </c>
      <c r="P346" s="30">
        <f>P345+C346*E346/(1+F346/(1000*$B$11))*F346*$B$9/$B$3</f>
        <v/>
      </c>
      <c r="Q346" s="38">
        <f>C346*H346*(E346/60)^2*$B$9*60</f>
        <v/>
      </c>
    </row>
    <row r="347">
      <c r="A347" s="7" t="n">
        <v>287</v>
      </c>
      <c r="B347" s="30">
        <f>A347*$B$9</f>
        <v/>
      </c>
      <c r="C347" s="15">
        <f>IF(B347&lt;=$B$12+0.000000001,1,0)</f>
        <v/>
      </c>
      <c r="D347" s="15">
        <f>IF(C347=1,MATCH(B347-$B$9/2,$E$16:$E$35,1),0)</f>
        <v/>
      </c>
      <c r="E347" s="16">
        <f>IF(C347=1,INDEX($C$16:$C$35,D347),0)</f>
        <v/>
      </c>
      <c r="F347" s="15">
        <f>IF(C347=1,N(INDEX($D$16:$D$35,D347)),0)</f>
        <v/>
      </c>
      <c r="G347" s="30">
        <f>($B$10+F347)/(1+F347/(1000*$B$11))</f>
        <v/>
      </c>
      <c r="H347" s="30">
        <f>F347/(1+F347/(1000*$B$11))</f>
        <v/>
      </c>
      <c r="I347" s="37">
        <f>M346</f>
        <v/>
      </c>
      <c r="J347" s="37">
        <f>N346</f>
        <v/>
      </c>
      <c r="K347" s="16">
        <f>(E347/60)/($B$3*PI()/4*(I347/1000)^2)</f>
        <v/>
      </c>
      <c r="L347" s="23">
        <f>C347*$B$7*H347*K347^2*$B$9*60*1000</f>
        <v/>
      </c>
      <c r="M347" s="37">
        <f>I347+L347</f>
        <v/>
      </c>
      <c r="N347" s="37">
        <f>MIN($B$6,J347+C347*$B$8*H347*K347^2*(1-J347/$B$6)*$B$9*60)</f>
        <v/>
      </c>
      <c r="O347" s="11">
        <f>IF(C347=1,Inputs!$B$12*G347*E347^2/($B$3^2*M347^4*N347^2),NA())</f>
        <v/>
      </c>
      <c r="P347" s="30">
        <f>P346+C347*E347/(1+F347/(1000*$B$11))*F347*$B$9/$B$3</f>
        <v/>
      </c>
      <c r="Q347" s="38">
        <f>C347*H347*(E347/60)^2*$B$9*60</f>
        <v/>
      </c>
    </row>
    <row r="348">
      <c r="A348" s="7" t="n">
        <v>288</v>
      </c>
      <c r="B348" s="30">
        <f>A348*$B$9</f>
        <v/>
      </c>
      <c r="C348" s="15">
        <f>IF(B348&lt;=$B$12+0.000000001,1,0)</f>
        <v/>
      </c>
      <c r="D348" s="15">
        <f>IF(C348=1,MATCH(B348-$B$9/2,$E$16:$E$35,1),0)</f>
        <v/>
      </c>
      <c r="E348" s="16">
        <f>IF(C348=1,INDEX($C$16:$C$35,D348),0)</f>
        <v/>
      </c>
      <c r="F348" s="15">
        <f>IF(C348=1,N(INDEX($D$16:$D$35,D348)),0)</f>
        <v/>
      </c>
      <c r="G348" s="30">
        <f>($B$10+F348)/(1+F348/(1000*$B$11))</f>
        <v/>
      </c>
      <c r="H348" s="30">
        <f>F348/(1+F348/(1000*$B$11))</f>
        <v/>
      </c>
      <c r="I348" s="37">
        <f>M347</f>
        <v/>
      </c>
      <c r="J348" s="37">
        <f>N347</f>
        <v/>
      </c>
      <c r="K348" s="16">
        <f>(E348/60)/($B$3*PI()/4*(I348/1000)^2)</f>
        <v/>
      </c>
      <c r="L348" s="23">
        <f>C348*$B$7*H348*K348^2*$B$9*60*1000</f>
        <v/>
      </c>
      <c r="M348" s="37">
        <f>I348+L348</f>
        <v/>
      </c>
      <c r="N348" s="37">
        <f>MIN($B$6,J348+C348*$B$8*H348*K348^2*(1-J348/$B$6)*$B$9*60)</f>
        <v/>
      </c>
      <c r="O348" s="11">
        <f>IF(C348=1,Inputs!$B$12*G348*E348^2/($B$3^2*M348^4*N348^2),NA())</f>
        <v/>
      </c>
      <c r="P348" s="30">
        <f>P347+C348*E348/(1+F348/(1000*$B$11))*F348*$B$9/$B$3</f>
        <v/>
      </c>
      <c r="Q348" s="38">
        <f>C348*H348*(E348/60)^2*$B$9*60</f>
        <v/>
      </c>
    </row>
    <row r="349">
      <c r="A349" s="7" t="n">
        <v>289</v>
      </c>
      <c r="B349" s="30">
        <f>A349*$B$9</f>
        <v/>
      </c>
      <c r="C349" s="15">
        <f>IF(B349&lt;=$B$12+0.000000001,1,0)</f>
        <v/>
      </c>
      <c r="D349" s="15">
        <f>IF(C349=1,MATCH(B349-$B$9/2,$E$16:$E$35,1),0)</f>
        <v/>
      </c>
      <c r="E349" s="16">
        <f>IF(C349=1,INDEX($C$16:$C$35,D349),0)</f>
        <v/>
      </c>
      <c r="F349" s="15">
        <f>IF(C349=1,N(INDEX($D$16:$D$35,D349)),0)</f>
        <v/>
      </c>
      <c r="G349" s="30">
        <f>($B$10+F349)/(1+F349/(1000*$B$11))</f>
        <v/>
      </c>
      <c r="H349" s="30">
        <f>F349/(1+F349/(1000*$B$11))</f>
        <v/>
      </c>
      <c r="I349" s="37">
        <f>M348</f>
        <v/>
      </c>
      <c r="J349" s="37">
        <f>N348</f>
        <v/>
      </c>
      <c r="K349" s="16">
        <f>(E349/60)/($B$3*PI()/4*(I349/1000)^2)</f>
        <v/>
      </c>
      <c r="L349" s="23">
        <f>C349*$B$7*H349*K349^2*$B$9*60*1000</f>
        <v/>
      </c>
      <c r="M349" s="37">
        <f>I349+L349</f>
        <v/>
      </c>
      <c r="N349" s="37">
        <f>MIN($B$6,J349+C349*$B$8*H349*K349^2*(1-J349/$B$6)*$B$9*60)</f>
        <v/>
      </c>
      <c r="O349" s="11">
        <f>IF(C349=1,Inputs!$B$12*G349*E349^2/($B$3^2*M349^4*N349^2),NA())</f>
        <v/>
      </c>
      <c r="P349" s="30">
        <f>P348+C349*E349/(1+F349/(1000*$B$11))*F349*$B$9/$B$3</f>
        <v/>
      </c>
      <c r="Q349" s="38">
        <f>C349*H349*(E349/60)^2*$B$9*60</f>
        <v/>
      </c>
    </row>
    <row r="350">
      <c r="A350" s="7" t="n">
        <v>290</v>
      </c>
      <c r="B350" s="30">
        <f>A350*$B$9</f>
        <v/>
      </c>
      <c r="C350" s="15">
        <f>IF(B350&lt;=$B$12+0.000000001,1,0)</f>
        <v/>
      </c>
      <c r="D350" s="15">
        <f>IF(C350=1,MATCH(B350-$B$9/2,$E$16:$E$35,1),0)</f>
        <v/>
      </c>
      <c r="E350" s="16">
        <f>IF(C350=1,INDEX($C$16:$C$35,D350),0)</f>
        <v/>
      </c>
      <c r="F350" s="15">
        <f>IF(C350=1,N(INDEX($D$16:$D$35,D350)),0)</f>
        <v/>
      </c>
      <c r="G350" s="30">
        <f>($B$10+F350)/(1+F350/(1000*$B$11))</f>
        <v/>
      </c>
      <c r="H350" s="30">
        <f>F350/(1+F350/(1000*$B$11))</f>
        <v/>
      </c>
      <c r="I350" s="37">
        <f>M349</f>
        <v/>
      </c>
      <c r="J350" s="37">
        <f>N349</f>
        <v/>
      </c>
      <c r="K350" s="16">
        <f>(E350/60)/($B$3*PI()/4*(I350/1000)^2)</f>
        <v/>
      </c>
      <c r="L350" s="23">
        <f>C350*$B$7*H350*K350^2*$B$9*60*1000</f>
        <v/>
      </c>
      <c r="M350" s="37">
        <f>I350+L350</f>
        <v/>
      </c>
      <c r="N350" s="37">
        <f>MIN($B$6,J350+C350*$B$8*H350*K350^2*(1-J350/$B$6)*$B$9*60)</f>
        <v/>
      </c>
      <c r="O350" s="11">
        <f>IF(C350=1,Inputs!$B$12*G350*E350^2/($B$3^2*M350^4*N350^2),NA())</f>
        <v/>
      </c>
      <c r="P350" s="30">
        <f>P349+C350*E350/(1+F350/(1000*$B$11))*F350*$B$9/$B$3</f>
        <v/>
      </c>
      <c r="Q350" s="38">
        <f>C350*H350*(E350/60)^2*$B$9*60</f>
        <v/>
      </c>
    </row>
    <row r="351">
      <c r="A351" s="7" t="n">
        <v>291</v>
      </c>
      <c r="B351" s="30">
        <f>A351*$B$9</f>
        <v/>
      </c>
      <c r="C351" s="15">
        <f>IF(B351&lt;=$B$12+0.000000001,1,0)</f>
        <v/>
      </c>
      <c r="D351" s="15">
        <f>IF(C351=1,MATCH(B351-$B$9/2,$E$16:$E$35,1),0)</f>
        <v/>
      </c>
      <c r="E351" s="16">
        <f>IF(C351=1,INDEX($C$16:$C$35,D351),0)</f>
        <v/>
      </c>
      <c r="F351" s="15">
        <f>IF(C351=1,N(INDEX($D$16:$D$35,D351)),0)</f>
        <v/>
      </c>
      <c r="G351" s="30">
        <f>($B$10+F351)/(1+F351/(1000*$B$11))</f>
        <v/>
      </c>
      <c r="H351" s="30">
        <f>F351/(1+F351/(1000*$B$11))</f>
        <v/>
      </c>
      <c r="I351" s="37">
        <f>M350</f>
        <v/>
      </c>
      <c r="J351" s="37">
        <f>N350</f>
        <v/>
      </c>
      <c r="K351" s="16">
        <f>(E351/60)/($B$3*PI()/4*(I351/1000)^2)</f>
        <v/>
      </c>
      <c r="L351" s="23">
        <f>C351*$B$7*H351*K351^2*$B$9*60*1000</f>
        <v/>
      </c>
      <c r="M351" s="37">
        <f>I351+L351</f>
        <v/>
      </c>
      <c r="N351" s="37">
        <f>MIN($B$6,J351+C351*$B$8*H351*K351^2*(1-J351/$B$6)*$B$9*60)</f>
        <v/>
      </c>
      <c r="O351" s="11">
        <f>IF(C351=1,Inputs!$B$12*G351*E351^2/($B$3^2*M351^4*N351^2),NA())</f>
        <v/>
      </c>
      <c r="P351" s="30">
        <f>P350+C351*E351/(1+F351/(1000*$B$11))*F351*$B$9/$B$3</f>
        <v/>
      </c>
      <c r="Q351" s="38">
        <f>C351*H351*(E351/60)^2*$B$9*60</f>
        <v/>
      </c>
    </row>
    <row r="352">
      <c r="A352" s="7" t="n">
        <v>292</v>
      </c>
      <c r="B352" s="30">
        <f>A352*$B$9</f>
        <v/>
      </c>
      <c r="C352" s="15">
        <f>IF(B352&lt;=$B$12+0.000000001,1,0)</f>
        <v/>
      </c>
      <c r="D352" s="15">
        <f>IF(C352=1,MATCH(B352-$B$9/2,$E$16:$E$35,1),0)</f>
        <v/>
      </c>
      <c r="E352" s="16">
        <f>IF(C352=1,INDEX($C$16:$C$35,D352),0)</f>
        <v/>
      </c>
      <c r="F352" s="15">
        <f>IF(C352=1,N(INDEX($D$16:$D$35,D352)),0)</f>
        <v/>
      </c>
      <c r="G352" s="30">
        <f>($B$10+F352)/(1+F352/(1000*$B$11))</f>
        <v/>
      </c>
      <c r="H352" s="30">
        <f>F352/(1+F352/(1000*$B$11))</f>
        <v/>
      </c>
      <c r="I352" s="37">
        <f>M351</f>
        <v/>
      </c>
      <c r="J352" s="37">
        <f>N351</f>
        <v/>
      </c>
      <c r="K352" s="16">
        <f>(E352/60)/($B$3*PI()/4*(I352/1000)^2)</f>
        <v/>
      </c>
      <c r="L352" s="23">
        <f>C352*$B$7*H352*K352^2*$B$9*60*1000</f>
        <v/>
      </c>
      <c r="M352" s="37">
        <f>I352+L352</f>
        <v/>
      </c>
      <c r="N352" s="37">
        <f>MIN($B$6,J352+C352*$B$8*H352*K352^2*(1-J352/$B$6)*$B$9*60)</f>
        <v/>
      </c>
      <c r="O352" s="11">
        <f>IF(C352=1,Inputs!$B$12*G352*E352^2/($B$3^2*M352^4*N352^2),NA())</f>
        <v/>
      </c>
      <c r="P352" s="30">
        <f>P351+C352*E352/(1+F352/(1000*$B$11))*F352*$B$9/$B$3</f>
        <v/>
      </c>
      <c r="Q352" s="38">
        <f>C352*H352*(E352/60)^2*$B$9*60</f>
        <v/>
      </c>
    </row>
    <row r="353">
      <c r="A353" s="7" t="n">
        <v>293</v>
      </c>
      <c r="B353" s="30">
        <f>A353*$B$9</f>
        <v/>
      </c>
      <c r="C353" s="15">
        <f>IF(B353&lt;=$B$12+0.000000001,1,0)</f>
        <v/>
      </c>
      <c r="D353" s="15">
        <f>IF(C353=1,MATCH(B353-$B$9/2,$E$16:$E$35,1),0)</f>
        <v/>
      </c>
      <c r="E353" s="16">
        <f>IF(C353=1,INDEX($C$16:$C$35,D353),0)</f>
        <v/>
      </c>
      <c r="F353" s="15">
        <f>IF(C353=1,N(INDEX($D$16:$D$35,D353)),0)</f>
        <v/>
      </c>
      <c r="G353" s="30">
        <f>($B$10+F353)/(1+F353/(1000*$B$11))</f>
        <v/>
      </c>
      <c r="H353" s="30">
        <f>F353/(1+F353/(1000*$B$11))</f>
        <v/>
      </c>
      <c r="I353" s="37">
        <f>M352</f>
        <v/>
      </c>
      <c r="J353" s="37">
        <f>N352</f>
        <v/>
      </c>
      <c r="K353" s="16">
        <f>(E353/60)/($B$3*PI()/4*(I353/1000)^2)</f>
        <v/>
      </c>
      <c r="L353" s="23">
        <f>C353*$B$7*H353*K353^2*$B$9*60*1000</f>
        <v/>
      </c>
      <c r="M353" s="37">
        <f>I353+L353</f>
        <v/>
      </c>
      <c r="N353" s="37">
        <f>MIN($B$6,J353+C353*$B$8*H353*K353^2*(1-J353/$B$6)*$B$9*60)</f>
        <v/>
      </c>
      <c r="O353" s="11">
        <f>IF(C353=1,Inputs!$B$12*G353*E353^2/($B$3^2*M353^4*N353^2),NA())</f>
        <v/>
      </c>
      <c r="P353" s="30">
        <f>P352+C353*E353/(1+F353/(1000*$B$11))*F353*$B$9/$B$3</f>
        <v/>
      </c>
      <c r="Q353" s="38">
        <f>C353*H353*(E353/60)^2*$B$9*60</f>
        <v/>
      </c>
    </row>
    <row r="354">
      <c r="A354" s="7" t="n">
        <v>294</v>
      </c>
      <c r="B354" s="30">
        <f>A354*$B$9</f>
        <v/>
      </c>
      <c r="C354" s="15">
        <f>IF(B354&lt;=$B$12+0.000000001,1,0)</f>
        <v/>
      </c>
      <c r="D354" s="15">
        <f>IF(C354=1,MATCH(B354-$B$9/2,$E$16:$E$35,1),0)</f>
        <v/>
      </c>
      <c r="E354" s="16">
        <f>IF(C354=1,INDEX($C$16:$C$35,D354),0)</f>
        <v/>
      </c>
      <c r="F354" s="15">
        <f>IF(C354=1,N(INDEX($D$16:$D$35,D354)),0)</f>
        <v/>
      </c>
      <c r="G354" s="30">
        <f>($B$10+F354)/(1+F354/(1000*$B$11))</f>
        <v/>
      </c>
      <c r="H354" s="30">
        <f>F354/(1+F354/(1000*$B$11))</f>
        <v/>
      </c>
      <c r="I354" s="37">
        <f>M353</f>
        <v/>
      </c>
      <c r="J354" s="37">
        <f>N353</f>
        <v/>
      </c>
      <c r="K354" s="16">
        <f>(E354/60)/($B$3*PI()/4*(I354/1000)^2)</f>
        <v/>
      </c>
      <c r="L354" s="23">
        <f>C354*$B$7*H354*K354^2*$B$9*60*1000</f>
        <v/>
      </c>
      <c r="M354" s="37">
        <f>I354+L354</f>
        <v/>
      </c>
      <c r="N354" s="37">
        <f>MIN($B$6,J354+C354*$B$8*H354*K354^2*(1-J354/$B$6)*$B$9*60)</f>
        <v/>
      </c>
      <c r="O354" s="11">
        <f>IF(C354=1,Inputs!$B$12*G354*E354^2/($B$3^2*M354^4*N354^2),NA())</f>
        <v/>
      </c>
      <c r="P354" s="30">
        <f>P353+C354*E354/(1+F354/(1000*$B$11))*F354*$B$9/$B$3</f>
        <v/>
      </c>
      <c r="Q354" s="38">
        <f>C354*H354*(E354/60)^2*$B$9*60</f>
        <v/>
      </c>
    </row>
    <row r="355">
      <c r="A355" s="7" t="n">
        <v>295</v>
      </c>
      <c r="B355" s="30">
        <f>A355*$B$9</f>
        <v/>
      </c>
      <c r="C355" s="15">
        <f>IF(B355&lt;=$B$12+0.000000001,1,0)</f>
        <v/>
      </c>
      <c r="D355" s="15">
        <f>IF(C355=1,MATCH(B355-$B$9/2,$E$16:$E$35,1),0)</f>
        <v/>
      </c>
      <c r="E355" s="16">
        <f>IF(C355=1,INDEX($C$16:$C$35,D355),0)</f>
        <v/>
      </c>
      <c r="F355" s="15">
        <f>IF(C355=1,N(INDEX($D$16:$D$35,D355)),0)</f>
        <v/>
      </c>
      <c r="G355" s="30">
        <f>($B$10+F355)/(1+F355/(1000*$B$11))</f>
        <v/>
      </c>
      <c r="H355" s="30">
        <f>F355/(1+F355/(1000*$B$11))</f>
        <v/>
      </c>
      <c r="I355" s="37">
        <f>M354</f>
        <v/>
      </c>
      <c r="J355" s="37">
        <f>N354</f>
        <v/>
      </c>
      <c r="K355" s="16">
        <f>(E355/60)/($B$3*PI()/4*(I355/1000)^2)</f>
        <v/>
      </c>
      <c r="L355" s="23">
        <f>C355*$B$7*H355*K355^2*$B$9*60*1000</f>
        <v/>
      </c>
      <c r="M355" s="37">
        <f>I355+L355</f>
        <v/>
      </c>
      <c r="N355" s="37">
        <f>MIN($B$6,J355+C355*$B$8*H355*K355^2*(1-J355/$B$6)*$B$9*60)</f>
        <v/>
      </c>
      <c r="O355" s="11">
        <f>IF(C355=1,Inputs!$B$12*G355*E355^2/($B$3^2*M355^4*N355^2),NA())</f>
        <v/>
      </c>
      <c r="P355" s="30">
        <f>P354+C355*E355/(1+F355/(1000*$B$11))*F355*$B$9/$B$3</f>
        <v/>
      </c>
      <c r="Q355" s="38">
        <f>C355*H355*(E355/60)^2*$B$9*60</f>
        <v/>
      </c>
    </row>
    <row r="356">
      <c r="A356" s="7" t="n">
        <v>296</v>
      </c>
      <c r="B356" s="30">
        <f>A356*$B$9</f>
        <v/>
      </c>
      <c r="C356" s="15">
        <f>IF(B356&lt;=$B$12+0.000000001,1,0)</f>
        <v/>
      </c>
      <c r="D356" s="15">
        <f>IF(C356=1,MATCH(B356-$B$9/2,$E$16:$E$35,1),0)</f>
        <v/>
      </c>
      <c r="E356" s="16">
        <f>IF(C356=1,INDEX($C$16:$C$35,D356),0)</f>
        <v/>
      </c>
      <c r="F356" s="15">
        <f>IF(C356=1,N(INDEX($D$16:$D$35,D356)),0)</f>
        <v/>
      </c>
      <c r="G356" s="30">
        <f>($B$10+F356)/(1+F356/(1000*$B$11))</f>
        <v/>
      </c>
      <c r="H356" s="30">
        <f>F356/(1+F356/(1000*$B$11))</f>
        <v/>
      </c>
      <c r="I356" s="37">
        <f>M355</f>
        <v/>
      </c>
      <c r="J356" s="37">
        <f>N355</f>
        <v/>
      </c>
      <c r="K356" s="16">
        <f>(E356/60)/($B$3*PI()/4*(I356/1000)^2)</f>
        <v/>
      </c>
      <c r="L356" s="23">
        <f>C356*$B$7*H356*K356^2*$B$9*60*1000</f>
        <v/>
      </c>
      <c r="M356" s="37">
        <f>I356+L356</f>
        <v/>
      </c>
      <c r="N356" s="37">
        <f>MIN($B$6,J356+C356*$B$8*H356*K356^2*(1-J356/$B$6)*$B$9*60)</f>
        <v/>
      </c>
      <c r="O356" s="11">
        <f>IF(C356=1,Inputs!$B$12*G356*E356^2/($B$3^2*M356^4*N356^2),NA())</f>
        <v/>
      </c>
      <c r="P356" s="30">
        <f>P355+C356*E356/(1+F356/(1000*$B$11))*F356*$B$9/$B$3</f>
        <v/>
      </c>
      <c r="Q356" s="38">
        <f>C356*H356*(E356/60)^2*$B$9*60</f>
        <v/>
      </c>
    </row>
    <row r="357">
      <c r="A357" s="7" t="n">
        <v>297</v>
      </c>
      <c r="B357" s="30">
        <f>A357*$B$9</f>
        <v/>
      </c>
      <c r="C357" s="15">
        <f>IF(B357&lt;=$B$12+0.000000001,1,0)</f>
        <v/>
      </c>
      <c r="D357" s="15">
        <f>IF(C357=1,MATCH(B357-$B$9/2,$E$16:$E$35,1),0)</f>
        <v/>
      </c>
      <c r="E357" s="16">
        <f>IF(C357=1,INDEX($C$16:$C$35,D357),0)</f>
        <v/>
      </c>
      <c r="F357" s="15">
        <f>IF(C357=1,N(INDEX($D$16:$D$35,D357)),0)</f>
        <v/>
      </c>
      <c r="G357" s="30">
        <f>($B$10+F357)/(1+F357/(1000*$B$11))</f>
        <v/>
      </c>
      <c r="H357" s="30">
        <f>F357/(1+F357/(1000*$B$11))</f>
        <v/>
      </c>
      <c r="I357" s="37">
        <f>M356</f>
        <v/>
      </c>
      <c r="J357" s="37">
        <f>N356</f>
        <v/>
      </c>
      <c r="K357" s="16">
        <f>(E357/60)/($B$3*PI()/4*(I357/1000)^2)</f>
        <v/>
      </c>
      <c r="L357" s="23">
        <f>C357*$B$7*H357*K357^2*$B$9*60*1000</f>
        <v/>
      </c>
      <c r="M357" s="37">
        <f>I357+L357</f>
        <v/>
      </c>
      <c r="N357" s="37">
        <f>MIN($B$6,J357+C357*$B$8*H357*K357^2*(1-J357/$B$6)*$B$9*60)</f>
        <v/>
      </c>
      <c r="O357" s="11">
        <f>IF(C357=1,Inputs!$B$12*G357*E357^2/($B$3^2*M357^4*N357^2),NA())</f>
        <v/>
      </c>
      <c r="P357" s="30">
        <f>P356+C357*E357/(1+F357/(1000*$B$11))*F357*$B$9/$B$3</f>
        <v/>
      </c>
      <c r="Q357" s="38">
        <f>C357*H357*(E357/60)^2*$B$9*60</f>
        <v/>
      </c>
    </row>
    <row r="358">
      <c r="A358" s="7" t="n">
        <v>298</v>
      </c>
      <c r="B358" s="30">
        <f>A358*$B$9</f>
        <v/>
      </c>
      <c r="C358" s="15">
        <f>IF(B358&lt;=$B$12+0.000000001,1,0)</f>
        <v/>
      </c>
      <c r="D358" s="15">
        <f>IF(C358=1,MATCH(B358-$B$9/2,$E$16:$E$35,1),0)</f>
        <v/>
      </c>
      <c r="E358" s="16">
        <f>IF(C358=1,INDEX($C$16:$C$35,D358),0)</f>
        <v/>
      </c>
      <c r="F358" s="15">
        <f>IF(C358=1,N(INDEX($D$16:$D$35,D358)),0)</f>
        <v/>
      </c>
      <c r="G358" s="30">
        <f>($B$10+F358)/(1+F358/(1000*$B$11))</f>
        <v/>
      </c>
      <c r="H358" s="30">
        <f>F358/(1+F358/(1000*$B$11))</f>
        <v/>
      </c>
      <c r="I358" s="37">
        <f>M357</f>
        <v/>
      </c>
      <c r="J358" s="37">
        <f>N357</f>
        <v/>
      </c>
      <c r="K358" s="16">
        <f>(E358/60)/($B$3*PI()/4*(I358/1000)^2)</f>
        <v/>
      </c>
      <c r="L358" s="23">
        <f>C358*$B$7*H358*K358^2*$B$9*60*1000</f>
        <v/>
      </c>
      <c r="M358" s="37">
        <f>I358+L358</f>
        <v/>
      </c>
      <c r="N358" s="37">
        <f>MIN($B$6,J358+C358*$B$8*H358*K358^2*(1-J358/$B$6)*$B$9*60)</f>
        <v/>
      </c>
      <c r="O358" s="11">
        <f>IF(C358=1,Inputs!$B$12*G358*E358^2/($B$3^2*M358^4*N358^2),NA())</f>
        <v/>
      </c>
      <c r="P358" s="30">
        <f>P357+C358*E358/(1+F358/(1000*$B$11))*F358*$B$9/$B$3</f>
        <v/>
      </c>
      <c r="Q358" s="38">
        <f>C358*H358*(E358/60)^2*$B$9*60</f>
        <v/>
      </c>
    </row>
    <row r="359">
      <c r="A359" s="7" t="n">
        <v>299</v>
      </c>
      <c r="B359" s="30">
        <f>A359*$B$9</f>
        <v/>
      </c>
      <c r="C359" s="15">
        <f>IF(B359&lt;=$B$12+0.000000001,1,0)</f>
        <v/>
      </c>
      <c r="D359" s="15">
        <f>IF(C359=1,MATCH(B359-$B$9/2,$E$16:$E$35,1),0)</f>
        <v/>
      </c>
      <c r="E359" s="16">
        <f>IF(C359=1,INDEX($C$16:$C$35,D359),0)</f>
        <v/>
      </c>
      <c r="F359" s="15">
        <f>IF(C359=1,N(INDEX($D$16:$D$35,D359)),0)</f>
        <v/>
      </c>
      <c r="G359" s="30">
        <f>($B$10+F359)/(1+F359/(1000*$B$11))</f>
        <v/>
      </c>
      <c r="H359" s="30">
        <f>F359/(1+F359/(1000*$B$11))</f>
        <v/>
      </c>
      <c r="I359" s="37">
        <f>M358</f>
        <v/>
      </c>
      <c r="J359" s="37">
        <f>N358</f>
        <v/>
      </c>
      <c r="K359" s="16">
        <f>(E359/60)/($B$3*PI()/4*(I359/1000)^2)</f>
        <v/>
      </c>
      <c r="L359" s="23">
        <f>C359*$B$7*H359*K359^2*$B$9*60*1000</f>
        <v/>
      </c>
      <c r="M359" s="37">
        <f>I359+L359</f>
        <v/>
      </c>
      <c r="N359" s="37">
        <f>MIN($B$6,J359+C359*$B$8*H359*K359^2*(1-J359/$B$6)*$B$9*60)</f>
        <v/>
      </c>
      <c r="O359" s="11">
        <f>IF(C359=1,Inputs!$B$12*G359*E359^2/($B$3^2*M359^4*N359^2),NA())</f>
        <v/>
      </c>
      <c r="P359" s="30">
        <f>P358+C359*E359/(1+F359/(1000*$B$11))*F359*$B$9/$B$3</f>
        <v/>
      </c>
      <c r="Q359" s="38">
        <f>C359*H359*(E359/60)^2*$B$9*60</f>
        <v/>
      </c>
    </row>
    <row r="360">
      <c r="A360" s="7" t="n">
        <v>300</v>
      </c>
      <c r="B360" s="30">
        <f>A360*$B$9</f>
        <v/>
      </c>
      <c r="C360" s="15">
        <f>IF(B360&lt;=$B$12+0.000000001,1,0)</f>
        <v/>
      </c>
      <c r="D360" s="15">
        <f>IF(C360=1,MATCH(B360-$B$9/2,$E$16:$E$35,1),0)</f>
        <v/>
      </c>
      <c r="E360" s="16">
        <f>IF(C360=1,INDEX($C$16:$C$35,D360),0)</f>
        <v/>
      </c>
      <c r="F360" s="15">
        <f>IF(C360=1,N(INDEX($D$16:$D$35,D360)),0)</f>
        <v/>
      </c>
      <c r="G360" s="30">
        <f>($B$10+F360)/(1+F360/(1000*$B$11))</f>
        <v/>
      </c>
      <c r="H360" s="30">
        <f>F360/(1+F360/(1000*$B$11))</f>
        <v/>
      </c>
      <c r="I360" s="37">
        <f>M359</f>
        <v/>
      </c>
      <c r="J360" s="37">
        <f>N359</f>
        <v/>
      </c>
      <c r="K360" s="16">
        <f>(E360/60)/($B$3*PI()/4*(I360/1000)^2)</f>
        <v/>
      </c>
      <c r="L360" s="23">
        <f>C360*$B$7*H360*K360^2*$B$9*60*1000</f>
        <v/>
      </c>
      <c r="M360" s="37">
        <f>I360+L360</f>
        <v/>
      </c>
      <c r="N360" s="37">
        <f>MIN($B$6,J360+C360*$B$8*H360*K360^2*(1-J360/$B$6)*$B$9*60)</f>
        <v/>
      </c>
      <c r="O360" s="11">
        <f>IF(C360=1,Inputs!$B$12*G360*E360^2/($B$3^2*M360^4*N360^2),NA())</f>
        <v/>
      </c>
      <c r="P360" s="30">
        <f>P359+C360*E360/(1+F360/(1000*$B$11))*F360*$B$9/$B$3</f>
        <v/>
      </c>
      <c r="Q360" s="38">
        <f>C360*H360*(E360/60)^2*$B$9*60</f>
        <v/>
      </c>
    </row>
    <row r="361">
      <c r="A361" s="7" t="n">
        <v>301</v>
      </c>
      <c r="B361" s="30">
        <f>A361*$B$9</f>
        <v/>
      </c>
      <c r="C361" s="15">
        <f>IF(B361&lt;=$B$12+0.000000001,1,0)</f>
        <v/>
      </c>
      <c r="D361" s="15">
        <f>IF(C361=1,MATCH(B361-$B$9/2,$E$16:$E$35,1),0)</f>
        <v/>
      </c>
      <c r="E361" s="16">
        <f>IF(C361=1,INDEX($C$16:$C$35,D361),0)</f>
        <v/>
      </c>
      <c r="F361" s="15">
        <f>IF(C361=1,N(INDEX($D$16:$D$35,D361)),0)</f>
        <v/>
      </c>
      <c r="G361" s="30">
        <f>($B$10+F361)/(1+F361/(1000*$B$11))</f>
        <v/>
      </c>
      <c r="H361" s="30">
        <f>F361/(1+F361/(1000*$B$11))</f>
        <v/>
      </c>
      <c r="I361" s="37">
        <f>M360</f>
        <v/>
      </c>
      <c r="J361" s="37">
        <f>N360</f>
        <v/>
      </c>
      <c r="K361" s="16">
        <f>(E361/60)/($B$3*PI()/4*(I361/1000)^2)</f>
        <v/>
      </c>
      <c r="L361" s="23">
        <f>C361*$B$7*H361*K361^2*$B$9*60*1000</f>
        <v/>
      </c>
      <c r="M361" s="37">
        <f>I361+L361</f>
        <v/>
      </c>
      <c r="N361" s="37">
        <f>MIN($B$6,J361+C361*$B$8*H361*K361^2*(1-J361/$B$6)*$B$9*60)</f>
        <v/>
      </c>
      <c r="O361" s="11">
        <f>IF(C361=1,Inputs!$B$12*G361*E361^2/($B$3^2*M361^4*N361^2),NA())</f>
        <v/>
      </c>
      <c r="P361" s="30">
        <f>P360+C361*E361/(1+F361/(1000*$B$11))*F361*$B$9/$B$3</f>
        <v/>
      </c>
      <c r="Q361" s="38">
        <f>C361*H361*(E361/60)^2*$B$9*60</f>
        <v/>
      </c>
    </row>
    <row r="362">
      <c r="A362" s="7" t="n">
        <v>302</v>
      </c>
      <c r="B362" s="30">
        <f>A362*$B$9</f>
        <v/>
      </c>
      <c r="C362" s="15">
        <f>IF(B362&lt;=$B$12+0.000000001,1,0)</f>
        <v/>
      </c>
      <c r="D362" s="15">
        <f>IF(C362=1,MATCH(B362-$B$9/2,$E$16:$E$35,1),0)</f>
        <v/>
      </c>
      <c r="E362" s="16">
        <f>IF(C362=1,INDEX($C$16:$C$35,D362),0)</f>
        <v/>
      </c>
      <c r="F362" s="15">
        <f>IF(C362=1,N(INDEX($D$16:$D$35,D362)),0)</f>
        <v/>
      </c>
      <c r="G362" s="30">
        <f>($B$10+F362)/(1+F362/(1000*$B$11))</f>
        <v/>
      </c>
      <c r="H362" s="30">
        <f>F362/(1+F362/(1000*$B$11))</f>
        <v/>
      </c>
      <c r="I362" s="37">
        <f>M361</f>
        <v/>
      </c>
      <c r="J362" s="37">
        <f>N361</f>
        <v/>
      </c>
      <c r="K362" s="16">
        <f>(E362/60)/($B$3*PI()/4*(I362/1000)^2)</f>
        <v/>
      </c>
      <c r="L362" s="23">
        <f>C362*$B$7*H362*K362^2*$B$9*60*1000</f>
        <v/>
      </c>
      <c r="M362" s="37">
        <f>I362+L362</f>
        <v/>
      </c>
      <c r="N362" s="37">
        <f>MIN($B$6,J362+C362*$B$8*H362*K362^2*(1-J362/$B$6)*$B$9*60)</f>
        <v/>
      </c>
      <c r="O362" s="11">
        <f>IF(C362=1,Inputs!$B$12*G362*E362^2/($B$3^2*M362^4*N362^2),NA())</f>
        <v/>
      </c>
      <c r="P362" s="30">
        <f>P361+C362*E362/(1+F362/(1000*$B$11))*F362*$B$9/$B$3</f>
        <v/>
      </c>
      <c r="Q362" s="38">
        <f>C362*H362*(E362/60)^2*$B$9*60</f>
        <v/>
      </c>
    </row>
    <row r="363">
      <c r="A363" s="7" t="n">
        <v>303</v>
      </c>
      <c r="B363" s="30">
        <f>A363*$B$9</f>
        <v/>
      </c>
      <c r="C363" s="15">
        <f>IF(B363&lt;=$B$12+0.000000001,1,0)</f>
        <v/>
      </c>
      <c r="D363" s="15">
        <f>IF(C363=1,MATCH(B363-$B$9/2,$E$16:$E$35,1),0)</f>
        <v/>
      </c>
      <c r="E363" s="16">
        <f>IF(C363=1,INDEX($C$16:$C$35,D363),0)</f>
        <v/>
      </c>
      <c r="F363" s="15">
        <f>IF(C363=1,N(INDEX($D$16:$D$35,D363)),0)</f>
        <v/>
      </c>
      <c r="G363" s="30">
        <f>($B$10+F363)/(1+F363/(1000*$B$11))</f>
        <v/>
      </c>
      <c r="H363" s="30">
        <f>F363/(1+F363/(1000*$B$11))</f>
        <v/>
      </c>
      <c r="I363" s="37">
        <f>M362</f>
        <v/>
      </c>
      <c r="J363" s="37">
        <f>N362</f>
        <v/>
      </c>
      <c r="K363" s="16">
        <f>(E363/60)/($B$3*PI()/4*(I363/1000)^2)</f>
        <v/>
      </c>
      <c r="L363" s="23">
        <f>C363*$B$7*H363*K363^2*$B$9*60*1000</f>
        <v/>
      </c>
      <c r="M363" s="37">
        <f>I363+L363</f>
        <v/>
      </c>
      <c r="N363" s="37">
        <f>MIN($B$6,J363+C363*$B$8*H363*K363^2*(1-J363/$B$6)*$B$9*60)</f>
        <v/>
      </c>
      <c r="O363" s="11">
        <f>IF(C363=1,Inputs!$B$12*G363*E363^2/($B$3^2*M363^4*N363^2),NA())</f>
        <v/>
      </c>
      <c r="P363" s="30">
        <f>P362+C363*E363/(1+F363/(1000*$B$11))*F363*$B$9/$B$3</f>
        <v/>
      </c>
      <c r="Q363" s="38">
        <f>C363*H363*(E363/60)^2*$B$9*60</f>
        <v/>
      </c>
    </row>
    <row r="364">
      <c r="A364" s="7" t="n">
        <v>304</v>
      </c>
      <c r="B364" s="30">
        <f>A364*$B$9</f>
        <v/>
      </c>
      <c r="C364" s="15">
        <f>IF(B364&lt;=$B$12+0.000000001,1,0)</f>
        <v/>
      </c>
      <c r="D364" s="15">
        <f>IF(C364=1,MATCH(B364-$B$9/2,$E$16:$E$35,1),0)</f>
        <v/>
      </c>
      <c r="E364" s="16">
        <f>IF(C364=1,INDEX($C$16:$C$35,D364),0)</f>
        <v/>
      </c>
      <c r="F364" s="15">
        <f>IF(C364=1,N(INDEX($D$16:$D$35,D364)),0)</f>
        <v/>
      </c>
      <c r="G364" s="30">
        <f>($B$10+F364)/(1+F364/(1000*$B$11))</f>
        <v/>
      </c>
      <c r="H364" s="30">
        <f>F364/(1+F364/(1000*$B$11))</f>
        <v/>
      </c>
      <c r="I364" s="37">
        <f>M363</f>
        <v/>
      </c>
      <c r="J364" s="37">
        <f>N363</f>
        <v/>
      </c>
      <c r="K364" s="16">
        <f>(E364/60)/($B$3*PI()/4*(I364/1000)^2)</f>
        <v/>
      </c>
      <c r="L364" s="23">
        <f>C364*$B$7*H364*K364^2*$B$9*60*1000</f>
        <v/>
      </c>
      <c r="M364" s="37">
        <f>I364+L364</f>
        <v/>
      </c>
      <c r="N364" s="37">
        <f>MIN($B$6,J364+C364*$B$8*H364*K364^2*(1-J364/$B$6)*$B$9*60)</f>
        <v/>
      </c>
      <c r="O364" s="11">
        <f>IF(C364=1,Inputs!$B$12*G364*E364^2/($B$3^2*M364^4*N364^2),NA())</f>
        <v/>
      </c>
      <c r="P364" s="30">
        <f>P363+C364*E364/(1+F364/(1000*$B$11))*F364*$B$9/$B$3</f>
        <v/>
      </c>
      <c r="Q364" s="38">
        <f>C364*H364*(E364/60)^2*$B$9*60</f>
        <v/>
      </c>
    </row>
    <row r="365">
      <c r="A365" s="7" t="n">
        <v>305</v>
      </c>
      <c r="B365" s="30">
        <f>A365*$B$9</f>
        <v/>
      </c>
      <c r="C365" s="15">
        <f>IF(B365&lt;=$B$12+0.000000001,1,0)</f>
        <v/>
      </c>
      <c r="D365" s="15">
        <f>IF(C365=1,MATCH(B365-$B$9/2,$E$16:$E$35,1),0)</f>
        <v/>
      </c>
      <c r="E365" s="16">
        <f>IF(C365=1,INDEX($C$16:$C$35,D365),0)</f>
        <v/>
      </c>
      <c r="F365" s="15">
        <f>IF(C365=1,N(INDEX($D$16:$D$35,D365)),0)</f>
        <v/>
      </c>
      <c r="G365" s="30">
        <f>($B$10+F365)/(1+F365/(1000*$B$11))</f>
        <v/>
      </c>
      <c r="H365" s="30">
        <f>F365/(1+F365/(1000*$B$11))</f>
        <v/>
      </c>
      <c r="I365" s="37">
        <f>M364</f>
        <v/>
      </c>
      <c r="J365" s="37">
        <f>N364</f>
        <v/>
      </c>
      <c r="K365" s="16">
        <f>(E365/60)/($B$3*PI()/4*(I365/1000)^2)</f>
        <v/>
      </c>
      <c r="L365" s="23">
        <f>C365*$B$7*H365*K365^2*$B$9*60*1000</f>
        <v/>
      </c>
      <c r="M365" s="37">
        <f>I365+L365</f>
        <v/>
      </c>
      <c r="N365" s="37">
        <f>MIN($B$6,J365+C365*$B$8*H365*K365^2*(1-J365/$B$6)*$B$9*60)</f>
        <v/>
      </c>
      <c r="O365" s="11">
        <f>IF(C365=1,Inputs!$B$12*G365*E365^2/($B$3^2*M365^4*N365^2),NA())</f>
        <v/>
      </c>
      <c r="P365" s="30">
        <f>P364+C365*E365/(1+F365/(1000*$B$11))*F365*$B$9/$B$3</f>
        <v/>
      </c>
      <c r="Q365" s="38">
        <f>C365*H365*(E365/60)^2*$B$9*60</f>
        <v/>
      </c>
    </row>
    <row r="366">
      <c r="A366" s="7" t="n">
        <v>306</v>
      </c>
      <c r="B366" s="30">
        <f>A366*$B$9</f>
        <v/>
      </c>
      <c r="C366" s="15">
        <f>IF(B366&lt;=$B$12+0.000000001,1,0)</f>
        <v/>
      </c>
      <c r="D366" s="15">
        <f>IF(C366=1,MATCH(B366-$B$9/2,$E$16:$E$35,1),0)</f>
        <v/>
      </c>
      <c r="E366" s="16">
        <f>IF(C366=1,INDEX($C$16:$C$35,D366),0)</f>
        <v/>
      </c>
      <c r="F366" s="15">
        <f>IF(C366=1,N(INDEX($D$16:$D$35,D366)),0)</f>
        <v/>
      </c>
      <c r="G366" s="30">
        <f>($B$10+F366)/(1+F366/(1000*$B$11))</f>
        <v/>
      </c>
      <c r="H366" s="30">
        <f>F366/(1+F366/(1000*$B$11))</f>
        <v/>
      </c>
      <c r="I366" s="37">
        <f>M365</f>
        <v/>
      </c>
      <c r="J366" s="37">
        <f>N365</f>
        <v/>
      </c>
      <c r="K366" s="16">
        <f>(E366/60)/($B$3*PI()/4*(I366/1000)^2)</f>
        <v/>
      </c>
      <c r="L366" s="23">
        <f>C366*$B$7*H366*K366^2*$B$9*60*1000</f>
        <v/>
      </c>
      <c r="M366" s="37">
        <f>I366+L366</f>
        <v/>
      </c>
      <c r="N366" s="37">
        <f>MIN($B$6,J366+C366*$B$8*H366*K366^2*(1-J366/$B$6)*$B$9*60)</f>
        <v/>
      </c>
      <c r="O366" s="11">
        <f>IF(C366=1,Inputs!$B$12*G366*E366^2/($B$3^2*M366^4*N366^2),NA())</f>
        <v/>
      </c>
      <c r="P366" s="30">
        <f>P365+C366*E366/(1+F366/(1000*$B$11))*F366*$B$9/$B$3</f>
        <v/>
      </c>
      <c r="Q366" s="38">
        <f>C366*H366*(E366/60)^2*$B$9*60</f>
        <v/>
      </c>
    </row>
    <row r="367">
      <c r="A367" s="7" t="n">
        <v>307</v>
      </c>
      <c r="B367" s="30">
        <f>A367*$B$9</f>
        <v/>
      </c>
      <c r="C367" s="15">
        <f>IF(B367&lt;=$B$12+0.000000001,1,0)</f>
        <v/>
      </c>
      <c r="D367" s="15">
        <f>IF(C367=1,MATCH(B367-$B$9/2,$E$16:$E$35,1),0)</f>
        <v/>
      </c>
      <c r="E367" s="16">
        <f>IF(C367=1,INDEX($C$16:$C$35,D367),0)</f>
        <v/>
      </c>
      <c r="F367" s="15">
        <f>IF(C367=1,N(INDEX($D$16:$D$35,D367)),0)</f>
        <v/>
      </c>
      <c r="G367" s="30">
        <f>($B$10+F367)/(1+F367/(1000*$B$11))</f>
        <v/>
      </c>
      <c r="H367" s="30">
        <f>F367/(1+F367/(1000*$B$11))</f>
        <v/>
      </c>
      <c r="I367" s="37">
        <f>M366</f>
        <v/>
      </c>
      <c r="J367" s="37">
        <f>N366</f>
        <v/>
      </c>
      <c r="K367" s="16">
        <f>(E367/60)/($B$3*PI()/4*(I367/1000)^2)</f>
        <v/>
      </c>
      <c r="L367" s="23">
        <f>C367*$B$7*H367*K367^2*$B$9*60*1000</f>
        <v/>
      </c>
      <c r="M367" s="37">
        <f>I367+L367</f>
        <v/>
      </c>
      <c r="N367" s="37">
        <f>MIN($B$6,J367+C367*$B$8*H367*K367^2*(1-J367/$B$6)*$B$9*60)</f>
        <v/>
      </c>
      <c r="O367" s="11">
        <f>IF(C367=1,Inputs!$B$12*G367*E367^2/($B$3^2*M367^4*N367^2),NA())</f>
        <v/>
      </c>
      <c r="P367" s="30">
        <f>P366+C367*E367/(1+F367/(1000*$B$11))*F367*$B$9/$B$3</f>
        <v/>
      </c>
      <c r="Q367" s="38">
        <f>C367*H367*(E367/60)^2*$B$9*60</f>
        <v/>
      </c>
    </row>
    <row r="368">
      <c r="A368" s="7" t="n">
        <v>308</v>
      </c>
      <c r="B368" s="30">
        <f>A368*$B$9</f>
        <v/>
      </c>
      <c r="C368" s="15">
        <f>IF(B368&lt;=$B$12+0.000000001,1,0)</f>
        <v/>
      </c>
      <c r="D368" s="15">
        <f>IF(C368=1,MATCH(B368-$B$9/2,$E$16:$E$35,1),0)</f>
        <v/>
      </c>
      <c r="E368" s="16">
        <f>IF(C368=1,INDEX($C$16:$C$35,D368),0)</f>
        <v/>
      </c>
      <c r="F368" s="15">
        <f>IF(C368=1,N(INDEX($D$16:$D$35,D368)),0)</f>
        <v/>
      </c>
      <c r="G368" s="30">
        <f>($B$10+F368)/(1+F368/(1000*$B$11))</f>
        <v/>
      </c>
      <c r="H368" s="30">
        <f>F368/(1+F368/(1000*$B$11))</f>
        <v/>
      </c>
      <c r="I368" s="37">
        <f>M367</f>
        <v/>
      </c>
      <c r="J368" s="37">
        <f>N367</f>
        <v/>
      </c>
      <c r="K368" s="16">
        <f>(E368/60)/($B$3*PI()/4*(I368/1000)^2)</f>
        <v/>
      </c>
      <c r="L368" s="23">
        <f>C368*$B$7*H368*K368^2*$B$9*60*1000</f>
        <v/>
      </c>
      <c r="M368" s="37">
        <f>I368+L368</f>
        <v/>
      </c>
      <c r="N368" s="37">
        <f>MIN($B$6,J368+C368*$B$8*H368*K368^2*(1-J368/$B$6)*$B$9*60)</f>
        <v/>
      </c>
      <c r="O368" s="11">
        <f>IF(C368=1,Inputs!$B$12*G368*E368^2/($B$3^2*M368^4*N368^2),NA())</f>
        <v/>
      </c>
      <c r="P368" s="30">
        <f>P367+C368*E368/(1+F368/(1000*$B$11))*F368*$B$9/$B$3</f>
        <v/>
      </c>
      <c r="Q368" s="38">
        <f>C368*H368*(E368/60)^2*$B$9*60</f>
        <v/>
      </c>
    </row>
    <row r="369">
      <c r="A369" s="7" t="n">
        <v>309</v>
      </c>
      <c r="B369" s="30">
        <f>A369*$B$9</f>
        <v/>
      </c>
      <c r="C369" s="15">
        <f>IF(B369&lt;=$B$12+0.000000001,1,0)</f>
        <v/>
      </c>
      <c r="D369" s="15">
        <f>IF(C369=1,MATCH(B369-$B$9/2,$E$16:$E$35,1),0)</f>
        <v/>
      </c>
      <c r="E369" s="16">
        <f>IF(C369=1,INDEX($C$16:$C$35,D369),0)</f>
        <v/>
      </c>
      <c r="F369" s="15">
        <f>IF(C369=1,N(INDEX($D$16:$D$35,D369)),0)</f>
        <v/>
      </c>
      <c r="G369" s="30">
        <f>($B$10+F369)/(1+F369/(1000*$B$11))</f>
        <v/>
      </c>
      <c r="H369" s="30">
        <f>F369/(1+F369/(1000*$B$11))</f>
        <v/>
      </c>
      <c r="I369" s="37">
        <f>M368</f>
        <v/>
      </c>
      <c r="J369" s="37">
        <f>N368</f>
        <v/>
      </c>
      <c r="K369" s="16">
        <f>(E369/60)/($B$3*PI()/4*(I369/1000)^2)</f>
        <v/>
      </c>
      <c r="L369" s="23">
        <f>C369*$B$7*H369*K369^2*$B$9*60*1000</f>
        <v/>
      </c>
      <c r="M369" s="37">
        <f>I369+L369</f>
        <v/>
      </c>
      <c r="N369" s="37">
        <f>MIN($B$6,J369+C369*$B$8*H369*K369^2*(1-J369/$B$6)*$B$9*60)</f>
        <v/>
      </c>
      <c r="O369" s="11">
        <f>IF(C369=1,Inputs!$B$12*G369*E369^2/($B$3^2*M369^4*N369^2),NA())</f>
        <v/>
      </c>
      <c r="P369" s="30">
        <f>P368+C369*E369/(1+F369/(1000*$B$11))*F369*$B$9/$B$3</f>
        <v/>
      </c>
      <c r="Q369" s="38">
        <f>C369*H369*(E369/60)^2*$B$9*60</f>
        <v/>
      </c>
    </row>
    <row r="370">
      <c r="A370" s="7" t="n">
        <v>310</v>
      </c>
      <c r="B370" s="30">
        <f>A370*$B$9</f>
        <v/>
      </c>
      <c r="C370" s="15">
        <f>IF(B370&lt;=$B$12+0.000000001,1,0)</f>
        <v/>
      </c>
      <c r="D370" s="15">
        <f>IF(C370=1,MATCH(B370-$B$9/2,$E$16:$E$35,1),0)</f>
        <v/>
      </c>
      <c r="E370" s="16">
        <f>IF(C370=1,INDEX($C$16:$C$35,D370),0)</f>
        <v/>
      </c>
      <c r="F370" s="15">
        <f>IF(C370=1,N(INDEX($D$16:$D$35,D370)),0)</f>
        <v/>
      </c>
      <c r="G370" s="30">
        <f>($B$10+F370)/(1+F370/(1000*$B$11))</f>
        <v/>
      </c>
      <c r="H370" s="30">
        <f>F370/(1+F370/(1000*$B$11))</f>
        <v/>
      </c>
      <c r="I370" s="37">
        <f>M369</f>
        <v/>
      </c>
      <c r="J370" s="37">
        <f>N369</f>
        <v/>
      </c>
      <c r="K370" s="16">
        <f>(E370/60)/($B$3*PI()/4*(I370/1000)^2)</f>
        <v/>
      </c>
      <c r="L370" s="23">
        <f>C370*$B$7*H370*K370^2*$B$9*60*1000</f>
        <v/>
      </c>
      <c r="M370" s="37">
        <f>I370+L370</f>
        <v/>
      </c>
      <c r="N370" s="37">
        <f>MIN($B$6,J370+C370*$B$8*H370*K370^2*(1-J370/$B$6)*$B$9*60)</f>
        <v/>
      </c>
      <c r="O370" s="11">
        <f>IF(C370=1,Inputs!$B$12*G370*E370^2/($B$3^2*M370^4*N370^2),NA())</f>
        <v/>
      </c>
      <c r="P370" s="30">
        <f>P369+C370*E370/(1+F370/(1000*$B$11))*F370*$B$9/$B$3</f>
        <v/>
      </c>
      <c r="Q370" s="38">
        <f>C370*H370*(E370/60)^2*$B$9*60</f>
        <v/>
      </c>
    </row>
    <row r="371">
      <c r="A371" s="7" t="n">
        <v>311</v>
      </c>
      <c r="B371" s="30">
        <f>A371*$B$9</f>
        <v/>
      </c>
      <c r="C371" s="15">
        <f>IF(B371&lt;=$B$12+0.000000001,1,0)</f>
        <v/>
      </c>
      <c r="D371" s="15">
        <f>IF(C371=1,MATCH(B371-$B$9/2,$E$16:$E$35,1),0)</f>
        <v/>
      </c>
      <c r="E371" s="16">
        <f>IF(C371=1,INDEX($C$16:$C$35,D371),0)</f>
        <v/>
      </c>
      <c r="F371" s="15">
        <f>IF(C371=1,N(INDEX($D$16:$D$35,D371)),0)</f>
        <v/>
      </c>
      <c r="G371" s="30">
        <f>($B$10+F371)/(1+F371/(1000*$B$11))</f>
        <v/>
      </c>
      <c r="H371" s="30">
        <f>F371/(1+F371/(1000*$B$11))</f>
        <v/>
      </c>
      <c r="I371" s="37">
        <f>M370</f>
        <v/>
      </c>
      <c r="J371" s="37">
        <f>N370</f>
        <v/>
      </c>
      <c r="K371" s="16">
        <f>(E371/60)/($B$3*PI()/4*(I371/1000)^2)</f>
        <v/>
      </c>
      <c r="L371" s="23">
        <f>C371*$B$7*H371*K371^2*$B$9*60*1000</f>
        <v/>
      </c>
      <c r="M371" s="37">
        <f>I371+L371</f>
        <v/>
      </c>
      <c r="N371" s="37">
        <f>MIN($B$6,J371+C371*$B$8*H371*K371^2*(1-J371/$B$6)*$B$9*60)</f>
        <v/>
      </c>
      <c r="O371" s="11">
        <f>IF(C371=1,Inputs!$B$12*G371*E371^2/($B$3^2*M371^4*N371^2),NA())</f>
        <v/>
      </c>
      <c r="P371" s="30">
        <f>P370+C371*E371/(1+F371/(1000*$B$11))*F371*$B$9/$B$3</f>
        <v/>
      </c>
      <c r="Q371" s="38">
        <f>C371*H371*(E371/60)^2*$B$9*60</f>
        <v/>
      </c>
    </row>
    <row r="372">
      <c r="A372" s="7" t="n">
        <v>312</v>
      </c>
      <c r="B372" s="30">
        <f>A372*$B$9</f>
        <v/>
      </c>
      <c r="C372" s="15">
        <f>IF(B372&lt;=$B$12+0.000000001,1,0)</f>
        <v/>
      </c>
      <c r="D372" s="15">
        <f>IF(C372=1,MATCH(B372-$B$9/2,$E$16:$E$35,1),0)</f>
        <v/>
      </c>
      <c r="E372" s="16">
        <f>IF(C372=1,INDEX($C$16:$C$35,D372),0)</f>
        <v/>
      </c>
      <c r="F372" s="15">
        <f>IF(C372=1,N(INDEX($D$16:$D$35,D372)),0)</f>
        <v/>
      </c>
      <c r="G372" s="30">
        <f>($B$10+F372)/(1+F372/(1000*$B$11))</f>
        <v/>
      </c>
      <c r="H372" s="30">
        <f>F372/(1+F372/(1000*$B$11))</f>
        <v/>
      </c>
      <c r="I372" s="37">
        <f>M371</f>
        <v/>
      </c>
      <c r="J372" s="37">
        <f>N371</f>
        <v/>
      </c>
      <c r="K372" s="16">
        <f>(E372/60)/($B$3*PI()/4*(I372/1000)^2)</f>
        <v/>
      </c>
      <c r="L372" s="23">
        <f>C372*$B$7*H372*K372^2*$B$9*60*1000</f>
        <v/>
      </c>
      <c r="M372" s="37">
        <f>I372+L372</f>
        <v/>
      </c>
      <c r="N372" s="37">
        <f>MIN($B$6,J372+C372*$B$8*H372*K372^2*(1-J372/$B$6)*$B$9*60)</f>
        <v/>
      </c>
      <c r="O372" s="11">
        <f>IF(C372=1,Inputs!$B$12*G372*E372^2/($B$3^2*M372^4*N372^2),NA())</f>
        <v/>
      </c>
      <c r="P372" s="30">
        <f>P371+C372*E372/(1+F372/(1000*$B$11))*F372*$B$9/$B$3</f>
        <v/>
      </c>
      <c r="Q372" s="38">
        <f>C372*H372*(E372/60)^2*$B$9*60</f>
        <v/>
      </c>
    </row>
    <row r="373">
      <c r="A373" s="7" t="n">
        <v>313</v>
      </c>
      <c r="B373" s="30">
        <f>A373*$B$9</f>
        <v/>
      </c>
      <c r="C373" s="15">
        <f>IF(B373&lt;=$B$12+0.000000001,1,0)</f>
        <v/>
      </c>
      <c r="D373" s="15">
        <f>IF(C373=1,MATCH(B373-$B$9/2,$E$16:$E$35,1),0)</f>
        <v/>
      </c>
      <c r="E373" s="16">
        <f>IF(C373=1,INDEX($C$16:$C$35,D373),0)</f>
        <v/>
      </c>
      <c r="F373" s="15">
        <f>IF(C373=1,N(INDEX($D$16:$D$35,D373)),0)</f>
        <v/>
      </c>
      <c r="G373" s="30">
        <f>($B$10+F373)/(1+F373/(1000*$B$11))</f>
        <v/>
      </c>
      <c r="H373" s="30">
        <f>F373/(1+F373/(1000*$B$11))</f>
        <v/>
      </c>
      <c r="I373" s="37">
        <f>M372</f>
        <v/>
      </c>
      <c r="J373" s="37">
        <f>N372</f>
        <v/>
      </c>
      <c r="K373" s="16">
        <f>(E373/60)/($B$3*PI()/4*(I373/1000)^2)</f>
        <v/>
      </c>
      <c r="L373" s="23">
        <f>C373*$B$7*H373*K373^2*$B$9*60*1000</f>
        <v/>
      </c>
      <c r="M373" s="37">
        <f>I373+L373</f>
        <v/>
      </c>
      <c r="N373" s="37">
        <f>MIN($B$6,J373+C373*$B$8*H373*K373^2*(1-J373/$B$6)*$B$9*60)</f>
        <v/>
      </c>
      <c r="O373" s="11">
        <f>IF(C373=1,Inputs!$B$12*G373*E373^2/($B$3^2*M373^4*N373^2),NA())</f>
        <v/>
      </c>
      <c r="P373" s="30">
        <f>P372+C373*E373/(1+F373/(1000*$B$11))*F373*$B$9/$B$3</f>
        <v/>
      </c>
      <c r="Q373" s="38">
        <f>C373*H373*(E373/60)^2*$B$9*60</f>
        <v/>
      </c>
    </row>
    <row r="374">
      <c r="A374" s="7" t="n">
        <v>314</v>
      </c>
      <c r="B374" s="30">
        <f>A374*$B$9</f>
        <v/>
      </c>
      <c r="C374" s="15">
        <f>IF(B374&lt;=$B$12+0.000000001,1,0)</f>
        <v/>
      </c>
      <c r="D374" s="15">
        <f>IF(C374=1,MATCH(B374-$B$9/2,$E$16:$E$35,1),0)</f>
        <v/>
      </c>
      <c r="E374" s="16">
        <f>IF(C374=1,INDEX($C$16:$C$35,D374),0)</f>
        <v/>
      </c>
      <c r="F374" s="15">
        <f>IF(C374=1,N(INDEX($D$16:$D$35,D374)),0)</f>
        <v/>
      </c>
      <c r="G374" s="30">
        <f>($B$10+F374)/(1+F374/(1000*$B$11))</f>
        <v/>
      </c>
      <c r="H374" s="30">
        <f>F374/(1+F374/(1000*$B$11))</f>
        <v/>
      </c>
      <c r="I374" s="37">
        <f>M373</f>
        <v/>
      </c>
      <c r="J374" s="37">
        <f>N373</f>
        <v/>
      </c>
      <c r="K374" s="16">
        <f>(E374/60)/($B$3*PI()/4*(I374/1000)^2)</f>
        <v/>
      </c>
      <c r="L374" s="23">
        <f>C374*$B$7*H374*K374^2*$B$9*60*1000</f>
        <v/>
      </c>
      <c r="M374" s="37">
        <f>I374+L374</f>
        <v/>
      </c>
      <c r="N374" s="37">
        <f>MIN($B$6,J374+C374*$B$8*H374*K374^2*(1-J374/$B$6)*$B$9*60)</f>
        <v/>
      </c>
      <c r="O374" s="11">
        <f>IF(C374=1,Inputs!$B$12*G374*E374^2/($B$3^2*M374^4*N374^2),NA())</f>
        <v/>
      </c>
      <c r="P374" s="30">
        <f>P373+C374*E374/(1+F374/(1000*$B$11))*F374*$B$9/$B$3</f>
        <v/>
      </c>
      <c r="Q374" s="38">
        <f>C374*H374*(E374/60)^2*$B$9*60</f>
        <v/>
      </c>
    </row>
    <row r="375">
      <c r="A375" s="7" t="n">
        <v>315</v>
      </c>
      <c r="B375" s="30">
        <f>A375*$B$9</f>
        <v/>
      </c>
      <c r="C375" s="15">
        <f>IF(B375&lt;=$B$12+0.000000001,1,0)</f>
        <v/>
      </c>
      <c r="D375" s="15">
        <f>IF(C375=1,MATCH(B375-$B$9/2,$E$16:$E$35,1),0)</f>
        <v/>
      </c>
      <c r="E375" s="16">
        <f>IF(C375=1,INDEX($C$16:$C$35,D375),0)</f>
        <v/>
      </c>
      <c r="F375" s="15">
        <f>IF(C375=1,N(INDEX($D$16:$D$35,D375)),0)</f>
        <v/>
      </c>
      <c r="G375" s="30">
        <f>($B$10+F375)/(1+F375/(1000*$B$11))</f>
        <v/>
      </c>
      <c r="H375" s="30">
        <f>F375/(1+F375/(1000*$B$11))</f>
        <v/>
      </c>
      <c r="I375" s="37">
        <f>M374</f>
        <v/>
      </c>
      <c r="J375" s="37">
        <f>N374</f>
        <v/>
      </c>
      <c r="K375" s="16">
        <f>(E375/60)/($B$3*PI()/4*(I375/1000)^2)</f>
        <v/>
      </c>
      <c r="L375" s="23">
        <f>C375*$B$7*H375*K375^2*$B$9*60*1000</f>
        <v/>
      </c>
      <c r="M375" s="37">
        <f>I375+L375</f>
        <v/>
      </c>
      <c r="N375" s="37">
        <f>MIN($B$6,J375+C375*$B$8*H375*K375^2*(1-J375/$B$6)*$B$9*60)</f>
        <v/>
      </c>
      <c r="O375" s="11">
        <f>IF(C375=1,Inputs!$B$12*G375*E375^2/($B$3^2*M375^4*N375^2),NA())</f>
        <v/>
      </c>
      <c r="P375" s="30">
        <f>P374+C375*E375/(1+F375/(1000*$B$11))*F375*$B$9/$B$3</f>
        <v/>
      </c>
      <c r="Q375" s="38">
        <f>C375*H375*(E375/60)^2*$B$9*60</f>
        <v/>
      </c>
    </row>
    <row r="376">
      <c r="A376" s="7" t="n">
        <v>316</v>
      </c>
      <c r="B376" s="30">
        <f>A376*$B$9</f>
        <v/>
      </c>
      <c r="C376" s="15">
        <f>IF(B376&lt;=$B$12+0.000000001,1,0)</f>
        <v/>
      </c>
      <c r="D376" s="15">
        <f>IF(C376=1,MATCH(B376-$B$9/2,$E$16:$E$35,1),0)</f>
        <v/>
      </c>
      <c r="E376" s="16">
        <f>IF(C376=1,INDEX($C$16:$C$35,D376),0)</f>
        <v/>
      </c>
      <c r="F376" s="15">
        <f>IF(C376=1,N(INDEX($D$16:$D$35,D376)),0)</f>
        <v/>
      </c>
      <c r="G376" s="30">
        <f>($B$10+F376)/(1+F376/(1000*$B$11))</f>
        <v/>
      </c>
      <c r="H376" s="30">
        <f>F376/(1+F376/(1000*$B$11))</f>
        <v/>
      </c>
      <c r="I376" s="37">
        <f>M375</f>
        <v/>
      </c>
      <c r="J376" s="37">
        <f>N375</f>
        <v/>
      </c>
      <c r="K376" s="16">
        <f>(E376/60)/($B$3*PI()/4*(I376/1000)^2)</f>
        <v/>
      </c>
      <c r="L376" s="23">
        <f>C376*$B$7*H376*K376^2*$B$9*60*1000</f>
        <v/>
      </c>
      <c r="M376" s="37">
        <f>I376+L376</f>
        <v/>
      </c>
      <c r="N376" s="37">
        <f>MIN($B$6,J376+C376*$B$8*H376*K376^2*(1-J376/$B$6)*$B$9*60)</f>
        <v/>
      </c>
      <c r="O376" s="11">
        <f>IF(C376=1,Inputs!$B$12*G376*E376^2/($B$3^2*M376^4*N376^2),NA())</f>
        <v/>
      </c>
      <c r="P376" s="30">
        <f>P375+C376*E376/(1+F376/(1000*$B$11))*F376*$B$9/$B$3</f>
        <v/>
      </c>
      <c r="Q376" s="38">
        <f>C376*H376*(E376/60)^2*$B$9*60</f>
        <v/>
      </c>
    </row>
    <row r="377">
      <c r="A377" s="7" t="n">
        <v>317</v>
      </c>
      <c r="B377" s="30">
        <f>A377*$B$9</f>
        <v/>
      </c>
      <c r="C377" s="15">
        <f>IF(B377&lt;=$B$12+0.000000001,1,0)</f>
        <v/>
      </c>
      <c r="D377" s="15">
        <f>IF(C377=1,MATCH(B377-$B$9/2,$E$16:$E$35,1),0)</f>
        <v/>
      </c>
      <c r="E377" s="16">
        <f>IF(C377=1,INDEX($C$16:$C$35,D377),0)</f>
        <v/>
      </c>
      <c r="F377" s="15">
        <f>IF(C377=1,N(INDEX($D$16:$D$35,D377)),0)</f>
        <v/>
      </c>
      <c r="G377" s="30">
        <f>($B$10+F377)/(1+F377/(1000*$B$11))</f>
        <v/>
      </c>
      <c r="H377" s="30">
        <f>F377/(1+F377/(1000*$B$11))</f>
        <v/>
      </c>
      <c r="I377" s="37">
        <f>M376</f>
        <v/>
      </c>
      <c r="J377" s="37">
        <f>N376</f>
        <v/>
      </c>
      <c r="K377" s="16">
        <f>(E377/60)/($B$3*PI()/4*(I377/1000)^2)</f>
        <v/>
      </c>
      <c r="L377" s="23">
        <f>C377*$B$7*H377*K377^2*$B$9*60*1000</f>
        <v/>
      </c>
      <c r="M377" s="37">
        <f>I377+L377</f>
        <v/>
      </c>
      <c r="N377" s="37">
        <f>MIN($B$6,J377+C377*$B$8*H377*K377^2*(1-J377/$B$6)*$B$9*60)</f>
        <v/>
      </c>
      <c r="O377" s="11">
        <f>IF(C377=1,Inputs!$B$12*G377*E377^2/($B$3^2*M377^4*N377^2),NA())</f>
        <v/>
      </c>
      <c r="P377" s="30">
        <f>P376+C377*E377/(1+F377/(1000*$B$11))*F377*$B$9/$B$3</f>
        <v/>
      </c>
      <c r="Q377" s="38">
        <f>C377*H377*(E377/60)^2*$B$9*60</f>
        <v/>
      </c>
    </row>
    <row r="378">
      <c r="A378" s="7" t="n">
        <v>318</v>
      </c>
      <c r="B378" s="30">
        <f>A378*$B$9</f>
        <v/>
      </c>
      <c r="C378" s="15">
        <f>IF(B378&lt;=$B$12+0.000000001,1,0)</f>
        <v/>
      </c>
      <c r="D378" s="15">
        <f>IF(C378=1,MATCH(B378-$B$9/2,$E$16:$E$35,1),0)</f>
        <v/>
      </c>
      <c r="E378" s="16">
        <f>IF(C378=1,INDEX($C$16:$C$35,D378),0)</f>
        <v/>
      </c>
      <c r="F378" s="15">
        <f>IF(C378=1,N(INDEX($D$16:$D$35,D378)),0)</f>
        <v/>
      </c>
      <c r="G378" s="30">
        <f>($B$10+F378)/(1+F378/(1000*$B$11))</f>
        <v/>
      </c>
      <c r="H378" s="30">
        <f>F378/(1+F378/(1000*$B$11))</f>
        <v/>
      </c>
      <c r="I378" s="37">
        <f>M377</f>
        <v/>
      </c>
      <c r="J378" s="37">
        <f>N377</f>
        <v/>
      </c>
      <c r="K378" s="16">
        <f>(E378/60)/($B$3*PI()/4*(I378/1000)^2)</f>
        <v/>
      </c>
      <c r="L378" s="23">
        <f>C378*$B$7*H378*K378^2*$B$9*60*1000</f>
        <v/>
      </c>
      <c r="M378" s="37">
        <f>I378+L378</f>
        <v/>
      </c>
      <c r="N378" s="37">
        <f>MIN($B$6,J378+C378*$B$8*H378*K378^2*(1-J378/$B$6)*$B$9*60)</f>
        <v/>
      </c>
      <c r="O378" s="11">
        <f>IF(C378=1,Inputs!$B$12*G378*E378^2/($B$3^2*M378^4*N378^2),NA())</f>
        <v/>
      </c>
      <c r="P378" s="30">
        <f>P377+C378*E378/(1+F378/(1000*$B$11))*F378*$B$9/$B$3</f>
        <v/>
      </c>
      <c r="Q378" s="38">
        <f>C378*H378*(E378/60)^2*$B$9*60</f>
        <v/>
      </c>
    </row>
    <row r="379">
      <c r="A379" s="7" t="n">
        <v>319</v>
      </c>
      <c r="B379" s="30">
        <f>A379*$B$9</f>
        <v/>
      </c>
      <c r="C379" s="15">
        <f>IF(B379&lt;=$B$12+0.000000001,1,0)</f>
        <v/>
      </c>
      <c r="D379" s="15">
        <f>IF(C379=1,MATCH(B379-$B$9/2,$E$16:$E$35,1),0)</f>
        <v/>
      </c>
      <c r="E379" s="16">
        <f>IF(C379=1,INDEX($C$16:$C$35,D379),0)</f>
        <v/>
      </c>
      <c r="F379" s="15">
        <f>IF(C379=1,N(INDEX($D$16:$D$35,D379)),0)</f>
        <v/>
      </c>
      <c r="G379" s="30">
        <f>($B$10+F379)/(1+F379/(1000*$B$11))</f>
        <v/>
      </c>
      <c r="H379" s="30">
        <f>F379/(1+F379/(1000*$B$11))</f>
        <v/>
      </c>
      <c r="I379" s="37">
        <f>M378</f>
        <v/>
      </c>
      <c r="J379" s="37">
        <f>N378</f>
        <v/>
      </c>
      <c r="K379" s="16">
        <f>(E379/60)/($B$3*PI()/4*(I379/1000)^2)</f>
        <v/>
      </c>
      <c r="L379" s="23">
        <f>C379*$B$7*H379*K379^2*$B$9*60*1000</f>
        <v/>
      </c>
      <c r="M379" s="37">
        <f>I379+L379</f>
        <v/>
      </c>
      <c r="N379" s="37">
        <f>MIN($B$6,J379+C379*$B$8*H379*K379^2*(1-J379/$B$6)*$B$9*60)</f>
        <v/>
      </c>
      <c r="O379" s="11">
        <f>IF(C379=1,Inputs!$B$12*G379*E379^2/($B$3^2*M379^4*N379^2),NA())</f>
        <v/>
      </c>
      <c r="P379" s="30">
        <f>P378+C379*E379/(1+F379/(1000*$B$11))*F379*$B$9/$B$3</f>
        <v/>
      </c>
      <c r="Q379" s="38">
        <f>C379*H379*(E379/60)^2*$B$9*60</f>
        <v/>
      </c>
    </row>
    <row r="380">
      <c r="A380" s="7" t="n">
        <v>320</v>
      </c>
      <c r="B380" s="30">
        <f>A380*$B$9</f>
        <v/>
      </c>
      <c r="C380" s="15">
        <f>IF(B380&lt;=$B$12+0.000000001,1,0)</f>
        <v/>
      </c>
      <c r="D380" s="15">
        <f>IF(C380=1,MATCH(B380-$B$9/2,$E$16:$E$35,1),0)</f>
        <v/>
      </c>
      <c r="E380" s="16">
        <f>IF(C380=1,INDEX($C$16:$C$35,D380),0)</f>
        <v/>
      </c>
      <c r="F380" s="15">
        <f>IF(C380=1,N(INDEX($D$16:$D$35,D380)),0)</f>
        <v/>
      </c>
      <c r="G380" s="30">
        <f>($B$10+F380)/(1+F380/(1000*$B$11))</f>
        <v/>
      </c>
      <c r="H380" s="30">
        <f>F380/(1+F380/(1000*$B$11))</f>
        <v/>
      </c>
      <c r="I380" s="37">
        <f>M379</f>
        <v/>
      </c>
      <c r="J380" s="37">
        <f>N379</f>
        <v/>
      </c>
      <c r="K380" s="16">
        <f>(E380/60)/($B$3*PI()/4*(I380/1000)^2)</f>
        <v/>
      </c>
      <c r="L380" s="23">
        <f>C380*$B$7*H380*K380^2*$B$9*60*1000</f>
        <v/>
      </c>
      <c r="M380" s="37">
        <f>I380+L380</f>
        <v/>
      </c>
      <c r="N380" s="37">
        <f>MIN($B$6,J380+C380*$B$8*H380*K380^2*(1-J380/$B$6)*$B$9*60)</f>
        <v/>
      </c>
      <c r="O380" s="11">
        <f>IF(C380=1,Inputs!$B$12*G380*E380^2/($B$3^2*M380^4*N380^2),NA())</f>
        <v/>
      </c>
      <c r="P380" s="30">
        <f>P379+C380*E380/(1+F380/(1000*$B$11))*F380*$B$9/$B$3</f>
        <v/>
      </c>
      <c r="Q380" s="38">
        <f>C380*H380*(E380/60)^2*$B$9*60</f>
        <v/>
      </c>
    </row>
    <row r="381">
      <c r="A381" s="7" t="n">
        <v>321</v>
      </c>
      <c r="B381" s="30">
        <f>A381*$B$9</f>
        <v/>
      </c>
      <c r="C381" s="15">
        <f>IF(B381&lt;=$B$12+0.000000001,1,0)</f>
        <v/>
      </c>
      <c r="D381" s="15">
        <f>IF(C381=1,MATCH(B381-$B$9/2,$E$16:$E$35,1),0)</f>
        <v/>
      </c>
      <c r="E381" s="16">
        <f>IF(C381=1,INDEX($C$16:$C$35,D381),0)</f>
        <v/>
      </c>
      <c r="F381" s="15">
        <f>IF(C381=1,N(INDEX($D$16:$D$35,D381)),0)</f>
        <v/>
      </c>
      <c r="G381" s="30">
        <f>($B$10+F381)/(1+F381/(1000*$B$11))</f>
        <v/>
      </c>
      <c r="H381" s="30">
        <f>F381/(1+F381/(1000*$B$11))</f>
        <v/>
      </c>
      <c r="I381" s="37">
        <f>M380</f>
        <v/>
      </c>
      <c r="J381" s="37">
        <f>N380</f>
        <v/>
      </c>
      <c r="K381" s="16">
        <f>(E381/60)/($B$3*PI()/4*(I381/1000)^2)</f>
        <v/>
      </c>
      <c r="L381" s="23">
        <f>C381*$B$7*H381*K381^2*$B$9*60*1000</f>
        <v/>
      </c>
      <c r="M381" s="37">
        <f>I381+L381</f>
        <v/>
      </c>
      <c r="N381" s="37">
        <f>MIN($B$6,J381+C381*$B$8*H381*K381^2*(1-J381/$B$6)*$B$9*60)</f>
        <v/>
      </c>
      <c r="O381" s="11">
        <f>IF(C381=1,Inputs!$B$12*G381*E381^2/($B$3^2*M381^4*N381^2),NA())</f>
        <v/>
      </c>
      <c r="P381" s="30">
        <f>P380+C381*E381/(1+F381/(1000*$B$11))*F381*$B$9/$B$3</f>
        <v/>
      </c>
      <c r="Q381" s="38">
        <f>C381*H381*(E381/60)^2*$B$9*60</f>
        <v/>
      </c>
    </row>
    <row r="382">
      <c r="A382" s="7" t="n">
        <v>322</v>
      </c>
      <c r="B382" s="30">
        <f>A382*$B$9</f>
        <v/>
      </c>
      <c r="C382" s="15">
        <f>IF(B382&lt;=$B$12+0.000000001,1,0)</f>
        <v/>
      </c>
      <c r="D382" s="15">
        <f>IF(C382=1,MATCH(B382-$B$9/2,$E$16:$E$35,1),0)</f>
        <v/>
      </c>
      <c r="E382" s="16">
        <f>IF(C382=1,INDEX($C$16:$C$35,D382),0)</f>
        <v/>
      </c>
      <c r="F382" s="15">
        <f>IF(C382=1,N(INDEX($D$16:$D$35,D382)),0)</f>
        <v/>
      </c>
      <c r="G382" s="30">
        <f>($B$10+F382)/(1+F382/(1000*$B$11))</f>
        <v/>
      </c>
      <c r="H382" s="30">
        <f>F382/(1+F382/(1000*$B$11))</f>
        <v/>
      </c>
      <c r="I382" s="37">
        <f>M381</f>
        <v/>
      </c>
      <c r="J382" s="37">
        <f>N381</f>
        <v/>
      </c>
      <c r="K382" s="16">
        <f>(E382/60)/($B$3*PI()/4*(I382/1000)^2)</f>
        <v/>
      </c>
      <c r="L382" s="23">
        <f>C382*$B$7*H382*K382^2*$B$9*60*1000</f>
        <v/>
      </c>
      <c r="M382" s="37">
        <f>I382+L382</f>
        <v/>
      </c>
      <c r="N382" s="37">
        <f>MIN($B$6,J382+C382*$B$8*H382*K382^2*(1-J382/$B$6)*$B$9*60)</f>
        <v/>
      </c>
      <c r="O382" s="11">
        <f>IF(C382=1,Inputs!$B$12*G382*E382^2/($B$3^2*M382^4*N382^2),NA())</f>
        <v/>
      </c>
      <c r="P382" s="30">
        <f>P381+C382*E382/(1+F382/(1000*$B$11))*F382*$B$9/$B$3</f>
        <v/>
      </c>
      <c r="Q382" s="38">
        <f>C382*H382*(E382/60)^2*$B$9*60</f>
        <v/>
      </c>
    </row>
    <row r="383">
      <c r="A383" s="7" t="n">
        <v>323</v>
      </c>
      <c r="B383" s="30">
        <f>A383*$B$9</f>
        <v/>
      </c>
      <c r="C383" s="15">
        <f>IF(B383&lt;=$B$12+0.000000001,1,0)</f>
        <v/>
      </c>
      <c r="D383" s="15">
        <f>IF(C383=1,MATCH(B383-$B$9/2,$E$16:$E$35,1),0)</f>
        <v/>
      </c>
      <c r="E383" s="16">
        <f>IF(C383=1,INDEX($C$16:$C$35,D383),0)</f>
        <v/>
      </c>
      <c r="F383" s="15">
        <f>IF(C383=1,N(INDEX($D$16:$D$35,D383)),0)</f>
        <v/>
      </c>
      <c r="G383" s="30">
        <f>($B$10+F383)/(1+F383/(1000*$B$11))</f>
        <v/>
      </c>
      <c r="H383" s="30">
        <f>F383/(1+F383/(1000*$B$11))</f>
        <v/>
      </c>
      <c r="I383" s="37">
        <f>M382</f>
        <v/>
      </c>
      <c r="J383" s="37">
        <f>N382</f>
        <v/>
      </c>
      <c r="K383" s="16">
        <f>(E383/60)/($B$3*PI()/4*(I383/1000)^2)</f>
        <v/>
      </c>
      <c r="L383" s="23">
        <f>C383*$B$7*H383*K383^2*$B$9*60*1000</f>
        <v/>
      </c>
      <c r="M383" s="37">
        <f>I383+L383</f>
        <v/>
      </c>
      <c r="N383" s="37">
        <f>MIN($B$6,J383+C383*$B$8*H383*K383^2*(1-J383/$B$6)*$B$9*60)</f>
        <v/>
      </c>
      <c r="O383" s="11">
        <f>IF(C383=1,Inputs!$B$12*G383*E383^2/($B$3^2*M383^4*N383^2),NA())</f>
        <v/>
      </c>
      <c r="P383" s="30">
        <f>P382+C383*E383/(1+F383/(1000*$B$11))*F383*$B$9/$B$3</f>
        <v/>
      </c>
      <c r="Q383" s="38">
        <f>C383*H383*(E383/60)^2*$B$9*60</f>
        <v/>
      </c>
    </row>
    <row r="384">
      <c r="A384" s="7" t="n">
        <v>324</v>
      </c>
      <c r="B384" s="30">
        <f>A384*$B$9</f>
        <v/>
      </c>
      <c r="C384" s="15">
        <f>IF(B384&lt;=$B$12+0.000000001,1,0)</f>
        <v/>
      </c>
      <c r="D384" s="15">
        <f>IF(C384=1,MATCH(B384-$B$9/2,$E$16:$E$35,1),0)</f>
        <v/>
      </c>
      <c r="E384" s="16">
        <f>IF(C384=1,INDEX($C$16:$C$35,D384),0)</f>
        <v/>
      </c>
      <c r="F384" s="15">
        <f>IF(C384=1,N(INDEX($D$16:$D$35,D384)),0)</f>
        <v/>
      </c>
      <c r="G384" s="30">
        <f>($B$10+F384)/(1+F384/(1000*$B$11))</f>
        <v/>
      </c>
      <c r="H384" s="30">
        <f>F384/(1+F384/(1000*$B$11))</f>
        <v/>
      </c>
      <c r="I384" s="37">
        <f>M383</f>
        <v/>
      </c>
      <c r="J384" s="37">
        <f>N383</f>
        <v/>
      </c>
      <c r="K384" s="16">
        <f>(E384/60)/($B$3*PI()/4*(I384/1000)^2)</f>
        <v/>
      </c>
      <c r="L384" s="23">
        <f>C384*$B$7*H384*K384^2*$B$9*60*1000</f>
        <v/>
      </c>
      <c r="M384" s="37">
        <f>I384+L384</f>
        <v/>
      </c>
      <c r="N384" s="37">
        <f>MIN($B$6,J384+C384*$B$8*H384*K384^2*(1-J384/$B$6)*$B$9*60)</f>
        <v/>
      </c>
      <c r="O384" s="11">
        <f>IF(C384=1,Inputs!$B$12*G384*E384^2/($B$3^2*M384^4*N384^2),NA())</f>
        <v/>
      </c>
      <c r="P384" s="30">
        <f>P383+C384*E384/(1+F384/(1000*$B$11))*F384*$B$9/$B$3</f>
        <v/>
      </c>
      <c r="Q384" s="38">
        <f>C384*H384*(E384/60)^2*$B$9*60</f>
        <v/>
      </c>
    </row>
    <row r="385">
      <c r="A385" s="7" t="n">
        <v>325</v>
      </c>
      <c r="B385" s="30">
        <f>A385*$B$9</f>
        <v/>
      </c>
      <c r="C385" s="15">
        <f>IF(B385&lt;=$B$12+0.000000001,1,0)</f>
        <v/>
      </c>
      <c r="D385" s="15">
        <f>IF(C385=1,MATCH(B385-$B$9/2,$E$16:$E$35,1),0)</f>
        <v/>
      </c>
      <c r="E385" s="16">
        <f>IF(C385=1,INDEX($C$16:$C$35,D385),0)</f>
        <v/>
      </c>
      <c r="F385" s="15">
        <f>IF(C385=1,N(INDEX($D$16:$D$35,D385)),0)</f>
        <v/>
      </c>
      <c r="G385" s="30">
        <f>($B$10+F385)/(1+F385/(1000*$B$11))</f>
        <v/>
      </c>
      <c r="H385" s="30">
        <f>F385/(1+F385/(1000*$B$11))</f>
        <v/>
      </c>
      <c r="I385" s="37">
        <f>M384</f>
        <v/>
      </c>
      <c r="J385" s="37">
        <f>N384</f>
        <v/>
      </c>
      <c r="K385" s="16">
        <f>(E385/60)/($B$3*PI()/4*(I385/1000)^2)</f>
        <v/>
      </c>
      <c r="L385" s="23">
        <f>C385*$B$7*H385*K385^2*$B$9*60*1000</f>
        <v/>
      </c>
      <c r="M385" s="37">
        <f>I385+L385</f>
        <v/>
      </c>
      <c r="N385" s="37">
        <f>MIN($B$6,J385+C385*$B$8*H385*K385^2*(1-J385/$B$6)*$B$9*60)</f>
        <v/>
      </c>
      <c r="O385" s="11">
        <f>IF(C385=1,Inputs!$B$12*G385*E385^2/($B$3^2*M385^4*N385^2),NA())</f>
        <v/>
      </c>
      <c r="P385" s="30">
        <f>P384+C385*E385/(1+F385/(1000*$B$11))*F385*$B$9/$B$3</f>
        <v/>
      </c>
      <c r="Q385" s="38">
        <f>C385*H385*(E385/60)^2*$B$9*60</f>
        <v/>
      </c>
    </row>
    <row r="386">
      <c r="A386" s="7" t="n">
        <v>326</v>
      </c>
      <c r="B386" s="30">
        <f>A386*$B$9</f>
        <v/>
      </c>
      <c r="C386" s="15">
        <f>IF(B386&lt;=$B$12+0.000000001,1,0)</f>
        <v/>
      </c>
      <c r="D386" s="15">
        <f>IF(C386=1,MATCH(B386-$B$9/2,$E$16:$E$35,1),0)</f>
        <v/>
      </c>
      <c r="E386" s="16">
        <f>IF(C386=1,INDEX($C$16:$C$35,D386),0)</f>
        <v/>
      </c>
      <c r="F386" s="15">
        <f>IF(C386=1,N(INDEX($D$16:$D$35,D386)),0)</f>
        <v/>
      </c>
      <c r="G386" s="30">
        <f>($B$10+F386)/(1+F386/(1000*$B$11))</f>
        <v/>
      </c>
      <c r="H386" s="30">
        <f>F386/(1+F386/(1000*$B$11))</f>
        <v/>
      </c>
      <c r="I386" s="37">
        <f>M385</f>
        <v/>
      </c>
      <c r="J386" s="37">
        <f>N385</f>
        <v/>
      </c>
      <c r="K386" s="16">
        <f>(E386/60)/($B$3*PI()/4*(I386/1000)^2)</f>
        <v/>
      </c>
      <c r="L386" s="23">
        <f>C386*$B$7*H386*K386^2*$B$9*60*1000</f>
        <v/>
      </c>
      <c r="M386" s="37">
        <f>I386+L386</f>
        <v/>
      </c>
      <c r="N386" s="37">
        <f>MIN($B$6,J386+C386*$B$8*H386*K386^2*(1-J386/$B$6)*$B$9*60)</f>
        <v/>
      </c>
      <c r="O386" s="11">
        <f>IF(C386=1,Inputs!$B$12*G386*E386^2/($B$3^2*M386^4*N386^2),NA())</f>
        <v/>
      </c>
      <c r="P386" s="30">
        <f>P385+C386*E386/(1+F386/(1000*$B$11))*F386*$B$9/$B$3</f>
        <v/>
      </c>
      <c r="Q386" s="38">
        <f>C386*H386*(E386/60)^2*$B$9*60</f>
        <v/>
      </c>
    </row>
    <row r="387">
      <c r="A387" s="7" t="n">
        <v>327</v>
      </c>
      <c r="B387" s="30">
        <f>A387*$B$9</f>
        <v/>
      </c>
      <c r="C387" s="15">
        <f>IF(B387&lt;=$B$12+0.000000001,1,0)</f>
        <v/>
      </c>
      <c r="D387" s="15">
        <f>IF(C387=1,MATCH(B387-$B$9/2,$E$16:$E$35,1),0)</f>
        <v/>
      </c>
      <c r="E387" s="16">
        <f>IF(C387=1,INDEX($C$16:$C$35,D387),0)</f>
        <v/>
      </c>
      <c r="F387" s="15">
        <f>IF(C387=1,N(INDEX($D$16:$D$35,D387)),0)</f>
        <v/>
      </c>
      <c r="G387" s="30">
        <f>($B$10+F387)/(1+F387/(1000*$B$11))</f>
        <v/>
      </c>
      <c r="H387" s="30">
        <f>F387/(1+F387/(1000*$B$11))</f>
        <v/>
      </c>
      <c r="I387" s="37">
        <f>M386</f>
        <v/>
      </c>
      <c r="J387" s="37">
        <f>N386</f>
        <v/>
      </c>
      <c r="K387" s="16">
        <f>(E387/60)/($B$3*PI()/4*(I387/1000)^2)</f>
        <v/>
      </c>
      <c r="L387" s="23">
        <f>C387*$B$7*H387*K387^2*$B$9*60*1000</f>
        <v/>
      </c>
      <c r="M387" s="37">
        <f>I387+L387</f>
        <v/>
      </c>
      <c r="N387" s="37">
        <f>MIN($B$6,J387+C387*$B$8*H387*K387^2*(1-J387/$B$6)*$B$9*60)</f>
        <v/>
      </c>
      <c r="O387" s="11">
        <f>IF(C387=1,Inputs!$B$12*G387*E387^2/($B$3^2*M387^4*N387^2),NA())</f>
        <v/>
      </c>
      <c r="P387" s="30">
        <f>P386+C387*E387/(1+F387/(1000*$B$11))*F387*$B$9/$B$3</f>
        <v/>
      </c>
      <c r="Q387" s="38">
        <f>C387*H387*(E387/60)^2*$B$9*60</f>
        <v/>
      </c>
    </row>
    <row r="388">
      <c r="A388" s="7" t="n">
        <v>328</v>
      </c>
      <c r="B388" s="30">
        <f>A388*$B$9</f>
        <v/>
      </c>
      <c r="C388" s="15">
        <f>IF(B388&lt;=$B$12+0.000000001,1,0)</f>
        <v/>
      </c>
      <c r="D388" s="15">
        <f>IF(C388=1,MATCH(B388-$B$9/2,$E$16:$E$35,1),0)</f>
        <v/>
      </c>
      <c r="E388" s="16">
        <f>IF(C388=1,INDEX($C$16:$C$35,D388),0)</f>
        <v/>
      </c>
      <c r="F388" s="15">
        <f>IF(C388=1,N(INDEX($D$16:$D$35,D388)),0)</f>
        <v/>
      </c>
      <c r="G388" s="30">
        <f>($B$10+F388)/(1+F388/(1000*$B$11))</f>
        <v/>
      </c>
      <c r="H388" s="30">
        <f>F388/(1+F388/(1000*$B$11))</f>
        <v/>
      </c>
      <c r="I388" s="37">
        <f>M387</f>
        <v/>
      </c>
      <c r="J388" s="37">
        <f>N387</f>
        <v/>
      </c>
      <c r="K388" s="16">
        <f>(E388/60)/($B$3*PI()/4*(I388/1000)^2)</f>
        <v/>
      </c>
      <c r="L388" s="23">
        <f>C388*$B$7*H388*K388^2*$B$9*60*1000</f>
        <v/>
      </c>
      <c r="M388" s="37">
        <f>I388+L388</f>
        <v/>
      </c>
      <c r="N388" s="37">
        <f>MIN($B$6,J388+C388*$B$8*H388*K388^2*(1-J388/$B$6)*$B$9*60)</f>
        <v/>
      </c>
      <c r="O388" s="11">
        <f>IF(C388=1,Inputs!$B$12*G388*E388^2/($B$3^2*M388^4*N388^2),NA())</f>
        <v/>
      </c>
      <c r="P388" s="30">
        <f>P387+C388*E388/(1+F388/(1000*$B$11))*F388*$B$9/$B$3</f>
        <v/>
      </c>
      <c r="Q388" s="38">
        <f>C388*H388*(E388/60)^2*$B$9*60</f>
        <v/>
      </c>
    </row>
    <row r="389">
      <c r="A389" s="7" t="n">
        <v>329</v>
      </c>
      <c r="B389" s="30">
        <f>A389*$B$9</f>
        <v/>
      </c>
      <c r="C389" s="15">
        <f>IF(B389&lt;=$B$12+0.000000001,1,0)</f>
        <v/>
      </c>
      <c r="D389" s="15">
        <f>IF(C389=1,MATCH(B389-$B$9/2,$E$16:$E$35,1),0)</f>
        <v/>
      </c>
      <c r="E389" s="16">
        <f>IF(C389=1,INDEX($C$16:$C$35,D389),0)</f>
        <v/>
      </c>
      <c r="F389" s="15">
        <f>IF(C389=1,N(INDEX($D$16:$D$35,D389)),0)</f>
        <v/>
      </c>
      <c r="G389" s="30">
        <f>($B$10+F389)/(1+F389/(1000*$B$11))</f>
        <v/>
      </c>
      <c r="H389" s="30">
        <f>F389/(1+F389/(1000*$B$11))</f>
        <v/>
      </c>
      <c r="I389" s="37">
        <f>M388</f>
        <v/>
      </c>
      <c r="J389" s="37">
        <f>N388</f>
        <v/>
      </c>
      <c r="K389" s="16">
        <f>(E389/60)/($B$3*PI()/4*(I389/1000)^2)</f>
        <v/>
      </c>
      <c r="L389" s="23">
        <f>C389*$B$7*H389*K389^2*$B$9*60*1000</f>
        <v/>
      </c>
      <c r="M389" s="37">
        <f>I389+L389</f>
        <v/>
      </c>
      <c r="N389" s="37">
        <f>MIN($B$6,J389+C389*$B$8*H389*K389^2*(1-J389/$B$6)*$B$9*60)</f>
        <v/>
      </c>
      <c r="O389" s="11">
        <f>IF(C389=1,Inputs!$B$12*G389*E389^2/($B$3^2*M389^4*N389^2),NA())</f>
        <v/>
      </c>
      <c r="P389" s="30">
        <f>P388+C389*E389/(1+F389/(1000*$B$11))*F389*$B$9/$B$3</f>
        <v/>
      </c>
      <c r="Q389" s="38">
        <f>C389*H389*(E389/60)^2*$B$9*60</f>
        <v/>
      </c>
    </row>
    <row r="390">
      <c r="A390" s="7" t="n">
        <v>330</v>
      </c>
      <c r="B390" s="30">
        <f>A390*$B$9</f>
        <v/>
      </c>
      <c r="C390" s="15">
        <f>IF(B390&lt;=$B$12+0.000000001,1,0)</f>
        <v/>
      </c>
      <c r="D390" s="15">
        <f>IF(C390=1,MATCH(B390-$B$9/2,$E$16:$E$35,1),0)</f>
        <v/>
      </c>
      <c r="E390" s="16">
        <f>IF(C390=1,INDEX($C$16:$C$35,D390),0)</f>
        <v/>
      </c>
      <c r="F390" s="15">
        <f>IF(C390=1,N(INDEX($D$16:$D$35,D390)),0)</f>
        <v/>
      </c>
      <c r="G390" s="30">
        <f>($B$10+F390)/(1+F390/(1000*$B$11))</f>
        <v/>
      </c>
      <c r="H390" s="30">
        <f>F390/(1+F390/(1000*$B$11))</f>
        <v/>
      </c>
      <c r="I390" s="37">
        <f>M389</f>
        <v/>
      </c>
      <c r="J390" s="37">
        <f>N389</f>
        <v/>
      </c>
      <c r="K390" s="16">
        <f>(E390/60)/($B$3*PI()/4*(I390/1000)^2)</f>
        <v/>
      </c>
      <c r="L390" s="23">
        <f>C390*$B$7*H390*K390^2*$B$9*60*1000</f>
        <v/>
      </c>
      <c r="M390" s="37">
        <f>I390+L390</f>
        <v/>
      </c>
      <c r="N390" s="37">
        <f>MIN($B$6,J390+C390*$B$8*H390*K390^2*(1-J390/$B$6)*$B$9*60)</f>
        <v/>
      </c>
      <c r="O390" s="11">
        <f>IF(C390=1,Inputs!$B$12*G390*E390^2/($B$3^2*M390^4*N390^2),NA())</f>
        <v/>
      </c>
      <c r="P390" s="30">
        <f>P389+C390*E390/(1+F390/(1000*$B$11))*F390*$B$9/$B$3</f>
        <v/>
      </c>
      <c r="Q390" s="38">
        <f>C390*H390*(E390/60)^2*$B$9*60</f>
        <v/>
      </c>
    </row>
    <row r="391">
      <c r="A391" s="7" t="n">
        <v>331</v>
      </c>
      <c r="B391" s="30">
        <f>A391*$B$9</f>
        <v/>
      </c>
      <c r="C391" s="15">
        <f>IF(B391&lt;=$B$12+0.000000001,1,0)</f>
        <v/>
      </c>
      <c r="D391" s="15">
        <f>IF(C391=1,MATCH(B391-$B$9/2,$E$16:$E$35,1),0)</f>
        <v/>
      </c>
      <c r="E391" s="16">
        <f>IF(C391=1,INDEX($C$16:$C$35,D391),0)</f>
        <v/>
      </c>
      <c r="F391" s="15">
        <f>IF(C391=1,N(INDEX($D$16:$D$35,D391)),0)</f>
        <v/>
      </c>
      <c r="G391" s="30">
        <f>($B$10+F391)/(1+F391/(1000*$B$11))</f>
        <v/>
      </c>
      <c r="H391" s="30">
        <f>F391/(1+F391/(1000*$B$11))</f>
        <v/>
      </c>
      <c r="I391" s="37">
        <f>M390</f>
        <v/>
      </c>
      <c r="J391" s="37">
        <f>N390</f>
        <v/>
      </c>
      <c r="K391" s="16">
        <f>(E391/60)/($B$3*PI()/4*(I391/1000)^2)</f>
        <v/>
      </c>
      <c r="L391" s="23">
        <f>C391*$B$7*H391*K391^2*$B$9*60*1000</f>
        <v/>
      </c>
      <c r="M391" s="37">
        <f>I391+L391</f>
        <v/>
      </c>
      <c r="N391" s="37">
        <f>MIN($B$6,J391+C391*$B$8*H391*K391^2*(1-J391/$B$6)*$B$9*60)</f>
        <v/>
      </c>
      <c r="O391" s="11">
        <f>IF(C391=1,Inputs!$B$12*G391*E391^2/($B$3^2*M391^4*N391^2),NA())</f>
        <v/>
      </c>
      <c r="P391" s="30">
        <f>P390+C391*E391/(1+F391/(1000*$B$11))*F391*$B$9/$B$3</f>
        <v/>
      </c>
      <c r="Q391" s="38">
        <f>C391*H391*(E391/60)^2*$B$9*60</f>
        <v/>
      </c>
    </row>
    <row r="392">
      <c r="A392" s="7" t="n">
        <v>332</v>
      </c>
      <c r="B392" s="30">
        <f>A392*$B$9</f>
        <v/>
      </c>
      <c r="C392" s="15">
        <f>IF(B392&lt;=$B$12+0.000000001,1,0)</f>
        <v/>
      </c>
      <c r="D392" s="15">
        <f>IF(C392=1,MATCH(B392-$B$9/2,$E$16:$E$35,1),0)</f>
        <v/>
      </c>
      <c r="E392" s="16">
        <f>IF(C392=1,INDEX($C$16:$C$35,D392),0)</f>
        <v/>
      </c>
      <c r="F392" s="15">
        <f>IF(C392=1,N(INDEX($D$16:$D$35,D392)),0)</f>
        <v/>
      </c>
      <c r="G392" s="30">
        <f>($B$10+F392)/(1+F392/(1000*$B$11))</f>
        <v/>
      </c>
      <c r="H392" s="30">
        <f>F392/(1+F392/(1000*$B$11))</f>
        <v/>
      </c>
      <c r="I392" s="37">
        <f>M391</f>
        <v/>
      </c>
      <c r="J392" s="37">
        <f>N391</f>
        <v/>
      </c>
      <c r="K392" s="16">
        <f>(E392/60)/($B$3*PI()/4*(I392/1000)^2)</f>
        <v/>
      </c>
      <c r="L392" s="23">
        <f>C392*$B$7*H392*K392^2*$B$9*60*1000</f>
        <v/>
      </c>
      <c r="M392" s="37">
        <f>I392+L392</f>
        <v/>
      </c>
      <c r="N392" s="37">
        <f>MIN($B$6,J392+C392*$B$8*H392*K392^2*(1-J392/$B$6)*$B$9*60)</f>
        <v/>
      </c>
      <c r="O392" s="11">
        <f>IF(C392=1,Inputs!$B$12*G392*E392^2/($B$3^2*M392^4*N392^2),NA())</f>
        <v/>
      </c>
      <c r="P392" s="30">
        <f>P391+C392*E392/(1+F392/(1000*$B$11))*F392*$B$9/$B$3</f>
        <v/>
      </c>
      <c r="Q392" s="38">
        <f>C392*H392*(E392/60)^2*$B$9*60</f>
        <v/>
      </c>
    </row>
    <row r="393">
      <c r="A393" s="7" t="n">
        <v>333</v>
      </c>
      <c r="B393" s="30">
        <f>A393*$B$9</f>
        <v/>
      </c>
      <c r="C393" s="15">
        <f>IF(B393&lt;=$B$12+0.000000001,1,0)</f>
        <v/>
      </c>
      <c r="D393" s="15">
        <f>IF(C393=1,MATCH(B393-$B$9/2,$E$16:$E$35,1),0)</f>
        <v/>
      </c>
      <c r="E393" s="16">
        <f>IF(C393=1,INDEX($C$16:$C$35,D393),0)</f>
        <v/>
      </c>
      <c r="F393" s="15">
        <f>IF(C393=1,N(INDEX($D$16:$D$35,D393)),0)</f>
        <v/>
      </c>
      <c r="G393" s="30">
        <f>($B$10+F393)/(1+F393/(1000*$B$11))</f>
        <v/>
      </c>
      <c r="H393" s="30">
        <f>F393/(1+F393/(1000*$B$11))</f>
        <v/>
      </c>
      <c r="I393" s="37">
        <f>M392</f>
        <v/>
      </c>
      <c r="J393" s="37">
        <f>N392</f>
        <v/>
      </c>
      <c r="K393" s="16">
        <f>(E393/60)/($B$3*PI()/4*(I393/1000)^2)</f>
        <v/>
      </c>
      <c r="L393" s="23">
        <f>C393*$B$7*H393*K393^2*$B$9*60*1000</f>
        <v/>
      </c>
      <c r="M393" s="37">
        <f>I393+L393</f>
        <v/>
      </c>
      <c r="N393" s="37">
        <f>MIN($B$6,J393+C393*$B$8*H393*K393^2*(1-J393/$B$6)*$B$9*60)</f>
        <v/>
      </c>
      <c r="O393" s="11">
        <f>IF(C393=1,Inputs!$B$12*G393*E393^2/($B$3^2*M393^4*N393^2),NA())</f>
        <v/>
      </c>
      <c r="P393" s="30">
        <f>P392+C393*E393/(1+F393/(1000*$B$11))*F393*$B$9/$B$3</f>
        <v/>
      </c>
      <c r="Q393" s="38">
        <f>C393*H393*(E393/60)^2*$B$9*60</f>
        <v/>
      </c>
    </row>
    <row r="394">
      <c r="A394" s="7" t="n">
        <v>334</v>
      </c>
      <c r="B394" s="30">
        <f>A394*$B$9</f>
        <v/>
      </c>
      <c r="C394" s="15">
        <f>IF(B394&lt;=$B$12+0.000000001,1,0)</f>
        <v/>
      </c>
      <c r="D394" s="15">
        <f>IF(C394=1,MATCH(B394-$B$9/2,$E$16:$E$35,1),0)</f>
        <v/>
      </c>
      <c r="E394" s="16">
        <f>IF(C394=1,INDEX($C$16:$C$35,D394),0)</f>
        <v/>
      </c>
      <c r="F394" s="15">
        <f>IF(C394=1,N(INDEX($D$16:$D$35,D394)),0)</f>
        <v/>
      </c>
      <c r="G394" s="30">
        <f>($B$10+F394)/(1+F394/(1000*$B$11))</f>
        <v/>
      </c>
      <c r="H394" s="30">
        <f>F394/(1+F394/(1000*$B$11))</f>
        <v/>
      </c>
      <c r="I394" s="37">
        <f>M393</f>
        <v/>
      </c>
      <c r="J394" s="37">
        <f>N393</f>
        <v/>
      </c>
      <c r="K394" s="16">
        <f>(E394/60)/($B$3*PI()/4*(I394/1000)^2)</f>
        <v/>
      </c>
      <c r="L394" s="23">
        <f>C394*$B$7*H394*K394^2*$B$9*60*1000</f>
        <v/>
      </c>
      <c r="M394" s="37">
        <f>I394+L394</f>
        <v/>
      </c>
      <c r="N394" s="37">
        <f>MIN($B$6,J394+C394*$B$8*H394*K394^2*(1-J394/$B$6)*$B$9*60)</f>
        <v/>
      </c>
      <c r="O394" s="11">
        <f>IF(C394=1,Inputs!$B$12*G394*E394^2/($B$3^2*M394^4*N394^2),NA())</f>
        <v/>
      </c>
      <c r="P394" s="30">
        <f>P393+C394*E394/(1+F394/(1000*$B$11))*F394*$B$9/$B$3</f>
        <v/>
      </c>
      <c r="Q394" s="38">
        <f>C394*H394*(E394/60)^2*$B$9*60</f>
        <v/>
      </c>
    </row>
    <row r="395">
      <c r="A395" s="7" t="n">
        <v>335</v>
      </c>
      <c r="B395" s="30">
        <f>A395*$B$9</f>
        <v/>
      </c>
      <c r="C395" s="15">
        <f>IF(B395&lt;=$B$12+0.000000001,1,0)</f>
        <v/>
      </c>
      <c r="D395" s="15">
        <f>IF(C395=1,MATCH(B395-$B$9/2,$E$16:$E$35,1),0)</f>
        <v/>
      </c>
      <c r="E395" s="16">
        <f>IF(C395=1,INDEX($C$16:$C$35,D395),0)</f>
        <v/>
      </c>
      <c r="F395" s="15">
        <f>IF(C395=1,N(INDEX($D$16:$D$35,D395)),0)</f>
        <v/>
      </c>
      <c r="G395" s="30">
        <f>($B$10+F395)/(1+F395/(1000*$B$11))</f>
        <v/>
      </c>
      <c r="H395" s="30">
        <f>F395/(1+F395/(1000*$B$11))</f>
        <v/>
      </c>
      <c r="I395" s="37">
        <f>M394</f>
        <v/>
      </c>
      <c r="J395" s="37">
        <f>N394</f>
        <v/>
      </c>
      <c r="K395" s="16">
        <f>(E395/60)/($B$3*PI()/4*(I395/1000)^2)</f>
        <v/>
      </c>
      <c r="L395" s="23">
        <f>C395*$B$7*H395*K395^2*$B$9*60*1000</f>
        <v/>
      </c>
      <c r="M395" s="37">
        <f>I395+L395</f>
        <v/>
      </c>
      <c r="N395" s="37">
        <f>MIN($B$6,J395+C395*$B$8*H395*K395^2*(1-J395/$B$6)*$B$9*60)</f>
        <v/>
      </c>
      <c r="O395" s="11">
        <f>IF(C395=1,Inputs!$B$12*G395*E395^2/($B$3^2*M395^4*N395^2),NA())</f>
        <v/>
      </c>
      <c r="P395" s="30">
        <f>P394+C395*E395/(1+F395/(1000*$B$11))*F395*$B$9/$B$3</f>
        <v/>
      </c>
      <c r="Q395" s="38">
        <f>C395*H395*(E395/60)^2*$B$9*60</f>
        <v/>
      </c>
    </row>
    <row r="396">
      <c r="A396" s="7" t="n">
        <v>336</v>
      </c>
      <c r="B396" s="30">
        <f>A396*$B$9</f>
        <v/>
      </c>
      <c r="C396" s="15">
        <f>IF(B396&lt;=$B$12+0.000000001,1,0)</f>
        <v/>
      </c>
      <c r="D396" s="15">
        <f>IF(C396=1,MATCH(B396-$B$9/2,$E$16:$E$35,1),0)</f>
        <v/>
      </c>
      <c r="E396" s="16">
        <f>IF(C396=1,INDEX($C$16:$C$35,D396),0)</f>
        <v/>
      </c>
      <c r="F396" s="15">
        <f>IF(C396=1,N(INDEX($D$16:$D$35,D396)),0)</f>
        <v/>
      </c>
      <c r="G396" s="30">
        <f>($B$10+F396)/(1+F396/(1000*$B$11))</f>
        <v/>
      </c>
      <c r="H396" s="30">
        <f>F396/(1+F396/(1000*$B$11))</f>
        <v/>
      </c>
      <c r="I396" s="37">
        <f>M395</f>
        <v/>
      </c>
      <c r="J396" s="37">
        <f>N395</f>
        <v/>
      </c>
      <c r="K396" s="16">
        <f>(E396/60)/($B$3*PI()/4*(I396/1000)^2)</f>
        <v/>
      </c>
      <c r="L396" s="23">
        <f>C396*$B$7*H396*K396^2*$B$9*60*1000</f>
        <v/>
      </c>
      <c r="M396" s="37">
        <f>I396+L396</f>
        <v/>
      </c>
      <c r="N396" s="37">
        <f>MIN($B$6,J396+C396*$B$8*H396*K396^2*(1-J396/$B$6)*$B$9*60)</f>
        <v/>
      </c>
      <c r="O396" s="11">
        <f>IF(C396=1,Inputs!$B$12*G396*E396^2/($B$3^2*M396^4*N396^2),NA())</f>
        <v/>
      </c>
      <c r="P396" s="30">
        <f>P395+C396*E396/(1+F396/(1000*$B$11))*F396*$B$9/$B$3</f>
        <v/>
      </c>
      <c r="Q396" s="38">
        <f>C396*H396*(E396/60)^2*$B$9*60</f>
        <v/>
      </c>
    </row>
    <row r="397">
      <c r="A397" s="7" t="n">
        <v>337</v>
      </c>
      <c r="B397" s="30">
        <f>A397*$B$9</f>
        <v/>
      </c>
      <c r="C397" s="15">
        <f>IF(B397&lt;=$B$12+0.000000001,1,0)</f>
        <v/>
      </c>
      <c r="D397" s="15">
        <f>IF(C397=1,MATCH(B397-$B$9/2,$E$16:$E$35,1),0)</f>
        <v/>
      </c>
      <c r="E397" s="16">
        <f>IF(C397=1,INDEX($C$16:$C$35,D397),0)</f>
        <v/>
      </c>
      <c r="F397" s="15">
        <f>IF(C397=1,N(INDEX($D$16:$D$35,D397)),0)</f>
        <v/>
      </c>
      <c r="G397" s="30">
        <f>($B$10+F397)/(1+F397/(1000*$B$11))</f>
        <v/>
      </c>
      <c r="H397" s="30">
        <f>F397/(1+F397/(1000*$B$11))</f>
        <v/>
      </c>
      <c r="I397" s="37">
        <f>M396</f>
        <v/>
      </c>
      <c r="J397" s="37">
        <f>N396</f>
        <v/>
      </c>
      <c r="K397" s="16">
        <f>(E397/60)/($B$3*PI()/4*(I397/1000)^2)</f>
        <v/>
      </c>
      <c r="L397" s="23">
        <f>C397*$B$7*H397*K397^2*$B$9*60*1000</f>
        <v/>
      </c>
      <c r="M397" s="37">
        <f>I397+L397</f>
        <v/>
      </c>
      <c r="N397" s="37">
        <f>MIN($B$6,J397+C397*$B$8*H397*K397^2*(1-J397/$B$6)*$B$9*60)</f>
        <v/>
      </c>
      <c r="O397" s="11">
        <f>IF(C397=1,Inputs!$B$12*G397*E397^2/($B$3^2*M397^4*N397^2),NA())</f>
        <v/>
      </c>
      <c r="P397" s="30">
        <f>P396+C397*E397/(1+F397/(1000*$B$11))*F397*$B$9/$B$3</f>
        <v/>
      </c>
      <c r="Q397" s="38">
        <f>C397*H397*(E397/60)^2*$B$9*60</f>
        <v/>
      </c>
    </row>
    <row r="398">
      <c r="A398" s="7" t="n">
        <v>338</v>
      </c>
      <c r="B398" s="30">
        <f>A398*$B$9</f>
        <v/>
      </c>
      <c r="C398" s="15">
        <f>IF(B398&lt;=$B$12+0.000000001,1,0)</f>
        <v/>
      </c>
      <c r="D398" s="15">
        <f>IF(C398=1,MATCH(B398-$B$9/2,$E$16:$E$35,1),0)</f>
        <v/>
      </c>
      <c r="E398" s="16">
        <f>IF(C398=1,INDEX($C$16:$C$35,D398),0)</f>
        <v/>
      </c>
      <c r="F398" s="15">
        <f>IF(C398=1,N(INDEX($D$16:$D$35,D398)),0)</f>
        <v/>
      </c>
      <c r="G398" s="30">
        <f>($B$10+F398)/(1+F398/(1000*$B$11))</f>
        <v/>
      </c>
      <c r="H398" s="30">
        <f>F398/(1+F398/(1000*$B$11))</f>
        <v/>
      </c>
      <c r="I398" s="37">
        <f>M397</f>
        <v/>
      </c>
      <c r="J398" s="37">
        <f>N397</f>
        <v/>
      </c>
      <c r="K398" s="16">
        <f>(E398/60)/($B$3*PI()/4*(I398/1000)^2)</f>
        <v/>
      </c>
      <c r="L398" s="23">
        <f>C398*$B$7*H398*K398^2*$B$9*60*1000</f>
        <v/>
      </c>
      <c r="M398" s="37">
        <f>I398+L398</f>
        <v/>
      </c>
      <c r="N398" s="37">
        <f>MIN($B$6,J398+C398*$B$8*H398*K398^2*(1-J398/$B$6)*$B$9*60)</f>
        <v/>
      </c>
      <c r="O398" s="11">
        <f>IF(C398=1,Inputs!$B$12*G398*E398^2/($B$3^2*M398^4*N398^2),NA())</f>
        <v/>
      </c>
      <c r="P398" s="30">
        <f>P397+C398*E398/(1+F398/(1000*$B$11))*F398*$B$9/$B$3</f>
        <v/>
      </c>
      <c r="Q398" s="38">
        <f>C398*H398*(E398/60)^2*$B$9*60</f>
        <v/>
      </c>
    </row>
    <row r="399">
      <c r="A399" s="7" t="n">
        <v>339</v>
      </c>
      <c r="B399" s="30">
        <f>A399*$B$9</f>
        <v/>
      </c>
      <c r="C399" s="15">
        <f>IF(B399&lt;=$B$12+0.000000001,1,0)</f>
        <v/>
      </c>
      <c r="D399" s="15">
        <f>IF(C399=1,MATCH(B399-$B$9/2,$E$16:$E$35,1),0)</f>
        <v/>
      </c>
      <c r="E399" s="16">
        <f>IF(C399=1,INDEX($C$16:$C$35,D399),0)</f>
        <v/>
      </c>
      <c r="F399" s="15">
        <f>IF(C399=1,N(INDEX($D$16:$D$35,D399)),0)</f>
        <v/>
      </c>
      <c r="G399" s="30">
        <f>($B$10+F399)/(1+F399/(1000*$B$11))</f>
        <v/>
      </c>
      <c r="H399" s="30">
        <f>F399/(1+F399/(1000*$B$11))</f>
        <v/>
      </c>
      <c r="I399" s="37">
        <f>M398</f>
        <v/>
      </c>
      <c r="J399" s="37">
        <f>N398</f>
        <v/>
      </c>
      <c r="K399" s="16">
        <f>(E399/60)/($B$3*PI()/4*(I399/1000)^2)</f>
        <v/>
      </c>
      <c r="L399" s="23">
        <f>C399*$B$7*H399*K399^2*$B$9*60*1000</f>
        <v/>
      </c>
      <c r="M399" s="37">
        <f>I399+L399</f>
        <v/>
      </c>
      <c r="N399" s="37">
        <f>MIN($B$6,J399+C399*$B$8*H399*K399^2*(1-J399/$B$6)*$B$9*60)</f>
        <v/>
      </c>
      <c r="O399" s="11">
        <f>IF(C399=1,Inputs!$B$12*G399*E399^2/($B$3^2*M399^4*N399^2),NA())</f>
        <v/>
      </c>
      <c r="P399" s="30">
        <f>P398+C399*E399/(1+F399/(1000*$B$11))*F399*$B$9/$B$3</f>
        <v/>
      </c>
      <c r="Q399" s="38">
        <f>C399*H399*(E399/60)^2*$B$9*60</f>
        <v/>
      </c>
    </row>
    <row r="400">
      <c r="A400" s="7" t="n">
        <v>340</v>
      </c>
      <c r="B400" s="30">
        <f>A400*$B$9</f>
        <v/>
      </c>
      <c r="C400" s="15">
        <f>IF(B400&lt;=$B$12+0.000000001,1,0)</f>
        <v/>
      </c>
      <c r="D400" s="15">
        <f>IF(C400=1,MATCH(B400-$B$9/2,$E$16:$E$35,1),0)</f>
        <v/>
      </c>
      <c r="E400" s="16">
        <f>IF(C400=1,INDEX($C$16:$C$35,D400),0)</f>
        <v/>
      </c>
      <c r="F400" s="15">
        <f>IF(C400=1,N(INDEX($D$16:$D$35,D400)),0)</f>
        <v/>
      </c>
      <c r="G400" s="30">
        <f>($B$10+F400)/(1+F400/(1000*$B$11))</f>
        <v/>
      </c>
      <c r="H400" s="30">
        <f>F400/(1+F400/(1000*$B$11))</f>
        <v/>
      </c>
      <c r="I400" s="37">
        <f>M399</f>
        <v/>
      </c>
      <c r="J400" s="37">
        <f>N399</f>
        <v/>
      </c>
      <c r="K400" s="16">
        <f>(E400/60)/($B$3*PI()/4*(I400/1000)^2)</f>
        <v/>
      </c>
      <c r="L400" s="23">
        <f>C400*$B$7*H400*K400^2*$B$9*60*1000</f>
        <v/>
      </c>
      <c r="M400" s="37">
        <f>I400+L400</f>
        <v/>
      </c>
      <c r="N400" s="37">
        <f>MIN($B$6,J400+C400*$B$8*H400*K400^2*(1-J400/$B$6)*$B$9*60)</f>
        <v/>
      </c>
      <c r="O400" s="11">
        <f>IF(C400=1,Inputs!$B$12*G400*E400^2/($B$3^2*M400^4*N400^2),NA())</f>
        <v/>
      </c>
      <c r="P400" s="30">
        <f>P399+C400*E400/(1+F400/(1000*$B$11))*F400*$B$9/$B$3</f>
        <v/>
      </c>
      <c r="Q400" s="38">
        <f>C400*H400*(E400/60)^2*$B$9*60</f>
        <v/>
      </c>
    </row>
    <row r="401">
      <c r="A401" s="7" t="n">
        <v>341</v>
      </c>
      <c r="B401" s="30">
        <f>A401*$B$9</f>
        <v/>
      </c>
      <c r="C401" s="15">
        <f>IF(B401&lt;=$B$12+0.000000001,1,0)</f>
        <v/>
      </c>
      <c r="D401" s="15">
        <f>IF(C401=1,MATCH(B401-$B$9/2,$E$16:$E$35,1),0)</f>
        <v/>
      </c>
      <c r="E401" s="16">
        <f>IF(C401=1,INDEX($C$16:$C$35,D401),0)</f>
        <v/>
      </c>
      <c r="F401" s="15">
        <f>IF(C401=1,N(INDEX($D$16:$D$35,D401)),0)</f>
        <v/>
      </c>
      <c r="G401" s="30">
        <f>($B$10+F401)/(1+F401/(1000*$B$11))</f>
        <v/>
      </c>
      <c r="H401" s="30">
        <f>F401/(1+F401/(1000*$B$11))</f>
        <v/>
      </c>
      <c r="I401" s="37">
        <f>M400</f>
        <v/>
      </c>
      <c r="J401" s="37">
        <f>N400</f>
        <v/>
      </c>
      <c r="K401" s="16">
        <f>(E401/60)/($B$3*PI()/4*(I401/1000)^2)</f>
        <v/>
      </c>
      <c r="L401" s="23">
        <f>C401*$B$7*H401*K401^2*$B$9*60*1000</f>
        <v/>
      </c>
      <c r="M401" s="37">
        <f>I401+L401</f>
        <v/>
      </c>
      <c r="N401" s="37">
        <f>MIN($B$6,J401+C401*$B$8*H401*K401^2*(1-J401/$B$6)*$B$9*60)</f>
        <v/>
      </c>
      <c r="O401" s="11">
        <f>IF(C401=1,Inputs!$B$12*G401*E401^2/($B$3^2*M401^4*N401^2),NA())</f>
        <v/>
      </c>
      <c r="P401" s="30">
        <f>P400+C401*E401/(1+F401/(1000*$B$11))*F401*$B$9/$B$3</f>
        <v/>
      </c>
      <c r="Q401" s="38">
        <f>C401*H401*(E401/60)^2*$B$9*60</f>
        <v/>
      </c>
    </row>
    <row r="402">
      <c r="A402" s="7" t="n">
        <v>342</v>
      </c>
      <c r="B402" s="30">
        <f>A402*$B$9</f>
        <v/>
      </c>
      <c r="C402" s="15">
        <f>IF(B402&lt;=$B$12+0.000000001,1,0)</f>
        <v/>
      </c>
      <c r="D402" s="15">
        <f>IF(C402=1,MATCH(B402-$B$9/2,$E$16:$E$35,1),0)</f>
        <v/>
      </c>
      <c r="E402" s="16">
        <f>IF(C402=1,INDEX($C$16:$C$35,D402),0)</f>
        <v/>
      </c>
      <c r="F402" s="15">
        <f>IF(C402=1,N(INDEX($D$16:$D$35,D402)),0)</f>
        <v/>
      </c>
      <c r="G402" s="30">
        <f>($B$10+F402)/(1+F402/(1000*$B$11))</f>
        <v/>
      </c>
      <c r="H402" s="30">
        <f>F402/(1+F402/(1000*$B$11))</f>
        <v/>
      </c>
      <c r="I402" s="37">
        <f>M401</f>
        <v/>
      </c>
      <c r="J402" s="37">
        <f>N401</f>
        <v/>
      </c>
      <c r="K402" s="16">
        <f>(E402/60)/($B$3*PI()/4*(I402/1000)^2)</f>
        <v/>
      </c>
      <c r="L402" s="23">
        <f>C402*$B$7*H402*K402^2*$B$9*60*1000</f>
        <v/>
      </c>
      <c r="M402" s="37">
        <f>I402+L402</f>
        <v/>
      </c>
      <c r="N402" s="37">
        <f>MIN($B$6,J402+C402*$B$8*H402*K402^2*(1-J402/$B$6)*$B$9*60)</f>
        <v/>
      </c>
      <c r="O402" s="11">
        <f>IF(C402=1,Inputs!$B$12*G402*E402^2/($B$3^2*M402^4*N402^2),NA())</f>
        <v/>
      </c>
      <c r="P402" s="30">
        <f>P401+C402*E402/(1+F402/(1000*$B$11))*F402*$B$9/$B$3</f>
        <v/>
      </c>
      <c r="Q402" s="38">
        <f>C402*H402*(E402/60)^2*$B$9*60</f>
        <v/>
      </c>
    </row>
    <row r="403">
      <c r="A403" s="7" t="n">
        <v>343</v>
      </c>
      <c r="B403" s="30">
        <f>A403*$B$9</f>
        <v/>
      </c>
      <c r="C403" s="15">
        <f>IF(B403&lt;=$B$12+0.000000001,1,0)</f>
        <v/>
      </c>
      <c r="D403" s="15">
        <f>IF(C403=1,MATCH(B403-$B$9/2,$E$16:$E$35,1),0)</f>
        <v/>
      </c>
      <c r="E403" s="16">
        <f>IF(C403=1,INDEX($C$16:$C$35,D403),0)</f>
        <v/>
      </c>
      <c r="F403" s="15">
        <f>IF(C403=1,N(INDEX($D$16:$D$35,D403)),0)</f>
        <v/>
      </c>
      <c r="G403" s="30">
        <f>($B$10+F403)/(1+F403/(1000*$B$11))</f>
        <v/>
      </c>
      <c r="H403" s="30">
        <f>F403/(1+F403/(1000*$B$11))</f>
        <v/>
      </c>
      <c r="I403" s="37">
        <f>M402</f>
        <v/>
      </c>
      <c r="J403" s="37">
        <f>N402</f>
        <v/>
      </c>
      <c r="K403" s="16">
        <f>(E403/60)/($B$3*PI()/4*(I403/1000)^2)</f>
        <v/>
      </c>
      <c r="L403" s="23">
        <f>C403*$B$7*H403*K403^2*$B$9*60*1000</f>
        <v/>
      </c>
      <c r="M403" s="37">
        <f>I403+L403</f>
        <v/>
      </c>
      <c r="N403" s="37">
        <f>MIN($B$6,J403+C403*$B$8*H403*K403^2*(1-J403/$B$6)*$B$9*60)</f>
        <v/>
      </c>
      <c r="O403" s="11">
        <f>IF(C403=1,Inputs!$B$12*G403*E403^2/($B$3^2*M403^4*N403^2),NA())</f>
        <v/>
      </c>
      <c r="P403" s="30">
        <f>P402+C403*E403/(1+F403/(1000*$B$11))*F403*$B$9/$B$3</f>
        <v/>
      </c>
      <c r="Q403" s="38">
        <f>C403*H403*(E403/60)^2*$B$9*60</f>
        <v/>
      </c>
    </row>
    <row r="404">
      <c r="A404" s="7" t="n">
        <v>344</v>
      </c>
      <c r="B404" s="30">
        <f>A404*$B$9</f>
        <v/>
      </c>
      <c r="C404" s="15">
        <f>IF(B404&lt;=$B$12+0.000000001,1,0)</f>
        <v/>
      </c>
      <c r="D404" s="15">
        <f>IF(C404=1,MATCH(B404-$B$9/2,$E$16:$E$35,1),0)</f>
        <v/>
      </c>
      <c r="E404" s="16">
        <f>IF(C404=1,INDEX($C$16:$C$35,D404),0)</f>
        <v/>
      </c>
      <c r="F404" s="15">
        <f>IF(C404=1,N(INDEX($D$16:$D$35,D404)),0)</f>
        <v/>
      </c>
      <c r="G404" s="30">
        <f>($B$10+F404)/(1+F404/(1000*$B$11))</f>
        <v/>
      </c>
      <c r="H404" s="30">
        <f>F404/(1+F404/(1000*$B$11))</f>
        <v/>
      </c>
      <c r="I404" s="37">
        <f>M403</f>
        <v/>
      </c>
      <c r="J404" s="37">
        <f>N403</f>
        <v/>
      </c>
      <c r="K404" s="16">
        <f>(E404/60)/($B$3*PI()/4*(I404/1000)^2)</f>
        <v/>
      </c>
      <c r="L404" s="23">
        <f>C404*$B$7*H404*K404^2*$B$9*60*1000</f>
        <v/>
      </c>
      <c r="M404" s="37">
        <f>I404+L404</f>
        <v/>
      </c>
      <c r="N404" s="37">
        <f>MIN($B$6,J404+C404*$B$8*H404*K404^2*(1-J404/$B$6)*$B$9*60)</f>
        <v/>
      </c>
      <c r="O404" s="11">
        <f>IF(C404=1,Inputs!$B$12*G404*E404^2/($B$3^2*M404^4*N404^2),NA())</f>
        <v/>
      </c>
      <c r="P404" s="30">
        <f>P403+C404*E404/(1+F404/(1000*$B$11))*F404*$B$9/$B$3</f>
        <v/>
      </c>
      <c r="Q404" s="38">
        <f>C404*H404*(E404/60)^2*$B$9*60</f>
        <v/>
      </c>
    </row>
    <row r="405">
      <c r="A405" s="7" t="n">
        <v>345</v>
      </c>
      <c r="B405" s="30">
        <f>A405*$B$9</f>
        <v/>
      </c>
      <c r="C405" s="15">
        <f>IF(B405&lt;=$B$12+0.000000001,1,0)</f>
        <v/>
      </c>
      <c r="D405" s="15">
        <f>IF(C405=1,MATCH(B405-$B$9/2,$E$16:$E$35,1),0)</f>
        <v/>
      </c>
      <c r="E405" s="16">
        <f>IF(C405=1,INDEX($C$16:$C$35,D405),0)</f>
        <v/>
      </c>
      <c r="F405" s="15">
        <f>IF(C405=1,N(INDEX($D$16:$D$35,D405)),0)</f>
        <v/>
      </c>
      <c r="G405" s="30">
        <f>($B$10+F405)/(1+F405/(1000*$B$11))</f>
        <v/>
      </c>
      <c r="H405" s="30">
        <f>F405/(1+F405/(1000*$B$11))</f>
        <v/>
      </c>
      <c r="I405" s="37">
        <f>M404</f>
        <v/>
      </c>
      <c r="J405" s="37">
        <f>N404</f>
        <v/>
      </c>
      <c r="K405" s="16">
        <f>(E405/60)/($B$3*PI()/4*(I405/1000)^2)</f>
        <v/>
      </c>
      <c r="L405" s="23">
        <f>C405*$B$7*H405*K405^2*$B$9*60*1000</f>
        <v/>
      </c>
      <c r="M405" s="37">
        <f>I405+L405</f>
        <v/>
      </c>
      <c r="N405" s="37">
        <f>MIN($B$6,J405+C405*$B$8*H405*K405^2*(1-J405/$B$6)*$B$9*60)</f>
        <v/>
      </c>
      <c r="O405" s="11">
        <f>IF(C405=1,Inputs!$B$12*G405*E405^2/($B$3^2*M405^4*N405^2),NA())</f>
        <v/>
      </c>
      <c r="P405" s="30">
        <f>P404+C405*E405/(1+F405/(1000*$B$11))*F405*$B$9/$B$3</f>
        <v/>
      </c>
      <c r="Q405" s="38">
        <f>C405*H405*(E405/60)^2*$B$9*60</f>
        <v/>
      </c>
    </row>
    <row r="406">
      <c r="A406" s="7" t="n">
        <v>346</v>
      </c>
      <c r="B406" s="30">
        <f>A406*$B$9</f>
        <v/>
      </c>
      <c r="C406" s="15">
        <f>IF(B406&lt;=$B$12+0.000000001,1,0)</f>
        <v/>
      </c>
      <c r="D406" s="15">
        <f>IF(C406=1,MATCH(B406-$B$9/2,$E$16:$E$35,1),0)</f>
        <v/>
      </c>
      <c r="E406" s="16">
        <f>IF(C406=1,INDEX($C$16:$C$35,D406),0)</f>
        <v/>
      </c>
      <c r="F406" s="15">
        <f>IF(C406=1,N(INDEX($D$16:$D$35,D406)),0)</f>
        <v/>
      </c>
      <c r="G406" s="30">
        <f>($B$10+F406)/(1+F406/(1000*$B$11))</f>
        <v/>
      </c>
      <c r="H406" s="30">
        <f>F406/(1+F406/(1000*$B$11))</f>
        <v/>
      </c>
      <c r="I406" s="37">
        <f>M405</f>
        <v/>
      </c>
      <c r="J406" s="37">
        <f>N405</f>
        <v/>
      </c>
      <c r="K406" s="16">
        <f>(E406/60)/($B$3*PI()/4*(I406/1000)^2)</f>
        <v/>
      </c>
      <c r="L406" s="23">
        <f>C406*$B$7*H406*K406^2*$B$9*60*1000</f>
        <v/>
      </c>
      <c r="M406" s="37">
        <f>I406+L406</f>
        <v/>
      </c>
      <c r="N406" s="37">
        <f>MIN($B$6,J406+C406*$B$8*H406*K406^2*(1-J406/$B$6)*$B$9*60)</f>
        <v/>
      </c>
      <c r="O406" s="11">
        <f>IF(C406=1,Inputs!$B$12*G406*E406^2/($B$3^2*M406^4*N406^2),NA())</f>
        <v/>
      </c>
      <c r="P406" s="30">
        <f>P405+C406*E406/(1+F406/(1000*$B$11))*F406*$B$9/$B$3</f>
        <v/>
      </c>
      <c r="Q406" s="38">
        <f>C406*H406*(E406/60)^2*$B$9*60</f>
        <v/>
      </c>
    </row>
    <row r="407">
      <c r="A407" s="7" t="n">
        <v>347</v>
      </c>
      <c r="B407" s="30">
        <f>A407*$B$9</f>
        <v/>
      </c>
      <c r="C407" s="15">
        <f>IF(B407&lt;=$B$12+0.000000001,1,0)</f>
        <v/>
      </c>
      <c r="D407" s="15">
        <f>IF(C407=1,MATCH(B407-$B$9/2,$E$16:$E$35,1),0)</f>
        <v/>
      </c>
      <c r="E407" s="16">
        <f>IF(C407=1,INDEX($C$16:$C$35,D407),0)</f>
        <v/>
      </c>
      <c r="F407" s="15">
        <f>IF(C407=1,N(INDEX($D$16:$D$35,D407)),0)</f>
        <v/>
      </c>
      <c r="G407" s="30">
        <f>($B$10+F407)/(1+F407/(1000*$B$11))</f>
        <v/>
      </c>
      <c r="H407" s="30">
        <f>F407/(1+F407/(1000*$B$11))</f>
        <v/>
      </c>
      <c r="I407" s="37">
        <f>M406</f>
        <v/>
      </c>
      <c r="J407" s="37">
        <f>N406</f>
        <v/>
      </c>
      <c r="K407" s="16">
        <f>(E407/60)/($B$3*PI()/4*(I407/1000)^2)</f>
        <v/>
      </c>
      <c r="L407" s="23">
        <f>C407*$B$7*H407*K407^2*$B$9*60*1000</f>
        <v/>
      </c>
      <c r="M407" s="37">
        <f>I407+L407</f>
        <v/>
      </c>
      <c r="N407" s="37">
        <f>MIN($B$6,J407+C407*$B$8*H407*K407^2*(1-J407/$B$6)*$B$9*60)</f>
        <v/>
      </c>
      <c r="O407" s="11">
        <f>IF(C407=1,Inputs!$B$12*G407*E407^2/($B$3^2*M407^4*N407^2),NA())</f>
        <v/>
      </c>
      <c r="P407" s="30">
        <f>P406+C407*E407/(1+F407/(1000*$B$11))*F407*$B$9/$B$3</f>
        <v/>
      </c>
      <c r="Q407" s="38">
        <f>C407*H407*(E407/60)^2*$B$9*60</f>
        <v/>
      </c>
    </row>
    <row r="408">
      <c r="A408" s="7" t="n">
        <v>348</v>
      </c>
      <c r="B408" s="30">
        <f>A408*$B$9</f>
        <v/>
      </c>
      <c r="C408" s="15">
        <f>IF(B408&lt;=$B$12+0.000000001,1,0)</f>
        <v/>
      </c>
      <c r="D408" s="15">
        <f>IF(C408=1,MATCH(B408-$B$9/2,$E$16:$E$35,1),0)</f>
        <v/>
      </c>
      <c r="E408" s="16">
        <f>IF(C408=1,INDEX($C$16:$C$35,D408),0)</f>
        <v/>
      </c>
      <c r="F408" s="15">
        <f>IF(C408=1,N(INDEX($D$16:$D$35,D408)),0)</f>
        <v/>
      </c>
      <c r="G408" s="30">
        <f>($B$10+F408)/(1+F408/(1000*$B$11))</f>
        <v/>
      </c>
      <c r="H408" s="30">
        <f>F408/(1+F408/(1000*$B$11))</f>
        <v/>
      </c>
      <c r="I408" s="37">
        <f>M407</f>
        <v/>
      </c>
      <c r="J408" s="37">
        <f>N407</f>
        <v/>
      </c>
      <c r="K408" s="16">
        <f>(E408/60)/($B$3*PI()/4*(I408/1000)^2)</f>
        <v/>
      </c>
      <c r="L408" s="23">
        <f>C408*$B$7*H408*K408^2*$B$9*60*1000</f>
        <v/>
      </c>
      <c r="M408" s="37">
        <f>I408+L408</f>
        <v/>
      </c>
      <c r="N408" s="37">
        <f>MIN($B$6,J408+C408*$B$8*H408*K408^2*(1-J408/$B$6)*$B$9*60)</f>
        <v/>
      </c>
      <c r="O408" s="11">
        <f>IF(C408=1,Inputs!$B$12*G408*E408^2/($B$3^2*M408^4*N408^2),NA())</f>
        <v/>
      </c>
      <c r="P408" s="30">
        <f>P407+C408*E408/(1+F408/(1000*$B$11))*F408*$B$9/$B$3</f>
        <v/>
      </c>
      <c r="Q408" s="38">
        <f>C408*H408*(E408/60)^2*$B$9*60</f>
        <v/>
      </c>
    </row>
    <row r="409">
      <c r="A409" s="7" t="n">
        <v>349</v>
      </c>
      <c r="B409" s="30">
        <f>A409*$B$9</f>
        <v/>
      </c>
      <c r="C409" s="15">
        <f>IF(B409&lt;=$B$12+0.000000001,1,0)</f>
        <v/>
      </c>
      <c r="D409" s="15">
        <f>IF(C409=1,MATCH(B409-$B$9/2,$E$16:$E$35,1),0)</f>
        <v/>
      </c>
      <c r="E409" s="16">
        <f>IF(C409=1,INDEX($C$16:$C$35,D409),0)</f>
        <v/>
      </c>
      <c r="F409" s="15">
        <f>IF(C409=1,N(INDEX($D$16:$D$35,D409)),0)</f>
        <v/>
      </c>
      <c r="G409" s="30">
        <f>($B$10+F409)/(1+F409/(1000*$B$11))</f>
        <v/>
      </c>
      <c r="H409" s="30">
        <f>F409/(1+F409/(1000*$B$11))</f>
        <v/>
      </c>
      <c r="I409" s="37">
        <f>M408</f>
        <v/>
      </c>
      <c r="J409" s="37">
        <f>N408</f>
        <v/>
      </c>
      <c r="K409" s="16">
        <f>(E409/60)/($B$3*PI()/4*(I409/1000)^2)</f>
        <v/>
      </c>
      <c r="L409" s="23">
        <f>C409*$B$7*H409*K409^2*$B$9*60*1000</f>
        <v/>
      </c>
      <c r="M409" s="37">
        <f>I409+L409</f>
        <v/>
      </c>
      <c r="N409" s="37">
        <f>MIN($B$6,J409+C409*$B$8*H409*K409^2*(1-J409/$B$6)*$B$9*60)</f>
        <v/>
      </c>
      <c r="O409" s="11">
        <f>IF(C409=1,Inputs!$B$12*G409*E409^2/($B$3^2*M409^4*N409^2),NA())</f>
        <v/>
      </c>
      <c r="P409" s="30">
        <f>P408+C409*E409/(1+F409/(1000*$B$11))*F409*$B$9/$B$3</f>
        <v/>
      </c>
      <c r="Q409" s="38">
        <f>C409*H409*(E409/60)^2*$B$9*60</f>
        <v/>
      </c>
    </row>
    <row r="410">
      <c r="A410" s="7" t="n">
        <v>350</v>
      </c>
      <c r="B410" s="30">
        <f>A410*$B$9</f>
        <v/>
      </c>
      <c r="C410" s="15">
        <f>IF(B410&lt;=$B$12+0.000000001,1,0)</f>
        <v/>
      </c>
      <c r="D410" s="15">
        <f>IF(C410=1,MATCH(B410-$B$9/2,$E$16:$E$35,1),0)</f>
        <v/>
      </c>
      <c r="E410" s="16">
        <f>IF(C410=1,INDEX($C$16:$C$35,D410),0)</f>
        <v/>
      </c>
      <c r="F410" s="15">
        <f>IF(C410=1,N(INDEX($D$16:$D$35,D410)),0)</f>
        <v/>
      </c>
      <c r="G410" s="30">
        <f>($B$10+F410)/(1+F410/(1000*$B$11))</f>
        <v/>
      </c>
      <c r="H410" s="30">
        <f>F410/(1+F410/(1000*$B$11))</f>
        <v/>
      </c>
      <c r="I410" s="37">
        <f>M409</f>
        <v/>
      </c>
      <c r="J410" s="37">
        <f>N409</f>
        <v/>
      </c>
      <c r="K410" s="16">
        <f>(E410/60)/($B$3*PI()/4*(I410/1000)^2)</f>
        <v/>
      </c>
      <c r="L410" s="23">
        <f>C410*$B$7*H410*K410^2*$B$9*60*1000</f>
        <v/>
      </c>
      <c r="M410" s="37">
        <f>I410+L410</f>
        <v/>
      </c>
      <c r="N410" s="37">
        <f>MIN($B$6,J410+C410*$B$8*H410*K410^2*(1-J410/$B$6)*$B$9*60)</f>
        <v/>
      </c>
      <c r="O410" s="11">
        <f>IF(C410=1,Inputs!$B$12*G410*E410^2/($B$3^2*M410^4*N410^2),NA())</f>
        <v/>
      </c>
      <c r="P410" s="30">
        <f>P409+C410*E410/(1+F410/(1000*$B$11))*F410*$B$9/$B$3</f>
        <v/>
      </c>
      <c r="Q410" s="38">
        <f>C410*H410*(E410/60)^2*$B$9*60</f>
        <v/>
      </c>
    </row>
    <row r="411">
      <c r="A411" s="7" t="n">
        <v>351</v>
      </c>
      <c r="B411" s="30">
        <f>A411*$B$9</f>
        <v/>
      </c>
      <c r="C411" s="15">
        <f>IF(B411&lt;=$B$12+0.000000001,1,0)</f>
        <v/>
      </c>
      <c r="D411" s="15">
        <f>IF(C411=1,MATCH(B411-$B$9/2,$E$16:$E$35,1),0)</f>
        <v/>
      </c>
      <c r="E411" s="16">
        <f>IF(C411=1,INDEX($C$16:$C$35,D411),0)</f>
        <v/>
      </c>
      <c r="F411" s="15">
        <f>IF(C411=1,N(INDEX($D$16:$D$35,D411)),0)</f>
        <v/>
      </c>
      <c r="G411" s="30">
        <f>($B$10+F411)/(1+F411/(1000*$B$11))</f>
        <v/>
      </c>
      <c r="H411" s="30">
        <f>F411/(1+F411/(1000*$B$11))</f>
        <v/>
      </c>
      <c r="I411" s="37">
        <f>M410</f>
        <v/>
      </c>
      <c r="J411" s="37">
        <f>N410</f>
        <v/>
      </c>
      <c r="K411" s="16">
        <f>(E411/60)/($B$3*PI()/4*(I411/1000)^2)</f>
        <v/>
      </c>
      <c r="L411" s="23">
        <f>C411*$B$7*H411*K411^2*$B$9*60*1000</f>
        <v/>
      </c>
      <c r="M411" s="37">
        <f>I411+L411</f>
        <v/>
      </c>
      <c r="N411" s="37">
        <f>MIN($B$6,J411+C411*$B$8*H411*K411^2*(1-J411/$B$6)*$B$9*60)</f>
        <v/>
      </c>
      <c r="O411" s="11">
        <f>IF(C411=1,Inputs!$B$12*G411*E411^2/($B$3^2*M411^4*N411^2),NA())</f>
        <v/>
      </c>
      <c r="P411" s="30">
        <f>P410+C411*E411/(1+F411/(1000*$B$11))*F411*$B$9/$B$3</f>
        <v/>
      </c>
      <c r="Q411" s="38">
        <f>C411*H411*(E411/60)^2*$B$9*60</f>
        <v/>
      </c>
    </row>
    <row r="412">
      <c r="A412" s="7" t="n">
        <v>352</v>
      </c>
      <c r="B412" s="30">
        <f>A412*$B$9</f>
        <v/>
      </c>
      <c r="C412" s="15">
        <f>IF(B412&lt;=$B$12+0.000000001,1,0)</f>
        <v/>
      </c>
      <c r="D412" s="15">
        <f>IF(C412=1,MATCH(B412-$B$9/2,$E$16:$E$35,1),0)</f>
        <v/>
      </c>
      <c r="E412" s="16">
        <f>IF(C412=1,INDEX($C$16:$C$35,D412),0)</f>
        <v/>
      </c>
      <c r="F412" s="15">
        <f>IF(C412=1,N(INDEX($D$16:$D$35,D412)),0)</f>
        <v/>
      </c>
      <c r="G412" s="30">
        <f>($B$10+F412)/(1+F412/(1000*$B$11))</f>
        <v/>
      </c>
      <c r="H412" s="30">
        <f>F412/(1+F412/(1000*$B$11))</f>
        <v/>
      </c>
      <c r="I412" s="37">
        <f>M411</f>
        <v/>
      </c>
      <c r="J412" s="37">
        <f>N411</f>
        <v/>
      </c>
      <c r="K412" s="16">
        <f>(E412/60)/($B$3*PI()/4*(I412/1000)^2)</f>
        <v/>
      </c>
      <c r="L412" s="23">
        <f>C412*$B$7*H412*K412^2*$B$9*60*1000</f>
        <v/>
      </c>
      <c r="M412" s="37">
        <f>I412+L412</f>
        <v/>
      </c>
      <c r="N412" s="37">
        <f>MIN($B$6,J412+C412*$B$8*H412*K412^2*(1-J412/$B$6)*$B$9*60)</f>
        <v/>
      </c>
      <c r="O412" s="11">
        <f>IF(C412=1,Inputs!$B$12*G412*E412^2/($B$3^2*M412^4*N412^2),NA())</f>
        <v/>
      </c>
      <c r="P412" s="30">
        <f>P411+C412*E412/(1+F412/(1000*$B$11))*F412*$B$9/$B$3</f>
        <v/>
      </c>
      <c r="Q412" s="38">
        <f>C412*H412*(E412/60)^2*$B$9*60</f>
        <v/>
      </c>
    </row>
    <row r="413">
      <c r="A413" s="7" t="n">
        <v>353</v>
      </c>
      <c r="B413" s="30">
        <f>A413*$B$9</f>
        <v/>
      </c>
      <c r="C413" s="15">
        <f>IF(B413&lt;=$B$12+0.000000001,1,0)</f>
        <v/>
      </c>
      <c r="D413" s="15">
        <f>IF(C413=1,MATCH(B413-$B$9/2,$E$16:$E$35,1),0)</f>
        <v/>
      </c>
      <c r="E413" s="16">
        <f>IF(C413=1,INDEX($C$16:$C$35,D413),0)</f>
        <v/>
      </c>
      <c r="F413" s="15">
        <f>IF(C413=1,N(INDEX($D$16:$D$35,D413)),0)</f>
        <v/>
      </c>
      <c r="G413" s="30">
        <f>($B$10+F413)/(1+F413/(1000*$B$11))</f>
        <v/>
      </c>
      <c r="H413" s="30">
        <f>F413/(1+F413/(1000*$B$11))</f>
        <v/>
      </c>
      <c r="I413" s="37">
        <f>M412</f>
        <v/>
      </c>
      <c r="J413" s="37">
        <f>N412</f>
        <v/>
      </c>
      <c r="K413" s="16">
        <f>(E413/60)/($B$3*PI()/4*(I413/1000)^2)</f>
        <v/>
      </c>
      <c r="L413" s="23">
        <f>C413*$B$7*H413*K413^2*$B$9*60*1000</f>
        <v/>
      </c>
      <c r="M413" s="37">
        <f>I413+L413</f>
        <v/>
      </c>
      <c r="N413" s="37">
        <f>MIN($B$6,J413+C413*$B$8*H413*K413^2*(1-J413/$B$6)*$B$9*60)</f>
        <v/>
      </c>
      <c r="O413" s="11">
        <f>IF(C413=1,Inputs!$B$12*G413*E413^2/($B$3^2*M413^4*N413^2),NA())</f>
        <v/>
      </c>
      <c r="P413" s="30">
        <f>P412+C413*E413/(1+F413/(1000*$B$11))*F413*$B$9/$B$3</f>
        <v/>
      </c>
      <c r="Q413" s="38">
        <f>C413*H413*(E413/60)^2*$B$9*60</f>
        <v/>
      </c>
    </row>
    <row r="414">
      <c r="A414" s="7" t="n">
        <v>354</v>
      </c>
      <c r="B414" s="30">
        <f>A414*$B$9</f>
        <v/>
      </c>
      <c r="C414" s="15">
        <f>IF(B414&lt;=$B$12+0.000000001,1,0)</f>
        <v/>
      </c>
      <c r="D414" s="15">
        <f>IF(C414=1,MATCH(B414-$B$9/2,$E$16:$E$35,1),0)</f>
        <v/>
      </c>
      <c r="E414" s="16">
        <f>IF(C414=1,INDEX($C$16:$C$35,D414),0)</f>
        <v/>
      </c>
      <c r="F414" s="15">
        <f>IF(C414=1,N(INDEX($D$16:$D$35,D414)),0)</f>
        <v/>
      </c>
      <c r="G414" s="30">
        <f>($B$10+F414)/(1+F414/(1000*$B$11))</f>
        <v/>
      </c>
      <c r="H414" s="30">
        <f>F414/(1+F414/(1000*$B$11))</f>
        <v/>
      </c>
      <c r="I414" s="37">
        <f>M413</f>
        <v/>
      </c>
      <c r="J414" s="37">
        <f>N413</f>
        <v/>
      </c>
      <c r="K414" s="16">
        <f>(E414/60)/($B$3*PI()/4*(I414/1000)^2)</f>
        <v/>
      </c>
      <c r="L414" s="23">
        <f>C414*$B$7*H414*K414^2*$B$9*60*1000</f>
        <v/>
      </c>
      <c r="M414" s="37">
        <f>I414+L414</f>
        <v/>
      </c>
      <c r="N414" s="37">
        <f>MIN($B$6,J414+C414*$B$8*H414*K414^2*(1-J414/$B$6)*$B$9*60)</f>
        <v/>
      </c>
      <c r="O414" s="11">
        <f>IF(C414=1,Inputs!$B$12*G414*E414^2/($B$3^2*M414^4*N414^2),NA())</f>
        <v/>
      </c>
      <c r="P414" s="30">
        <f>P413+C414*E414/(1+F414/(1000*$B$11))*F414*$B$9/$B$3</f>
        <v/>
      </c>
      <c r="Q414" s="38">
        <f>C414*H414*(E414/60)^2*$B$9*60</f>
        <v/>
      </c>
    </row>
    <row r="415">
      <c r="A415" s="7" t="n">
        <v>355</v>
      </c>
      <c r="B415" s="30">
        <f>A415*$B$9</f>
        <v/>
      </c>
      <c r="C415" s="15">
        <f>IF(B415&lt;=$B$12+0.000000001,1,0)</f>
        <v/>
      </c>
      <c r="D415" s="15">
        <f>IF(C415=1,MATCH(B415-$B$9/2,$E$16:$E$35,1),0)</f>
        <v/>
      </c>
      <c r="E415" s="16">
        <f>IF(C415=1,INDEX($C$16:$C$35,D415),0)</f>
        <v/>
      </c>
      <c r="F415" s="15">
        <f>IF(C415=1,N(INDEX($D$16:$D$35,D415)),0)</f>
        <v/>
      </c>
      <c r="G415" s="30">
        <f>($B$10+F415)/(1+F415/(1000*$B$11))</f>
        <v/>
      </c>
      <c r="H415" s="30">
        <f>F415/(1+F415/(1000*$B$11))</f>
        <v/>
      </c>
      <c r="I415" s="37">
        <f>M414</f>
        <v/>
      </c>
      <c r="J415" s="37">
        <f>N414</f>
        <v/>
      </c>
      <c r="K415" s="16">
        <f>(E415/60)/($B$3*PI()/4*(I415/1000)^2)</f>
        <v/>
      </c>
      <c r="L415" s="23">
        <f>C415*$B$7*H415*K415^2*$B$9*60*1000</f>
        <v/>
      </c>
      <c r="M415" s="37">
        <f>I415+L415</f>
        <v/>
      </c>
      <c r="N415" s="37">
        <f>MIN($B$6,J415+C415*$B$8*H415*K415^2*(1-J415/$B$6)*$B$9*60)</f>
        <v/>
      </c>
      <c r="O415" s="11">
        <f>IF(C415=1,Inputs!$B$12*G415*E415^2/($B$3^2*M415^4*N415^2),NA())</f>
        <v/>
      </c>
      <c r="P415" s="30">
        <f>P414+C415*E415/(1+F415/(1000*$B$11))*F415*$B$9/$B$3</f>
        <v/>
      </c>
      <c r="Q415" s="38">
        <f>C415*H415*(E415/60)^2*$B$9*60</f>
        <v/>
      </c>
    </row>
    <row r="416">
      <c r="A416" s="7" t="n">
        <v>356</v>
      </c>
      <c r="B416" s="30">
        <f>A416*$B$9</f>
        <v/>
      </c>
      <c r="C416" s="15">
        <f>IF(B416&lt;=$B$12+0.000000001,1,0)</f>
        <v/>
      </c>
      <c r="D416" s="15">
        <f>IF(C416=1,MATCH(B416-$B$9/2,$E$16:$E$35,1),0)</f>
        <v/>
      </c>
      <c r="E416" s="16">
        <f>IF(C416=1,INDEX($C$16:$C$35,D416),0)</f>
        <v/>
      </c>
      <c r="F416" s="15">
        <f>IF(C416=1,N(INDEX($D$16:$D$35,D416)),0)</f>
        <v/>
      </c>
      <c r="G416" s="30">
        <f>($B$10+F416)/(1+F416/(1000*$B$11))</f>
        <v/>
      </c>
      <c r="H416" s="30">
        <f>F416/(1+F416/(1000*$B$11))</f>
        <v/>
      </c>
      <c r="I416" s="37">
        <f>M415</f>
        <v/>
      </c>
      <c r="J416" s="37">
        <f>N415</f>
        <v/>
      </c>
      <c r="K416" s="16">
        <f>(E416/60)/($B$3*PI()/4*(I416/1000)^2)</f>
        <v/>
      </c>
      <c r="L416" s="23">
        <f>C416*$B$7*H416*K416^2*$B$9*60*1000</f>
        <v/>
      </c>
      <c r="M416" s="37">
        <f>I416+L416</f>
        <v/>
      </c>
      <c r="N416" s="37">
        <f>MIN($B$6,J416+C416*$B$8*H416*K416^2*(1-J416/$B$6)*$B$9*60)</f>
        <v/>
      </c>
      <c r="O416" s="11">
        <f>IF(C416=1,Inputs!$B$12*G416*E416^2/($B$3^2*M416^4*N416^2),NA())</f>
        <v/>
      </c>
      <c r="P416" s="30">
        <f>P415+C416*E416/(1+F416/(1000*$B$11))*F416*$B$9/$B$3</f>
        <v/>
      </c>
      <c r="Q416" s="38">
        <f>C416*H416*(E416/60)^2*$B$9*60</f>
        <v/>
      </c>
    </row>
    <row r="417">
      <c r="A417" s="7" t="n">
        <v>357</v>
      </c>
      <c r="B417" s="30">
        <f>A417*$B$9</f>
        <v/>
      </c>
      <c r="C417" s="15">
        <f>IF(B417&lt;=$B$12+0.000000001,1,0)</f>
        <v/>
      </c>
      <c r="D417" s="15">
        <f>IF(C417=1,MATCH(B417-$B$9/2,$E$16:$E$35,1),0)</f>
        <v/>
      </c>
      <c r="E417" s="16">
        <f>IF(C417=1,INDEX($C$16:$C$35,D417),0)</f>
        <v/>
      </c>
      <c r="F417" s="15">
        <f>IF(C417=1,N(INDEX($D$16:$D$35,D417)),0)</f>
        <v/>
      </c>
      <c r="G417" s="30">
        <f>($B$10+F417)/(1+F417/(1000*$B$11))</f>
        <v/>
      </c>
      <c r="H417" s="30">
        <f>F417/(1+F417/(1000*$B$11))</f>
        <v/>
      </c>
      <c r="I417" s="37">
        <f>M416</f>
        <v/>
      </c>
      <c r="J417" s="37">
        <f>N416</f>
        <v/>
      </c>
      <c r="K417" s="16">
        <f>(E417/60)/($B$3*PI()/4*(I417/1000)^2)</f>
        <v/>
      </c>
      <c r="L417" s="23">
        <f>C417*$B$7*H417*K417^2*$B$9*60*1000</f>
        <v/>
      </c>
      <c r="M417" s="37">
        <f>I417+L417</f>
        <v/>
      </c>
      <c r="N417" s="37">
        <f>MIN($B$6,J417+C417*$B$8*H417*K417^2*(1-J417/$B$6)*$B$9*60)</f>
        <v/>
      </c>
      <c r="O417" s="11">
        <f>IF(C417=1,Inputs!$B$12*G417*E417^2/($B$3^2*M417^4*N417^2),NA())</f>
        <v/>
      </c>
      <c r="P417" s="30">
        <f>P416+C417*E417/(1+F417/(1000*$B$11))*F417*$B$9/$B$3</f>
        <v/>
      </c>
      <c r="Q417" s="38">
        <f>C417*H417*(E417/60)^2*$B$9*60</f>
        <v/>
      </c>
    </row>
    <row r="418">
      <c r="A418" s="7" t="n">
        <v>358</v>
      </c>
      <c r="B418" s="30">
        <f>A418*$B$9</f>
        <v/>
      </c>
      <c r="C418" s="15">
        <f>IF(B418&lt;=$B$12+0.000000001,1,0)</f>
        <v/>
      </c>
      <c r="D418" s="15">
        <f>IF(C418=1,MATCH(B418-$B$9/2,$E$16:$E$35,1),0)</f>
        <v/>
      </c>
      <c r="E418" s="16">
        <f>IF(C418=1,INDEX($C$16:$C$35,D418),0)</f>
        <v/>
      </c>
      <c r="F418" s="15">
        <f>IF(C418=1,N(INDEX($D$16:$D$35,D418)),0)</f>
        <v/>
      </c>
      <c r="G418" s="30">
        <f>($B$10+F418)/(1+F418/(1000*$B$11))</f>
        <v/>
      </c>
      <c r="H418" s="30">
        <f>F418/(1+F418/(1000*$B$11))</f>
        <v/>
      </c>
      <c r="I418" s="37">
        <f>M417</f>
        <v/>
      </c>
      <c r="J418" s="37">
        <f>N417</f>
        <v/>
      </c>
      <c r="K418" s="16">
        <f>(E418/60)/($B$3*PI()/4*(I418/1000)^2)</f>
        <v/>
      </c>
      <c r="L418" s="23">
        <f>C418*$B$7*H418*K418^2*$B$9*60*1000</f>
        <v/>
      </c>
      <c r="M418" s="37">
        <f>I418+L418</f>
        <v/>
      </c>
      <c r="N418" s="37">
        <f>MIN($B$6,J418+C418*$B$8*H418*K418^2*(1-J418/$B$6)*$B$9*60)</f>
        <v/>
      </c>
      <c r="O418" s="11">
        <f>IF(C418=1,Inputs!$B$12*G418*E418^2/($B$3^2*M418^4*N418^2),NA())</f>
        <v/>
      </c>
      <c r="P418" s="30">
        <f>P417+C418*E418/(1+F418/(1000*$B$11))*F418*$B$9/$B$3</f>
        <v/>
      </c>
      <c r="Q418" s="38">
        <f>C418*H418*(E418/60)^2*$B$9*60</f>
        <v/>
      </c>
    </row>
    <row r="419">
      <c r="A419" s="7" t="n">
        <v>359</v>
      </c>
      <c r="B419" s="30">
        <f>A419*$B$9</f>
        <v/>
      </c>
      <c r="C419" s="15">
        <f>IF(B419&lt;=$B$12+0.000000001,1,0)</f>
        <v/>
      </c>
      <c r="D419" s="15">
        <f>IF(C419=1,MATCH(B419-$B$9/2,$E$16:$E$35,1),0)</f>
        <v/>
      </c>
      <c r="E419" s="16">
        <f>IF(C419=1,INDEX($C$16:$C$35,D419),0)</f>
        <v/>
      </c>
      <c r="F419" s="15">
        <f>IF(C419=1,N(INDEX($D$16:$D$35,D419)),0)</f>
        <v/>
      </c>
      <c r="G419" s="30">
        <f>($B$10+F419)/(1+F419/(1000*$B$11))</f>
        <v/>
      </c>
      <c r="H419" s="30">
        <f>F419/(1+F419/(1000*$B$11))</f>
        <v/>
      </c>
      <c r="I419" s="37">
        <f>M418</f>
        <v/>
      </c>
      <c r="J419" s="37">
        <f>N418</f>
        <v/>
      </c>
      <c r="K419" s="16">
        <f>(E419/60)/($B$3*PI()/4*(I419/1000)^2)</f>
        <v/>
      </c>
      <c r="L419" s="23">
        <f>C419*$B$7*H419*K419^2*$B$9*60*1000</f>
        <v/>
      </c>
      <c r="M419" s="37">
        <f>I419+L419</f>
        <v/>
      </c>
      <c r="N419" s="37">
        <f>MIN($B$6,J419+C419*$B$8*H419*K419^2*(1-J419/$B$6)*$B$9*60)</f>
        <v/>
      </c>
      <c r="O419" s="11">
        <f>IF(C419=1,Inputs!$B$12*G419*E419^2/($B$3^2*M419^4*N419^2),NA())</f>
        <v/>
      </c>
      <c r="P419" s="30">
        <f>P418+C419*E419/(1+F419/(1000*$B$11))*F419*$B$9/$B$3</f>
        <v/>
      </c>
      <c r="Q419" s="38">
        <f>C419*H419*(E419/60)^2*$B$9*60</f>
        <v/>
      </c>
    </row>
    <row r="420">
      <c r="A420" s="7" t="n">
        <v>360</v>
      </c>
      <c r="B420" s="30">
        <f>A420*$B$9</f>
        <v/>
      </c>
      <c r="C420" s="15">
        <f>IF(B420&lt;=$B$12+0.000000001,1,0)</f>
        <v/>
      </c>
      <c r="D420" s="15">
        <f>IF(C420=1,MATCH(B420-$B$9/2,$E$16:$E$35,1),0)</f>
        <v/>
      </c>
      <c r="E420" s="16">
        <f>IF(C420=1,INDEX($C$16:$C$35,D420),0)</f>
        <v/>
      </c>
      <c r="F420" s="15">
        <f>IF(C420=1,N(INDEX($D$16:$D$35,D420)),0)</f>
        <v/>
      </c>
      <c r="G420" s="30">
        <f>($B$10+F420)/(1+F420/(1000*$B$11))</f>
        <v/>
      </c>
      <c r="H420" s="30">
        <f>F420/(1+F420/(1000*$B$11))</f>
        <v/>
      </c>
      <c r="I420" s="37">
        <f>M419</f>
        <v/>
      </c>
      <c r="J420" s="37">
        <f>N419</f>
        <v/>
      </c>
      <c r="K420" s="16">
        <f>(E420/60)/($B$3*PI()/4*(I420/1000)^2)</f>
        <v/>
      </c>
      <c r="L420" s="23">
        <f>C420*$B$7*H420*K420^2*$B$9*60*1000</f>
        <v/>
      </c>
      <c r="M420" s="37">
        <f>I420+L420</f>
        <v/>
      </c>
      <c r="N420" s="37">
        <f>MIN($B$6,J420+C420*$B$8*H420*K420^2*(1-J420/$B$6)*$B$9*60)</f>
        <v/>
      </c>
      <c r="O420" s="11">
        <f>IF(C420=1,Inputs!$B$12*G420*E420^2/($B$3^2*M420^4*N420^2),NA())</f>
        <v/>
      </c>
      <c r="P420" s="30">
        <f>P419+C420*E420/(1+F420/(1000*$B$11))*F420*$B$9/$B$3</f>
        <v/>
      </c>
      <c r="Q420" s="38">
        <f>C420*H420*(E420/60)^2*$B$9*60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4" max="4"/>
    <col width="10" customWidth="1" min="5" max="5"/>
    <col width="7" customWidth="1" min="6" max="6"/>
    <col width="10" customWidth="1" min="7" max="7"/>
    <col width="11" customWidth="1" min="8" max="8"/>
    <col width="9" customWidth="1" min="9" max="9"/>
    <col width="12" customWidth="1" min="10" max="10"/>
    <col width="12" customWidth="1" min="11" max="11"/>
    <col width="13" customWidth="1" min="12" max="12"/>
    <col width="11" customWidth="1" min="13" max="13"/>
  </cols>
  <sheetData>
    <row r="1">
      <c r="A1" s="4" t="inlineStr">
        <is>
          <t>Flow distribution — common operating point (Σq = Q, equal casing pressure)</t>
        </is>
      </c>
    </row>
    <row r="3" ht="30" customHeight="1">
      <c r="A3" s="7" t="inlineStr">
        <is>
          <t>Min active stress, MPa</t>
        </is>
      </c>
      <c r="B3" s="11">
        <f>MIN(Inputs!J23:J34)</f>
        <v/>
      </c>
      <c r="D3" s="17" t="inlineStr">
        <is>
          <t>Cluster</t>
        </is>
      </c>
      <c r="E3" s="17" t="inlineStr">
        <is>
          <t>σ, MPa</t>
        </is>
      </c>
      <c r="F3" s="17" t="inlineStr">
        <is>
          <t>Shots</t>
        </is>
      </c>
      <c r="G3" s="17" t="inlineStr">
        <is>
          <t>q raw</t>
        </is>
      </c>
      <c r="H3" s="17" t="inlineStr">
        <is>
          <t>q, m³/min</t>
        </is>
      </c>
      <c r="I3" s="17" t="inlineStr">
        <is>
          <t>Share</t>
        </is>
      </c>
      <c r="J3" s="17" t="inlineStr">
        <is>
          <t>ΔP_perf, MPa</t>
        </is>
      </c>
      <c r="K3" s="17" t="inlineStr">
        <is>
          <t>ΔP_nwb, MPa</t>
        </is>
      </c>
      <c r="L3" s="17" t="inlineStr">
        <is>
          <t>vs equal share</t>
        </is>
      </c>
      <c r="M3" s="17" t="inlineStr">
        <is>
          <t>q (active only)</t>
        </is>
      </c>
    </row>
    <row r="4">
      <c r="A4" s="7" t="inlineStr">
        <is>
          <t>Max P at equal share, MPa</t>
        </is>
      </c>
      <c r="B4" s="11">
        <f>MAX(Inputs!K23:K34)</f>
        <v/>
      </c>
      <c r="D4" s="7">
        <f>Inputs!A23</f>
        <v/>
      </c>
      <c r="E4" s="16">
        <f>Inputs!C23</f>
        <v/>
      </c>
      <c r="F4" s="15">
        <f>Inputs!D23</f>
        <v/>
      </c>
      <c r="G4" s="37">
        <f>IF(Inputs!$D$23=0,0,IF($B$9&lt;=Inputs!$C$23,0,IF($B$9&gt;=INDEX(LE_Curves!$C$5:$C$205,201),INDEX(LE_Curves!$B$5:$B$205,201),INDEX(LE_Curves!$B$5:$B$205,MATCH($B$9,LE_Curves!$C$5:$C$205,1))+($B$9-INDEX(LE_Curves!$C$5:$C$205,MATCH($B$9,LE_Curves!$C$5:$C$205,1)))*(INDEX(LE_Curves!$B$5:$B$205,MATCH($B$9,LE_Curves!$C$5:$C$205,1)+1)-INDEX(LE_Curves!$B$5:$B$205,MATCH($B$9,LE_Curves!$C$5:$C$205,1)))/(INDEX(LE_Curves!$C$5:$C$205,MATCH($B$9,LE_Curves!$C$5:$C$205,1)+1)-INDEX(LE_Curves!$C$5:$C$205,MATCH($B$9,LE_Curves!$C$5:$C$205,1))))))</f>
        <v/>
      </c>
      <c r="H4" s="33">
        <f>G4*Inputs!$B$4/$B$10</f>
        <v/>
      </c>
      <c r="I4" s="39">
        <f>H4/Inputs!$B$4</f>
        <v/>
      </c>
      <c r="J4" s="11">
        <f>IF(F4&gt;0,Inputs!$B$12*Inputs!$B$5*H4^2/(F4^2*Inputs!H23^4*Inputs!I23^2),0)</f>
        <v/>
      </c>
      <c r="K4" s="11">
        <f>IF(F4&gt;0,Inputs!G23*H4^Inputs!$B$11,0)</f>
        <v/>
      </c>
      <c r="L4" s="40">
        <f>IF(F4&gt;0,H4/Inputs!$B$20-1,0)</f>
        <v/>
      </c>
      <c r="M4" s="21">
        <f>IF(F4&gt;0,H4,1000000000)</f>
        <v/>
      </c>
    </row>
    <row r="5">
      <c r="A5" s="7" t="inlineStr">
        <is>
          <t>Coarse bracket index</t>
        </is>
      </c>
      <c r="B5" s="15">
        <f>MIN(MATCH(Inputs!B4,O31:O231,1),200)</f>
        <v/>
      </c>
      <c r="D5" s="7">
        <f>Inputs!A24</f>
        <v/>
      </c>
      <c r="E5" s="16">
        <f>Inputs!C24</f>
        <v/>
      </c>
      <c r="F5" s="15">
        <f>Inputs!D24</f>
        <v/>
      </c>
      <c r="G5" s="37">
        <f>IF(Inputs!$D$24=0,0,IF($B$9&lt;=Inputs!$C$24,0,IF($B$9&gt;=INDEX(LE_Curves!$D$5:$D$205,201),INDEX(LE_Curves!$B$5:$B$205,201),INDEX(LE_Curves!$B$5:$B$205,MATCH($B$9,LE_Curves!$D$5:$D$205,1))+($B$9-INDEX(LE_Curves!$D$5:$D$205,MATCH($B$9,LE_Curves!$D$5:$D$205,1)))*(INDEX(LE_Curves!$B$5:$B$205,MATCH($B$9,LE_Curves!$D$5:$D$205,1)+1)-INDEX(LE_Curves!$B$5:$B$205,MATCH($B$9,LE_Curves!$D$5:$D$205,1)))/(INDEX(LE_Curves!$D$5:$D$205,MATCH($B$9,LE_Curves!$D$5:$D$205,1)+1)-INDEX(LE_Curves!$D$5:$D$205,MATCH($B$9,LE_Curves!$D$5:$D$205,1))))))</f>
        <v/>
      </c>
      <c r="H5" s="33">
        <f>G5*Inputs!$B$4/$B$10</f>
        <v/>
      </c>
      <c r="I5" s="39">
        <f>H5/Inputs!$B$4</f>
        <v/>
      </c>
      <c r="J5" s="11">
        <f>IF(F5&gt;0,Inputs!$B$12*Inputs!$B$5*H5^2/(F5^2*Inputs!H24^4*Inputs!I24^2),0)</f>
        <v/>
      </c>
      <c r="K5" s="11">
        <f>IF(F5&gt;0,Inputs!G24*H5^Inputs!$B$11,0)</f>
        <v/>
      </c>
      <c r="L5" s="40">
        <f>IF(F5&gt;0,H5/Inputs!$B$20-1,0)</f>
        <v/>
      </c>
      <c r="M5" s="21">
        <f>IF(F5&gt;0,H5,1000000000)</f>
        <v/>
      </c>
    </row>
    <row r="6">
      <c r="A6" s="7" t="inlineStr">
        <is>
          <t>Bracket P low, MPa</t>
        </is>
      </c>
      <c r="B6" s="11">
        <f>INDEX(B31:B231,B5)</f>
        <v/>
      </c>
      <c r="D6" s="7">
        <f>Inputs!A25</f>
        <v/>
      </c>
      <c r="E6" s="16">
        <f>Inputs!C25</f>
        <v/>
      </c>
      <c r="F6" s="15">
        <f>Inputs!D25</f>
        <v/>
      </c>
      <c r="G6" s="37">
        <f>IF(Inputs!$D$25=0,0,IF($B$9&lt;=Inputs!$C$25,0,IF($B$9&gt;=INDEX(LE_Curves!$E$5:$E$205,201),INDEX(LE_Curves!$B$5:$B$205,201),INDEX(LE_Curves!$B$5:$B$205,MATCH($B$9,LE_Curves!$E$5:$E$205,1))+($B$9-INDEX(LE_Curves!$E$5:$E$205,MATCH($B$9,LE_Curves!$E$5:$E$205,1)))*(INDEX(LE_Curves!$B$5:$B$205,MATCH($B$9,LE_Curves!$E$5:$E$205,1)+1)-INDEX(LE_Curves!$B$5:$B$205,MATCH($B$9,LE_Curves!$E$5:$E$205,1)))/(INDEX(LE_Curves!$E$5:$E$205,MATCH($B$9,LE_Curves!$E$5:$E$205,1)+1)-INDEX(LE_Curves!$E$5:$E$205,MATCH($B$9,LE_Curves!$E$5:$E$205,1))))))</f>
        <v/>
      </c>
      <c r="H6" s="33">
        <f>G6*Inputs!$B$4/$B$10</f>
        <v/>
      </c>
      <c r="I6" s="39">
        <f>H6/Inputs!$B$4</f>
        <v/>
      </c>
      <c r="J6" s="11">
        <f>IF(F6&gt;0,Inputs!$B$12*Inputs!$B$5*H6^2/(F6^2*Inputs!H25^4*Inputs!I25^2),0)</f>
        <v/>
      </c>
      <c r="K6" s="11">
        <f>IF(F6&gt;0,Inputs!G25*H6^Inputs!$B$11,0)</f>
        <v/>
      </c>
      <c r="L6" s="40">
        <f>IF(F6&gt;0,H6/Inputs!$B$20-1,0)</f>
        <v/>
      </c>
      <c r="M6" s="21">
        <f>IF(F6&gt;0,H6,1000000000)</f>
        <v/>
      </c>
    </row>
    <row r="7">
      <c r="A7" s="7" t="inlineStr">
        <is>
          <t>Bracket P high, MPa</t>
        </is>
      </c>
      <c r="B7" s="11">
        <f>INDEX(B31:B231,B5+1)</f>
        <v/>
      </c>
      <c r="D7" s="7">
        <f>Inputs!A26</f>
        <v/>
      </c>
      <c r="E7" s="16">
        <f>Inputs!C26</f>
        <v/>
      </c>
      <c r="F7" s="15">
        <f>Inputs!D26</f>
        <v/>
      </c>
      <c r="G7" s="37">
        <f>IF(Inputs!$D$26=0,0,IF($B$9&lt;=Inputs!$C$26,0,IF($B$9&gt;=INDEX(LE_Curves!$F$5:$F$205,201),INDEX(LE_Curves!$B$5:$B$205,201),INDEX(LE_Curves!$B$5:$B$205,MATCH($B$9,LE_Curves!$F$5:$F$205,1))+($B$9-INDEX(LE_Curves!$F$5:$F$205,MATCH($B$9,LE_Curves!$F$5:$F$205,1)))*(INDEX(LE_Curves!$B$5:$B$205,MATCH($B$9,LE_Curves!$F$5:$F$205,1)+1)-INDEX(LE_Curves!$B$5:$B$205,MATCH($B$9,LE_Curves!$F$5:$F$205,1)))/(INDEX(LE_Curves!$F$5:$F$205,MATCH($B$9,LE_Curves!$F$5:$F$205,1)+1)-INDEX(LE_Curves!$F$5:$F$205,MATCH($B$9,LE_Curves!$F$5:$F$205,1))))))</f>
        <v/>
      </c>
      <c r="H7" s="33">
        <f>G7*Inputs!$B$4/$B$10</f>
        <v/>
      </c>
      <c r="I7" s="39">
        <f>H7/Inputs!$B$4</f>
        <v/>
      </c>
      <c r="J7" s="11">
        <f>IF(F7&gt;0,Inputs!$B$12*Inputs!$B$5*H7^2/(F7^2*Inputs!H26^4*Inputs!I26^2),0)</f>
        <v/>
      </c>
      <c r="K7" s="11">
        <f>IF(F7&gt;0,Inputs!G26*H7^Inputs!$B$11,0)</f>
        <v/>
      </c>
      <c r="L7" s="40">
        <f>IF(F7&gt;0,H7/Inputs!$B$20-1,0)</f>
        <v/>
      </c>
      <c r="M7" s="21">
        <f>IF(F7&gt;0,H7,1000000000)</f>
        <v/>
      </c>
    </row>
    <row r="8">
      <c r="A8" s="7" t="inlineStr">
        <is>
          <t>Fine bracket index</t>
        </is>
      </c>
      <c r="B8" s="15">
        <f>MIN(MATCH(Inputs!B4,AE31:AE231,1),200)</f>
        <v/>
      </c>
      <c r="D8" s="7">
        <f>Inputs!A27</f>
        <v/>
      </c>
      <c r="E8" s="16">
        <f>Inputs!C27</f>
        <v/>
      </c>
      <c r="F8" s="15">
        <f>Inputs!D27</f>
        <v/>
      </c>
      <c r="G8" s="37">
        <f>IF(Inputs!$D$27=0,0,IF($B$9&lt;=Inputs!$C$27,0,IF($B$9&gt;=INDEX(LE_Curves!$G$5:$G$205,201),INDEX(LE_Curves!$B$5:$B$205,201),INDEX(LE_Curves!$B$5:$B$205,MATCH($B$9,LE_Curves!$G$5:$G$205,1))+($B$9-INDEX(LE_Curves!$G$5:$G$205,MATCH($B$9,LE_Curves!$G$5:$G$205,1)))*(INDEX(LE_Curves!$B$5:$B$205,MATCH($B$9,LE_Curves!$G$5:$G$205,1)+1)-INDEX(LE_Curves!$B$5:$B$205,MATCH($B$9,LE_Curves!$G$5:$G$205,1)))/(INDEX(LE_Curves!$G$5:$G$205,MATCH($B$9,LE_Curves!$G$5:$G$205,1)+1)-INDEX(LE_Curves!$G$5:$G$205,MATCH($B$9,LE_Curves!$G$5:$G$205,1))))))</f>
        <v/>
      </c>
      <c r="H8" s="33">
        <f>G8*Inputs!$B$4/$B$10</f>
        <v/>
      </c>
      <c r="I8" s="39">
        <f>H8/Inputs!$B$4</f>
        <v/>
      </c>
      <c r="J8" s="11">
        <f>IF(F8&gt;0,Inputs!$B$12*Inputs!$B$5*H8^2/(F8^2*Inputs!H27^4*Inputs!I27^2),0)</f>
        <v/>
      </c>
      <c r="K8" s="11">
        <f>IF(F8&gt;0,Inputs!G27*H8^Inputs!$B$11,0)</f>
        <v/>
      </c>
      <c r="L8" s="40">
        <f>IF(F8&gt;0,H8/Inputs!$B$20-1,0)</f>
        <v/>
      </c>
      <c r="M8" s="21">
        <f>IF(F8&gt;0,H8,1000000000)</f>
        <v/>
      </c>
    </row>
    <row r="9">
      <c r="A9" s="7" t="inlineStr">
        <is>
          <t>Operating pressure P*, MPa</t>
        </is>
      </c>
      <c r="B9" s="41">
        <f>IF(INDEX(AE31:AE231,B8+1)=INDEX(AE31:AE231,B8),INDEX(R31:R231,B8),INDEX(R31:R231,B8)+(Inputs!B4-INDEX(AE31:AE231,B8))*(INDEX(R31:R231,B8+1)-INDEX(R31:R231,B8))/(INDEX(AE31:AE231,B8+1)-INDEX(AE31:AE231,B8)))</f>
        <v/>
      </c>
      <c r="D9" s="7">
        <f>Inputs!A28</f>
        <v/>
      </c>
      <c r="E9" s="16">
        <f>Inputs!C28</f>
        <v/>
      </c>
      <c r="F9" s="15">
        <f>Inputs!D28</f>
        <v/>
      </c>
      <c r="G9" s="37">
        <f>IF(Inputs!$D$28=0,0,IF($B$9&lt;=Inputs!$C$28,0,IF($B$9&gt;=INDEX(LE_Curves!$H$5:$H$205,201),INDEX(LE_Curves!$B$5:$B$205,201),INDEX(LE_Curves!$B$5:$B$205,MATCH($B$9,LE_Curves!$H$5:$H$205,1))+($B$9-INDEX(LE_Curves!$H$5:$H$205,MATCH($B$9,LE_Curves!$H$5:$H$205,1)))*(INDEX(LE_Curves!$B$5:$B$205,MATCH($B$9,LE_Curves!$H$5:$H$205,1)+1)-INDEX(LE_Curves!$B$5:$B$205,MATCH($B$9,LE_Curves!$H$5:$H$205,1)))/(INDEX(LE_Curves!$H$5:$H$205,MATCH($B$9,LE_Curves!$H$5:$H$205,1)+1)-INDEX(LE_Curves!$H$5:$H$205,MATCH($B$9,LE_Curves!$H$5:$H$205,1))))))</f>
        <v/>
      </c>
      <c r="H9" s="33">
        <f>G9*Inputs!$B$4/$B$10</f>
        <v/>
      </c>
      <c r="I9" s="39">
        <f>H9/Inputs!$B$4</f>
        <v/>
      </c>
      <c r="J9" s="11">
        <f>IF(F9&gt;0,Inputs!$B$12*Inputs!$B$5*H9^2/(F9^2*Inputs!H28^4*Inputs!I28^2),0)</f>
        <v/>
      </c>
      <c r="K9" s="11">
        <f>IF(F9&gt;0,Inputs!G28*H9^Inputs!$B$11,0)</f>
        <v/>
      </c>
      <c r="L9" s="40">
        <f>IF(F9&gt;0,H9/Inputs!$B$20-1,0)</f>
        <v/>
      </c>
      <c r="M9" s="21">
        <f>IF(F9&gt;0,H9,1000000000)</f>
        <v/>
      </c>
    </row>
    <row r="10">
      <c r="A10" s="7" t="inlineStr">
        <is>
          <t>Σq before normalisation, m³/min</t>
        </is>
      </c>
      <c r="B10" s="37">
        <f>SUM(G4:G15)</f>
        <v/>
      </c>
      <c r="D10" s="7">
        <f>Inputs!A29</f>
        <v/>
      </c>
      <c r="E10" s="16">
        <f>Inputs!C29</f>
        <v/>
      </c>
      <c r="F10" s="15">
        <f>Inputs!D29</f>
        <v/>
      </c>
      <c r="G10" s="37">
        <f>IF(Inputs!$D$29=0,0,IF($B$9&lt;=Inputs!$C$29,0,IF($B$9&gt;=INDEX(LE_Curves!$I$5:$I$205,201),INDEX(LE_Curves!$B$5:$B$205,201),INDEX(LE_Curves!$B$5:$B$205,MATCH($B$9,LE_Curves!$I$5:$I$205,1))+($B$9-INDEX(LE_Curves!$I$5:$I$205,MATCH($B$9,LE_Curves!$I$5:$I$205,1)))*(INDEX(LE_Curves!$B$5:$B$205,MATCH($B$9,LE_Curves!$I$5:$I$205,1)+1)-INDEX(LE_Curves!$B$5:$B$205,MATCH($B$9,LE_Curves!$I$5:$I$205,1)))/(INDEX(LE_Curves!$I$5:$I$205,MATCH($B$9,LE_Curves!$I$5:$I$205,1)+1)-INDEX(LE_Curves!$I$5:$I$205,MATCH($B$9,LE_Curves!$I$5:$I$205,1))))))</f>
        <v/>
      </c>
      <c r="H10" s="33">
        <f>G10*Inputs!$B$4/$B$10</f>
        <v/>
      </c>
      <c r="I10" s="39">
        <f>H10/Inputs!$B$4</f>
        <v/>
      </c>
      <c r="J10" s="11">
        <f>IF(F10&gt;0,Inputs!$B$12*Inputs!$B$5*H10^2/(F10^2*Inputs!H29^4*Inputs!I29^2),0)</f>
        <v/>
      </c>
      <c r="K10" s="11">
        <f>IF(F10&gt;0,Inputs!G29*H10^Inputs!$B$11,0)</f>
        <v/>
      </c>
      <c r="L10" s="40">
        <f>IF(F10&gt;0,H10/Inputs!$B$20-1,0)</f>
        <v/>
      </c>
      <c r="M10" s="21">
        <f>IF(F10&gt;0,H10,1000000000)</f>
        <v/>
      </c>
    </row>
    <row r="11">
      <c r="A11" s="7" t="inlineStr">
        <is>
          <t>Uniformity index 1 − CoV</t>
        </is>
      </c>
      <c r="B11" s="41">
        <f>1-SQRT(SUMPRODUCT((Inputs!D23:D34&gt;0)*(H4:H15-Inputs!B20)^2)/Inputs!B18)/Inputs!B20</f>
        <v/>
      </c>
      <c r="D11" s="7">
        <f>Inputs!A30</f>
        <v/>
      </c>
      <c r="E11" s="16">
        <f>Inputs!C30</f>
        <v/>
      </c>
      <c r="F11" s="15">
        <f>Inputs!D30</f>
        <v/>
      </c>
      <c r="G11" s="37">
        <f>IF(Inputs!$D$30=0,0,IF($B$9&lt;=Inputs!$C$30,0,IF($B$9&gt;=INDEX(LE_Curves!$J$5:$J$205,201),INDEX(LE_Curves!$B$5:$B$205,201),INDEX(LE_Curves!$B$5:$B$205,MATCH($B$9,LE_Curves!$J$5:$J$205,1))+($B$9-INDEX(LE_Curves!$J$5:$J$205,MATCH($B$9,LE_Curves!$J$5:$J$205,1)))*(INDEX(LE_Curves!$B$5:$B$205,MATCH($B$9,LE_Curves!$J$5:$J$205,1)+1)-INDEX(LE_Curves!$B$5:$B$205,MATCH($B$9,LE_Curves!$J$5:$J$205,1)))/(INDEX(LE_Curves!$J$5:$J$205,MATCH($B$9,LE_Curves!$J$5:$J$205,1)+1)-INDEX(LE_Curves!$J$5:$J$205,MATCH($B$9,LE_Curves!$J$5:$J$205,1))))))</f>
        <v/>
      </c>
      <c r="H11" s="33">
        <f>G11*Inputs!$B$4/$B$10</f>
        <v/>
      </c>
      <c r="I11" s="39">
        <f>H11/Inputs!$B$4</f>
        <v/>
      </c>
      <c r="J11" s="11">
        <f>IF(F11&gt;0,Inputs!$B$12*Inputs!$B$5*H11^2/(F11^2*Inputs!H30^4*Inputs!I30^2),0)</f>
        <v/>
      </c>
      <c r="K11" s="11">
        <f>IF(F11&gt;0,Inputs!G30*H11^Inputs!$B$11,0)</f>
        <v/>
      </c>
      <c r="L11" s="40">
        <f>IF(F11&gt;0,H11/Inputs!$B$20-1,0)</f>
        <v/>
      </c>
      <c r="M11" s="21">
        <f>IF(F11&gt;0,H11,1000000000)</f>
        <v/>
      </c>
    </row>
    <row r="12">
      <c r="A12" s="7" t="inlineStr">
        <is>
          <t>Cluster efficiency (≥50% of equal share)</t>
        </is>
      </c>
      <c r="B12" s="42">
        <f>SUMPRODUCT((Inputs!D23:D34&gt;0)*(H4:H15&gt;=0.5*Inputs!B20))/Inputs!B18</f>
        <v/>
      </c>
      <c r="D12" s="7">
        <f>Inputs!A31</f>
        <v/>
      </c>
      <c r="E12" s="16">
        <f>Inputs!C31</f>
        <v/>
      </c>
      <c r="F12" s="15">
        <f>Inputs!D31</f>
        <v/>
      </c>
      <c r="G12" s="37">
        <f>IF(Inputs!$D$31=0,0,IF($B$9&lt;=Inputs!$C$31,0,IF($B$9&gt;=INDEX(LE_Curves!$K$5:$K$205,201),INDEX(LE_Curves!$B$5:$B$205,201),INDEX(LE_Curves!$B$5:$B$205,MATCH($B$9,LE_Curves!$K$5:$K$205,1))+($B$9-INDEX(LE_Curves!$K$5:$K$205,MATCH($B$9,LE_Curves!$K$5:$K$205,1)))*(INDEX(LE_Curves!$B$5:$B$205,MATCH($B$9,LE_Curves!$K$5:$K$205,1)+1)-INDEX(LE_Curves!$B$5:$B$205,MATCH($B$9,LE_Curves!$K$5:$K$205,1)))/(INDEX(LE_Curves!$K$5:$K$205,MATCH($B$9,LE_Curves!$K$5:$K$205,1)+1)-INDEX(LE_Curves!$K$5:$K$205,MATCH($B$9,LE_Curves!$K$5:$K$205,1))))))</f>
        <v/>
      </c>
      <c r="H12" s="33">
        <f>G12*Inputs!$B$4/$B$10</f>
        <v/>
      </c>
      <c r="I12" s="39">
        <f>H12/Inputs!$B$4</f>
        <v/>
      </c>
      <c r="J12" s="11">
        <f>IF(F12&gt;0,Inputs!$B$12*Inputs!$B$5*H12^2/(F12^2*Inputs!H31^4*Inputs!I31^2),0)</f>
        <v/>
      </c>
      <c r="K12" s="11">
        <f>IF(F12&gt;0,Inputs!G31*H12^Inputs!$B$11,0)</f>
        <v/>
      </c>
      <c r="L12" s="40">
        <f>IF(F12&gt;0,H12/Inputs!$B$20-1,0)</f>
        <v/>
      </c>
      <c r="M12" s="21">
        <f>IF(F12&gt;0,H12,1000000000)</f>
        <v/>
      </c>
    </row>
    <row r="13">
      <c r="A13" s="7" t="inlineStr">
        <is>
          <t>Max / min cluster rate</t>
        </is>
      </c>
      <c r="B13" s="16">
        <f>MAX(H4:H15)/MIN(M4:M15)</f>
        <v/>
      </c>
      <c r="D13" s="7">
        <f>Inputs!A32</f>
        <v/>
      </c>
      <c r="E13" s="16">
        <f>Inputs!C32</f>
        <v/>
      </c>
      <c r="F13" s="15">
        <f>Inputs!D32</f>
        <v/>
      </c>
      <c r="G13" s="37">
        <f>IF(Inputs!$D$32=0,0,IF($B$9&lt;=Inputs!$C$32,0,IF($B$9&gt;=INDEX(LE_Curves!$L$5:$L$205,201),INDEX(LE_Curves!$B$5:$B$205,201),INDEX(LE_Curves!$B$5:$B$205,MATCH($B$9,LE_Curves!$L$5:$L$205,1))+($B$9-INDEX(LE_Curves!$L$5:$L$205,MATCH($B$9,LE_Curves!$L$5:$L$205,1)))*(INDEX(LE_Curves!$B$5:$B$205,MATCH($B$9,LE_Curves!$L$5:$L$205,1)+1)-INDEX(LE_Curves!$B$5:$B$205,MATCH($B$9,LE_Curves!$L$5:$L$205,1)))/(INDEX(LE_Curves!$L$5:$L$205,MATCH($B$9,LE_Curves!$L$5:$L$205,1)+1)-INDEX(LE_Curves!$L$5:$L$205,MATCH($B$9,LE_Curves!$L$5:$L$205,1))))))</f>
        <v/>
      </c>
      <c r="H13" s="33">
        <f>G13*Inputs!$B$4/$B$10</f>
        <v/>
      </c>
      <c r="I13" s="39">
        <f>H13/Inputs!$B$4</f>
        <v/>
      </c>
      <c r="J13" s="11">
        <f>IF(F13&gt;0,Inputs!$B$12*Inputs!$B$5*H13^2/(F13^2*Inputs!H32^4*Inputs!I32^2),0)</f>
        <v/>
      </c>
      <c r="K13" s="11">
        <f>IF(F13&gt;0,Inputs!G32*H13^Inputs!$B$11,0)</f>
        <v/>
      </c>
      <c r="L13" s="40">
        <f>IF(F13&gt;0,H13/Inputs!$B$20-1,0)</f>
        <v/>
      </c>
      <c r="M13" s="21">
        <f>IF(F13&gt;0,H13,1000000000)</f>
        <v/>
      </c>
    </row>
    <row r="14">
      <c r="A14" s="7" t="inlineStr">
        <is>
          <t>State</t>
        </is>
      </c>
      <c r="B14" s="7">
        <f>Inputs!B15</f>
        <v/>
      </c>
      <c r="D14" s="7">
        <f>Inputs!A33</f>
        <v/>
      </c>
      <c r="E14" s="16">
        <f>Inputs!C33</f>
        <v/>
      </c>
      <c r="F14" s="15">
        <f>Inputs!D33</f>
        <v/>
      </c>
      <c r="G14" s="37">
        <f>IF(Inputs!$D$33=0,0,IF($B$9&lt;=Inputs!$C$33,0,IF($B$9&gt;=INDEX(LE_Curves!$M$5:$M$205,201),INDEX(LE_Curves!$B$5:$B$205,201),INDEX(LE_Curves!$B$5:$B$205,MATCH($B$9,LE_Curves!$M$5:$M$205,1))+($B$9-INDEX(LE_Curves!$M$5:$M$205,MATCH($B$9,LE_Curves!$M$5:$M$205,1)))*(INDEX(LE_Curves!$B$5:$B$205,MATCH($B$9,LE_Curves!$M$5:$M$205,1)+1)-INDEX(LE_Curves!$B$5:$B$205,MATCH($B$9,LE_Curves!$M$5:$M$205,1)))/(INDEX(LE_Curves!$M$5:$M$205,MATCH($B$9,LE_Curves!$M$5:$M$205,1)+1)-INDEX(LE_Curves!$M$5:$M$205,MATCH($B$9,LE_Curves!$M$5:$M$205,1))))))</f>
        <v/>
      </c>
      <c r="H14" s="33">
        <f>G14*Inputs!$B$4/$B$10</f>
        <v/>
      </c>
      <c r="I14" s="39">
        <f>H14/Inputs!$B$4</f>
        <v/>
      </c>
      <c r="J14" s="11">
        <f>IF(F14&gt;0,Inputs!$B$12*Inputs!$B$5*H14^2/(F14^2*Inputs!H33^4*Inputs!I33^2),0)</f>
        <v/>
      </c>
      <c r="K14" s="11">
        <f>IF(F14&gt;0,Inputs!G33*H14^Inputs!$B$11,0)</f>
        <v/>
      </c>
      <c r="L14" s="40">
        <f>IF(F14&gt;0,H14/Inputs!$B$20-1,0)</f>
        <v/>
      </c>
      <c r="M14" s="21">
        <f>IF(F14&gt;0,H14,1000000000)</f>
        <v/>
      </c>
    </row>
    <row r="15">
      <c r="D15" s="7">
        <f>Inputs!A34</f>
        <v/>
      </c>
      <c r="E15" s="16">
        <f>Inputs!C34</f>
        <v/>
      </c>
      <c r="F15" s="15">
        <f>Inputs!D34</f>
        <v/>
      </c>
      <c r="G15" s="37">
        <f>IF(Inputs!$D$34=0,0,IF($B$9&lt;=Inputs!$C$34,0,IF($B$9&gt;=INDEX(LE_Curves!$N$5:$N$205,201),INDEX(LE_Curves!$B$5:$B$205,201),INDEX(LE_Curves!$B$5:$B$205,MATCH($B$9,LE_Curves!$N$5:$N$205,1))+($B$9-INDEX(LE_Curves!$N$5:$N$205,MATCH($B$9,LE_Curves!$N$5:$N$205,1)))*(INDEX(LE_Curves!$B$5:$B$205,MATCH($B$9,LE_Curves!$N$5:$N$205,1)+1)-INDEX(LE_Curves!$B$5:$B$205,MATCH($B$9,LE_Curves!$N$5:$N$205,1)))/(INDEX(LE_Curves!$N$5:$N$205,MATCH($B$9,LE_Curves!$N$5:$N$205,1)+1)-INDEX(LE_Curves!$N$5:$N$205,MATCH($B$9,LE_Curves!$N$5:$N$205,1))))))</f>
        <v/>
      </c>
      <c r="H15" s="33">
        <f>G15*Inputs!$B$4/$B$10</f>
        <v/>
      </c>
      <c r="I15" s="39">
        <f>H15/Inputs!$B$4</f>
        <v/>
      </c>
      <c r="J15" s="11">
        <f>IF(F15&gt;0,Inputs!$B$12*Inputs!$B$5*H15^2/(F15^2*Inputs!H34^4*Inputs!I34^2),0)</f>
        <v/>
      </c>
      <c r="K15" s="11">
        <f>IF(F15&gt;0,Inputs!G34*H15^Inputs!$B$11,0)</f>
        <v/>
      </c>
      <c r="L15" s="40">
        <f>IF(F15&gt;0,H15/Inputs!$B$20-1,0)</f>
        <v/>
      </c>
      <c r="M15" s="21">
        <f>IF(F15&gt;0,H15,1000000000)</f>
        <v/>
      </c>
    </row>
    <row r="17">
      <c r="A17" s="5" t="inlineStr">
        <is>
          <t>P* is found on a 201-point pressure grid, refined once between the bracketing points (grids below, row 30+).</t>
        </is>
      </c>
    </row>
    <row r="29">
      <c r="A29" s="6" t="inlineStr">
        <is>
          <t>Coarse pressure grid</t>
        </is>
      </c>
      <c r="Q29" s="6" t="inlineStr">
        <is>
          <t>Refined grid between bracket points</t>
        </is>
      </c>
    </row>
    <row r="30">
      <c r="A30" s="17" t="inlineStr">
        <is>
          <t>k</t>
        </is>
      </c>
      <c r="B30" s="17" t="inlineStr">
        <is>
          <t>P, MPa</t>
        </is>
      </c>
      <c r="C30" s="17">
        <f>Inputs!A23</f>
        <v/>
      </c>
      <c r="D30" s="17">
        <f>Inputs!A24</f>
        <v/>
      </c>
      <c r="E30" s="17">
        <f>Inputs!A25</f>
        <v/>
      </c>
      <c r="F30" s="17">
        <f>Inputs!A26</f>
        <v/>
      </c>
      <c r="G30" s="17">
        <f>Inputs!A27</f>
        <v/>
      </c>
      <c r="H30" s="17">
        <f>Inputs!A28</f>
        <v/>
      </c>
      <c r="I30" s="17">
        <f>Inputs!A29</f>
        <v/>
      </c>
      <c r="J30" s="17">
        <f>Inputs!A30</f>
        <v/>
      </c>
      <c r="K30" s="17">
        <f>Inputs!A31</f>
        <v/>
      </c>
      <c r="L30" s="17">
        <f>Inputs!A32</f>
        <v/>
      </c>
      <c r="M30" s="17">
        <f>Inputs!A33</f>
        <v/>
      </c>
      <c r="N30" s="17">
        <f>Inputs!A34</f>
        <v/>
      </c>
      <c r="O30" s="17" t="inlineStr">
        <is>
          <t>Σq</t>
        </is>
      </c>
      <c r="Q30" s="17" t="inlineStr">
        <is>
          <t>k</t>
        </is>
      </c>
      <c r="R30" s="17" t="inlineStr">
        <is>
          <t>P fine, MPa</t>
        </is>
      </c>
      <c r="S30" s="17">
        <f>Inputs!A23</f>
        <v/>
      </c>
      <c r="T30" s="17">
        <f>Inputs!A24</f>
        <v/>
      </c>
      <c r="U30" s="17">
        <f>Inputs!A25</f>
        <v/>
      </c>
      <c r="V30" s="17">
        <f>Inputs!A26</f>
        <v/>
      </c>
      <c r="W30" s="17">
        <f>Inputs!A27</f>
        <v/>
      </c>
      <c r="X30" s="17">
        <f>Inputs!A28</f>
        <v/>
      </c>
      <c r="Y30" s="17">
        <f>Inputs!A29</f>
        <v/>
      </c>
      <c r="Z30" s="17">
        <f>Inputs!A30</f>
        <v/>
      </c>
      <c r="AA30" s="17">
        <f>Inputs!A31</f>
        <v/>
      </c>
      <c r="AB30" s="17">
        <f>Inputs!A32</f>
        <v/>
      </c>
      <c r="AC30" s="17">
        <f>Inputs!A33</f>
        <v/>
      </c>
      <c r="AD30" s="17">
        <f>Inputs!A34</f>
        <v/>
      </c>
      <c r="AE30" s="17" t="inlineStr">
        <is>
          <t>Σq</t>
        </is>
      </c>
    </row>
    <row r="31">
      <c r="A31" s="7" t="n">
        <v>0</v>
      </c>
      <c r="B31" s="37">
        <f>$B$3+($B$4-$B$3)*A31/200</f>
        <v/>
      </c>
      <c r="C31" s="11">
        <f>IF(Inputs!$D$23=0,0,IF($B31&lt;=Inputs!$C$23,0,IF($B31&gt;=INDEX(LE_Curves!$C$5:$C$205,201),INDEX(LE_Curves!$B$5:$B$205,201),INDEX(LE_Curves!$B$5:$B$205,MATCH($B31,LE_Curves!$C$5:$C$205,1))+($B31-INDEX(LE_Curves!$C$5:$C$205,MATCH($B31,LE_Curves!$C$5:$C$205,1)))*(INDEX(LE_Curves!$B$5:$B$205,MATCH($B31,LE_Curves!$C$5:$C$205,1)+1)-INDEX(LE_Curves!$B$5:$B$205,MATCH($B31,LE_Curves!$C$5:$C$205,1)))/(INDEX(LE_Curves!$C$5:$C$205,MATCH($B31,LE_Curves!$C$5:$C$205,1)+1)-INDEX(LE_Curves!$C$5:$C$205,MATCH($B31,LE_Curves!$C$5:$C$205,1))))))</f>
        <v/>
      </c>
      <c r="D31" s="11">
        <f>IF(Inputs!$D$24=0,0,IF($B31&lt;=Inputs!$C$24,0,IF($B31&gt;=INDEX(LE_Curves!$D$5:$D$205,201),INDEX(LE_Curves!$B$5:$B$205,201),INDEX(LE_Curves!$B$5:$B$205,MATCH($B31,LE_Curves!$D$5:$D$205,1))+($B31-INDEX(LE_Curves!$D$5:$D$205,MATCH($B31,LE_Curves!$D$5:$D$205,1)))*(INDEX(LE_Curves!$B$5:$B$205,MATCH($B31,LE_Curves!$D$5:$D$205,1)+1)-INDEX(LE_Curves!$B$5:$B$205,MATCH($B31,LE_Curves!$D$5:$D$205,1)))/(INDEX(LE_Curves!$D$5:$D$205,MATCH($B31,LE_Curves!$D$5:$D$205,1)+1)-INDEX(LE_Curves!$D$5:$D$205,MATCH($B31,LE_Curves!$D$5:$D$205,1))))))</f>
        <v/>
      </c>
      <c r="E31" s="11">
        <f>IF(Inputs!$D$25=0,0,IF($B31&lt;=Inputs!$C$25,0,IF($B31&gt;=INDEX(LE_Curves!$E$5:$E$205,201),INDEX(LE_Curves!$B$5:$B$205,201),INDEX(LE_Curves!$B$5:$B$205,MATCH($B31,LE_Curves!$E$5:$E$205,1))+($B31-INDEX(LE_Curves!$E$5:$E$205,MATCH($B31,LE_Curves!$E$5:$E$205,1)))*(INDEX(LE_Curves!$B$5:$B$205,MATCH($B31,LE_Curves!$E$5:$E$205,1)+1)-INDEX(LE_Curves!$B$5:$B$205,MATCH($B31,LE_Curves!$E$5:$E$205,1)))/(INDEX(LE_Curves!$E$5:$E$205,MATCH($B31,LE_Curves!$E$5:$E$205,1)+1)-INDEX(LE_Curves!$E$5:$E$205,MATCH($B31,LE_Curves!$E$5:$E$205,1))))))</f>
        <v/>
      </c>
      <c r="F31" s="11">
        <f>IF(Inputs!$D$26=0,0,IF($B31&lt;=Inputs!$C$26,0,IF($B31&gt;=INDEX(LE_Curves!$F$5:$F$205,201),INDEX(LE_Curves!$B$5:$B$205,201),INDEX(LE_Curves!$B$5:$B$205,MATCH($B31,LE_Curves!$F$5:$F$205,1))+($B31-INDEX(LE_Curves!$F$5:$F$205,MATCH($B31,LE_Curves!$F$5:$F$205,1)))*(INDEX(LE_Curves!$B$5:$B$205,MATCH($B31,LE_Curves!$F$5:$F$205,1)+1)-INDEX(LE_Curves!$B$5:$B$205,MATCH($B31,LE_Curves!$F$5:$F$205,1)))/(INDEX(LE_Curves!$F$5:$F$205,MATCH($B31,LE_Curves!$F$5:$F$205,1)+1)-INDEX(LE_Curves!$F$5:$F$205,MATCH($B31,LE_Curves!$F$5:$F$205,1))))))</f>
        <v/>
      </c>
      <c r="G31" s="11">
        <f>IF(Inputs!$D$27=0,0,IF($B31&lt;=Inputs!$C$27,0,IF($B31&gt;=INDEX(LE_Curves!$G$5:$G$205,201),INDEX(LE_Curves!$B$5:$B$205,201),INDEX(LE_Curves!$B$5:$B$205,MATCH($B31,LE_Curves!$G$5:$G$205,1))+($B31-INDEX(LE_Curves!$G$5:$G$205,MATCH($B31,LE_Curves!$G$5:$G$205,1)))*(INDEX(LE_Curves!$B$5:$B$205,MATCH($B31,LE_Curves!$G$5:$G$205,1)+1)-INDEX(LE_Curves!$B$5:$B$205,MATCH($B31,LE_Curves!$G$5:$G$205,1)))/(INDEX(LE_Curves!$G$5:$G$205,MATCH($B31,LE_Curves!$G$5:$G$205,1)+1)-INDEX(LE_Curves!$G$5:$G$205,MATCH($B31,LE_Curves!$G$5:$G$205,1))))))</f>
        <v/>
      </c>
      <c r="H31" s="11">
        <f>IF(Inputs!$D$28=0,0,IF($B31&lt;=Inputs!$C$28,0,IF($B31&gt;=INDEX(LE_Curves!$H$5:$H$205,201),INDEX(LE_Curves!$B$5:$B$205,201),INDEX(LE_Curves!$B$5:$B$205,MATCH($B31,LE_Curves!$H$5:$H$205,1))+($B31-INDEX(LE_Curves!$H$5:$H$205,MATCH($B31,LE_Curves!$H$5:$H$205,1)))*(INDEX(LE_Curves!$B$5:$B$205,MATCH($B31,LE_Curves!$H$5:$H$205,1)+1)-INDEX(LE_Curves!$B$5:$B$205,MATCH($B31,LE_Curves!$H$5:$H$205,1)))/(INDEX(LE_Curves!$H$5:$H$205,MATCH($B31,LE_Curves!$H$5:$H$205,1)+1)-INDEX(LE_Curves!$H$5:$H$205,MATCH($B31,LE_Curves!$H$5:$H$205,1))))))</f>
        <v/>
      </c>
      <c r="I31" s="11">
        <f>IF(Inputs!$D$29=0,0,IF($B31&lt;=Inputs!$C$29,0,IF($B31&gt;=INDEX(LE_Curves!$I$5:$I$205,201),INDEX(LE_Curves!$B$5:$B$205,201),INDEX(LE_Curves!$B$5:$B$205,MATCH($B31,LE_Curves!$I$5:$I$205,1))+($B31-INDEX(LE_Curves!$I$5:$I$205,MATCH($B31,LE_Curves!$I$5:$I$205,1)))*(INDEX(LE_Curves!$B$5:$B$205,MATCH($B31,LE_Curves!$I$5:$I$205,1)+1)-INDEX(LE_Curves!$B$5:$B$205,MATCH($B31,LE_Curves!$I$5:$I$205,1)))/(INDEX(LE_Curves!$I$5:$I$205,MATCH($B31,LE_Curves!$I$5:$I$205,1)+1)-INDEX(LE_Curves!$I$5:$I$205,MATCH($B31,LE_Curves!$I$5:$I$205,1))))))</f>
        <v/>
      </c>
      <c r="J31" s="11">
        <f>IF(Inputs!$D$30=0,0,IF($B31&lt;=Inputs!$C$30,0,IF($B31&gt;=INDEX(LE_Curves!$J$5:$J$205,201),INDEX(LE_Curves!$B$5:$B$205,201),INDEX(LE_Curves!$B$5:$B$205,MATCH($B31,LE_Curves!$J$5:$J$205,1))+($B31-INDEX(LE_Curves!$J$5:$J$205,MATCH($B31,LE_Curves!$J$5:$J$205,1)))*(INDEX(LE_Curves!$B$5:$B$205,MATCH($B31,LE_Curves!$J$5:$J$205,1)+1)-INDEX(LE_Curves!$B$5:$B$205,MATCH($B31,LE_Curves!$J$5:$J$205,1)))/(INDEX(LE_Curves!$J$5:$J$205,MATCH($B31,LE_Curves!$J$5:$J$205,1)+1)-INDEX(LE_Curves!$J$5:$J$205,MATCH($B31,LE_Curves!$J$5:$J$205,1))))))</f>
        <v/>
      </c>
      <c r="K31" s="11">
        <f>IF(Inputs!$D$31=0,0,IF($B31&lt;=Inputs!$C$31,0,IF($B31&gt;=INDEX(LE_Curves!$K$5:$K$205,201),INDEX(LE_Curves!$B$5:$B$205,201),INDEX(LE_Curves!$B$5:$B$205,MATCH($B31,LE_Curves!$K$5:$K$205,1))+($B31-INDEX(LE_Curves!$K$5:$K$205,MATCH($B31,LE_Curves!$K$5:$K$205,1)))*(INDEX(LE_Curves!$B$5:$B$205,MATCH($B31,LE_Curves!$K$5:$K$205,1)+1)-INDEX(LE_Curves!$B$5:$B$205,MATCH($B31,LE_Curves!$K$5:$K$205,1)))/(INDEX(LE_Curves!$K$5:$K$205,MATCH($B31,LE_Curves!$K$5:$K$205,1)+1)-INDEX(LE_Curves!$K$5:$K$205,MATCH($B31,LE_Curves!$K$5:$K$205,1))))))</f>
        <v/>
      </c>
      <c r="L31" s="11">
        <f>IF(Inputs!$D$32=0,0,IF($B31&lt;=Inputs!$C$32,0,IF($B31&gt;=INDEX(LE_Curves!$L$5:$L$205,201),INDEX(LE_Curves!$B$5:$B$205,201),INDEX(LE_Curves!$B$5:$B$205,MATCH($B31,LE_Curves!$L$5:$L$205,1))+($B31-INDEX(LE_Curves!$L$5:$L$205,MATCH($B31,LE_Curves!$L$5:$L$205,1)))*(INDEX(LE_Curves!$B$5:$B$205,MATCH($B31,LE_Curves!$L$5:$L$205,1)+1)-INDEX(LE_Curves!$B$5:$B$205,MATCH($B31,LE_Curves!$L$5:$L$205,1)))/(INDEX(LE_Curves!$L$5:$L$205,MATCH($B31,LE_Curves!$L$5:$L$205,1)+1)-INDEX(LE_Curves!$L$5:$L$205,MATCH($B31,LE_Curves!$L$5:$L$205,1))))))</f>
        <v/>
      </c>
      <c r="M31" s="11">
        <f>IF(Inputs!$D$33=0,0,IF($B31&lt;=Inputs!$C$33,0,IF($B31&gt;=INDEX(LE_Curves!$M$5:$M$205,201),INDEX(LE_Curves!$B$5:$B$205,201),INDEX(LE_Curves!$B$5:$B$205,MATCH($B31,LE_Curves!$M$5:$M$205,1))+($B31-INDEX(LE_Curves!$M$5:$M$205,MATCH($B31,LE_Curves!$M$5:$M$205,1)))*(INDEX(LE_Curves!$B$5:$B$205,MATCH($B31,LE_Curves!$M$5:$M$205,1)+1)-INDEX(LE_Curves!$B$5:$B$205,MATCH($B31,LE_Curves!$M$5:$M$205,1)))/(INDEX(LE_Curves!$M$5:$M$205,MATCH($B31,LE_Curves!$M$5:$M$205,1)+1)-INDEX(LE_Curves!$M$5:$M$205,MATCH($B31,LE_Curves!$M$5:$M$205,1))))))</f>
        <v/>
      </c>
      <c r="N31" s="11">
        <f>IF(Inputs!$D$34=0,0,IF($B31&lt;=Inputs!$C$34,0,IF($B31&gt;=INDEX(LE_Curves!$N$5:$N$205,201),INDEX(LE_Curves!$B$5:$B$205,201),INDEX(LE_Curves!$B$5:$B$205,MATCH($B31,LE_Curves!$N$5:$N$205,1))+($B31-INDEX(LE_Curves!$N$5:$N$205,MATCH($B31,LE_Curves!$N$5:$N$205,1)))*(INDEX(LE_Curves!$B$5:$B$205,MATCH($B31,LE_Curves!$N$5:$N$205,1)+1)-INDEX(LE_Curves!$B$5:$B$205,MATCH($B31,LE_Curves!$N$5:$N$205,1)))/(INDEX(LE_Curves!$N$5:$N$205,MATCH($B31,LE_Curves!$N$5:$N$205,1)+1)-INDEX(LE_Curves!$N$5:$N$205,MATCH($B31,LE_Curves!$N$5:$N$205,1))))))</f>
        <v/>
      </c>
      <c r="O31" s="11">
        <f>SUM(C31:N31)</f>
        <v/>
      </c>
      <c r="Q31" s="7" t="n">
        <v>0</v>
      </c>
      <c r="R31" s="23">
        <f>$B$6+($B$7-$B$6)*Q31/200</f>
        <v/>
      </c>
      <c r="S31" s="11">
        <f>IF(Inputs!$D$23=0,0,IF($R31&lt;=Inputs!$C$23,0,IF($R31&gt;=INDEX(LE_Curves!$C$5:$C$205,201),INDEX(LE_Curves!$B$5:$B$205,201),INDEX(LE_Curves!$B$5:$B$205,MATCH($R31,LE_Curves!$C$5:$C$205,1))+($R31-INDEX(LE_Curves!$C$5:$C$205,MATCH($R31,LE_Curves!$C$5:$C$205,1)))*(INDEX(LE_Curves!$B$5:$B$205,MATCH($R31,LE_Curves!$C$5:$C$205,1)+1)-INDEX(LE_Curves!$B$5:$B$205,MATCH($R31,LE_Curves!$C$5:$C$205,1)))/(INDEX(LE_Curves!$C$5:$C$205,MATCH($R31,LE_Curves!$C$5:$C$205,1)+1)-INDEX(LE_Curves!$C$5:$C$205,MATCH($R31,LE_Curves!$C$5:$C$205,1))))))</f>
        <v/>
      </c>
      <c r="T31" s="11">
        <f>IF(Inputs!$D$24=0,0,IF($R31&lt;=Inputs!$C$24,0,IF($R31&gt;=INDEX(LE_Curves!$D$5:$D$205,201),INDEX(LE_Curves!$B$5:$B$205,201),INDEX(LE_Curves!$B$5:$B$205,MATCH($R31,LE_Curves!$D$5:$D$205,1))+($R31-INDEX(LE_Curves!$D$5:$D$205,MATCH($R31,LE_Curves!$D$5:$D$205,1)))*(INDEX(LE_Curves!$B$5:$B$205,MATCH($R31,LE_Curves!$D$5:$D$205,1)+1)-INDEX(LE_Curves!$B$5:$B$205,MATCH($R31,LE_Curves!$D$5:$D$205,1)))/(INDEX(LE_Curves!$D$5:$D$205,MATCH($R31,LE_Curves!$D$5:$D$205,1)+1)-INDEX(LE_Curves!$D$5:$D$205,MATCH($R31,LE_Curves!$D$5:$D$205,1))))))</f>
        <v/>
      </c>
      <c r="U31" s="11">
        <f>IF(Inputs!$D$25=0,0,IF($R31&lt;=Inputs!$C$25,0,IF($R31&gt;=INDEX(LE_Curves!$E$5:$E$205,201),INDEX(LE_Curves!$B$5:$B$205,201),INDEX(LE_Curves!$B$5:$B$205,MATCH($R31,LE_Curves!$E$5:$E$205,1))+($R31-INDEX(LE_Curves!$E$5:$E$205,MATCH($R31,LE_Curves!$E$5:$E$205,1)))*(INDEX(LE_Curves!$B$5:$B$205,MATCH($R31,LE_Curves!$E$5:$E$205,1)+1)-INDEX(LE_Curves!$B$5:$B$205,MATCH($R31,LE_Curves!$E$5:$E$205,1)))/(INDEX(LE_Curves!$E$5:$E$205,MATCH($R31,LE_Curves!$E$5:$E$205,1)+1)-INDEX(LE_Curves!$E$5:$E$205,MATCH($R31,LE_Curves!$E$5:$E$205,1))))))</f>
        <v/>
      </c>
      <c r="V31" s="11">
        <f>IF(Inputs!$D$26=0,0,IF($R31&lt;=Inputs!$C$26,0,IF($R31&gt;=INDEX(LE_Curves!$F$5:$F$205,201),INDEX(LE_Curves!$B$5:$B$205,201),INDEX(LE_Curves!$B$5:$B$205,MATCH($R31,LE_Curves!$F$5:$F$205,1))+($R31-INDEX(LE_Curves!$F$5:$F$205,MATCH($R31,LE_Curves!$F$5:$F$205,1)))*(INDEX(LE_Curves!$B$5:$B$205,MATCH($R31,LE_Curves!$F$5:$F$205,1)+1)-INDEX(LE_Curves!$B$5:$B$205,MATCH($R31,LE_Curves!$F$5:$F$205,1)))/(INDEX(LE_Curves!$F$5:$F$205,MATCH($R31,LE_Curves!$F$5:$F$205,1)+1)-INDEX(LE_Curves!$F$5:$F$205,MATCH($R31,LE_Curves!$F$5:$F$205,1))))))</f>
        <v/>
      </c>
      <c r="W31" s="11">
        <f>IF(Inputs!$D$27=0,0,IF($R31&lt;=Inputs!$C$27,0,IF($R31&gt;=INDEX(LE_Curves!$G$5:$G$205,201),INDEX(LE_Curves!$B$5:$B$205,201),INDEX(LE_Curves!$B$5:$B$205,MATCH($R31,LE_Curves!$G$5:$G$205,1))+($R31-INDEX(LE_Curves!$G$5:$G$205,MATCH($R31,LE_Curves!$G$5:$G$205,1)))*(INDEX(LE_Curves!$B$5:$B$205,MATCH($R31,LE_Curves!$G$5:$G$205,1)+1)-INDEX(LE_Curves!$B$5:$B$205,MATCH($R31,LE_Curves!$G$5:$G$205,1)))/(INDEX(LE_Curves!$G$5:$G$205,MATCH($R31,LE_Curves!$G$5:$G$205,1)+1)-INDEX(LE_Curves!$G$5:$G$205,MATCH($R31,LE_Curves!$G$5:$G$205,1))))))</f>
        <v/>
      </c>
      <c r="X31" s="11">
        <f>IF(Inputs!$D$28=0,0,IF($R31&lt;=Inputs!$C$28,0,IF($R31&gt;=INDEX(LE_Curves!$H$5:$H$205,201),INDEX(LE_Curves!$B$5:$B$205,201),INDEX(LE_Curves!$B$5:$B$205,MATCH($R31,LE_Curves!$H$5:$H$205,1))+($R31-INDEX(LE_Curves!$H$5:$H$205,MATCH($R31,LE_Curves!$H$5:$H$205,1)))*(INDEX(LE_Curves!$B$5:$B$205,MATCH($R31,LE_Curves!$H$5:$H$205,1)+1)-INDEX(LE_Curves!$B$5:$B$205,MATCH($R31,LE_Curves!$H$5:$H$205,1)))/(INDEX(LE_Curves!$H$5:$H$205,MATCH($R31,LE_Curves!$H$5:$H$205,1)+1)-INDEX(LE_Curves!$H$5:$H$205,MATCH($R31,LE_Curves!$H$5:$H$205,1))))))</f>
        <v/>
      </c>
      <c r="Y31" s="11">
        <f>IF(Inputs!$D$29=0,0,IF($R31&lt;=Inputs!$C$29,0,IF($R31&gt;=INDEX(LE_Curves!$I$5:$I$205,201),INDEX(LE_Curves!$B$5:$B$205,201),INDEX(LE_Curves!$B$5:$B$205,MATCH($R31,LE_Curves!$I$5:$I$205,1))+($R31-INDEX(LE_Curves!$I$5:$I$205,MATCH($R31,LE_Curves!$I$5:$I$205,1)))*(INDEX(LE_Curves!$B$5:$B$205,MATCH($R31,LE_Curves!$I$5:$I$205,1)+1)-INDEX(LE_Curves!$B$5:$B$205,MATCH($R31,LE_Curves!$I$5:$I$205,1)))/(INDEX(LE_Curves!$I$5:$I$205,MATCH($R31,LE_Curves!$I$5:$I$205,1)+1)-INDEX(LE_Curves!$I$5:$I$205,MATCH($R31,LE_Curves!$I$5:$I$205,1))))))</f>
        <v/>
      </c>
      <c r="Z31" s="11">
        <f>IF(Inputs!$D$30=0,0,IF($R31&lt;=Inputs!$C$30,0,IF($R31&gt;=INDEX(LE_Curves!$J$5:$J$205,201),INDEX(LE_Curves!$B$5:$B$205,201),INDEX(LE_Curves!$B$5:$B$205,MATCH($R31,LE_Curves!$J$5:$J$205,1))+($R31-INDEX(LE_Curves!$J$5:$J$205,MATCH($R31,LE_Curves!$J$5:$J$205,1)))*(INDEX(LE_Curves!$B$5:$B$205,MATCH($R31,LE_Curves!$J$5:$J$205,1)+1)-INDEX(LE_Curves!$B$5:$B$205,MATCH($R31,LE_Curves!$J$5:$J$205,1)))/(INDEX(LE_Curves!$J$5:$J$205,MATCH($R31,LE_Curves!$J$5:$J$205,1)+1)-INDEX(LE_Curves!$J$5:$J$205,MATCH($R31,LE_Curves!$J$5:$J$205,1))))))</f>
        <v/>
      </c>
      <c r="AA31" s="11">
        <f>IF(Inputs!$D$31=0,0,IF($R31&lt;=Inputs!$C$31,0,IF($R31&gt;=INDEX(LE_Curves!$K$5:$K$205,201),INDEX(LE_Curves!$B$5:$B$205,201),INDEX(LE_Curves!$B$5:$B$205,MATCH($R31,LE_Curves!$K$5:$K$205,1))+($R31-INDEX(LE_Curves!$K$5:$K$205,MATCH($R31,LE_Curves!$K$5:$K$205,1)))*(INDEX(LE_Curves!$B$5:$B$205,MATCH($R31,LE_Curves!$K$5:$K$205,1)+1)-INDEX(LE_Curves!$B$5:$B$205,MATCH($R31,LE_Curves!$K$5:$K$205,1)))/(INDEX(LE_Curves!$K$5:$K$205,MATCH($R31,LE_Curves!$K$5:$K$205,1)+1)-INDEX(LE_Curves!$K$5:$K$205,MATCH($R31,LE_Curves!$K$5:$K$205,1))))))</f>
        <v/>
      </c>
      <c r="AB31" s="11">
        <f>IF(Inputs!$D$32=0,0,IF($R31&lt;=Inputs!$C$32,0,IF($R31&gt;=INDEX(LE_Curves!$L$5:$L$205,201),INDEX(LE_Curves!$B$5:$B$205,201),INDEX(LE_Curves!$B$5:$B$205,MATCH($R31,LE_Curves!$L$5:$L$205,1))+($R31-INDEX(LE_Curves!$L$5:$L$205,MATCH($R31,LE_Curves!$L$5:$L$205,1)))*(INDEX(LE_Curves!$B$5:$B$205,MATCH($R31,LE_Curves!$L$5:$L$205,1)+1)-INDEX(LE_Curves!$B$5:$B$205,MATCH($R31,LE_Curves!$L$5:$L$205,1)))/(INDEX(LE_Curves!$L$5:$L$205,MATCH($R31,LE_Curves!$L$5:$L$205,1)+1)-INDEX(LE_Curves!$L$5:$L$205,MATCH($R31,LE_Curves!$L$5:$L$205,1))))))</f>
        <v/>
      </c>
      <c r="AC31" s="11">
        <f>IF(Inputs!$D$33=0,0,IF($R31&lt;=Inputs!$C$33,0,IF($R31&gt;=INDEX(LE_Curves!$M$5:$M$205,201),INDEX(LE_Curves!$B$5:$B$205,201),INDEX(LE_Curves!$B$5:$B$205,MATCH($R31,LE_Curves!$M$5:$M$205,1))+($R31-INDEX(LE_Curves!$M$5:$M$205,MATCH($R31,LE_Curves!$M$5:$M$205,1)))*(INDEX(LE_Curves!$B$5:$B$205,MATCH($R31,LE_Curves!$M$5:$M$205,1)+1)-INDEX(LE_Curves!$B$5:$B$205,MATCH($R31,LE_Curves!$M$5:$M$205,1)))/(INDEX(LE_Curves!$M$5:$M$205,MATCH($R31,LE_Curves!$M$5:$M$205,1)+1)-INDEX(LE_Curves!$M$5:$M$205,MATCH($R31,LE_Curves!$M$5:$M$205,1))))))</f>
        <v/>
      </c>
      <c r="AD31" s="11">
        <f>IF(Inputs!$D$34=0,0,IF($R31&lt;=Inputs!$C$34,0,IF($R31&gt;=INDEX(LE_Curves!$N$5:$N$205,201),INDEX(LE_Curves!$B$5:$B$205,201),INDEX(LE_Curves!$B$5:$B$205,MATCH($R31,LE_Curves!$N$5:$N$205,1))+($R31-INDEX(LE_Curves!$N$5:$N$205,MATCH($R31,LE_Curves!$N$5:$N$205,1)))*(INDEX(LE_Curves!$B$5:$B$205,MATCH($R31,LE_Curves!$N$5:$N$205,1)+1)-INDEX(LE_Curves!$B$5:$B$205,MATCH($R31,LE_Curves!$N$5:$N$205,1)))/(INDEX(LE_Curves!$N$5:$N$205,MATCH($R31,LE_Curves!$N$5:$N$205,1)+1)-INDEX(LE_Curves!$N$5:$N$205,MATCH($R31,LE_Curves!$N$5:$N$205,1))))))</f>
        <v/>
      </c>
      <c r="AE31" s="37">
        <f>SUM(S31:AD31)</f>
        <v/>
      </c>
    </row>
    <row r="32">
      <c r="A32" s="7" t="n">
        <v>1</v>
      </c>
      <c r="B32" s="37">
        <f>$B$3+($B$4-$B$3)*A32/200</f>
        <v/>
      </c>
      <c r="C32" s="11">
        <f>IF(Inputs!$D$23=0,0,IF($B32&lt;=Inputs!$C$23,0,IF($B32&gt;=INDEX(LE_Curves!$C$5:$C$205,201),INDEX(LE_Curves!$B$5:$B$205,201),INDEX(LE_Curves!$B$5:$B$205,MATCH($B32,LE_Curves!$C$5:$C$205,1))+($B32-INDEX(LE_Curves!$C$5:$C$205,MATCH($B32,LE_Curves!$C$5:$C$205,1)))*(INDEX(LE_Curves!$B$5:$B$205,MATCH($B32,LE_Curves!$C$5:$C$205,1)+1)-INDEX(LE_Curves!$B$5:$B$205,MATCH($B32,LE_Curves!$C$5:$C$205,1)))/(INDEX(LE_Curves!$C$5:$C$205,MATCH($B32,LE_Curves!$C$5:$C$205,1)+1)-INDEX(LE_Curves!$C$5:$C$205,MATCH($B32,LE_Curves!$C$5:$C$205,1))))))</f>
        <v/>
      </c>
      <c r="D32" s="11">
        <f>IF(Inputs!$D$24=0,0,IF($B32&lt;=Inputs!$C$24,0,IF($B32&gt;=INDEX(LE_Curves!$D$5:$D$205,201),INDEX(LE_Curves!$B$5:$B$205,201),INDEX(LE_Curves!$B$5:$B$205,MATCH($B32,LE_Curves!$D$5:$D$205,1))+($B32-INDEX(LE_Curves!$D$5:$D$205,MATCH($B32,LE_Curves!$D$5:$D$205,1)))*(INDEX(LE_Curves!$B$5:$B$205,MATCH($B32,LE_Curves!$D$5:$D$205,1)+1)-INDEX(LE_Curves!$B$5:$B$205,MATCH($B32,LE_Curves!$D$5:$D$205,1)))/(INDEX(LE_Curves!$D$5:$D$205,MATCH($B32,LE_Curves!$D$5:$D$205,1)+1)-INDEX(LE_Curves!$D$5:$D$205,MATCH($B32,LE_Curves!$D$5:$D$205,1))))))</f>
        <v/>
      </c>
      <c r="E32" s="11">
        <f>IF(Inputs!$D$25=0,0,IF($B32&lt;=Inputs!$C$25,0,IF($B32&gt;=INDEX(LE_Curves!$E$5:$E$205,201),INDEX(LE_Curves!$B$5:$B$205,201),INDEX(LE_Curves!$B$5:$B$205,MATCH($B32,LE_Curves!$E$5:$E$205,1))+($B32-INDEX(LE_Curves!$E$5:$E$205,MATCH($B32,LE_Curves!$E$5:$E$205,1)))*(INDEX(LE_Curves!$B$5:$B$205,MATCH($B32,LE_Curves!$E$5:$E$205,1)+1)-INDEX(LE_Curves!$B$5:$B$205,MATCH($B32,LE_Curves!$E$5:$E$205,1)))/(INDEX(LE_Curves!$E$5:$E$205,MATCH($B32,LE_Curves!$E$5:$E$205,1)+1)-INDEX(LE_Curves!$E$5:$E$205,MATCH($B32,LE_Curves!$E$5:$E$205,1))))))</f>
        <v/>
      </c>
      <c r="F32" s="11">
        <f>IF(Inputs!$D$26=0,0,IF($B32&lt;=Inputs!$C$26,0,IF($B32&gt;=INDEX(LE_Curves!$F$5:$F$205,201),INDEX(LE_Curves!$B$5:$B$205,201),INDEX(LE_Curves!$B$5:$B$205,MATCH($B32,LE_Curves!$F$5:$F$205,1))+($B32-INDEX(LE_Curves!$F$5:$F$205,MATCH($B32,LE_Curves!$F$5:$F$205,1)))*(INDEX(LE_Curves!$B$5:$B$205,MATCH($B32,LE_Curves!$F$5:$F$205,1)+1)-INDEX(LE_Curves!$B$5:$B$205,MATCH($B32,LE_Curves!$F$5:$F$205,1)))/(INDEX(LE_Curves!$F$5:$F$205,MATCH($B32,LE_Curves!$F$5:$F$205,1)+1)-INDEX(LE_Curves!$F$5:$F$205,MATCH($B32,LE_Curves!$F$5:$F$205,1))))))</f>
        <v/>
      </c>
      <c r="G32" s="11">
        <f>IF(Inputs!$D$27=0,0,IF($B32&lt;=Inputs!$C$27,0,IF($B32&gt;=INDEX(LE_Curves!$G$5:$G$205,201),INDEX(LE_Curves!$B$5:$B$205,201),INDEX(LE_Curves!$B$5:$B$205,MATCH($B32,LE_Curves!$G$5:$G$205,1))+($B32-INDEX(LE_Curves!$G$5:$G$205,MATCH($B32,LE_Curves!$G$5:$G$205,1)))*(INDEX(LE_Curves!$B$5:$B$205,MATCH($B32,LE_Curves!$G$5:$G$205,1)+1)-INDEX(LE_Curves!$B$5:$B$205,MATCH($B32,LE_Curves!$G$5:$G$205,1)))/(INDEX(LE_Curves!$G$5:$G$205,MATCH($B32,LE_Curves!$G$5:$G$205,1)+1)-INDEX(LE_Curves!$G$5:$G$205,MATCH($B32,LE_Curves!$G$5:$G$205,1))))))</f>
        <v/>
      </c>
      <c r="H32" s="11">
        <f>IF(Inputs!$D$28=0,0,IF($B32&lt;=Inputs!$C$28,0,IF($B32&gt;=INDEX(LE_Curves!$H$5:$H$205,201),INDEX(LE_Curves!$B$5:$B$205,201),INDEX(LE_Curves!$B$5:$B$205,MATCH($B32,LE_Curves!$H$5:$H$205,1))+($B32-INDEX(LE_Curves!$H$5:$H$205,MATCH($B32,LE_Curves!$H$5:$H$205,1)))*(INDEX(LE_Curves!$B$5:$B$205,MATCH($B32,LE_Curves!$H$5:$H$205,1)+1)-INDEX(LE_Curves!$B$5:$B$205,MATCH($B32,LE_Curves!$H$5:$H$205,1)))/(INDEX(LE_Curves!$H$5:$H$205,MATCH($B32,LE_Curves!$H$5:$H$205,1)+1)-INDEX(LE_Curves!$H$5:$H$205,MATCH($B32,LE_Curves!$H$5:$H$205,1))))))</f>
        <v/>
      </c>
      <c r="I32" s="11">
        <f>IF(Inputs!$D$29=0,0,IF($B32&lt;=Inputs!$C$29,0,IF($B32&gt;=INDEX(LE_Curves!$I$5:$I$205,201),INDEX(LE_Curves!$B$5:$B$205,201),INDEX(LE_Curves!$B$5:$B$205,MATCH($B32,LE_Curves!$I$5:$I$205,1))+($B32-INDEX(LE_Curves!$I$5:$I$205,MATCH($B32,LE_Curves!$I$5:$I$205,1)))*(INDEX(LE_Curves!$B$5:$B$205,MATCH($B32,LE_Curves!$I$5:$I$205,1)+1)-INDEX(LE_Curves!$B$5:$B$205,MATCH($B32,LE_Curves!$I$5:$I$205,1)))/(INDEX(LE_Curves!$I$5:$I$205,MATCH($B32,LE_Curves!$I$5:$I$205,1)+1)-INDEX(LE_Curves!$I$5:$I$205,MATCH($B32,LE_Curves!$I$5:$I$205,1))))))</f>
        <v/>
      </c>
      <c r="J32" s="11">
        <f>IF(Inputs!$D$30=0,0,IF($B32&lt;=Inputs!$C$30,0,IF($B32&gt;=INDEX(LE_Curves!$J$5:$J$205,201),INDEX(LE_Curves!$B$5:$B$205,201),INDEX(LE_Curves!$B$5:$B$205,MATCH($B32,LE_Curves!$J$5:$J$205,1))+($B32-INDEX(LE_Curves!$J$5:$J$205,MATCH($B32,LE_Curves!$J$5:$J$205,1)))*(INDEX(LE_Curves!$B$5:$B$205,MATCH($B32,LE_Curves!$J$5:$J$205,1)+1)-INDEX(LE_Curves!$B$5:$B$205,MATCH($B32,LE_Curves!$J$5:$J$205,1)))/(INDEX(LE_Curves!$J$5:$J$205,MATCH($B32,LE_Curves!$J$5:$J$205,1)+1)-INDEX(LE_Curves!$J$5:$J$205,MATCH($B32,LE_Curves!$J$5:$J$205,1))))))</f>
        <v/>
      </c>
      <c r="K32" s="11">
        <f>IF(Inputs!$D$31=0,0,IF($B32&lt;=Inputs!$C$31,0,IF($B32&gt;=INDEX(LE_Curves!$K$5:$K$205,201),INDEX(LE_Curves!$B$5:$B$205,201),INDEX(LE_Curves!$B$5:$B$205,MATCH($B32,LE_Curves!$K$5:$K$205,1))+($B32-INDEX(LE_Curves!$K$5:$K$205,MATCH($B32,LE_Curves!$K$5:$K$205,1)))*(INDEX(LE_Curves!$B$5:$B$205,MATCH($B32,LE_Curves!$K$5:$K$205,1)+1)-INDEX(LE_Curves!$B$5:$B$205,MATCH($B32,LE_Curves!$K$5:$K$205,1)))/(INDEX(LE_Curves!$K$5:$K$205,MATCH($B32,LE_Curves!$K$5:$K$205,1)+1)-INDEX(LE_Curves!$K$5:$K$205,MATCH($B32,LE_Curves!$K$5:$K$205,1))))))</f>
        <v/>
      </c>
      <c r="L32" s="11">
        <f>IF(Inputs!$D$32=0,0,IF($B32&lt;=Inputs!$C$32,0,IF($B32&gt;=INDEX(LE_Curves!$L$5:$L$205,201),INDEX(LE_Curves!$B$5:$B$205,201),INDEX(LE_Curves!$B$5:$B$205,MATCH($B32,LE_Curves!$L$5:$L$205,1))+($B32-INDEX(LE_Curves!$L$5:$L$205,MATCH($B32,LE_Curves!$L$5:$L$205,1)))*(INDEX(LE_Curves!$B$5:$B$205,MATCH($B32,LE_Curves!$L$5:$L$205,1)+1)-INDEX(LE_Curves!$B$5:$B$205,MATCH($B32,LE_Curves!$L$5:$L$205,1)))/(INDEX(LE_Curves!$L$5:$L$205,MATCH($B32,LE_Curves!$L$5:$L$205,1)+1)-INDEX(LE_Curves!$L$5:$L$205,MATCH($B32,LE_Curves!$L$5:$L$205,1))))))</f>
        <v/>
      </c>
      <c r="M32" s="11">
        <f>IF(Inputs!$D$33=0,0,IF($B32&lt;=Inputs!$C$33,0,IF($B32&gt;=INDEX(LE_Curves!$M$5:$M$205,201),INDEX(LE_Curves!$B$5:$B$205,201),INDEX(LE_Curves!$B$5:$B$205,MATCH($B32,LE_Curves!$M$5:$M$205,1))+($B32-INDEX(LE_Curves!$M$5:$M$205,MATCH($B32,LE_Curves!$M$5:$M$205,1)))*(INDEX(LE_Curves!$B$5:$B$205,MATCH($B32,LE_Curves!$M$5:$M$205,1)+1)-INDEX(LE_Curves!$B$5:$B$205,MATCH($B32,LE_Curves!$M$5:$M$205,1)))/(INDEX(LE_Curves!$M$5:$M$205,MATCH($B32,LE_Curves!$M$5:$M$205,1)+1)-INDEX(LE_Curves!$M$5:$M$205,MATCH($B32,LE_Curves!$M$5:$M$205,1))))))</f>
        <v/>
      </c>
      <c r="N32" s="11">
        <f>IF(Inputs!$D$34=0,0,IF($B32&lt;=Inputs!$C$34,0,IF($B32&gt;=INDEX(LE_Curves!$N$5:$N$205,201),INDEX(LE_Curves!$B$5:$B$205,201),INDEX(LE_Curves!$B$5:$B$205,MATCH($B32,LE_Curves!$N$5:$N$205,1))+($B32-INDEX(LE_Curves!$N$5:$N$205,MATCH($B32,LE_Curves!$N$5:$N$205,1)))*(INDEX(LE_Curves!$B$5:$B$205,MATCH($B32,LE_Curves!$N$5:$N$205,1)+1)-INDEX(LE_Curves!$B$5:$B$205,MATCH($B32,LE_Curves!$N$5:$N$205,1)))/(INDEX(LE_Curves!$N$5:$N$205,MATCH($B32,LE_Curves!$N$5:$N$205,1)+1)-INDEX(LE_Curves!$N$5:$N$205,MATCH($B32,LE_Curves!$N$5:$N$205,1))))))</f>
        <v/>
      </c>
      <c r="O32" s="11">
        <f>SUM(C32:N32)</f>
        <v/>
      </c>
      <c r="Q32" s="7" t="n">
        <v>1</v>
      </c>
      <c r="R32" s="23">
        <f>$B$6+($B$7-$B$6)*Q32/200</f>
        <v/>
      </c>
      <c r="S32" s="11">
        <f>IF(Inputs!$D$23=0,0,IF($R32&lt;=Inputs!$C$23,0,IF($R32&gt;=INDEX(LE_Curves!$C$5:$C$205,201),INDEX(LE_Curves!$B$5:$B$205,201),INDEX(LE_Curves!$B$5:$B$205,MATCH($R32,LE_Curves!$C$5:$C$205,1))+($R32-INDEX(LE_Curves!$C$5:$C$205,MATCH($R32,LE_Curves!$C$5:$C$205,1)))*(INDEX(LE_Curves!$B$5:$B$205,MATCH($R32,LE_Curves!$C$5:$C$205,1)+1)-INDEX(LE_Curves!$B$5:$B$205,MATCH($R32,LE_Curves!$C$5:$C$205,1)))/(INDEX(LE_Curves!$C$5:$C$205,MATCH($R32,LE_Curves!$C$5:$C$205,1)+1)-INDEX(LE_Curves!$C$5:$C$205,MATCH($R32,LE_Curves!$C$5:$C$205,1))))))</f>
        <v/>
      </c>
      <c r="T32" s="11">
        <f>IF(Inputs!$D$24=0,0,IF($R32&lt;=Inputs!$C$24,0,IF($R32&gt;=INDEX(LE_Curves!$D$5:$D$205,201),INDEX(LE_Curves!$B$5:$B$205,201),INDEX(LE_Curves!$B$5:$B$205,MATCH($R32,LE_Curves!$D$5:$D$205,1))+($R32-INDEX(LE_Curves!$D$5:$D$205,MATCH($R32,LE_Curves!$D$5:$D$205,1)))*(INDEX(LE_Curves!$B$5:$B$205,MATCH($R32,LE_Curves!$D$5:$D$205,1)+1)-INDEX(LE_Curves!$B$5:$B$205,MATCH($R32,LE_Curves!$D$5:$D$205,1)))/(INDEX(LE_Curves!$D$5:$D$205,MATCH($R32,LE_Curves!$D$5:$D$205,1)+1)-INDEX(LE_Curves!$D$5:$D$205,MATCH($R32,LE_Curves!$D$5:$D$205,1))))))</f>
        <v/>
      </c>
      <c r="U32" s="11">
        <f>IF(Inputs!$D$25=0,0,IF($R32&lt;=Inputs!$C$25,0,IF($R32&gt;=INDEX(LE_Curves!$E$5:$E$205,201),INDEX(LE_Curves!$B$5:$B$205,201),INDEX(LE_Curves!$B$5:$B$205,MATCH($R32,LE_Curves!$E$5:$E$205,1))+($R32-INDEX(LE_Curves!$E$5:$E$205,MATCH($R32,LE_Curves!$E$5:$E$205,1)))*(INDEX(LE_Curves!$B$5:$B$205,MATCH($R32,LE_Curves!$E$5:$E$205,1)+1)-INDEX(LE_Curves!$B$5:$B$205,MATCH($R32,LE_Curves!$E$5:$E$205,1)))/(INDEX(LE_Curves!$E$5:$E$205,MATCH($R32,LE_Curves!$E$5:$E$205,1)+1)-INDEX(LE_Curves!$E$5:$E$205,MATCH($R32,LE_Curves!$E$5:$E$205,1))))))</f>
        <v/>
      </c>
      <c r="V32" s="11">
        <f>IF(Inputs!$D$26=0,0,IF($R32&lt;=Inputs!$C$26,0,IF($R32&gt;=INDEX(LE_Curves!$F$5:$F$205,201),INDEX(LE_Curves!$B$5:$B$205,201),INDEX(LE_Curves!$B$5:$B$205,MATCH($R32,LE_Curves!$F$5:$F$205,1))+($R32-INDEX(LE_Curves!$F$5:$F$205,MATCH($R32,LE_Curves!$F$5:$F$205,1)))*(INDEX(LE_Curves!$B$5:$B$205,MATCH($R32,LE_Curves!$F$5:$F$205,1)+1)-INDEX(LE_Curves!$B$5:$B$205,MATCH($R32,LE_Curves!$F$5:$F$205,1)))/(INDEX(LE_Curves!$F$5:$F$205,MATCH($R32,LE_Curves!$F$5:$F$205,1)+1)-INDEX(LE_Curves!$F$5:$F$205,MATCH($R32,LE_Curves!$F$5:$F$205,1))))))</f>
        <v/>
      </c>
      <c r="W32" s="11">
        <f>IF(Inputs!$D$27=0,0,IF($R32&lt;=Inputs!$C$27,0,IF($R32&gt;=INDEX(LE_Curves!$G$5:$G$205,201),INDEX(LE_Curves!$B$5:$B$205,201),INDEX(LE_Curves!$B$5:$B$205,MATCH($R32,LE_Curves!$G$5:$G$205,1))+($R32-INDEX(LE_Curves!$G$5:$G$205,MATCH($R32,LE_Curves!$G$5:$G$205,1)))*(INDEX(LE_Curves!$B$5:$B$205,MATCH($R32,LE_Curves!$G$5:$G$205,1)+1)-INDEX(LE_Curves!$B$5:$B$205,MATCH($R32,LE_Curves!$G$5:$G$205,1)))/(INDEX(LE_Curves!$G$5:$G$205,MATCH($R32,LE_Curves!$G$5:$G$205,1)+1)-INDEX(LE_Curves!$G$5:$G$205,MATCH($R32,LE_Curves!$G$5:$G$205,1))))))</f>
        <v/>
      </c>
      <c r="X32" s="11">
        <f>IF(Inputs!$D$28=0,0,IF($R32&lt;=Inputs!$C$28,0,IF($R32&gt;=INDEX(LE_Curves!$H$5:$H$205,201),INDEX(LE_Curves!$B$5:$B$205,201),INDEX(LE_Curves!$B$5:$B$205,MATCH($R32,LE_Curves!$H$5:$H$205,1))+($R32-INDEX(LE_Curves!$H$5:$H$205,MATCH($R32,LE_Curves!$H$5:$H$205,1)))*(INDEX(LE_Curves!$B$5:$B$205,MATCH($R32,LE_Curves!$H$5:$H$205,1)+1)-INDEX(LE_Curves!$B$5:$B$205,MATCH($R32,LE_Curves!$H$5:$H$205,1)))/(INDEX(LE_Curves!$H$5:$H$205,MATCH($R32,LE_Curves!$H$5:$H$205,1)+1)-INDEX(LE_Curves!$H$5:$H$205,MATCH($R32,LE_Curves!$H$5:$H$205,1))))))</f>
        <v/>
      </c>
      <c r="Y32" s="11">
        <f>IF(Inputs!$D$29=0,0,IF($R32&lt;=Inputs!$C$29,0,IF($R32&gt;=INDEX(LE_Curves!$I$5:$I$205,201),INDEX(LE_Curves!$B$5:$B$205,201),INDEX(LE_Curves!$B$5:$B$205,MATCH($R32,LE_Curves!$I$5:$I$205,1))+($R32-INDEX(LE_Curves!$I$5:$I$205,MATCH($R32,LE_Curves!$I$5:$I$205,1)))*(INDEX(LE_Curves!$B$5:$B$205,MATCH($R32,LE_Curves!$I$5:$I$205,1)+1)-INDEX(LE_Curves!$B$5:$B$205,MATCH($R32,LE_Curves!$I$5:$I$205,1)))/(INDEX(LE_Curves!$I$5:$I$205,MATCH($R32,LE_Curves!$I$5:$I$205,1)+1)-INDEX(LE_Curves!$I$5:$I$205,MATCH($R32,LE_Curves!$I$5:$I$205,1))))))</f>
        <v/>
      </c>
      <c r="Z32" s="11">
        <f>IF(Inputs!$D$30=0,0,IF($R32&lt;=Inputs!$C$30,0,IF($R32&gt;=INDEX(LE_Curves!$J$5:$J$205,201),INDEX(LE_Curves!$B$5:$B$205,201),INDEX(LE_Curves!$B$5:$B$205,MATCH($R32,LE_Curves!$J$5:$J$205,1))+($R32-INDEX(LE_Curves!$J$5:$J$205,MATCH($R32,LE_Curves!$J$5:$J$205,1)))*(INDEX(LE_Curves!$B$5:$B$205,MATCH($R32,LE_Curves!$J$5:$J$205,1)+1)-INDEX(LE_Curves!$B$5:$B$205,MATCH($R32,LE_Curves!$J$5:$J$205,1)))/(INDEX(LE_Curves!$J$5:$J$205,MATCH($R32,LE_Curves!$J$5:$J$205,1)+1)-INDEX(LE_Curves!$J$5:$J$205,MATCH($R32,LE_Curves!$J$5:$J$205,1))))))</f>
        <v/>
      </c>
      <c r="AA32" s="11">
        <f>IF(Inputs!$D$31=0,0,IF($R32&lt;=Inputs!$C$31,0,IF($R32&gt;=INDEX(LE_Curves!$K$5:$K$205,201),INDEX(LE_Curves!$B$5:$B$205,201),INDEX(LE_Curves!$B$5:$B$205,MATCH($R32,LE_Curves!$K$5:$K$205,1))+($R32-INDEX(LE_Curves!$K$5:$K$205,MATCH($R32,LE_Curves!$K$5:$K$205,1)))*(INDEX(LE_Curves!$B$5:$B$205,MATCH($R32,LE_Curves!$K$5:$K$205,1)+1)-INDEX(LE_Curves!$B$5:$B$205,MATCH($R32,LE_Curves!$K$5:$K$205,1)))/(INDEX(LE_Curves!$K$5:$K$205,MATCH($R32,LE_Curves!$K$5:$K$205,1)+1)-INDEX(LE_Curves!$K$5:$K$205,MATCH($R32,LE_Curves!$K$5:$K$205,1))))))</f>
        <v/>
      </c>
      <c r="AB32" s="11">
        <f>IF(Inputs!$D$32=0,0,IF($R32&lt;=Inputs!$C$32,0,IF($R32&gt;=INDEX(LE_Curves!$L$5:$L$205,201),INDEX(LE_Curves!$B$5:$B$205,201),INDEX(LE_Curves!$B$5:$B$205,MATCH($R32,LE_Curves!$L$5:$L$205,1))+($R32-INDEX(LE_Curves!$L$5:$L$205,MATCH($R32,LE_Curves!$L$5:$L$205,1)))*(INDEX(LE_Curves!$B$5:$B$205,MATCH($R32,LE_Curves!$L$5:$L$205,1)+1)-INDEX(LE_Curves!$B$5:$B$205,MATCH($R32,LE_Curves!$L$5:$L$205,1)))/(INDEX(LE_Curves!$L$5:$L$205,MATCH($R32,LE_Curves!$L$5:$L$205,1)+1)-INDEX(LE_Curves!$L$5:$L$205,MATCH($R32,LE_Curves!$L$5:$L$205,1))))))</f>
        <v/>
      </c>
      <c r="AC32" s="11">
        <f>IF(Inputs!$D$33=0,0,IF($R32&lt;=Inputs!$C$33,0,IF($R32&gt;=INDEX(LE_Curves!$M$5:$M$205,201),INDEX(LE_Curves!$B$5:$B$205,201),INDEX(LE_Curves!$B$5:$B$205,MATCH($R32,LE_Curves!$M$5:$M$205,1))+($R32-INDEX(LE_Curves!$M$5:$M$205,MATCH($R32,LE_Curves!$M$5:$M$205,1)))*(INDEX(LE_Curves!$B$5:$B$205,MATCH($R32,LE_Curves!$M$5:$M$205,1)+1)-INDEX(LE_Curves!$B$5:$B$205,MATCH($R32,LE_Curves!$M$5:$M$205,1)))/(INDEX(LE_Curves!$M$5:$M$205,MATCH($R32,LE_Curves!$M$5:$M$205,1)+1)-INDEX(LE_Curves!$M$5:$M$205,MATCH($R32,LE_Curves!$M$5:$M$205,1))))))</f>
        <v/>
      </c>
      <c r="AD32" s="11">
        <f>IF(Inputs!$D$34=0,0,IF($R32&lt;=Inputs!$C$34,0,IF($R32&gt;=INDEX(LE_Curves!$N$5:$N$205,201),INDEX(LE_Curves!$B$5:$B$205,201),INDEX(LE_Curves!$B$5:$B$205,MATCH($R32,LE_Curves!$N$5:$N$205,1))+($R32-INDEX(LE_Curves!$N$5:$N$205,MATCH($R32,LE_Curves!$N$5:$N$205,1)))*(INDEX(LE_Curves!$B$5:$B$205,MATCH($R32,LE_Curves!$N$5:$N$205,1)+1)-INDEX(LE_Curves!$B$5:$B$205,MATCH($R32,LE_Curves!$N$5:$N$205,1)))/(INDEX(LE_Curves!$N$5:$N$205,MATCH($R32,LE_Curves!$N$5:$N$205,1)+1)-INDEX(LE_Curves!$N$5:$N$205,MATCH($R32,LE_Curves!$N$5:$N$205,1))))))</f>
        <v/>
      </c>
      <c r="AE32" s="37">
        <f>SUM(S32:AD32)</f>
        <v/>
      </c>
    </row>
    <row r="33">
      <c r="A33" s="7" t="n">
        <v>2</v>
      </c>
      <c r="B33" s="37">
        <f>$B$3+($B$4-$B$3)*A33/200</f>
        <v/>
      </c>
      <c r="C33" s="11">
        <f>IF(Inputs!$D$23=0,0,IF($B33&lt;=Inputs!$C$23,0,IF($B33&gt;=INDEX(LE_Curves!$C$5:$C$205,201),INDEX(LE_Curves!$B$5:$B$205,201),INDEX(LE_Curves!$B$5:$B$205,MATCH($B33,LE_Curves!$C$5:$C$205,1))+($B33-INDEX(LE_Curves!$C$5:$C$205,MATCH($B33,LE_Curves!$C$5:$C$205,1)))*(INDEX(LE_Curves!$B$5:$B$205,MATCH($B33,LE_Curves!$C$5:$C$205,1)+1)-INDEX(LE_Curves!$B$5:$B$205,MATCH($B33,LE_Curves!$C$5:$C$205,1)))/(INDEX(LE_Curves!$C$5:$C$205,MATCH($B33,LE_Curves!$C$5:$C$205,1)+1)-INDEX(LE_Curves!$C$5:$C$205,MATCH($B33,LE_Curves!$C$5:$C$205,1))))))</f>
        <v/>
      </c>
      <c r="D33" s="11">
        <f>IF(Inputs!$D$24=0,0,IF($B33&lt;=Inputs!$C$24,0,IF($B33&gt;=INDEX(LE_Curves!$D$5:$D$205,201),INDEX(LE_Curves!$B$5:$B$205,201),INDEX(LE_Curves!$B$5:$B$205,MATCH($B33,LE_Curves!$D$5:$D$205,1))+($B33-INDEX(LE_Curves!$D$5:$D$205,MATCH($B33,LE_Curves!$D$5:$D$205,1)))*(INDEX(LE_Curves!$B$5:$B$205,MATCH($B33,LE_Curves!$D$5:$D$205,1)+1)-INDEX(LE_Curves!$B$5:$B$205,MATCH($B33,LE_Curves!$D$5:$D$205,1)))/(INDEX(LE_Curves!$D$5:$D$205,MATCH($B33,LE_Curves!$D$5:$D$205,1)+1)-INDEX(LE_Curves!$D$5:$D$205,MATCH($B33,LE_Curves!$D$5:$D$205,1))))))</f>
        <v/>
      </c>
      <c r="E33" s="11">
        <f>IF(Inputs!$D$25=0,0,IF($B33&lt;=Inputs!$C$25,0,IF($B33&gt;=INDEX(LE_Curves!$E$5:$E$205,201),INDEX(LE_Curves!$B$5:$B$205,201),INDEX(LE_Curves!$B$5:$B$205,MATCH($B33,LE_Curves!$E$5:$E$205,1))+($B33-INDEX(LE_Curves!$E$5:$E$205,MATCH($B33,LE_Curves!$E$5:$E$205,1)))*(INDEX(LE_Curves!$B$5:$B$205,MATCH($B33,LE_Curves!$E$5:$E$205,1)+1)-INDEX(LE_Curves!$B$5:$B$205,MATCH($B33,LE_Curves!$E$5:$E$205,1)))/(INDEX(LE_Curves!$E$5:$E$205,MATCH($B33,LE_Curves!$E$5:$E$205,1)+1)-INDEX(LE_Curves!$E$5:$E$205,MATCH($B33,LE_Curves!$E$5:$E$205,1))))))</f>
        <v/>
      </c>
      <c r="F33" s="11">
        <f>IF(Inputs!$D$26=0,0,IF($B33&lt;=Inputs!$C$26,0,IF($B33&gt;=INDEX(LE_Curves!$F$5:$F$205,201),INDEX(LE_Curves!$B$5:$B$205,201),INDEX(LE_Curves!$B$5:$B$205,MATCH($B33,LE_Curves!$F$5:$F$205,1))+($B33-INDEX(LE_Curves!$F$5:$F$205,MATCH($B33,LE_Curves!$F$5:$F$205,1)))*(INDEX(LE_Curves!$B$5:$B$205,MATCH($B33,LE_Curves!$F$5:$F$205,1)+1)-INDEX(LE_Curves!$B$5:$B$205,MATCH($B33,LE_Curves!$F$5:$F$205,1)))/(INDEX(LE_Curves!$F$5:$F$205,MATCH($B33,LE_Curves!$F$5:$F$205,1)+1)-INDEX(LE_Curves!$F$5:$F$205,MATCH($B33,LE_Curves!$F$5:$F$205,1))))))</f>
        <v/>
      </c>
      <c r="G33" s="11">
        <f>IF(Inputs!$D$27=0,0,IF($B33&lt;=Inputs!$C$27,0,IF($B33&gt;=INDEX(LE_Curves!$G$5:$G$205,201),INDEX(LE_Curves!$B$5:$B$205,201),INDEX(LE_Curves!$B$5:$B$205,MATCH($B33,LE_Curves!$G$5:$G$205,1))+($B33-INDEX(LE_Curves!$G$5:$G$205,MATCH($B33,LE_Curves!$G$5:$G$205,1)))*(INDEX(LE_Curves!$B$5:$B$205,MATCH($B33,LE_Curves!$G$5:$G$205,1)+1)-INDEX(LE_Curves!$B$5:$B$205,MATCH($B33,LE_Curves!$G$5:$G$205,1)))/(INDEX(LE_Curves!$G$5:$G$205,MATCH($B33,LE_Curves!$G$5:$G$205,1)+1)-INDEX(LE_Curves!$G$5:$G$205,MATCH($B33,LE_Curves!$G$5:$G$205,1))))))</f>
        <v/>
      </c>
      <c r="H33" s="11">
        <f>IF(Inputs!$D$28=0,0,IF($B33&lt;=Inputs!$C$28,0,IF($B33&gt;=INDEX(LE_Curves!$H$5:$H$205,201),INDEX(LE_Curves!$B$5:$B$205,201),INDEX(LE_Curves!$B$5:$B$205,MATCH($B33,LE_Curves!$H$5:$H$205,1))+($B33-INDEX(LE_Curves!$H$5:$H$205,MATCH($B33,LE_Curves!$H$5:$H$205,1)))*(INDEX(LE_Curves!$B$5:$B$205,MATCH($B33,LE_Curves!$H$5:$H$205,1)+1)-INDEX(LE_Curves!$B$5:$B$205,MATCH($B33,LE_Curves!$H$5:$H$205,1)))/(INDEX(LE_Curves!$H$5:$H$205,MATCH($B33,LE_Curves!$H$5:$H$205,1)+1)-INDEX(LE_Curves!$H$5:$H$205,MATCH($B33,LE_Curves!$H$5:$H$205,1))))))</f>
        <v/>
      </c>
      <c r="I33" s="11">
        <f>IF(Inputs!$D$29=0,0,IF($B33&lt;=Inputs!$C$29,0,IF($B33&gt;=INDEX(LE_Curves!$I$5:$I$205,201),INDEX(LE_Curves!$B$5:$B$205,201),INDEX(LE_Curves!$B$5:$B$205,MATCH($B33,LE_Curves!$I$5:$I$205,1))+($B33-INDEX(LE_Curves!$I$5:$I$205,MATCH($B33,LE_Curves!$I$5:$I$205,1)))*(INDEX(LE_Curves!$B$5:$B$205,MATCH($B33,LE_Curves!$I$5:$I$205,1)+1)-INDEX(LE_Curves!$B$5:$B$205,MATCH($B33,LE_Curves!$I$5:$I$205,1)))/(INDEX(LE_Curves!$I$5:$I$205,MATCH($B33,LE_Curves!$I$5:$I$205,1)+1)-INDEX(LE_Curves!$I$5:$I$205,MATCH($B33,LE_Curves!$I$5:$I$205,1))))))</f>
        <v/>
      </c>
      <c r="J33" s="11">
        <f>IF(Inputs!$D$30=0,0,IF($B33&lt;=Inputs!$C$30,0,IF($B33&gt;=INDEX(LE_Curves!$J$5:$J$205,201),INDEX(LE_Curves!$B$5:$B$205,201),INDEX(LE_Curves!$B$5:$B$205,MATCH($B33,LE_Curves!$J$5:$J$205,1))+($B33-INDEX(LE_Curves!$J$5:$J$205,MATCH($B33,LE_Curves!$J$5:$J$205,1)))*(INDEX(LE_Curves!$B$5:$B$205,MATCH($B33,LE_Curves!$J$5:$J$205,1)+1)-INDEX(LE_Curves!$B$5:$B$205,MATCH($B33,LE_Curves!$J$5:$J$205,1)))/(INDEX(LE_Curves!$J$5:$J$205,MATCH($B33,LE_Curves!$J$5:$J$205,1)+1)-INDEX(LE_Curves!$J$5:$J$205,MATCH($B33,LE_Curves!$J$5:$J$205,1))))))</f>
        <v/>
      </c>
      <c r="K33" s="11">
        <f>IF(Inputs!$D$31=0,0,IF($B33&lt;=Inputs!$C$31,0,IF($B33&gt;=INDEX(LE_Curves!$K$5:$K$205,201),INDEX(LE_Curves!$B$5:$B$205,201),INDEX(LE_Curves!$B$5:$B$205,MATCH($B33,LE_Curves!$K$5:$K$205,1))+($B33-INDEX(LE_Curves!$K$5:$K$205,MATCH($B33,LE_Curves!$K$5:$K$205,1)))*(INDEX(LE_Curves!$B$5:$B$205,MATCH($B33,LE_Curves!$K$5:$K$205,1)+1)-INDEX(LE_Curves!$B$5:$B$205,MATCH($B33,LE_Curves!$K$5:$K$205,1)))/(INDEX(LE_Curves!$K$5:$K$205,MATCH($B33,LE_Curves!$K$5:$K$205,1)+1)-INDEX(LE_Curves!$K$5:$K$205,MATCH($B33,LE_Curves!$K$5:$K$205,1))))))</f>
        <v/>
      </c>
      <c r="L33" s="11">
        <f>IF(Inputs!$D$32=0,0,IF($B33&lt;=Inputs!$C$32,0,IF($B33&gt;=INDEX(LE_Curves!$L$5:$L$205,201),INDEX(LE_Curves!$B$5:$B$205,201),INDEX(LE_Curves!$B$5:$B$205,MATCH($B33,LE_Curves!$L$5:$L$205,1))+($B33-INDEX(LE_Curves!$L$5:$L$205,MATCH($B33,LE_Curves!$L$5:$L$205,1)))*(INDEX(LE_Curves!$B$5:$B$205,MATCH($B33,LE_Curves!$L$5:$L$205,1)+1)-INDEX(LE_Curves!$B$5:$B$205,MATCH($B33,LE_Curves!$L$5:$L$205,1)))/(INDEX(LE_Curves!$L$5:$L$205,MATCH($B33,LE_Curves!$L$5:$L$205,1)+1)-INDEX(LE_Curves!$L$5:$L$205,MATCH($B33,LE_Curves!$L$5:$L$205,1))))))</f>
        <v/>
      </c>
      <c r="M33" s="11">
        <f>IF(Inputs!$D$33=0,0,IF($B33&lt;=Inputs!$C$33,0,IF($B33&gt;=INDEX(LE_Curves!$M$5:$M$205,201),INDEX(LE_Curves!$B$5:$B$205,201),INDEX(LE_Curves!$B$5:$B$205,MATCH($B33,LE_Curves!$M$5:$M$205,1))+($B33-INDEX(LE_Curves!$M$5:$M$205,MATCH($B33,LE_Curves!$M$5:$M$205,1)))*(INDEX(LE_Curves!$B$5:$B$205,MATCH($B33,LE_Curves!$M$5:$M$205,1)+1)-INDEX(LE_Curves!$B$5:$B$205,MATCH($B33,LE_Curves!$M$5:$M$205,1)))/(INDEX(LE_Curves!$M$5:$M$205,MATCH($B33,LE_Curves!$M$5:$M$205,1)+1)-INDEX(LE_Curves!$M$5:$M$205,MATCH($B33,LE_Curves!$M$5:$M$205,1))))))</f>
        <v/>
      </c>
      <c r="N33" s="11">
        <f>IF(Inputs!$D$34=0,0,IF($B33&lt;=Inputs!$C$34,0,IF($B33&gt;=INDEX(LE_Curves!$N$5:$N$205,201),INDEX(LE_Curves!$B$5:$B$205,201),INDEX(LE_Curves!$B$5:$B$205,MATCH($B33,LE_Curves!$N$5:$N$205,1))+($B33-INDEX(LE_Curves!$N$5:$N$205,MATCH($B33,LE_Curves!$N$5:$N$205,1)))*(INDEX(LE_Curves!$B$5:$B$205,MATCH($B33,LE_Curves!$N$5:$N$205,1)+1)-INDEX(LE_Curves!$B$5:$B$205,MATCH($B33,LE_Curves!$N$5:$N$205,1)))/(INDEX(LE_Curves!$N$5:$N$205,MATCH($B33,LE_Curves!$N$5:$N$205,1)+1)-INDEX(LE_Curves!$N$5:$N$205,MATCH($B33,LE_Curves!$N$5:$N$205,1))))))</f>
        <v/>
      </c>
      <c r="O33" s="11">
        <f>SUM(C33:N33)</f>
        <v/>
      </c>
      <c r="Q33" s="7" t="n">
        <v>2</v>
      </c>
      <c r="R33" s="23">
        <f>$B$6+($B$7-$B$6)*Q33/200</f>
        <v/>
      </c>
      <c r="S33" s="11">
        <f>IF(Inputs!$D$23=0,0,IF($R33&lt;=Inputs!$C$23,0,IF($R33&gt;=INDEX(LE_Curves!$C$5:$C$205,201),INDEX(LE_Curves!$B$5:$B$205,201),INDEX(LE_Curves!$B$5:$B$205,MATCH($R33,LE_Curves!$C$5:$C$205,1))+($R33-INDEX(LE_Curves!$C$5:$C$205,MATCH($R33,LE_Curves!$C$5:$C$205,1)))*(INDEX(LE_Curves!$B$5:$B$205,MATCH($R33,LE_Curves!$C$5:$C$205,1)+1)-INDEX(LE_Curves!$B$5:$B$205,MATCH($R33,LE_Curves!$C$5:$C$205,1)))/(INDEX(LE_Curves!$C$5:$C$205,MATCH($R33,LE_Curves!$C$5:$C$205,1)+1)-INDEX(LE_Curves!$C$5:$C$205,MATCH($R33,LE_Curves!$C$5:$C$205,1))))))</f>
        <v/>
      </c>
      <c r="T33" s="11">
        <f>IF(Inputs!$D$24=0,0,IF($R33&lt;=Inputs!$C$24,0,IF($R33&gt;=INDEX(LE_Curves!$D$5:$D$205,201),INDEX(LE_Curves!$B$5:$B$205,201),INDEX(LE_Curves!$B$5:$B$205,MATCH($R33,LE_Curves!$D$5:$D$205,1))+($R33-INDEX(LE_Curves!$D$5:$D$205,MATCH($R33,LE_Curves!$D$5:$D$205,1)))*(INDEX(LE_Curves!$B$5:$B$205,MATCH($R33,LE_Curves!$D$5:$D$205,1)+1)-INDEX(LE_Curves!$B$5:$B$205,MATCH($R33,LE_Curves!$D$5:$D$205,1)))/(INDEX(LE_Curves!$D$5:$D$205,MATCH($R33,LE_Curves!$D$5:$D$205,1)+1)-INDEX(LE_Curves!$D$5:$D$205,MATCH($R33,LE_Curves!$D$5:$D$205,1))))))</f>
        <v/>
      </c>
      <c r="U33" s="11">
        <f>IF(Inputs!$D$25=0,0,IF($R33&lt;=Inputs!$C$25,0,IF($R33&gt;=INDEX(LE_Curves!$E$5:$E$205,201),INDEX(LE_Curves!$B$5:$B$205,201),INDEX(LE_Curves!$B$5:$B$205,MATCH($R33,LE_Curves!$E$5:$E$205,1))+($R33-INDEX(LE_Curves!$E$5:$E$205,MATCH($R33,LE_Curves!$E$5:$E$205,1)))*(INDEX(LE_Curves!$B$5:$B$205,MATCH($R33,LE_Curves!$E$5:$E$205,1)+1)-INDEX(LE_Curves!$B$5:$B$205,MATCH($R33,LE_Curves!$E$5:$E$205,1)))/(INDEX(LE_Curves!$E$5:$E$205,MATCH($R33,LE_Curves!$E$5:$E$205,1)+1)-INDEX(LE_Curves!$E$5:$E$205,MATCH($R33,LE_Curves!$E$5:$E$205,1))))))</f>
        <v/>
      </c>
      <c r="V33" s="11">
        <f>IF(Inputs!$D$26=0,0,IF($R33&lt;=Inputs!$C$26,0,IF($R33&gt;=INDEX(LE_Curves!$F$5:$F$205,201),INDEX(LE_Curves!$B$5:$B$205,201),INDEX(LE_Curves!$B$5:$B$205,MATCH($R33,LE_Curves!$F$5:$F$205,1))+($R33-INDEX(LE_Curves!$F$5:$F$205,MATCH($R33,LE_Curves!$F$5:$F$205,1)))*(INDEX(LE_Curves!$B$5:$B$205,MATCH($R33,LE_Curves!$F$5:$F$205,1)+1)-INDEX(LE_Curves!$B$5:$B$205,MATCH($R33,LE_Curves!$F$5:$F$205,1)))/(INDEX(LE_Curves!$F$5:$F$205,MATCH($R33,LE_Curves!$F$5:$F$205,1)+1)-INDEX(LE_Curves!$F$5:$F$205,MATCH($R33,LE_Curves!$F$5:$F$205,1))))))</f>
        <v/>
      </c>
      <c r="W33" s="11">
        <f>IF(Inputs!$D$27=0,0,IF($R33&lt;=Inputs!$C$27,0,IF($R33&gt;=INDEX(LE_Curves!$G$5:$G$205,201),INDEX(LE_Curves!$B$5:$B$205,201),INDEX(LE_Curves!$B$5:$B$205,MATCH($R33,LE_Curves!$G$5:$G$205,1))+($R33-INDEX(LE_Curves!$G$5:$G$205,MATCH($R33,LE_Curves!$G$5:$G$205,1)))*(INDEX(LE_Curves!$B$5:$B$205,MATCH($R33,LE_Curves!$G$5:$G$205,1)+1)-INDEX(LE_Curves!$B$5:$B$205,MATCH($R33,LE_Curves!$G$5:$G$205,1)))/(INDEX(LE_Curves!$G$5:$G$205,MATCH($R33,LE_Curves!$G$5:$G$205,1)+1)-INDEX(LE_Curves!$G$5:$G$205,MATCH($R33,LE_Curves!$G$5:$G$205,1))))))</f>
        <v/>
      </c>
      <c r="X33" s="11">
        <f>IF(Inputs!$D$28=0,0,IF($R33&lt;=Inputs!$C$28,0,IF($R33&gt;=INDEX(LE_Curves!$H$5:$H$205,201),INDEX(LE_Curves!$B$5:$B$205,201),INDEX(LE_Curves!$B$5:$B$205,MATCH($R33,LE_Curves!$H$5:$H$205,1))+($R33-INDEX(LE_Curves!$H$5:$H$205,MATCH($R33,LE_Curves!$H$5:$H$205,1)))*(INDEX(LE_Curves!$B$5:$B$205,MATCH($R33,LE_Curves!$H$5:$H$205,1)+1)-INDEX(LE_Curves!$B$5:$B$205,MATCH($R33,LE_Curves!$H$5:$H$205,1)))/(INDEX(LE_Curves!$H$5:$H$205,MATCH($R33,LE_Curves!$H$5:$H$205,1)+1)-INDEX(LE_Curves!$H$5:$H$205,MATCH($R33,LE_Curves!$H$5:$H$205,1))))))</f>
        <v/>
      </c>
      <c r="Y33" s="11">
        <f>IF(Inputs!$D$29=0,0,IF($R33&lt;=Inputs!$C$29,0,IF($R33&gt;=INDEX(LE_Curves!$I$5:$I$205,201),INDEX(LE_Curves!$B$5:$B$205,201),INDEX(LE_Curves!$B$5:$B$205,MATCH($R33,LE_Curves!$I$5:$I$205,1))+($R33-INDEX(LE_Curves!$I$5:$I$205,MATCH($R33,LE_Curves!$I$5:$I$205,1)))*(INDEX(LE_Curves!$B$5:$B$205,MATCH($R33,LE_Curves!$I$5:$I$205,1)+1)-INDEX(LE_Curves!$B$5:$B$205,MATCH($R33,LE_Curves!$I$5:$I$205,1)))/(INDEX(LE_Curves!$I$5:$I$205,MATCH($R33,LE_Curves!$I$5:$I$205,1)+1)-INDEX(LE_Curves!$I$5:$I$205,MATCH($R33,LE_Curves!$I$5:$I$205,1))))))</f>
        <v/>
      </c>
      <c r="Z33" s="11">
        <f>IF(Inputs!$D$30=0,0,IF($R33&lt;=Inputs!$C$30,0,IF($R33&gt;=INDEX(LE_Curves!$J$5:$J$205,201),INDEX(LE_Curves!$B$5:$B$205,201),INDEX(LE_Curves!$B$5:$B$205,MATCH($R33,LE_Curves!$J$5:$J$205,1))+($R33-INDEX(LE_Curves!$J$5:$J$205,MATCH($R33,LE_Curves!$J$5:$J$205,1)))*(INDEX(LE_Curves!$B$5:$B$205,MATCH($R33,LE_Curves!$J$5:$J$205,1)+1)-INDEX(LE_Curves!$B$5:$B$205,MATCH($R33,LE_Curves!$J$5:$J$205,1)))/(INDEX(LE_Curves!$J$5:$J$205,MATCH($R33,LE_Curves!$J$5:$J$205,1)+1)-INDEX(LE_Curves!$J$5:$J$205,MATCH($R33,LE_Curves!$J$5:$J$205,1))))))</f>
        <v/>
      </c>
      <c r="AA33" s="11">
        <f>IF(Inputs!$D$31=0,0,IF($R33&lt;=Inputs!$C$31,0,IF($R33&gt;=INDEX(LE_Curves!$K$5:$K$205,201),INDEX(LE_Curves!$B$5:$B$205,201),INDEX(LE_Curves!$B$5:$B$205,MATCH($R33,LE_Curves!$K$5:$K$205,1))+($R33-INDEX(LE_Curves!$K$5:$K$205,MATCH($R33,LE_Curves!$K$5:$K$205,1)))*(INDEX(LE_Curves!$B$5:$B$205,MATCH($R33,LE_Curves!$K$5:$K$205,1)+1)-INDEX(LE_Curves!$B$5:$B$205,MATCH($R33,LE_Curves!$K$5:$K$205,1)))/(INDEX(LE_Curves!$K$5:$K$205,MATCH($R33,LE_Curves!$K$5:$K$205,1)+1)-INDEX(LE_Curves!$K$5:$K$205,MATCH($R33,LE_Curves!$K$5:$K$205,1))))))</f>
        <v/>
      </c>
      <c r="AB33" s="11">
        <f>IF(Inputs!$D$32=0,0,IF($R33&lt;=Inputs!$C$32,0,IF($R33&gt;=INDEX(LE_Curves!$L$5:$L$205,201),INDEX(LE_Curves!$B$5:$B$205,201),INDEX(LE_Curves!$B$5:$B$205,MATCH($R33,LE_Curves!$L$5:$L$205,1))+($R33-INDEX(LE_Curves!$L$5:$L$205,MATCH($R33,LE_Curves!$L$5:$L$205,1)))*(INDEX(LE_Curves!$B$5:$B$205,MATCH($R33,LE_Curves!$L$5:$L$205,1)+1)-INDEX(LE_Curves!$B$5:$B$205,MATCH($R33,LE_Curves!$L$5:$L$205,1)))/(INDEX(LE_Curves!$L$5:$L$205,MATCH($R33,LE_Curves!$L$5:$L$205,1)+1)-INDEX(LE_Curves!$L$5:$L$205,MATCH($R33,LE_Curves!$L$5:$L$205,1))))))</f>
        <v/>
      </c>
      <c r="AC33" s="11">
        <f>IF(Inputs!$D$33=0,0,IF($R33&lt;=Inputs!$C$33,0,IF($R33&gt;=INDEX(LE_Curves!$M$5:$M$205,201),INDEX(LE_Curves!$B$5:$B$205,201),INDEX(LE_Curves!$B$5:$B$205,MATCH($R33,LE_Curves!$M$5:$M$205,1))+($R33-INDEX(LE_Curves!$M$5:$M$205,MATCH($R33,LE_Curves!$M$5:$M$205,1)))*(INDEX(LE_Curves!$B$5:$B$205,MATCH($R33,LE_Curves!$M$5:$M$205,1)+1)-INDEX(LE_Curves!$B$5:$B$205,MATCH($R33,LE_Curves!$M$5:$M$205,1)))/(INDEX(LE_Curves!$M$5:$M$205,MATCH($R33,LE_Curves!$M$5:$M$205,1)+1)-INDEX(LE_Curves!$M$5:$M$205,MATCH($R33,LE_Curves!$M$5:$M$205,1))))))</f>
        <v/>
      </c>
      <c r="AD33" s="11">
        <f>IF(Inputs!$D$34=0,0,IF($R33&lt;=Inputs!$C$34,0,IF($R33&gt;=INDEX(LE_Curves!$N$5:$N$205,201),INDEX(LE_Curves!$B$5:$B$205,201),INDEX(LE_Curves!$B$5:$B$205,MATCH($R33,LE_Curves!$N$5:$N$205,1))+($R33-INDEX(LE_Curves!$N$5:$N$205,MATCH($R33,LE_Curves!$N$5:$N$205,1)))*(INDEX(LE_Curves!$B$5:$B$205,MATCH($R33,LE_Curves!$N$5:$N$205,1)+1)-INDEX(LE_Curves!$B$5:$B$205,MATCH($R33,LE_Curves!$N$5:$N$205,1)))/(INDEX(LE_Curves!$N$5:$N$205,MATCH($R33,LE_Curves!$N$5:$N$205,1)+1)-INDEX(LE_Curves!$N$5:$N$205,MATCH($R33,LE_Curves!$N$5:$N$205,1))))))</f>
        <v/>
      </c>
      <c r="AE33" s="37">
        <f>SUM(S33:AD33)</f>
        <v/>
      </c>
    </row>
    <row r="34">
      <c r="A34" s="7" t="n">
        <v>3</v>
      </c>
      <c r="B34" s="37">
        <f>$B$3+($B$4-$B$3)*A34/200</f>
        <v/>
      </c>
      <c r="C34" s="11">
        <f>IF(Inputs!$D$23=0,0,IF($B34&lt;=Inputs!$C$23,0,IF($B34&gt;=INDEX(LE_Curves!$C$5:$C$205,201),INDEX(LE_Curves!$B$5:$B$205,201),INDEX(LE_Curves!$B$5:$B$205,MATCH($B34,LE_Curves!$C$5:$C$205,1))+($B34-INDEX(LE_Curves!$C$5:$C$205,MATCH($B34,LE_Curves!$C$5:$C$205,1)))*(INDEX(LE_Curves!$B$5:$B$205,MATCH($B34,LE_Curves!$C$5:$C$205,1)+1)-INDEX(LE_Curves!$B$5:$B$205,MATCH($B34,LE_Curves!$C$5:$C$205,1)))/(INDEX(LE_Curves!$C$5:$C$205,MATCH($B34,LE_Curves!$C$5:$C$205,1)+1)-INDEX(LE_Curves!$C$5:$C$205,MATCH($B34,LE_Curves!$C$5:$C$205,1))))))</f>
        <v/>
      </c>
      <c r="D34" s="11">
        <f>IF(Inputs!$D$24=0,0,IF($B34&lt;=Inputs!$C$24,0,IF($B34&gt;=INDEX(LE_Curves!$D$5:$D$205,201),INDEX(LE_Curves!$B$5:$B$205,201),INDEX(LE_Curves!$B$5:$B$205,MATCH($B34,LE_Curves!$D$5:$D$205,1))+($B34-INDEX(LE_Curves!$D$5:$D$205,MATCH($B34,LE_Curves!$D$5:$D$205,1)))*(INDEX(LE_Curves!$B$5:$B$205,MATCH($B34,LE_Curves!$D$5:$D$205,1)+1)-INDEX(LE_Curves!$B$5:$B$205,MATCH($B34,LE_Curves!$D$5:$D$205,1)))/(INDEX(LE_Curves!$D$5:$D$205,MATCH($B34,LE_Curves!$D$5:$D$205,1)+1)-INDEX(LE_Curves!$D$5:$D$205,MATCH($B34,LE_Curves!$D$5:$D$205,1))))))</f>
        <v/>
      </c>
      <c r="E34" s="11">
        <f>IF(Inputs!$D$25=0,0,IF($B34&lt;=Inputs!$C$25,0,IF($B34&gt;=INDEX(LE_Curves!$E$5:$E$205,201),INDEX(LE_Curves!$B$5:$B$205,201),INDEX(LE_Curves!$B$5:$B$205,MATCH($B34,LE_Curves!$E$5:$E$205,1))+($B34-INDEX(LE_Curves!$E$5:$E$205,MATCH($B34,LE_Curves!$E$5:$E$205,1)))*(INDEX(LE_Curves!$B$5:$B$205,MATCH($B34,LE_Curves!$E$5:$E$205,1)+1)-INDEX(LE_Curves!$B$5:$B$205,MATCH($B34,LE_Curves!$E$5:$E$205,1)))/(INDEX(LE_Curves!$E$5:$E$205,MATCH($B34,LE_Curves!$E$5:$E$205,1)+1)-INDEX(LE_Curves!$E$5:$E$205,MATCH($B34,LE_Curves!$E$5:$E$205,1))))))</f>
        <v/>
      </c>
      <c r="F34" s="11">
        <f>IF(Inputs!$D$26=0,0,IF($B34&lt;=Inputs!$C$26,0,IF($B34&gt;=INDEX(LE_Curves!$F$5:$F$205,201),INDEX(LE_Curves!$B$5:$B$205,201),INDEX(LE_Curves!$B$5:$B$205,MATCH($B34,LE_Curves!$F$5:$F$205,1))+($B34-INDEX(LE_Curves!$F$5:$F$205,MATCH($B34,LE_Curves!$F$5:$F$205,1)))*(INDEX(LE_Curves!$B$5:$B$205,MATCH($B34,LE_Curves!$F$5:$F$205,1)+1)-INDEX(LE_Curves!$B$5:$B$205,MATCH($B34,LE_Curves!$F$5:$F$205,1)))/(INDEX(LE_Curves!$F$5:$F$205,MATCH($B34,LE_Curves!$F$5:$F$205,1)+1)-INDEX(LE_Curves!$F$5:$F$205,MATCH($B34,LE_Curves!$F$5:$F$205,1))))))</f>
        <v/>
      </c>
      <c r="G34" s="11">
        <f>IF(Inputs!$D$27=0,0,IF($B34&lt;=Inputs!$C$27,0,IF($B34&gt;=INDEX(LE_Curves!$G$5:$G$205,201),INDEX(LE_Curves!$B$5:$B$205,201),INDEX(LE_Curves!$B$5:$B$205,MATCH($B34,LE_Curves!$G$5:$G$205,1))+($B34-INDEX(LE_Curves!$G$5:$G$205,MATCH($B34,LE_Curves!$G$5:$G$205,1)))*(INDEX(LE_Curves!$B$5:$B$205,MATCH($B34,LE_Curves!$G$5:$G$205,1)+1)-INDEX(LE_Curves!$B$5:$B$205,MATCH($B34,LE_Curves!$G$5:$G$205,1)))/(INDEX(LE_Curves!$G$5:$G$205,MATCH($B34,LE_Curves!$G$5:$G$205,1)+1)-INDEX(LE_Curves!$G$5:$G$205,MATCH($B34,LE_Curves!$G$5:$G$205,1))))))</f>
        <v/>
      </c>
      <c r="H34" s="11">
        <f>IF(Inputs!$D$28=0,0,IF($B34&lt;=Inputs!$C$28,0,IF($B34&gt;=INDEX(LE_Curves!$H$5:$H$205,201),INDEX(LE_Curves!$B$5:$B$205,201),INDEX(LE_Curves!$B$5:$B$205,MATCH($B34,LE_Curves!$H$5:$H$205,1))+($B34-INDEX(LE_Curves!$H$5:$H$205,MATCH($B34,LE_Curves!$H$5:$H$205,1)))*(INDEX(LE_Curves!$B$5:$B$205,MATCH($B34,LE_Curves!$H$5:$H$205,1)+1)-INDEX(LE_Curves!$B$5:$B$205,MATCH($B34,LE_Curves!$H$5:$H$205,1)))/(INDEX(LE_Curves!$H$5:$H$205,MATCH($B34,LE_Curves!$H$5:$H$205,1)+1)-INDEX(LE_Curves!$H$5:$H$205,MATCH($B34,LE_Curves!$H$5:$H$205,1))))))</f>
        <v/>
      </c>
      <c r="I34" s="11">
        <f>IF(Inputs!$D$29=0,0,IF($B34&lt;=Inputs!$C$29,0,IF($B34&gt;=INDEX(LE_Curves!$I$5:$I$205,201),INDEX(LE_Curves!$B$5:$B$205,201),INDEX(LE_Curves!$B$5:$B$205,MATCH($B34,LE_Curves!$I$5:$I$205,1))+($B34-INDEX(LE_Curves!$I$5:$I$205,MATCH($B34,LE_Curves!$I$5:$I$205,1)))*(INDEX(LE_Curves!$B$5:$B$205,MATCH($B34,LE_Curves!$I$5:$I$205,1)+1)-INDEX(LE_Curves!$B$5:$B$205,MATCH($B34,LE_Curves!$I$5:$I$205,1)))/(INDEX(LE_Curves!$I$5:$I$205,MATCH($B34,LE_Curves!$I$5:$I$205,1)+1)-INDEX(LE_Curves!$I$5:$I$205,MATCH($B34,LE_Curves!$I$5:$I$205,1))))))</f>
        <v/>
      </c>
      <c r="J34" s="11">
        <f>IF(Inputs!$D$30=0,0,IF($B34&lt;=Inputs!$C$30,0,IF($B34&gt;=INDEX(LE_Curves!$J$5:$J$205,201),INDEX(LE_Curves!$B$5:$B$205,201),INDEX(LE_Curves!$B$5:$B$205,MATCH($B34,LE_Curves!$J$5:$J$205,1))+($B34-INDEX(LE_Curves!$J$5:$J$205,MATCH($B34,LE_Curves!$J$5:$J$205,1)))*(INDEX(LE_Curves!$B$5:$B$205,MATCH($B34,LE_Curves!$J$5:$J$205,1)+1)-INDEX(LE_Curves!$B$5:$B$205,MATCH($B34,LE_Curves!$J$5:$J$205,1)))/(INDEX(LE_Curves!$J$5:$J$205,MATCH($B34,LE_Curves!$J$5:$J$205,1)+1)-INDEX(LE_Curves!$J$5:$J$205,MATCH($B34,LE_Curves!$J$5:$J$205,1))))))</f>
        <v/>
      </c>
      <c r="K34" s="11">
        <f>IF(Inputs!$D$31=0,0,IF($B34&lt;=Inputs!$C$31,0,IF($B34&gt;=INDEX(LE_Curves!$K$5:$K$205,201),INDEX(LE_Curves!$B$5:$B$205,201),INDEX(LE_Curves!$B$5:$B$205,MATCH($B34,LE_Curves!$K$5:$K$205,1))+($B34-INDEX(LE_Curves!$K$5:$K$205,MATCH($B34,LE_Curves!$K$5:$K$205,1)))*(INDEX(LE_Curves!$B$5:$B$205,MATCH($B34,LE_Curves!$K$5:$K$205,1)+1)-INDEX(LE_Curves!$B$5:$B$205,MATCH($B34,LE_Curves!$K$5:$K$205,1)))/(INDEX(LE_Curves!$K$5:$K$205,MATCH($B34,LE_Curves!$K$5:$K$205,1)+1)-INDEX(LE_Curves!$K$5:$K$205,MATCH($B34,LE_Curves!$K$5:$K$205,1))))))</f>
        <v/>
      </c>
      <c r="L34" s="11">
        <f>IF(Inputs!$D$32=0,0,IF($B34&lt;=Inputs!$C$32,0,IF($B34&gt;=INDEX(LE_Curves!$L$5:$L$205,201),INDEX(LE_Curves!$B$5:$B$205,201),INDEX(LE_Curves!$B$5:$B$205,MATCH($B34,LE_Curves!$L$5:$L$205,1))+($B34-INDEX(LE_Curves!$L$5:$L$205,MATCH($B34,LE_Curves!$L$5:$L$205,1)))*(INDEX(LE_Curves!$B$5:$B$205,MATCH($B34,LE_Curves!$L$5:$L$205,1)+1)-INDEX(LE_Curves!$B$5:$B$205,MATCH($B34,LE_Curves!$L$5:$L$205,1)))/(INDEX(LE_Curves!$L$5:$L$205,MATCH($B34,LE_Curves!$L$5:$L$205,1)+1)-INDEX(LE_Curves!$L$5:$L$205,MATCH($B34,LE_Curves!$L$5:$L$205,1))))))</f>
        <v/>
      </c>
      <c r="M34" s="11">
        <f>IF(Inputs!$D$33=0,0,IF($B34&lt;=Inputs!$C$33,0,IF($B34&gt;=INDEX(LE_Curves!$M$5:$M$205,201),INDEX(LE_Curves!$B$5:$B$205,201),INDEX(LE_Curves!$B$5:$B$205,MATCH($B34,LE_Curves!$M$5:$M$205,1))+($B34-INDEX(LE_Curves!$M$5:$M$205,MATCH($B34,LE_Curves!$M$5:$M$205,1)))*(INDEX(LE_Curves!$B$5:$B$205,MATCH($B34,LE_Curves!$M$5:$M$205,1)+1)-INDEX(LE_Curves!$B$5:$B$205,MATCH($B34,LE_Curves!$M$5:$M$205,1)))/(INDEX(LE_Curves!$M$5:$M$205,MATCH($B34,LE_Curves!$M$5:$M$205,1)+1)-INDEX(LE_Curves!$M$5:$M$205,MATCH($B34,LE_Curves!$M$5:$M$205,1))))))</f>
        <v/>
      </c>
      <c r="N34" s="11">
        <f>IF(Inputs!$D$34=0,0,IF($B34&lt;=Inputs!$C$34,0,IF($B34&gt;=INDEX(LE_Curves!$N$5:$N$205,201),INDEX(LE_Curves!$B$5:$B$205,201),INDEX(LE_Curves!$B$5:$B$205,MATCH($B34,LE_Curves!$N$5:$N$205,1))+($B34-INDEX(LE_Curves!$N$5:$N$205,MATCH($B34,LE_Curves!$N$5:$N$205,1)))*(INDEX(LE_Curves!$B$5:$B$205,MATCH($B34,LE_Curves!$N$5:$N$205,1)+1)-INDEX(LE_Curves!$B$5:$B$205,MATCH($B34,LE_Curves!$N$5:$N$205,1)))/(INDEX(LE_Curves!$N$5:$N$205,MATCH($B34,LE_Curves!$N$5:$N$205,1)+1)-INDEX(LE_Curves!$N$5:$N$205,MATCH($B34,LE_Curves!$N$5:$N$205,1))))))</f>
        <v/>
      </c>
      <c r="O34" s="11">
        <f>SUM(C34:N34)</f>
        <v/>
      </c>
      <c r="Q34" s="7" t="n">
        <v>3</v>
      </c>
      <c r="R34" s="23">
        <f>$B$6+($B$7-$B$6)*Q34/200</f>
        <v/>
      </c>
      <c r="S34" s="11">
        <f>IF(Inputs!$D$23=0,0,IF($R34&lt;=Inputs!$C$23,0,IF($R34&gt;=INDEX(LE_Curves!$C$5:$C$205,201),INDEX(LE_Curves!$B$5:$B$205,201),INDEX(LE_Curves!$B$5:$B$205,MATCH($R34,LE_Curves!$C$5:$C$205,1))+($R34-INDEX(LE_Curves!$C$5:$C$205,MATCH($R34,LE_Curves!$C$5:$C$205,1)))*(INDEX(LE_Curves!$B$5:$B$205,MATCH($R34,LE_Curves!$C$5:$C$205,1)+1)-INDEX(LE_Curves!$B$5:$B$205,MATCH($R34,LE_Curves!$C$5:$C$205,1)))/(INDEX(LE_Curves!$C$5:$C$205,MATCH($R34,LE_Curves!$C$5:$C$205,1)+1)-INDEX(LE_Curves!$C$5:$C$205,MATCH($R34,LE_Curves!$C$5:$C$205,1))))))</f>
        <v/>
      </c>
      <c r="T34" s="11">
        <f>IF(Inputs!$D$24=0,0,IF($R34&lt;=Inputs!$C$24,0,IF($R34&gt;=INDEX(LE_Curves!$D$5:$D$205,201),INDEX(LE_Curves!$B$5:$B$205,201),INDEX(LE_Curves!$B$5:$B$205,MATCH($R34,LE_Curves!$D$5:$D$205,1))+($R34-INDEX(LE_Curves!$D$5:$D$205,MATCH($R34,LE_Curves!$D$5:$D$205,1)))*(INDEX(LE_Curves!$B$5:$B$205,MATCH($R34,LE_Curves!$D$5:$D$205,1)+1)-INDEX(LE_Curves!$B$5:$B$205,MATCH($R34,LE_Curves!$D$5:$D$205,1)))/(INDEX(LE_Curves!$D$5:$D$205,MATCH($R34,LE_Curves!$D$5:$D$205,1)+1)-INDEX(LE_Curves!$D$5:$D$205,MATCH($R34,LE_Curves!$D$5:$D$205,1))))))</f>
        <v/>
      </c>
      <c r="U34" s="11">
        <f>IF(Inputs!$D$25=0,0,IF($R34&lt;=Inputs!$C$25,0,IF($R34&gt;=INDEX(LE_Curves!$E$5:$E$205,201),INDEX(LE_Curves!$B$5:$B$205,201),INDEX(LE_Curves!$B$5:$B$205,MATCH($R34,LE_Curves!$E$5:$E$205,1))+($R34-INDEX(LE_Curves!$E$5:$E$205,MATCH($R34,LE_Curves!$E$5:$E$205,1)))*(INDEX(LE_Curves!$B$5:$B$205,MATCH($R34,LE_Curves!$E$5:$E$205,1)+1)-INDEX(LE_Curves!$B$5:$B$205,MATCH($R34,LE_Curves!$E$5:$E$205,1)))/(INDEX(LE_Curves!$E$5:$E$205,MATCH($R34,LE_Curves!$E$5:$E$205,1)+1)-INDEX(LE_Curves!$E$5:$E$205,MATCH($R34,LE_Curves!$E$5:$E$205,1))))))</f>
        <v/>
      </c>
      <c r="V34" s="11">
        <f>IF(Inputs!$D$26=0,0,IF($R34&lt;=Inputs!$C$26,0,IF($R34&gt;=INDEX(LE_Curves!$F$5:$F$205,201),INDEX(LE_Curves!$B$5:$B$205,201),INDEX(LE_Curves!$B$5:$B$205,MATCH($R34,LE_Curves!$F$5:$F$205,1))+($R34-INDEX(LE_Curves!$F$5:$F$205,MATCH($R34,LE_Curves!$F$5:$F$205,1)))*(INDEX(LE_Curves!$B$5:$B$205,MATCH($R34,LE_Curves!$F$5:$F$205,1)+1)-INDEX(LE_Curves!$B$5:$B$205,MATCH($R34,LE_Curves!$F$5:$F$205,1)))/(INDEX(LE_Curves!$F$5:$F$205,MATCH($R34,LE_Curves!$F$5:$F$205,1)+1)-INDEX(LE_Curves!$F$5:$F$205,MATCH($R34,LE_Curves!$F$5:$F$205,1))))))</f>
        <v/>
      </c>
      <c r="W34" s="11">
        <f>IF(Inputs!$D$27=0,0,IF($R34&lt;=Inputs!$C$27,0,IF($R34&gt;=INDEX(LE_Curves!$G$5:$G$205,201),INDEX(LE_Curves!$B$5:$B$205,201),INDEX(LE_Curves!$B$5:$B$205,MATCH($R34,LE_Curves!$G$5:$G$205,1))+($R34-INDEX(LE_Curves!$G$5:$G$205,MATCH($R34,LE_Curves!$G$5:$G$205,1)))*(INDEX(LE_Curves!$B$5:$B$205,MATCH($R34,LE_Curves!$G$5:$G$205,1)+1)-INDEX(LE_Curves!$B$5:$B$205,MATCH($R34,LE_Curves!$G$5:$G$205,1)))/(INDEX(LE_Curves!$G$5:$G$205,MATCH($R34,LE_Curves!$G$5:$G$205,1)+1)-INDEX(LE_Curves!$G$5:$G$205,MATCH($R34,LE_Curves!$G$5:$G$205,1))))))</f>
        <v/>
      </c>
      <c r="X34" s="11">
        <f>IF(Inputs!$D$28=0,0,IF($R34&lt;=Inputs!$C$28,0,IF($R34&gt;=INDEX(LE_Curves!$H$5:$H$205,201),INDEX(LE_Curves!$B$5:$B$205,201),INDEX(LE_Curves!$B$5:$B$205,MATCH($R34,LE_Curves!$H$5:$H$205,1))+($R34-INDEX(LE_Curves!$H$5:$H$205,MATCH($R34,LE_Curves!$H$5:$H$205,1)))*(INDEX(LE_Curves!$B$5:$B$205,MATCH($R34,LE_Curves!$H$5:$H$205,1)+1)-INDEX(LE_Curves!$B$5:$B$205,MATCH($R34,LE_Curves!$H$5:$H$205,1)))/(INDEX(LE_Curves!$H$5:$H$205,MATCH($R34,LE_Curves!$H$5:$H$205,1)+1)-INDEX(LE_Curves!$H$5:$H$205,MATCH($R34,LE_Curves!$H$5:$H$205,1))))))</f>
        <v/>
      </c>
      <c r="Y34" s="11">
        <f>IF(Inputs!$D$29=0,0,IF($R34&lt;=Inputs!$C$29,0,IF($R34&gt;=INDEX(LE_Curves!$I$5:$I$205,201),INDEX(LE_Curves!$B$5:$B$205,201),INDEX(LE_Curves!$B$5:$B$205,MATCH($R34,LE_Curves!$I$5:$I$205,1))+($R34-INDEX(LE_Curves!$I$5:$I$205,MATCH($R34,LE_Curves!$I$5:$I$205,1)))*(INDEX(LE_Curves!$B$5:$B$205,MATCH($R34,LE_Curves!$I$5:$I$205,1)+1)-INDEX(LE_Curves!$B$5:$B$205,MATCH($R34,LE_Curves!$I$5:$I$205,1)))/(INDEX(LE_Curves!$I$5:$I$205,MATCH($R34,LE_Curves!$I$5:$I$205,1)+1)-INDEX(LE_Curves!$I$5:$I$205,MATCH($R34,LE_Curves!$I$5:$I$205,1))))))</f>
        <v/>
      </c>
      <c r="Z34" s="11">
        <f>IF(Inputs!$D$30=0,0,IF($R34&lt;=Inputs!$C$30,0,IF($R34&gt;=INDEX(LE_Curves!$J$5:$J$205,201),INDEX(LE_Curves!$B$5:$B$205,201),INDEX(LE_Curves!$B$5:$B$205,MATCH($R34,LE_Curves!$J$5:$J$205,1))+($R34-INDEX(LE_Curves!$J$5:$J$205,MATCH($R34,LE_Curves!$J$5:$J$205,1)))*(INDEX(LE_Curves!$B$5:$B$205,MATCH($R34,LE_Curves!$J$5:$J$205,1)+1)-INDEX(LE_Curves!$B$5:$B$205,MATCH($R34,LE_Curves!$J$5:$J$205,1)))/(INDEX(LE_Curves!$J$5:$J$205,MATCH($R34,LE_Curves!$J$5:$J$205,1)+1)-INDEX(LE_Curves!$J$5:$J$205,MATCH($R34,LE_Curves!$J$5:$J$205,1))))))</f>
        <v/>
      </c>
      <c r="AA34" s="11">
        <f>IF(Inputs!$D$31=0,0,IF($R34&lt;=Inputs!$C$31,0,IF($R34&gt;=INDEX(LE_Curves!$K$5:$K$205,201),INDEX(LE_Curves!$B$5:$B$205,201),INDEX(LE_Curves!$B$5:$B$205,MATCH($R34,LE_Curves!$K$5:$K$205,1))+($R34-INDEX(LE_Curves!$K$5:$K$205,MATCH($R34,LE_Curves!$K$5:$K$205,1)))*(INDEX(LE_Curves!$B$5:$B$205,MATCH($R34,LE_Curves!$K$5:$K$205,1)+1)-INDEX(LE_Curves!$B$5:$B$205,MATCH($R34,LE_Curves!$K$5:$K$205,1)))/(INDEX(LE_Curves!$K$5:$K$205,MATCH($R34,LE_Curves!$K$5:$K$205,1)+1)-INDEX(LE_Curves!$K$5:$K$205,MATCH($R34,LE_Curves!$K$5:$K$205,1))))))</f>
        <v/>
      </c>
      <c r="AB34" s="11">
        <f>IF(Inputs!$D$32=0,0,IF($R34&lt;=Inputs!$C$32,0,IF($R34&gt;=INDEX(LE_Curves!$L$5:$L$205,201),INDEX(LE_Curves!$B$5:$B$205,201),INDEX(LE_Curves!$B$5:$B$205,MATCH($R34,LE_Curves!$L$5:$L$205,1))+($R34-INDEX(LE_Curves!$L$5:$L$205,MATCH($R34,LE_Curves!$L$5:$L$205,1)))*(INDEX(LE_Curves!$B$5:$B$205,MATCH($R34,LE_Curves!$L$5:$L$205,1)+1)-INDEX(LE_Curves!$B$5:$B$205,MATCH($R34,LE_Curves!$L$5:$L$205,1)))/(INDEX(LE_Curves!$L$5:$L$205,MATCH($R34,LE_Curves!$L$5:$L$205,1)+1)-INDEX(LE_Curves!$L$5:$L$205,MATCH($R34,LE_Curves!$L$5:$L$205,1))))))</f>
        <v/>
      </c>
      <c r="AC34" s="11">
        <f>IF(Inputs!$D$33=0,0,IF($R34&lt;=Inputs!$C$33,0,IF($R34&gt;=INDEX(LE_Curves!$M$5:$M$205,201),INDEX(LE_Curves!$B$5:$B$205,201),INDEX(LE_Curves!$B$5:$B$205,MATCH($R34,LE_Curves!$M$5:$M$205,1))+($R34-INDEX(LE_Curves!$M$5:$M$205,MATCH($R34,LE_Curves!$M$5:$M$205,1)))*(INDEX(LE_Curves!$B$5:$B$205,MATCH($R34,LE_Curves!$M$5:$M$205,1)+1)-INDEX(LE_Curves!$B$5:$B$205,MATCH($R34,LE_Curves!$M$5:$M$205,1)))/(INDEX(LE_Curves!$M$5:$M$205,MATCH($R34,LE_Curves!$M$5:$M$205,1)+1)-INDEX(LE_Curves!$M$5:$M$205,MATCH($R34,LE_Curves!$M$5:$M$205,1))))))</f>
        <v/>
      </c>
      <c r="AD34" s="11">
        <f>IF(Inputs!$D$34=0,0,IF($R34&lt;=Inputs!$C$34,0,IF($R34&gt;=INDEX(LE_Curves!$N$5:$N$205,201),INDEX(LE_Curves!$B$5:$B$205,201),INDEX(LE_Curves!$B$5:$B$205,MATCH($R34,LE_Curves!$N$5:$N$205,1))+($R34-INDEX(LE_Curves!$N$5:$N$205,MATCH($R34,LE_Curves!$N$5:$N$205,1)))*(INDEX(LE_Curves!$B$5:$B$205,MATCH($R34,LE_Curves!$N$5:$N$205,1)+1)-INDEX(LE_Curves!$B$5:$B$205,MATCH($R34,LE_Curves!$N$5:$N$205,1)))/(INDEX(LE_Curves!$N$5:$N$205,MATCH($R34,LE_Curves!$N$5:$N$205,1)+1)-INDEX(LE_Curves!$N$5:$N$205,MATCH($R34,LE_Curves!$N$5:$N$205,1))))))</f>
        <v/>
      </c>
      <c r="AE34" s="37">
        <f>SUM(S34:AD34)</f>
        <v/>
      </c>
    </row>
    <row r="35">
      <c r="A35" s="7" t="n">
        <v>4</v>
      </c>
      <c r="B35" s="37">
        <f>$B$3+($B$4-$B$3)*A35/200</f>
        <v/>
      </c>
      <c r="C35" s="11">
        <f>IF(Inputs!$D$23=0,0,IF($B35&lt;=Inputs!$C$23,0,IF($B35&gt;=INDEX(LE_Curves!$C$5:$C$205,201),INDEX(LE_Curves!$B$5:$B$205,201),INDEX(LE_Curves!$B$5:$B$205,MATCH($B35,LE_Curves!$C$5:$C$205,1))+($B35-INDEX(LE_Curves!$C$5:$C$205,MATCH($B35,LE_Curves!$C$5:$C$205,1)))*(INDEX(LE_Curves!$B$5:$B$205,MATCH($B35,LE_Curves!$C$5:$C$205,1)+1)-INDEX(LE_Curves!$B$5:$B$205,MATCH($B35,LE_Curves!$C$5:$C$205,1)))/(INDEX(LE_Curves!$C$5:$C$205,MATCH($B35,LE_Curves!$C$5:$C$205,1)+1)-INDEX(LE_Curves!$C$5:$C$205,MATCH($B35,LE_Curves!$C$5:$C$205,1))))))</f>
        <v/>
      </c>
      <c r="D35" s="11">
        <f>IF(Inputs!$D$24=0,0,IF($B35&lt;=Inputs!$C$24,0,IF($B35&gt;=INDEX(LE_Curves!$D$5:$D$205,201),INDEX(LE_Curves!$B$5:$B$205,201),INDEX(LE_Curves!$B$5:$B$205,MATCH($B35,LE_Curves!$D$5:$D$205,1))+($B35-INDEX(LE_Curves!$D$5:$D$205,MATCH($B35,LE_Curves!$D$5:$D$205,1)))*(INDEX(LE_Curves!$B$5:$B$205,MATCH($B35,LE_Curves!$D$5:$D$205,1)+1)-INDEX(LE_Curves!$B$5:$B$205,MATCH($B35,LE_Curves!$D$5:$D$205,1)))/(INDEX(LE_Curves!$D$5:$D$205,MATCH($B35,LE_Curves!$D$5:$D$205,1)+1)-INDEX(LE_Curves!$D$5:$D$205,MATCH($B35,LE_Curves!$D$5:$D$205,1))))))</f>
        <v/>
      </c>
      <c r="E35" s="11">
        <f>IF(Inputs!$D$25=0,0,IF($B35&lt;=Inputs!$C$25,0,IF($B35&gt;=INDEX(LE_Curves!$E$5:$E$205,201),INDEX(LE_Curves!$B$5:$B$205,201),INDEX(LE_Curves!$B$5:$B$205,MATCH($B35,LE_Curves!$E$5:$E$205,1))+($B35-INDEX(LE_Curves!$E$5:$E$205,MATCH($B35,LE_Curves!$E$5:$E$205,1)))*(INDEX(LE_Curves!$B$5:$B$205,MATCH($B35,LE_Curves!$E$5:$E$205,1)+1)-INDEX(LE_Curves!$B$5:$B$205,MATCH($B35,LE_Curves!$E$5:$E$205,1)))/(INDEX(LE_Curves!$E$5:$E$205,MATCH($B35,LE_Curves!$E$5:$E$205,1)+1)-INDEX(LE_Curves!$E$5:$E$205,MATCH($B35,LE_Curves!$E$5:$E$205,1))))))</f>
        <v/>
      </c>
      <c r="F35" s="11">
        <f>IF(Inputs!$D$26=0,0,IF($B35&lt;=Inputs!$C$26,0,IF($B35&gt;=INDEX(LE_Curves!$F$5:$F$205,201),INDEX(LE_Curves!$B$5:$B$205,201),INDEX(LE_Curves!$B$5:$B$205,MATCH($B35,LE_Curves!$F$5:$F$205,1))+($B35-INDEX(LE_Curves!$F$5:$F$205,MATCH($B35,LE_Curves!$F$5:$F$205,1)))*(INDEX(LE_Curves!$B$5:$B$205,MATCH($B35,LE_Curves!$F$5:$F$205,1)+1)-INDEX(LE_Curves!$B$5:$B$205,MATCH($B35,LE_Curves!$F$5:$F$205,1)))/(INDEX(LE_Curves!$F$5:$F$205,MATCH($B35,LE_Curves!$F$5:$F$205,1)+1)-INDEX(LE_Curves!$F$5:$F$205,MATCH($B35,LE_Curves!$F$5:$F$205,1))))))</f>
        <v/>
      </c>
      <c r="G35" s="11">
        <f>IF(Inputs!$D$27=0,0,IF($B35&lt;=Inputs!$C$27,0,IF($B35&gt;=INDEX(LE_Curves!$G$5:$G$205,201),INDEX(LE_Curves!$B$5:$B$205,201),INDEX(LE_Curves!$B$5:$B$205,MATCH($B35,LE_Curves!$G$5:$G$205,1))+($B35-INDEX(LE_Curves!$G$5:$G$205,MATCH($B35,LE_Curves!$G$5:$G$205,1)))*(INDEX(LE_Curves!$B$5:$B$205,MATCH($B35,LE_Curves!$G$5:$G$205,1)+1)-INDEX(LE_Curves!$B$5:$B$205,MATCH($B35,LE_Curves!$G$5:$G$205,1)))/(INDEX(LE_Curves!$G$5:$G$205,MATCH($B35,LE_Curves!$G$5:$G$205,1)+1)-INDEX(LE_Curves!$G$5:$G$205,MATCH($B35,LE_Curves!$G$5:$G$205,1))))))</f>
        <v/>
      </c>
      <c r="H35" s="11">
        <f>IF(Inputs!$D$28=0,0,IF($B35&lt;=Inputs!$C$28,0,IF($B35&gt;=INDEX(LE_Curves!$H$5:$H$205,201),INDEX(LE_Curves!$B$5:$B$205,201),INDEX(LE_Curves!$B$5:$B$205,MATCH($B35,LE_Curves!$H$5:$H$205,1))+($B35-INDEX(LE_Curves!$H$5:$H$205,MATCH($B35,LE_Curves!$H$5:$H$205,1)))*(INDEX(LE_Curves!$B$5:$B$205,MATCH($B35,LE_Curves!$H$5:$H$205,1)+1)-INDEX(LE_Curves!$B$5:$B$205,MATCH($B35,LE_Curves!$H$5:$H$205,1)))/(INDEX(LE_Curves!$H$5:$H$205,MATCH($B35,LE_Curves!$H$5:$H$205,1)+1)-INDEX(LE_Curves!$H$5:$H$205,MATCH($B35,LE_Curves!$H$5:$H$205,1))))))</f>
        <v/>
      </c>
      <c r="I35" s="11">
        <f>IF(Inputs!$D$29=0,0,IF($B35&lt;=Inputs!$C$29,0,IF($B35&gt;=INDEX(LE_Curves!$I$5:$I$205,201),INDEX(LE_Curves!$B$5:$B$205,201),INDEX(LE_Curves!$B$5:$B$205,MATCH($B35,LE_Curves!$I$5:$I$205,1))+($B35-INDEX(LE_Curves!$I$5:$I$205,MATCH($B35,LE_Curves!$I$5:$I$205,1)))*(INDEX(LE_Curves!$B$5:$B$205,MATCH($B35,LE_Curves!$I$5:$I$205,1)+1)-INDEX(LE_Curves!$B$5:$B$205,MATCH($B35,LE_Curves!$I$5:$I$205,1)))/(INDEX(LE_Curves!$I$5:$I$205,MATCH($B35,LE_Curves!$I$5:$I$205,1)+1)-INDEX(LE_Curves!$I$5:$I$205,MATCH($B35,LE_Curves!$I$5:$I$205,1))))))</f>
        <v/>
      </c>
      <c r="J35" s="11">
        <f>IF(Inputs!$D$30=0,0,IF($B35&lt;=Inputs!$C$30,0,IF($B35&gt;=INDEX(LE_Curves!$J$5:$J$205,201),INDEX(LE_Curves!$B$5:$B$205,201),INDEX(LE_Curves!$B$5:$B$205,MATCH($B35,LE_Curves!$J$5:$J$205,1))+($B35-INDEX(LE_Curves!$J$5:$J$205,MATCH($B35,LE_Curves!$J$5:$J$205,1)))*(INDEX(LE_Curves!$B$5:$B$205,MATCH($B35,LE_Curves!$J$5:$J$205,1)+1)-INDEX(LE_Curves!$B$5:$B$205,MATCH($B35,LE_Curves!$J$5:$J$205,1)))/(INDEX(LE_Curves!$J$5:$J$205,MATCH($B35,LE_Curves!$J$5:$J$205,1)+1)-INDEX(LE_Curves!$J$5:$J$205,MATCH($B35,LE_Curves!$J$5:$J$205,1))))))</f>
        <v/>
      </c>
      <c r="K35" s="11">
        <f>IF(Inputs!$D$31=0,0,IF($B35&lt;=Inputs!$C$31,0,IF($B35&gt;=INDEX(LE_Curves!$K$5:$K$205,201),INDEX(LE_Curves!$B$5:$B$205,201),INDEX(LE_Curves!$B$5:$B$205,MATCH($B35,LE_Curves!$K$5:$K$205,1))+($B35-INDEX(LE_Curves!$K$5:$K$205,MATCH($B35,LE_Curves!$K$5:$K$205,1)))*(INDEX(LE_Curves!$B$5:$B$205,MATCH($B35,LE_Curves!$K$5:$K$205,1)+1)-INDEX(LE_Curves!$B$5:$B$205,MATCH($B35,LE_Curves!$K$5:$K$205,1)))/(INDEX(LE_Curves!$K$5:$K$205,MATCH($B35,LE_Curves!$K$5:$K$205,1)+1)-INDEX(LE_Curves!$K$5:$K$205,MATCH($B35,LE_Curves!$K$5:$K$205,1))))))</f>
        <v/>
      </c>
      <c r="L35" s="11">
        <f>IF(Inputs!$D$32=0,0,IF($B35&lt;=Inputs!$C$32,0,IF($B35&gt;=INDEX(LE_Curves!$L$5:$L$205,201),INDEX(LE_Curves!$B$5:$B$205,201),INDEX(LE_Curves!$B$5:$B$205,MATCH($B35,LE_Curves!$L$5:$L$205,1))+($B35-INDEX(LE_Curves!$L$5:$L$205,MATCH($B35,LE_Curves!$L$5:$L$205,1)))*(INDEX(LE_Curves!$B$5:$B$205,MATCH($B35,LE_Curves!$L$5:$L$205,1)+1)-INDEX(LE_Curves!$B$5:$B$205,MATCH($B35,LE_Curves!$L$5:$L$205,1)))/(INDEX(LE_Curves!$L$5:$L$205,MATCH($B35,LE_Curves!$L$5:$L$205,1)+1)-INDEX(LE_Curves!$L$5:$L$205,MATCH($B35,LE_Curves!$L$5:$L$205,1))))))</f>
        <v/>
      </c>
      <c r="M35" s="11">
        <f>IF(Inputs!$D$33=0,0,IF($B35&lt;=Inputs!$C$33,0,IF($B35&gt;=INDEX(LE_Curves!$M$5:$M$205,201),INDEX(LE_Curves!$B$5:$B$205,201),INDEX(LE_Curves!$B$5:$B$205,MATCH($B35,LE_Curves!$M$5:$M$205,1))+($B35-INDEX(LE_Curves!$M$5:$M$205,MATCH($B35,LE_Curves!$M$5:$M$205,1)))*(INDEX(LE_Curves!$B$5:$B$205,MATCH($B35,LE_Curves!$M$5:$M$205,1)+1)-INDEX(LE_Curves!$B$5:$B$205,MATCH($B35,LE_Curves!$M$5:$M$205,1)))/(INDEX(LE_Curves!$M$5:$M$205,MATCH($B35,LE_Curves!$M$5:$M$205,1)+1)-INDEX(LE_Curves!$M$5:$M$205,MATCH($B35,LE_Curves!$M$5:$M$205,1))))))</f>
        <v/>
      </c>
      <c r="N35" s="11">
        <f>IF(Inputs!$D$34=0,0,IF($B35&lt;=Inputs!$C$34,0,IF($B35&gt;=INDEX(LE_Curves!$N$5:$N$205,201),INDEX(LE_Curves!$B$5:$B$205,201),INDEX(LE_Curves!$B$5:$B$205,MATCH($B35,LE_Curves!$N$5:$N$205,1))+($B35-INDEX(LE_Curves!$N$5:$N$205,MATCH($B35,LE_Curves!$N$5:$N$205,1)))*(INDEX(LE_Curves!$B$5:$B$205,MATCH($B35,LE_Curves!$N$5:$N$205,1)+1)-INDEX(LE_Curves!$B$5:$B$205,MATCH($B35,LE_Curves!$N$5:$N$205,1)))/(INDEX(LE_Curves!$N$5:$N$205,MATCH($B35,LE_Curves!$N$5:$N$205,1)+1)-INDEX(LE_Curves!$N$5:$N$205,MATCH($B35,LE_Curves!$N$5:$N$205,1))))))</f>
        <v/>
      </c>
      <c r="O35" s="11">
        <f>SUM(C35:N35)</f>
        <v/>
      </c>
      <c r="Q35" s="7" t="n">
        <v>4</v>
      </c>
      <c r="R35" s="23">
        <f>$B$6+($B$7-$B$6)*Q35/200</f>
        <v/>
      </c>
      <c r="S35" s="11">
        <f>IF(Inputs!$D$23=0,0,IF($R35&lt;=Inputs!$C$23,0,IF($R35&gt;=INDEX(LE_Curves!$C$5:$C$205,201),INDEX(LE_Curves!$B$5:$B$205,201),INDEX(LE_Curves!$B$5:$B$205,MATCH($R35,LE_Curves!$C$5:$C$205,1))+($R35-INDEX(LE_Curves!$C$5:$C$205,MATCH($R35,LE_Curves!$C$5:$C$205,1)))*(INDEX(LE_Curves!$B$5:$B$205,MATCH($R35,LE_Curves!$C$5:$C$205,1)+1)-INDEX(LE_Curves!$B$5:$B$205,MATCH($R35,LE_Curves!$C$5:$C$205,1)))/(INDEX(LE_Curves!$C$5:$C$205,MATCH($R35,LE_Curves!$C$5:$C$205,1)+1)-INDEX(LE_Curves!$C$5:$C$205,MATCH($R35,LE_Curves!$C$5:$C$205,1))))))</f>
        <v/>
      </c>
      <c r="T35" s="11">
        <f>IF(Inputs!$D$24=0,0,IF($R35&lt;=Inputs!$C$24,0,IF($R35&gt;=INDEX(LE_Curves!$D$5:$D$205,201),INDEX(LE_Curves!$B$5:$B$205,201),INDEX(LE_Curves!$B$5:$B$205,MATCH($R35,LE_Curves!$D$5:$D$205,1))+($R35-INDEX(LE_Curves!$D$5:$D$205,MATCH($R35,LE_Curves!$D$5:$D$205,1)))*(INDEX(LE_Curves!$B$5:$B$205,MATCH($R35,LE_Curves!$D$5:$D$205,1)+1)-INDEX(LE_Curves!$B$5:$B$205,MATCH($R35,LE_Curves!$D$5:$D$205,1)))/(INDEX(LE_Curves!$D$5:$D$205,MATCH($R35,LE_Curves!$D$5:$D$205,1)+1)-INDEX(LE_Curves!$D$5:$D$205,MATCH($R35,LE_Curves!$D$5:$D$205,1))))))</f>
        <v/>
      </c>
      <c r="U35" s="11">
        <f>IF(Inputs!$D$25=0,0,IF($R35&lt;=Inputs!$C$25,0,IF($R35&gt;=INDEX(LE_Curves!$E$5:$E$205,201),INDEX(LE_Curves!$B$5:$B$205,201),INDEX(LE_Curves!$B$5:$B$205,MATCH($R35,LE_Curves!$E$5:$E$205,1))+($R35-INDEX(LE_Curves!$E$5:$E$205,MATCH($R35,LE_Curves!$E$5:$E$205,1)))*(INDEX(LE_Curves!$B$5:$B$205,MATCH($R35,LE_Curves!$E$5:$E$205,1)+1)-INDEX(LE_Curves!$B$5:$B$205,MATCH($R35,LE_Curves!$E$5:$E$205,1)))/(INDEX(LE_Curves!$E$5:$E$205,MATCH($R35,LE_Curves!$E$5:$E$205,1)+1)-INDEX(LE_Curves!$E$5:$E$205,MATCH($R35,LE_Curves!$E$5:$E$205,1))))))</f>
        <v/>
      </c>
      <c r="V35" s="11">
        <f>IF(Inputs!$D$26=0,0,IF($R35&lt;=Inputs!$C$26,0,IF($R35&gt;=INDEX(LE_Curves!$F$5:$F$205,201),INDEX(LE_Curves!$B$5:$B$205,201),INDEX(LE_Curves!$B$5:$B$205,MATCH($R35,LE_Curves!$F$5:$F$205,1))+($R35-INDEX(LE_Curves!$F$5:$F$205,MATCH($R35,LE_Curves!$F$5:$F$205,1)))*(INDEX(LE_Curves!$B$5:$B$205,MATCH($R35,LE_Curves!$F$5:$F$205,1)+1)-INDEX(LE_Curves!$B$5:$B$205,MATCH($R35,LE_Curves!$F$5:$F$205,1)))/(INDEX(LE_Curves!$F$5:$F$205,MATCH($R35,LE_Curves!$F$5:$F$205,1)+1)-INDEX(LE_Curves!$F$5:$F$205,MATCH($R35,LE_Curves!$F$5:$F$205,1))))))</f>
        <v/>
      </c>
      <c r="W35" s="11">
        <f>IF(Inputs!$D$27=0,0,IF($R35&lt;=Inputs!$C$27,0,IF($R35&gt;=INDEX(LE_Curves!$G$5:$G$205,201),INDEX(LE_Curves!$B$5:$B$205,201),INDEX(LE_Curves!$B$5:$B$205,MATCH($R35,LE_Curves!$G$5:$G$205,1))+($R35-INDEX(LE_Curves!$G$5:$G$205,MATCH($R35,LE_Curves!$G$5:$G$205,1)))*(INDEX(LE_Curves!$B$5:$B$205,MATCH($R35,LE_Curves!$G$5:$G$205,1)+1)-INDEX(LE_Curves!$B$5:$B$205,MATCH($R35,LE_Curves!$G$5:$G$205,1)))/(INDEX(LE_Curves!$G$5:$G$205,MATCH($R35,LE_Curves!$G$5:$G$205,1)+1)-INDEX(LE_Curves!$G$5:$G$205,MATCH($R35,LE_Curves!$G$5:$G$205,1))))))</f>
        <v/>
      </c>
      <c r="X35" s="11">
        <f>IF(Inputs!$D$28=0,0,IF($R35&lt;=Inputs!$C$28,0,IF($R35&gt;=INDEX(LE_Curves!$H$5:$H$205,201),INDEX(LE_Curves!$B$5:$B$205,201),INDEX(LE_Curves!$B$5:$B$205,MATCH($R35,LE_Curves!$H$5:$H$205,1))+($R35-INDEX(LE_Curves!$H$5:$H$205,MATCH($R35,LE_Curves!$H$5:$H$205,1)))*(INDEX(LE_Curves!$B$5:$B$205,MATCH($R35,LE_Curves!$H$5:$H$205,1)+1)-INDEX(LE_Curves!$B$5:$B$205,MATCH($R35,LE_Curves!$H$5:$H$205,1)))/(INDEX(LE_Curves!$H$5:$H$205,MATCH($R35,LE_Curves!$H$5:$H$205,1)+1)-INDEX(LE_Curves!$H$5:$H$205,MATCH($R35,LE_Curves!$H$5:$H$205,1))))))</f>
        <v/>
      </c>
      <c r="Y35" s="11">
        <f>IF(Inputs!$D$29=0,0,IF($R35&lt;=Inputs!$C$29,0,IF($R35&gt;=INDEX(LE_Curves!$I$5:$I$205,201),INDEX(LE_Curves!$B$5:$B$205,201),INDEX(LE_Curves!$B$5:$B$205,MATCH($R35,LE_Curves!$I$5:$I$205,1))+($R35-INDEX(LE_Curves!$I$5:$I$205,MATCH($R35,LE_Curves!$I$5:$I$205,1)))*(INDEX(LE_Curves!$B$5:$B$205,MATCH($R35,LE_Curves!$I$5:$I$205,1)+1)-INDEX(LE_Curves!$B$5:$B$205,MATCH($R35,LE_Curves!$I$5:$I$205,1)))/(INDEX(LE_Curves!$I$5:$I$205,MATCH($R35,LE_Curves!$I$5:$I$205,1)+1)-INDEX(LE_Curves!$I$5:$I$205,MATCH($R35,LE_Curves!$I$5:$I$205,1))))))</f>
        <v/>
      </c>
      <c r="Z35" s="11">
        <f>IF(Inputs!$D$30=0,0,IF($R35&lt;=Inputs!$C$30,0,IF($R35&gt;=INDEX(LE_Curves!$J$5:$J$205,201),INDEX(LE_Curves!$B$5:$B$205,201),INDEX(LE_Curves!$B$5:$B$205,MATCH($R35,LE_Curves!$J$5:$J$205,1))+($R35-INDEX(LE_Curves!$J$5:$J$205,MATCH($R35,LE_Curves!$J$5:$J$205,1)))*(INDEX(LE_Curves!$B$5:$B$205,MATCH($R35,LE_Curves!$J$5:$J$205,1)+1)-INDEX(LE_Curves!$B$5:$B$205,MATCH($R35,LE_Curves!$J$5:$J$205,1)))/(INDEX(LE_Curves!$J$5:$J$205,MATCH($R35,LE_Curves!$J$5:$J$205,1)+1)-INDEX(LE_Curves!$J$5:$J$205,MATCH($R35,LE_Curves!$J$5:$J$205,1))))))</f>
        <v/>
      </c>
      <c r="AA35" s="11">
        <f>IF(Inputs!$D$31=0,0,IF($R35&lt;=Inputs!$C$31,0,IF($R35&gt;=INDEX(LE_Curves!$K$5:$K$205,201),INDEX(LE_Curves!$B$5:$B$205,201),INDEX(LE_Curves!$B$5:$B$205,MATCH($R35,LE_Curves!$K$5:$K$205,1))+($R35-INDEX(LE_Curves!$K$5:$K$205,MATCH($R35,LE_Curves!$K$5:$K$205,1)))*(INDEX(LE_Curves!$B$5:$B$205,MATCH($R35,LE_Curves!$K$5:$K$205,1)+1)-INDEX(LE_Curves!$B$5:$B$205,MATCH($R35,LE_Curves!$K$5:$K$205,1)))/(INDEX(LE_Curves!$K$5:$K$205,MATCH($R35,LE_Curves!$K$5:$K$205,1)+1)-INDEX(LE_Curves!$K$5:$K$205,MATCH($R35,LE_Curves!$K$5:$K$205,1))))))</f>
        <v/>
      </c>
      <c r="AB35" s="11">
        <f>IF(Inputs!$D$32=0,0,IF($R35&lt;=Inputs!$C$32,0,IF($R35&gt;=INDEX(LE_Curves!$L$5:$L$205,201),INDEX(LE_Curves!$B$5:$B$205,201),INDEX(LE_Curves!$B$5:$B$205,MATCH($R35,LE_Curves!$L$5:$L$205,1))+($R35-INDEX(LE_Curves!$L$5:$L$205,MATCH($R35,LE_Curves!$L$5:$L$205,1)))*(INDEX(LE_Curves!$B$5:$B$205,MATCH($R35,LE_Curves!$L$5:$L$205,1)+1)-INDEX(LE_Curves!$B$5:$B$205,MATCH($R35,LE_Curves!$L$5:$L$205,1)))/(INDEX(LE_Curves!$L$5:$L$205,MATCH($R35,LE_Curves!$L$5:$L$205,1)+1)-INDEX(LE_Curves!$L$5:$L$205,MATCH($R35,LE_Curves!$L$5:$L$205,1))))))</f>
        <v/>
      </c>
      <c r="AC35" s="11">
        <f>IF(Inputs!$D$33=0,0,IF($R35&lt;=Inputs!$C$33,0,IF($R35&gt;=INDEX(LE_Curves!$M$5:$M$205,201),INDEX(LE_Curves!$B$5:$B$205,201),INDEX(LE_Curves!$B$5:$B$205,MATCH($R35,LE_Curves!$M$5:$M$205,1))+($R35-INDEX(LE_Curves!$M$5:$M$205,MATCH($R35,LE_Curves!$M$5:$M$205,1)))*(INDEX(LE_Curves!$B$5:$B$205,MATCH($R35,LE_Curves!$M$5:$M$205,1)+1)-INDEX(LE_Curves!$B$5:$B$205,MATCH($R35,LE_Curves!$M$5:$M$205,1)))/(INDEX(LE_Curves!$M$5:$M$205,MATCH($R35,LE_Curves!$M$5:$M$205,1)+1)-INDEX(LE_Curves!$M$5:$M$205,MATCH($R35,LE_Curves!$M$5:$M$205,1))))))</f>
        <v/>
      </c>
      <c r="AD35" s="11">
        <f>IF(Inputs!$D$34=0,0,IF($R35&lt;=Inputs!$C$34,0,IF($R35&gt;=INDEX(LE_Curves!$N$5:$N$205,201),INDEX(LE_Curves!$B$5:$B$205,201),INDEX(LE_Curves!$B$5:$B$205,MATCH($R35,LE_Curves!$N$5:$N$205,1))+($R35-INDEX(LE_Curves!$N$5:$N$205,MATCH($R35,LE_Curves!$N$5:$N$205,1)))*(INDEX(LE_Curves!$B$5:$B$205,MATCH($R35,LE_Curves!$N$5:$N$205,1)+1)-INDEX(LE_Curves!$B$5:$B$205,MATCH($R35,LE_Curves!$N$5:$N$205,1)))/(INDEX(LE_Curves!$N$5:$N$205,MATCH($R35,LE_Curves!$N$5:$N$205,1)+1)-INDEX(LE_Curves!$N$5:$N$205,MATCH($R35,LE_Curves!$N$5:$N$205,1))))))</f>
        <v/>
      </c>
      <c r="AE35" s="37">
        <f>SUM(S35:AD35)</f>
        <v/>
      </c>
    </row>
    <row r="36">
      <c r="A36" s="7" t="n">
        <v>5</v>
      </c>
      <c r="B36" s="37">
        <f>$B$3+($B$4-$B$3)*A36/200</f>
        <v/>
      </c>
      <c r="C36" s="11">
        <f>IF(Inputs!$D$23=0,0,IF($B36&lt;=Inputs!$C$23,0,IF($B36&gt;=INDEX(LE_Curves!$C$5:$C$205,201),INDEX(LE_Curves!$B$5:$B$205,201),INDEX(LE_Curves!$B$5:$B$205,MATCH($B36,LE_Curves!$C$5:$C$205,1))+($B36-INDEX(LE_Curves!$C$5:$C$205,MATCH($B36,LE_Curves!$C$5:$C$205,1)))*(INDEX(LE_Curves!$B$5:$B$205,MATCH($B36,LE_Curves!$C$5:$C$205,1)+1)-INDEX(LE_Curves!$B$5:$B$205,MATCH($B36,LE_Curves!$C$5:$C$205,1)))/(INDEX(LE_Curves!$C$5:$C$205,MATCH($B36,LE_Curves!$C$5:$C$205,1)+1)-INDEX(LE_Curves!$C$5:$C$205,MATCH($B36,LE_Curves!$C$5:$C$205,1))))))</f>
        <v/>
      </c>
      <c r="D36" s="11">
        <f>IF(Inputs!$D$24=0,0,IF($B36&lt;=Inputs!$C$24,0,IF($B36&gt;=INDEX(LE_Curves!$D$5:$D$205,201),INDEX(LE_Curves!$B$5:$B$205,201),INDEX(LE_Curves!$B$5:$B$205,MATCH($B36,LE_Curves!$D$5:$D$205,1))+($B36-INDEX(LE_Curves!$D$5:$D$205,MATCH($B36,LE_Curves!$D$5:$D$205,1)))*(INDEX(LE_Curves!$B$5:$B$205,MATCH($B36,LE_Curves!$D$5:$D$205,1)+1)-INDEX(LE_Curves!$B$5:$B$205,MATCH($B36,LE_Curves!$D$5:$D$205,1)))/(INDEX(LE_Curves!$D$5:$D$205,MATCH($B36,LE_Curves!$D$5:$D$205,1)+1)-INDEX(LE_Curves!$D$5:$D$205,MATCH($B36,LE_Curves!$D$5:$D$205,1))))))</f>
        <v/>
      </c>
      <c r="E36" s="11">
        <f>IF(Inputs!$D$25=0,0,IF($B36&lt;=Inputs!$C$25,0,IF($B36&gt;=INDEX(LE_Curves!$E$5:$E$205,201),INDEX(LE_Curves!$B$5:$B$205,201),INDEX(LE_Curves!$B$5:$B$205,MATCH($B36,LE_Curves!$E$5:$E$205,1))+($B36-INDEX(LE_Curves!$E$5:$E$205,MATCH($B36,LE_Curves!$E$5:$E$205,1)))*(INDEX(LE_Curves!$B$5:$B$205,MATCH($B36,LE_Curves!$E$5:$E$205,1)+1)-INDEX(LE_Curves!$B$5:$B$205,MATCH($B36,LE_Curves!$E$5:$E$205,1)))/(INDEX(LE_Curves!$E$5:$E$205,MATCH($B36,LE_Curves!$E$5:$E$205,1)+1)-INDEX(LE_Curves!$E$5:$E$205,MATCH($B36,LE_Curves!$E$5:$E$205,1))))))</f>
        <v/>
      </c>
      <c r="F36" s="11">
        <f>IF(Inputs!$D$26=0,0,IF($B36&lt;=Inputs!$C$26,0,IF($B36&gt;=INDEX(LE_Curves!$F$5:$F$205,201),INDEX(LE_Curves!$B$5:$B$205,201),INDEX(LE_Curves!$B$5:$B$205,MATCH($B36,LE_Curves!$F$5:$F$205,1))+($B36-INDEX(LE_Curves!$F$5:$F$205,MATCH($B36,LE_Curves!$F$5:$F$205,1)))*(INDEX(LE_Curves!$B$5:$B$205,MATCH($B36,LE_Curves!$F$5:$F$205,1)+1)-INDEX(LE_Curves!$B$5:$B$205,MATCH($B36,LE_Curves!$F$5:$F$205,1)))/(INDEX(LE_Curves!$F$5:$F$205,MATCH($B36,LE_Curves!$F$5:$F$205,1)+1)-INDEX(LE_Curves!$F$5:$F$205,MATCH($B36,LE_Curves!$F$5:$F$205,1))))))</f>
        <v/>
      </c>
      <c r="G36" s="11">
        <f>IF(Inputs!$D$27=0,0,IF($B36&lt;=Inputs!$C$27,0,IF($B36&gt;=INDEX(LE_Curves!$G$5:$G$205,201),INDEX(LE_Curves!$B$5:$B$205,201),INDEX(LE_Curves!$B$5:$B$205,MATCH($B36,LE_Curves!$G$5:$G$205,1))+($B36-INDEX(LE_Curves!$G$5:$G$205,MATCH($B36,LE_Curves!$G$5:$G$205,1)))*(INDEX(LE_Curves!$B$5:$B$205,MATCH($B36,LE_Curves!$G$5:$G$205,1)+1)-INDEX(LE_Curves!$B$5:$B$205,MATCH($B36,LE_Curves!$G$5:$G$205,1)))/(INDEX(LE_Curves!$G$5:$G$205,MATCH($B36,LE_Curves!$G$5:$G$205,1)+1)-INDEX(LE_Curves!$G$5:$G$205,MATCH($B36,LE_Curves!$G$5:$G$205,1))))))</f>
        <v/>
      </c>
      <c r="H36" s="11">
        <f>IF(Inputs!$D$28=0,0,IF($B36&lt;=Inputs!$C$28,0,IF($B36&gt;=INDEX(LE_Curves!$H$5:$H$205,201),INDEX(LE_Curves!$B$5:$B$205,201),INDEX(LE_Curves!$B$5:$B$205,MATCH($B36,LE_Curves!$H$5:$H$205,1))+($B36-INDEX(LE_Curves!$H$5:$H$205,MATCH($B36,LE_Curves!$H$5:$H$205,1)))*(INDEX(LE_Curves!$B$5:$B$205,MATCH($B36,LE_Curves!$H$5:$H$205,1)+1)-INDEX(LE_Curves!$B$5:$B$205,MATCH($B36,LE_Curves!$H$5:$H$205,1)))/(INDEX(LE_Curves!$H$5:$H$205,MATCH($B36,LE_Curves!$H$5:$H$205,1)+1)-INDEX(LE_Curves!$H$5:$H$205,MATCH($B36,LE_Curves!$H$5:$H$205,1))))))</f>
        <v/>
      </c>
      <c r="I36" s="11">
        <f>IF(Inputs!$D$29=0,0,IF($B36&lt;=Inputs!$C$29,0,IF($B36&gt;=INDEX(LE_Curves!$I$5:$I$205,201),INDEX(LE_Curves!$B$5:$B$205,201),INDEX(LE_Curves!$B$5:$B$205,MATCH($B36,LE_Curves!$I$5:$I$205,1))+($B36-INDEX(LE_Curves!$I$5:$I$205,MATCH($B36,LE_Curves!$I$5:$I$205,1)))*(INDEX(LE_Curves!$B$5:$B$205,MATCH($B36,LE_Curves!$I$5:$I$205,1)+1)-INDEX(LE_Curves!$B$5:$B$205,MATCH($B36,LE_Curves!$I$5:$I$205,1)))/(INDEX(LE_Curves!$I$5:$I$205,MATCH($B36,LE_Curves!$I$5:$I$205,1)+1)-INDEX(LE_Curves!$I$5:$I$205,MATCH($B36,LE_Curves!$I$5:$I$205,1))))))</f>
        <v/>
      </c>
      <c r="J36" s="11">
        <f>IF(Inputs!$D$30=0,0,IF($B36&lt;=Inputs!$C$30,0,IF($B36&gt;=INDEX(LE_Curves!$J$5:$J$205,201),INDEX(LE_Curves!$B$5:$B$205,201),INDEX(LE_Curves!$B$5:$B$205,MATCH($B36,LE_Curves!$J$5:$J$205,1))+($B36-INDEX(LE_Curves!$J$5:$J$205,MATCH($B36,LE_Curves!$J$5:$J$205,1)))*(INDEX(LE_Curves!$B$5:$B$205,MATCH($B36,LE_Curves!$J$5:$J$205,1)+1)-INDEX(LE_Curves!$B$5:$B$205,MATCH($B36,LE_Curves!$J$5:$J$205,1)))/(INDEX(LE_Curves!$J$5:$J$205,MATCH($B36,LE_Curves!$J$5:$J$205,1)+1)-INDEX(LE_Curves!$J$5:$J$205,MATCH($B36,LE_Curves!$J$5:$J$205,1))))))</f>
        <v/>
      </c>
      <c r="K36" s="11">
        <f>IF(Inputs!$D$31=0,0,IF($B36&lt;=Inputs!$C$31,0,IF($B36&gt;=INDEX(LE_Curves!$K$5:$K$205,201),INDEX(LE_Curves!$B$5:$B$205,201),INDEX(LE_Curves!$B$5:$B$205,MATCH($B36,LE_Curves!$K$5:$K$205,1))+($B36-INDEX(LE_Curves!$K$5:$K$205,MATCH($B36,LE_Curves!$K$5:$K$205,1)))*(INDEX(LE_Curves!$B$5:$B$205,MATCH($B36,LE_Curves!$K$5:$K$205,1)+1)-INDEX(LE_Curves!$B$5:$B$205,MATCH($B36,LE_Curves!$K$5:$K$205,1)))/(INDEX(LE_Curves!$K$5:$K$205,MATCH($B36,LE_Curves!$K$5:$K$205,1)+1)-INDEX(LE_Curves!$K$5:$K$205,MATCH($B36,LE_Curves!$K$5:$K$205,1))))))</f>
        <v/>
      </c>
      <c r="L36" s="11">
        <f>IF(Inputs!$D$32=0,0,IF($B36&lt;=Inputs!$C$32,0,IF($B36&gt;=INDEX(LE_Curves!$L$5:$L$205,201),INDEX(LE_Curves!$B$5:$B$205,201),INDEX(LE_Curves!$B$5:$B$205,MATCH($B36,LE_Curves!$L$5:$L$205,1))+($B36-INDEX(LE_Curves!$L$5:$L$205,MATCH($B36,LE_Curves!$L$5:$L$205,1)))*(INDEX(LE_Curves!$B$5:$B$205,MATCH($B36,LE_Curves!$L$5:$L$205,1)+1)-INDEX(LE_Curves!$B$5:$B$205,MATCH($B36,LE_Curves!$L$5:$L$205,1)))/(INDEX(LE_Curves!$L$5:$L$205,MATCH($B36,LE_Curves!$L$5:$L$205,1)+1)-INDEX(LE_Curves!$L$5:$L$205,MATCH($B36,LE_Curves!$L$5:$L$205,1))))))</f>
        <v/>
      </c>
      <c r="M36" s="11">
        <f>IF(Inputs!$D$33=0,0,IF($B36&lt;=Inputs!$C$33,0,IF($B36&gt;=INDEX(LE_Curves!$M$5:$M$205,201),INDEX(LE_Curves!$B$5:$B$205,201),INDEX(LE_Curves!$B$5:$B$205,MATCH($B36,LE_Curves!$M$5:$M$205,1))+($B36-INDEX(LE_Curves!$M$5:$M$205,MATCH($B36,LE_Curves!$M$5:$M$205,1)))*(INDEX(LE_Curves!$B$5:$B$205,MATCH($B36,LE_Curves!$M$5:$M$205,1)+1)-INDEX(LE_Curves!$B$5:$B$205,MATCH($B36,LE_Curves!$M$5:$M$205,1)))/(INDEX(LE_Curves!$M$5:$M$205,MATCH($B36,LE_Curves!$M$5:$M$205,1)+1)-INDEX(LE_Curves!$M$5:$M$205,MATCH($B36,LE_Curves!$M$5:$M$205,1))))))</f>
        <v/>
      </c>
      <c r="N36" s="11">
        <f>IF(Inputs!$D$34=0,0,IF($B36&lt;=Inputs!$C$34,0,IF($B36&gt;=INDEX(LE_Curves!$N$5:$N$205,201),INDEX(LE_Curves!$B$5:$B$205,201),INDEX(LE_Curves!$B$5:$B$205,MATCH($B36,LE_Curves!$N$5:$N$205,1))+($B36-INDEX(LE_Curves!$N$5:$N$205,MATCH($B36,LE_Curves!$N$5:$N$205,1)))*(INDEX(LE_Curves!$B$5:$B$205,MATCH($B36,LE_Curves!$N$5:$N$205,1)+1)-INDEX(LE_Curves!$B$5:$B$205,MATCH($B36,LE_Curves!$N$5:$N$205,1)))/(INDEX(LE_Curves!$N$5:$N$205,MATCH($B36,LE_Curves!$N$5:$N$205,1)+1)-INDEX(LE_Curves!$N$5:$N$205,MATCH($B36,LE_Curves!$N$5:$N$205,1))))))</f>
        <v/>
      </c>
      <c r="O36" s="11">
        <f>SUM(C36:N36)</f>
        <v/>
      </c>
      <c r="Q36" s="7" t="n">
        <v>5</v>
      </c>
      <c r="R36" s="23">
        <f>$B$6+($B$7-$B$6)*Q36/200</f>
        <v/>
      </c>
      <c r="S36" s="11">
        <f>IF(Inputs!$D$23=0,0,IF($R36&lt;=Inputs!$C$23,0,IF($R36&gt;=INDEX(LE_Curves!$C$5:$C$205,201),INDEX(LE_Curves!$B$5:$B$205,201),INDEX(LE_Curves!$B$5:$B$205,MATCH($R36,LE_Curves!$C$5:$C$205,1))+($R36-INDEX(LE_Curves!$C$5:$C$205,MATCH($R36,LE_Curves!$C$5:$C$205,1)))*(INDEX(LE_Curves!$B$5:$B$205,MATCH($R36,LE_Curves!$C$5:$C$205,1)+1)-INDEX(LE_Curves!$B$5:$B$205,MATCH($R36,LE_Curves!$C$5:$C$205,1)))/(INDEX(LE_Curves!$C$5:$C$205,MATCH($R36,LE_Curves!$C$5:$C$205,1)+1)-INDEX(LE_Curves!$C$5:$C$205,MATCH($R36,LE_Curves!$C$5:$C$205,1))))))</f>
        <v/>
      </c>
      <c r="T36" s="11">
        <f>IF(Inputs!$D$24=0,0,IF($R36&lt;=Inputs!$C$24,0,IF($R36&gt;=INDEX(LE_Curves!$D$5:$D$205,201),INDEX(LE_Curves!$B$5:$B$205,201),INDEX(LE_Curves!$B$5:$B$205,MATCH($R36,LE_Curves!$D$5:$D$205,1))+($R36-INDEX(LE_Curves!$D$5:$D$205,MATCH($R36,LE_Curves!$D$5:$D$205,1)))*(INDEX(LE_Curves!$B$5:$B$205,MATCH($R36,LE_Curves!$D$5:$D$205,1)+1)-INDEX(LE_Curves!$B$5:$B$205,MATCH($R36,LE_Curves!$D$5:$D$205,1)))/(INDEX(LE_Curves!$D$5:$D$205,MATCH($R36,LE_Curves!$D$5:$D$205,1)+1)-INDEX(LE_Curves!$D$5:$D$205,MATCH($R36,LE_Curves!$D$5:$D$205,1))))))</f>
        <v/>
      </c>
      <c r="U36" s="11">
        <f>IF(Inputs!$D$25=0,0,IF($R36&lt;=Inputs!$C$25,0,IF($R36&gt;=INDEX(LE_Curves!$E$5:$E$205,201),INDEX(LE_Curves!$B$5:$B$205,201),INDEX(LE_Curves!$B$5:$B$205,MATCH($R36,LE_Curves!$E$5:$E$205,1))+($R36-INDEX(LE_Curves!$E$5:$E$205,MATCH($R36,LE_Curves!$E$5:$E$205,1)))*(INDEX(LE_Curves!$B$5:$B$205,MATCH($R36,LE_Curves!$E$5:$E$205,1)+1)-INDEX(LE_Curves!$B$5:$B$205,MATCH($R36,LE_Curves!$E$5:$E$205,1)))/(INDEX(LE_Curves!$E$5:$E$205,MATCH($R36,LE_Curves!$E$5:$E$205,1)+1)-INDEX(LE_Curves!$E$5:$E$205,MATCH($R36,LE_Curves!$E$5:$E$205,1))))))</f>
        <v/>
      </c>
      <c r="V36" s="11">
        <f>IF(Inputs!$D$26=0,0,IF($R36&lt;=Inputs!$C$26,0,IF($R36&gt;=INDEX(LE_Curves!$F$5:$F$205,201),INDEX(LE_Curves!$B$5:$B$205,201),INDEX(LE_Curves!$B$5:$B$205,MATCH($R36,LE_Curves!$F$5:$F$205,1))+($R36-INDEX(LE_Curves!$F$5:$F$205,MATCH($R36,LE_Curves!$F$5:$F$205,1)))*(INDEX(LE_Curves!$B$5:$B$205,MATCH($R36,LE_Curves!$F$5:$F$205,1)+1)-INDEX(LE_Curves!$B$5:$B$205,MATCH($R36,LE_Curves!$F$5:$F$205,1)))/(INDEX(LE_Curves!$F$5:$F$205,MATCH($R36,LE_Curves!$F$5:$F$205,1)+1)-INDEX(LE_Curves!$F$5:$F$205,MATCH($R36,LE_Curves!$F$5:$F$205,1))))))</f>
        <v/>
      </c>
      <c r="W36" s="11">
        <f>IF(Inputs!$D$27=0,0,IF($R36&lt;=Inputs!$C$27,0,IF($R36&gt;=INDEX(LE_Curves!$G$5:$G$205,201),INDEX(LE_Curves!$B$5:$B$205,201),INDEX(LE_Curves!$B$5:$B$205,MATCH($R36,LE_Curves!$G$5:$G$205,1))+($R36-INDEX(LE_Curves!$G$5:$G$205,MATCH($R36,LE_Curves!$G$5:$G$205,1)))*(INDEX(LE_Curves!$B$5:$B$205,MATCH($R36,LE_Curves!$G$5:$G$205,1)+1)-INDEX(LE_Curves!$B$5:$B$205,MATCH($R36,LE_Curves!$G$5:$G$205,1)))/(INDEX(LE_Curves!$G$5:$G$205,MATCH($R36,LE_Curves!$G$5:$G$205,1)+1)-INDEX(LE_Curves!$G$5:$G$205,MATCH($R36,LE_Curves!$G$5:$G$205,1))))))</f>
        <v/>
      </c>
      <c r="X36" s="11">
        <f>IF(Inputs!$D$28=0,0,IF($R36&lt;=Inputs!$C$28,0,IF($R36&gt;=INDEX(LE_Curves!$H$5:$H$205,201),INDEX(LE_Curves!$B$5:$B$205,201),INDEX(LE_Curves!$B$5:$B$205,MATCH($R36,LE_Curves!$H$5:$H$205,1))+($R36-INDEX(LE_Curves!$H$5:$H$205,MATCH($R36,LE_Curves!$H$5:$H$205,1)))*(INDEX(LE_Curves!$B$5:$B$205,MATCH($R36,LE_Curves!$H$5:$H$205,1)+1)-INDEX(LE_Curves!$B$5:$B$205,MATCH($R36,LE_Curves!$H$5:$H$205,1)))/(INDEX(LE_Curves!$H$5:$H$205,MATCH($R36,LE_Curves!$H$5:$H$205,1)+1)-INDEX(LE_Curves!$H$5:$H$205,MATCH($R36,LE_Curves!$H$5:$H$205,1))))))</f>
        <v/>
      </c>
      <c r="Y36" s="11">
        <f>IF(Inputs!$D$29=0,0,IF($R36&lt;=Inputs!$C$29,0,IF($R36&gt;=INDEX(LE_Curves!$I$5:$I$205,201),INDEX(LE_Curves!$B$5:$B$205,201),INDEX(LE_Curves!$B$5:$B$205,MATCH($R36,LE_Curves!$I$5:$I$205,1))+($R36-INDEX(LE_Curves!$I$5:$I$205,MATCH($R36,LE_Curves!$I$5:$I$205,1)))*(INDEX(LE_Curves!$B$5:$B$205,MATCH($R36,LE_Curves!$I$5:$I$205,1)+1)-INDEX(LE_Curves!$B$5:$B$205,MATCH($R36,LE_Curves!$I$5:$I$205,1)))/(INDEX(LE_Curves!$I$5:$I$205,MATCH($R36,LE_Curves!$I$5:$I$205,1)+1)-INDEX(LE_Curves!$I$5:$I$205,MATCH($R36,LE_Curves!$I$5:$I$205,1))))))</f>
        <v/>
      </c>
      <c r="Z36" s="11">
        <f>IF(Inputs!$D$30=0,0,IF($R36&lt;=Inputs!$C$30,0,IF($R36&gt;=INDEX(LE_Curves!$J$5:$J$205,201),INDEX(LE_Curves!$B$5:$B$205,201),INDEX(LE_Curves!$B$5:$B$205,MATCH($R36,LE_Curves!$J$5:$J$205,1))+($R36-INDEX(LE_Curves!$J$5:$J$205,MATCH($R36,LE_Curves!$J$5:$J$205,1)))*(INDEX(LE_Curves!$B$5:$B$205,MATCH($R36,LE_Curves!$J$5:$J$205,1)+1)-INDEX(LE_Curves!$B$5:$B$205,MATCH($R36,LE_Curves!$J$5:$J$205,1)))/(INDEX(LE_Curves!$J$5:$J$205,MATCH($R36,LE_Curves!$J$5:$J$205,1)+1)-INDEX(LE_Curves!$J$5:$J$205,MATCH($R36,LE_Curves!$J$5:$J$205,1))))))</f>
        <v/>
      </c>
      <c r="AA36" s="11">
        <f>IF(Inputs!$D$31=0,0,IF($R36&lt;=Inputs!$C$31,0,IF($R36&gt;=INDEX(LE_Curves!$K$5:$K$205,201),INDEX(LE_Curves!$B$5:$B$205,201),INDEX(LE_Curves!$B$5:$B$205,MATCH($R36,LE_Curves!$K$5:$K$205,1))+($R36-INDEX(LE_Curves!$K$5:$K$205,MATCH($R36,LE_Curves!$K$5:$K$205,1)))*(INDEX(LE_Curves!$B$5:$B$205,MATCH($R36,LE_Curves!$K$5:$K$205,1)+1)-INDEX(LE_Curves!$B$5:$B$205,MATCH($R36,LE_Curves!$K$5:$K$205,1)))/(INDEX(LE_Curves!$K$5:$K$205,MATCH($R36,LE_Curves!$K$5:$K$205,1)+1)-INDEX(LE_Curves!$K$5:$K$205,MATCH($R36,LE_Curves!$K$5:$K$205,1))))))</f>
        <v/>
      </c>
      <c r="AB36" s="11">
        <f>IF(Inputs!$D$32=0,0,IF($R36&lt;=Inputs!$C$32,0,IF($R36&gt;=INDEX(LE_Curves!$L$5:$L$205,201),INDEX(LE_Curves!$B$5:$B$205,201),INDEX(LE_Curves!$B$5:$B$205,MATCH($R36,LE_Curves!$L$5:$L$205,1))+($R36-INDEX(LE_Curves!$L$5:$L$205,MATCH($R36,LE_Curves!$L$5:$L$205,1)))*(INDEX(LE_Curves!$B$5:$B$205,MATCH($R36,LE_Curves!$L$5:$L$205,1)+1)-INDEX(LE_Curves!$B$5:$B$205,MATCH($R36,LE_Curves!$L$5:$L$205,1)))/(INDEX(LE_Curves!$L$5:$L$205,MATCH($R36,LE_Curves!$L$5:$L$205,1)+1)-INDEX(LE_Curves!$L$5:$L$205,MATCH($R36,LE_Curves!$L$5:$L$205,1))))))</f>
        <v/>
      </c>
      <c r="AC36" s="11">
        <f>IF(Inputs!$D$33=0,0,IF($R36&lt;=Inputs!$C$33,0,IF($R36&gt;=INDEX(LE_Curves!$M$5:$M$205,201),INDEX(LE_Curves!$B$5:$B$205,201),INDEX(LE_Curves!$B$5:$B$205,MATCH($R36,LE_Curves!$M$5:$M$205,1))+($R36-INDEX(LE_Curves!$M$5:$M$205,MATCH($R36,LE_Curves!$M$5:$M$205,1)))*(INDEX(LE_Curves!$B$5:$B$205,MATCH($R36,LE_Curves!$M$5:$M$205,1)+1)-INDEX(LE_Curves!$B$5:$B$205,MATCH($R36,LE_Curves!$M$5:$M$205,1)))/(INDEX(LE_Curves!$M$5:$M$205,MATCH($R36,LE_Curves!$M$5:$M$205,1)+1)-INDEX(LE_Curves!$M$5:$M$205,MATCH($R36,LE_Curves!$M$5:$M$205,1))))))</f>
        <v/>
      </c>
      <c r="AD36" s="11">
        <f>IF(Inputs!$D$34=0,0,IF($R36&lt;=Inputs!$C$34,0,IF($R36&gt;=INDEX(LE_Curves!$N$5:$N$205,201),INDEX(LE_Curves!$B$5:$B$205,201),INDEX(LE_Curves!$B$5:$B$205,MATCH($R36,LE_Curves!$N$5:$N$205,1))+($R36-INDEX(LE_Curves!$N$5:$N$205,MATCH($R36,LE_Curves!$N$5:$N$205,1)))*(INDEX(LE_Curves!$B$5:$B$205,MATCH($R36,LE_Curves!$N$5:$N$205,1)+1)-INDEX(LE_Curves!$B$5:$B$205,MATCH($R36,LE_Curves!$N$5:$N$205,1)))/(INDEX(LE_Curves!$N$5:$N$205,MATCH($R36,LE_Curves!$N$5:$N$205,1)+1)-INDEX(LE_Curves!$N$5:$N$205,MATCH($R36,LE_Curves!$N$5:$N$205,1))))))</f>
        <v/>
      </c>
      <c r="AE36" s="37">
        <f>SUM(S36:AD36)</f>
        <v/>
      </c>
    </row>
    <row r="37">
      <c r="A37" s="7" t="n">
        <v>6</v>
      </c>
      <c r="B37" s="37">
        <f>$B$3+($B$4-$B$3)*A37/200</f>
        <v/>
      </c>
      <c r="C37" s="11">
        <f>IF(Inputs!$D$23=0,0,IF($B37&lt;=Inputs!$C$23,0,IF($B37&gt;=INDEX(LE_Curves!$C$5:$C$205,201),INDEX(LE_Curves!$B$5:$B$205,201),INDEX(LE_Curves!$B$5:$B$205,MATCH($B37,LE_Curves!$C$5:$C$205,1))+($B37-INDEX(LE_Curves!$C$5:$C$205,MATCH($B37,LE_Curves!$C$5:$C$205,1)))*(INDEX(LE_Curves!$B$5:$B$205,MATCH($B37,LE_Curves!$C$5:$C$205,1)+1)-INDEX(LE_Curves!$B$5:$B$205,MATCH($B37,LE_Curves!$C$5:$C$205,1)))/(INDEX(LE_Curves!$C$5:$C$205,MATCH($B37,LE_Curves!$C$5:$C$205,1)+1)-INDEX(LE_Curves!$C$5:$C$205,MATCH($B37,LE_Curves!$C$5:$C$205,1))))))</f>
        <v/>
      </c>
      <c r="D37" s="11">
        <f>IF(Inputs!$D$24=0,0,IF($B37&lt;=Inputs!$C$24,0,IF($B37&gt;=INDEX(LE_Curves!$D$5:$D$205,201),INDEX(LE_Curves!$B$5:$B$205,201),INDEX(LE_Curves!$B$5:$B$205,MATCH($B37,LE_Curves!$D$5:$D$205,1))+($B37-INDEX(LE_Curves!$D$5:$D$205,MATCH($B37,LE_Curves!$D$5:$D$205,1)))*(INDEX(LE_Curves!$B$5:$B$205,MATCH($B37,LE_Curves!$D$5:$D$205,1)+1)-INDEX(LE_Curves!$B$5:$B$205,MATCH($B37,LE_Curves!$D$5:$D$205,1)))/(INDEX(LE_Curves!$D$5:$D$205,MATCH($B37,LE_Curves!$D$5:$D$205,1)+1)-INDEX(LE_Curves!$D$5:$D$205,MATCH($B37,LE_Curves!$D$5:$D$205,1))))))</f>
        <v/>
      </c>
      <c r="E37" s="11">
        <f>IF(Inputs!$D$25=0,0,IF($B37&lt;=Inputs!$C$25,0,IF($B37&gt;=INDEX(LE_Curves!$E$5:$E$205,201),INDEX(LE_Curves!$B$5:$B$205,201),INDEX(LE_Curves!$B$5:$B$205,MATCH($B37,LE_Curves!$E$5:$E$205,1))+($B37-INDEX(LE_Curves!$E$5:$E$205,MATCH($B37,LE_Curves!$E$5:$E$205,1)))*(INDEX(LE_Curves!$B$5:$B$205,MATCH($B37,LE_Curves!$E$5:$E$205,1)+1)-INDEX(LE_Curves!$B$5:$B$205,MATCH($B37,LE_Curves!$E$5:$E$205,1)))/(INDEX(LE_Curves!$E$5:$E$205,MATCH($B37,LE_Curves!$E$5:$E$205,1)+1)-INDEX(LE_Curves!$E$5:$E$205,MATCH($B37,LE_Curves!$E$5:$E$205,1))))))</f>
        <v/>
      </c>
      <c r="F37" s="11">
        <f>IF(Inputs!$D$26=0,0,IF($B37&lt;=Inputs!$C$26,0,IF($B37&gt;=INDEX(LE_Curves!$F$5:$F$205,201),INDEX(LE_Curves!$B$5:$B$205,201),INDEX(LE_Curves!$B$5:$B$205,MATCH($B37,LE_Curves!$F$5:$F$205,1))+($B37-INDEX(LE_Curves!$F$5:$F$205,MATCH($B37,LE_Curves!$F$5:$F$205,1)))*(INDEX(LE_Curves!$B$5:$B$205,MATCH($B37,LE_Curves!$F$5:$F$205,1)+1)-INDEX(LE_Curves!$B$5:$B$205,MATCH($B37,LE_Curves!$F$5:$F$205,1)))/(INDEX(LE_Curves!$F$5:$F$205,MATCH($B37,LE_Curves!$F$5:$F$205,1)+1)-INDEX(LE_Curves!$F$5:$F$205,MATCH($B37,LE_Curves!$F$5:$F$205,1))))))</f>
        <v/>
      </c>
      <c r="G37" s="11">
        <f>IF(Inputs!$D$27=0,0,IF($B37&lt;=Inputs!$C$27,0,IF($B37&gt;=INDEX(LE_Curves!$G$5:$G$205,201),INDEX(LE_Curves!$B$5:$B$205,201),INDEX(LE_Curves!$B$5:$B$205,MATCH($B37,LE_Curves!$G$5:$G$205,1))+($B37-INDEX(LE_Curves!$G$5:$G$205,MATCH($B37,LE_Curves!$G$5:$G$205,1)))*(INDEX(LE_Curves!$B$5:$B$205,MATCH($B37,LE_Curves!$G$5:$G$205,1)+1)-INDEX(LE_Curves!$B$5:$B$205,MATCH($B37,LE_Curves!$G$5:$G$205,1)))/(INDEX(LE_Curves!$G$5:$G$205,MATCH($B37,LE_Curves!$G$5:$G$205,1)+1)-INDEX(LE_Curves!$G$5:$G$205,MATCH($B37,LE_Curves!$G$5:$G$205,1))))))</f>
        <v/>
      </c>
      <c r="H37" s="11">
        <f>IF(Inputs!$D$28=0,0,IF($B37&lt;=Inputs!$C$28,0,IF($B37&gt;=INDEX(LE_Curves!$H$5:$H$205,201),INDEX(LE_Curves!$B$5:$B$205,201),INDEX(LE_Curves!$B$5:$B$205,MATCH($B37,LE_Curves!$H$5:$H$205,1))+($B37-INDEX(LE_Curves!$H$5:$H$205,MATCH($B37,LE_Curves!$H$5:$H$205,1)))*(INDEX(LE_Curves!$B$5:$B$205,MATCH($B37,LE_Curves!$H$5:$H$205,1)+1)-INDEX(LE_Curves!$B$5:$B$205,MATCH($B37,LE_Curves!$H$5:$H$205,1)))/(INDEX(LE_Curves!$H$5:$H$205,MATCH($B37,LE_Curves!$H$5:$H$205,1)+1)-INDEX(LE_Curves!$H$5:$H$205,MATCH($B37,LE_Curves!$H$5:$H$205,1))))))</f>
        <v/>
      </c>
      <c r="I37" s="11">
        <f>IF(Inputs!$D$29=0,0,IF($B37&lt;=Inputs!$C$29,0,IF($B37&gt;=INDEX(LE_Curves!$I$5:$I$205,201),INDEX(LE_Curves!$B$5:$B$205,201),INDEX(LE_Curves!$B$5:$B$205,MATCH($B37,LE_Curves!$I$5:$I$205,1))+($B37-INDEX(LE_Curves!$I$5:$I$205,MATCH($B37,LE_Curves!$I$5:$I$205,1)))*(INDEX(LE_Curves!$B$5:$B$205,MATCH($B37,LE_Curves!$I$5:$I$205,1)+1)-INDEX(LE_Curves!$B$5:$B$205,MATCH($B37,LE_Curves!$I$5:$I$205,1)))/(INDEX(LE_Curves!$I$5:$I$205,MATCH($B37,LE_Curves!$I$5:$I$205,1)+1)-INDEX(LE_Curves!$I$5:$I$205,MATCH($B37,LE_Curves!$I$5:$I$205,1))))))</f>
        <v/>
      </c>
      <c r="J37" s="11">
        <f>IF(Inputs!$D$30=0,0,IF($B37&lt;=Inputs!$C$30,0,IF($B37&gt;=INDEX(LE_Curves!$J$5:$J$205,201),INDEX(LE_Curves!$B$5:$B$205,201),INDEX(LE_Curves!$B$5:$B$205,MATCH($B37,LE_Curves!$J$5:$J$205,1))+($B37-INDEX(LE_Curves!$J$5:$J$205,MATCH($B37,LE_Curves!$J$5:$J$205,1)))*(INDEX(LE_Curves!$B$5:$B$205,MATCH($B37,LE_Curves!$J$5:$J$205,1)+1)-INDEX(LE_Curves!$B$5:$B$205,MATCH($B37,LE_Curves!$J$5:$J$205,1)))/(INDEX(LE_Curves!$J$5:$J$205,MATCH($B37,LE_Curves!$J$5:$J$205,1)+1)-INDEX(LE_Curves!$J$5:$J$205,MATCH($B37,LE_Curves!$J$5:$J$205,1))))))</f>
        <v/>
      </c>
      <c r="K37" s="11">
        <f>IF(Inputs!$D$31=0,0,IF($B37&lt;=Inputs!$C$31,0,IF($B37&gt;=INDEX(LE_Curves!$K$5:$K$205,201),INDEX(LE_Curves!$B$5:$B$205,201),INDEX(LE_Curves!$B$5:$B$205,MATCH($B37,LE_Curves!$K$5:$K$205,1))+($B37-INDEX(LE_Curves!$K$5:$K$205,MATCH($B37,LE_Curves!$K$5:$K$205,1)))*(INDEX(LE_Curves!$B$5:$B$205,MATCH($B37,LE_Curves!$K$5:$K$205,1)+1)-INDEX(LE_Curves!$B$5:$B$205,MATCH($B37,LE_Curves!$K$5:$K$205,1)))/(INDEX(LE_Curves!$K$5:$K$205,MATCH($B37,LE_Curves!$K$5:$K$205,1)+1)-INDEX(LE_Curves!$K$5:$K$205,MATCH($B37,LE_Curves!$K$5:$K$205,1))))))</f>
        <v/>
      </c>
      <c r="L37" s="11">
        <f>IF(Inputs!$D$32=0,0,IF($B37&lt;=Inputs!$C$32,0,IF($B37&gt;=INDEX(LE_Curves!$L$5:$L$205,201),INDEX(LE_Curves!$B$5:$B$205,201),INDEX(LE_Curves!$B$5:$B$205,MATCH($B37,LE_Curves!$L$5:$L$205,1))+($B37-INDEX(LE_Curves!$L$5:$L$205,MATCH($B37,LE_Curves!$L$5:$L$205,1)))*(INDEX(LE_Curves!$B$5:$B$205,MATCH($B37,LE_Curves!$L$5:$L$205,1)+1)-INDEX(LE_Curves!$B$5:$B$205,MATCH($B37,LE_Curves!$L$5:$L$205,1)))/(INDEX(LE_Curves!$L$5:$L$205,MATCH($B37,LE_Curves!$L$5:$L$205,1)+1)-INDEX(LE_Curves!$L$5:$L$205,MATCH($B37,LE_Curves!$L$5:$L$205,1))))))</f>
        <v/>
      </c>
      <c r="M37" s="11">
        <f>IF(Inputs!$D$33=0,0,IF($B37&lt;=Inputs!$C$33,0,IF($B37&gt;=INDEX(LE_Curves!$M$5:$M$205,201),INDEX(LE_Curves!$B$5:$B$205,201),INDEX(LE_Curves!$B$5:$B$205,MATCH($B37,LE_Curves!$M$5:$M$205,1))+($B37-INDEX(LE_Curves!$M$5:$M$205,MATCH($B37,LE_Curves!$M$5:$M$205,1)))*(INDEX(LE_Curves!$B$5:$B$205,MATCH($B37,LE_Curves!$M$5:$M$205,1)+1)-INDEX(LE_Curves!$B$5:$B$205,MATCH($B37,LE_Curves!$M$5:$M$205,1)))/(INDEX(LE_Curves!$M$5:$M$205,MATCH($B37,LE_Curves!$M$5:$M$205,1)+1)-INDEX(LE_Curves!$M$5:$M$205,MATCH($B37,LE_Curves!$M$5:$M$205,1))))))</f>
        <v/>
      </c>
      <c r="N37" s="11">
        <f>IF(Inputs!$D$34=0,0,IF($B37&lt;=Inputs!$C$34,0,IF($B37&gt;=INDEX(LE_Curves!$N$5:$N$205,201),INDEX(LE_Curves!$B$5:$B$205,201),INDEX(LE_Curves!$B$5:$B$205,MATCH($B37,LE_Curves!$N$5:$N$205,1))+($B37-INDEX(LE_Curves!$N$5:$N$205,MATCH($B37,LE_Curves!$N$5:$N$205,1)))*(INDEX(LE_Curves!$B$5:$B$205,MATCH($B37,LE_Curves!$N$5:$N$205,1)+1)-INDEX(LE_Curves!$B$5:$B$205,MATCH($B37,LE_Curves!$N$5:$N$205,1)))/(INDEX(LE_Curves!$N$5:$N$205,MATCH($B37,LE_Curves!$N$5:$N$205,1)+1)-INDEX(LE_Curves!$N$5:$N$205,MATCH($B37,LE_Curves!$N$5:$N$205,1))))))</f>
        <v/>
      </c>
      <c r="O37" s="11">
        <f>SUM(C37:N37)</f>
        <v/>
      </c>
      <c r="Q37" s="7" t="n">
        <v>6</v>
      </c>
      <c r="R37" s="23">
        <f>$B$6+($B$7-$B$6)*Q37/200</f>
        <v/>
      </c>
      <c r="S37" s="11">
        <f>IF(Inputs!$D$23=0,0,IF($R37&lt;=Inputs!$C$23,0,IF($R37&gt;=INDEX(LE_Curves!$C$5:$C$205,201),INDEX(LE_Curves!$B$5:$B$205,201),INDEX(LE_Curves!$B$5:$B$205,MATCH($R37,LE_Curves!$C$5:$C$205,1))+($R37-INDEX(LE_Curves!$C$5:$C$205,MATCH($R37,LE_Curves!$C$5:$C$205,1)))*(INDEX(LE_Curves!$B$5:$B$205,MATCH($R37,LE_Curves!$C$5:$C$205,1)+1)-INDEX(LE_Curves!$B$5:$B$205,MATCH($R37,LE_Curves!$C$5:$C$205,1)))/(INDEX(LE_Curves!$C$5:$C$205,MATCH($R37,LE_Curves!$C$5:$C$205,1)+1)-INDEX(LE_Curves!$C$5:$C$205,MATCH($R37,LE_Curves!$C$5:$C$205,1))))))</f>
        <v/>
      </c>
      <c r="T37" s="11">
        <f>IF(Inputs!$D$24=0,0,IF($R37&lt;=Inputs!$C$24,0,IF($R37&gt;=INDEX(LE_Curves!$D$5:$D$205,201),INDEX(LE_Curves!$B$5:$B$205,201),INDEX(LE_Curves!$B$5:$B$205,MATCH($R37,LE_Curves!$D$5:$D$205,1))+($R37-INDEX(LE_Curves!$D$5:$D$205,MATCH($R37,LE_Curves!$D$5:$D$205,1)))*(INDEX(LE_Curves!$B$5:$B$205,MATCH($R37,LE_Curves!$D$5:$D$205,1)+1)-INDEX(LE_Curves!$B$5:$B$205,MATCH($R37,LE_Curves!$D$5:$D$205,1)))/(INDEX(LE_Curves!$D$5:$D$205,MATCH($R37,LE_Curves!$D$5:$D$205,1)+1)-INDEX(LE_Curves!$D$5:$D$205,MATCH($R37,LE_Curves!$D$5:$D$205,1))))))</f>
        <v/>
      </c>
      <c r="U37" s="11">
        <f>IF(Inputs!$D$25=0,0,IF($R37&lt;=Inputs!$C$25,0,IF($R37&gt;=INDEX(LE_Curves!$E$5:$E$205,201),INDEX(LE_Curves!$B$5:$B$205,201),INDEX(LE_Curves!$B$5:$B$205,MATCH($R37,LE_Curves!$E$5:$E$205,1))+($R37-INDEX(LE_Curves!$E$5:$E$205,MATCH($R37,LE_Curves!$E$5:$E$205,1)))*(INDEX(LE_Curves!$B$5:$B$205,MATCH($R37,LE_Curves!$E$5:$E$205,1)+1)-INDEX(LE_Curves!$B$5:$B$205,MATCH($R37,LE_Curves!$E$5:$E$205,1)))/(INDEX(LE_Curves!$E$5:$E$205,MATCH($R37,LE_Curves!$E$5:$E$205,1)+1)-INDEX(LE_Curves!$E$5:$E$205,MATCH($R37,LE_Curves!$E$5:$E$205,1))))))</f>
        <v/>
      </c>
      <c r="V37" s="11">
        <f>IF(Inputs!$D$26=0,0,IF($R37&lt;=Inputs!$C$26,0,IF($R37&gt;=INDEX(LE_Curves!$F$5:$F$205,201),INDEX(LE_Curves!$B$5:$B$205,201),INDEX(LE_Curves!$B$5:$B$205,MATCH($R37,LE_Curves!$F$5:$F$205,1))+($R37-INDEX(LE_Curves!$F$5:$F$205,MATCH($R37,LE_Curves!$F$5:$F$205,1)))*(INDEX(LE_Curves!$B$5:$B$205,MATCH($R37,LE_Curves!$F$5:$F$205,1)+1)-INDEX(LE_Curves!$B$5:$B$205,MATCH($R37,LE_Curves!$F$5:$F$205,1)))/(INDEX(LE_Curves!$F$5:$F$205,MATCH($R37,LE_Curves!$F$5:$F$205,1)+1)-INDEX(LE_Curves!$F$5:$F$205,MATCH($R37,LE_Curves!$F$5:$F$205,1))))))</f>
        <v/>
      </c>
      <c r="W37" s="11">
        <f>IF(Inputs!$D$27=0,0,IF($R37&lt;=Inputs!$C$27,0,IF($R37&gt;=INDEX(LE_Curves!$G$5:$G$205,201),INDEX(LE_Curves!$B$5:$B$205,201),INDEX(LE_Curves!$B$5:$B$205,MATCH($R37,LE_Curves!$G$5:$G$205,1))+($R37-INDEX(LE_Curves!$G$5:$G$205,MATCH($R37,LE_Curves!$G$5:$G$205,1)))*(INDEX(LE_Curves!$B$5:$B$205,MATCH($R37,LE_Curves!$G$5:$G$205,1)+1)-INDEX(LE_Curves!$B$5:$B$205,MATCH($R37,LE_Curves!$G$5:$G$205,1)))/(INDEX(LE_Curves!$G$5:$G$205,MATCH($R37,LE_Curves!$G$5:$G$205,1)+1)-INDEX(LE_Curves!$G$5:$G$205,MATCH($R37,LE_Curves!$G$5:$G$205,1))))))</f>
        <v/>
      </c>
      <c r="X37" s="11">
        <f>IF(Inputs!$D$28=0,0,IF($R37&lt;=Inputs!$C$28,0,IF($R37&gt;=INDEX(LE_Curves!$H$5:$H$205,201),INDEX(LE_Curves!$B$5:$B$205,201),INDEX(LE_Curves!$B$5:$B$205,MATCH($R37,LE_Curves!$H$5:$H$205,1))+($R37-INDEX(LE_Curves!$H$5:$H$205,MATCH($R37,LE_Curves!$H$5:$H$205,1)))*(INDEX(LE_Curves!$B$5:$B$205,MATCH($R37,LE_Curves!$H$5:$H$205,1)+1)-INDEX(LE_Curves!$B$5:$B$205,MATCH($R37,LE_Curves!$H$5:$H$205,1)))/(INDEX(LE_Curves!$H$5:$H$205,MATCH($R37,LE_Curves!$H$5:$H$205,1)+1)-INDEX(LE_Curves!$H$5:$H$205,MATCH($R37,LE_Curves!$H$5:$H$205,1))))))</f>
        <v/>
      </c>
      <c r="Y37" s="11">
        <f>IF(Inputs!$D$29=0,0,IF($R37&lt;=Inputs!$C$29,0,IF($R37&gt;=INDEX(LE_Curves!$I$5:$I$205,201),INDEX(LE_Curves!$B$5:$B$205,201),INDEX(LE_Curves!$B$5:$B$205,MATCH($R37,LE_Curves!$I$5:$I$205,1))+($R37-INDEX(LE_Curves!$I$5:$I$205,MATCH($R37,LE_Curves!$I$5:$I$205,1)))*(INDEX(LE_Curves!$B$5:$B$205,MATCH($R37,LE_Curves!$I$5:$I$205,1)+1)-INDEX(LE_Curves!$B$5:$B$205,MATCH($R37,LE_Curves!$I$5:$I$205,1)))/(INDEX(LE_Curves!$I$5:$I$205,MATCH($R37,LE_Curves!$I$5:$I$205,1)+1)-INDEX(LE_Curves!$I$5:$I$205,MATCH($R37,LE_Curves!$I$5:$I$205,1))))))</f>
        <v/>
      </c>
      <c r="Z37" s="11">
        <f>IF(Inputs!$D$30=0,0,IF($R37&lt;=Inputs!$C$30,0,IF($R37&gt;=INDEX(LE_Curves!$J$5:$J$205,201),INDEX(LE_Curves!$B$5:$B$205,201),INDEX(LE_Curves!$B$5:$B$205,MATCH($R37,LE_Curves!$J$5:$J$205,1))+($R37-INDEX(LE_Curves!$J$5:$J$205,MATCH($R37,LE_Curves!$J$5:$J$205,1)))*(INDEX(LE_Curves!$B$5:$B$205,MATCH($R37,LE_Curves!$J$5:$J$205,1)+1)-INDEX(LE_Curves!$B$5:$B$205,MATCH($R37,LE_Curves!$J$5:$J$205,1)))/(INDEX(LE_Curves!$J$5:$J$205,MATCH($R37,LE_Curves!$J$5:$J$205,1)+1)-INDEX(LE_Curves!$J$5:$J$205,MATCH($R37,LE_Curves!$J$5:$J$205,1))))))</f>
        <v/>
      </c>
      <c r="AA37" s="11">
        <f>IF(Inputs!$D$31=0,0,IF($R37&lt;=Inputs!$C$31,0,IF($R37&gt;=INDEX(LE_Curves!$K$5:$K$205,201),INDEX(LE_Curves!$B$5:$B$205,201),INDEX(LE_Curves!$B$5:$B$205,MATCH($R37,LE_Curves!$K$5:$K$205,1))+($R37-INDEX(LE_Curves!$K$5:$K$205,MATCH($R37,LE_Curves!$K$5:$K$205,1)))*(INDEX(LE_Curves!$B$5:$B$205,MATCH($R37,LE_Curves!$K$5:$K$205,1)+1)-INDEX(LE_Curves!$B$5:$B$205,MATCH($R37,LE_Curves!$K$5:$K$205,1)))/(INDEX(LE_Curves!$K$5:$K$205,MATCH($R37,LE_Curves!$K$5:$K$205,1)+1)-INDEX(LE_Curves!$K$5:$K$205,MATCH($R37,LE_Curves!$K$5:$K$205,1))))))</f>
        <v/>
      </c>
      <c r="AB37" s="11">
        <f>IF(Inputs!$D$32=0,0,IF($R37&lt;=Inputs!$C$32,0,IF($R37&gt;=INDEX(LE_Curves!$L$5:$L$205,201),INDEX(LE_Curves!$B$5:$B$205,201),INDEX(LE_Curves!$B$5:$B$205,MATCH($R37,LE_Curves!$L$5:$L$205,1))+($R37-INDEX(LE_Curves!$L$5:$L$205,MATCH($R37,LE_Curves!$L$5:$L$205,1)))*(INDEX(LE_Curves!$B$5:$B$205,MATCH($R37,LE_Curves!$L$5:$L$205,1)+1)-INDEX(LE_Curves!$B$5:$B$205,MATCH($R37,LE_Curves!$L$5:$L$205,1)))/(INDEX(LE_Curves!$L$5:$L$205,MATCH($R37,LE_Curves!$L$5:$L$205,1)+1)-INDEX(LE_Curves!$L$5:$L$205,MATCH($R37,LE_Curves!$L$5:$L$205,1))))))</f>
        <v/>
      </c>
      <c r="AC37" s="11">
        <f>IF(Inputs!$D$33=0,0,IF($R37&lt;=Inputs!$C$33,0,IF($R37&gt;=INDEX(LE_Curves!$M$5:$M$205,201),INDEX(LE_Curves!$B$5:$B$205,201),INDEX(LE_Curves!$B$5:$B$205,MATCH($R37,LE_Curves!$M$5:$M$205,1))+($R37-INDEX(LE_Curves!$M$5:$M$205,MATCH($R37,LE_Curves!$M$5:$M$205,1)))*(INDEX(LE_Curves!$B$5:$B$205,MATCH($R37,LE_Curves!$M$5:$M$205,1)+1)-INDEX(LE_Curves!$B$5:$B$205,MATCH($R37,LE_Curves!$M$5:$M$205,1)))/(INDEX(LE_Curves!$M$5:$M$205,MATCH($R37,LE_Curves!$M$5:$M$205,1)+1)-INDEX(LE_Curves!$M$5:$M$205,MATCH($R37,LE_Curves!$M$5:$M$205,1))))))</f>
        <v/>
      </c>
      <c r="AD37" s="11">
        <f>IF(Inputs!$D$34=0,0,IF($R37&lt;=Inputs!$C$34,0,IF($R37&gt;=INDEX(LE_Curves!$N$5:$N$205,201),INDEX(LE_Curves!$B$5:$B$205,201),INDEX(LE_Curves!$B$5:$B$205,MATCH($R37,LE_Curves!$N$5:$N$205,1))+($R37-INDEX(LE_Curves!$N$5:$N$205,MATCH($R37,LE_Curves!$N$5:$N$205,1)))*(INDEX(LE_Curves!$B$5:$B$205,MATCH($R37,LE_Curves!$N$5:$N$205,1)+1)-INDEX(LE_Curves!$B$5:$B$205,MATCH($R37,LE_Curves!$N$5:$N$205,1)))/(INDEX(LE_Curves!$N$5:$N$205,MATCH($R37,LE_Curves!$N$5:$N$205,1)+1)-INDEX(LE_Curves!$N$5:$N$205,MATCH($R37,LE_Curves!$N$5:$N$205,1))))))</f>
        <v/>
      </c>
      <c r="AE37" s="37">
        <f>SUM(S37:AD37)</f>
        <v/>
      </c>
    </row>
    <row r="38">
      <c r="A38" s="7" t="n">
        <v>7</v>
      </c>
      <c r="B38" s="37">
        <f>$B$3+($B$4-$B$3)*A38/200</f>
        <v/>
      </c>
      <c r="C38" s="11">
        <f>IF(Inputs!$D$23=0,0,IF($B38&lt;=Inputs!$C$23,0,IF($B38&gt;=INDEX(LE_Curves!$C$5:$C$205,201),INDEX(LE_Curves!$B$5:$B$205,201),INDEX(LE_Curves!$B$5:$B$205,MATCH($B38,LE_Curves!$C$5:$C$205,1))+($B38-INDEX(LE_Curves!$C$5:$C$205,MATCH($B38,LE_Curves!$C$5:$C$205,1)))*(INDEX(LE_Curves!$B$5:$B$205,MATCH($B38,LE_Curves!$C$5:$C$205,1)+1)-INDEX(LE_Curves!$B$5:$B$205,MATCH($B38,LE_Curves!$C$5:$C$205,1)))/(INDEX(LE_Curves!$C$5:$C$205,MATCH($B38,LE_Curves!$C$5:$C$205,1)+1)-INDEX(LE_Curves!$C$5:$C$205,MATCH($B38,LE_Curves!$C$5:$C$205,1))))))</f>
        <v/>
      </c>
      <c r="D38" s="11">
        <f>IF(Inputs!$D$24=0,0,IF($B38&lt;=Inputs!$C$24,0,IF($B38&gt;=INDEX(LE_Curves!$D$5:$D$205,201),INDEX(LE_Curves!$B$5:$B$205,201),INDEX(LE_Curves!$B$5:$B$205,MATCH($B38,LE_Curves!$D$5:$D$205,1))+($B38-INDEX(LE_Curves!$D$5:$D$205,MATCH($B38,LE_Curves!$D$5:$D$205,1)))*(INDEX(LE_Curves!$B$5:$B$205,MATCH($B38,LE_Curves!$D$5:$D$205,1)+1)-INDEX(LE_Curves!$B$5:$B$205,MATCH($B38,LE_Curves!$D$5:$D$205,1)))/(INDEX(LE_Curves!$D$5:$D$205,MATCH($B38,LE_Curves!$D$5:$D$205,1)+1)-INDEX(LE_Curves!$D$5:$D$205,MATCH($B38,LE_Curves!$D$5:$D$205,1))))))</f>
        <v/>
      </c>
      <c r="E38" s="11">
        <f>IF(Inputs!$D$25=0,0,IF($B38&lt;=Inputs!$C$25,0,IF($B38&gt;=INDEX(LE_Curves!$E$5:$E$205,201),INDEX(LE_Curves!$B$5:$B$205,201),INDEX(LE_Curves!$B$5:$B$205,MATCH($B38,LE_Curves!$E$5:$E$205,1))+($B38-INDEX(LE_Curves!$E$5:$E$205,MATCH($B38,LE_Curves!$E$5:$E$205,1)))*(INDEX(LE_Curves!$B$5:$B$205,MATCH($B38,LE_Curves!$E$5:$E$205,1)+1)-INDEX(LE_Curves!$B$5:$B$205,MATCH($B38,LE_Curves!$E$5:$E$205,1)))/(INDEX(LE_Curves!$E$5:$E$205,MATCH($B38,LE_Curves!$E$5:$E$205,1)+1)-INDEX(LE_Curves!$E$5:$E$205,MATCH($B38,LE_Curves!$E$5:$E$205,1))))))</f>
        <v/>
      </c>
      <c r="F38" s="11">
        <f>IF(Inputs!$D$26=0,0,IF($B38&lt;=Inputs!$C$26,0,IF($B38&gt;=INDEX(LE_Curves!$F$5:$F$205,201),INDEX(LE_Curves!$B$5:$B$205,201),INDEX(LE_Curves!$B$5:$B$205,MATCH($B38,LE_Curves!$F$5:$F$205,1))+($B38-INDEX(LE_Curves!$F$5:$F$205,MATCH($B38,LE_Curves!$F$5:$F$205,1)))*(INDEX(LE_Curves!$B$5:$B$205,MATCH($B38,LE_Curves!$F$5:$F$205,1)+1)-INDEX(LE_Curves!$B$5:$B$205,MATCH($B38,LE_Curves!$F$5:$F$205,1)))/(INDEX(LE_Curves!$F$5:$F$205,MATCH($B38,LE_Curves!$F$5:$F$205,1)+1)-INDEX(LE_Curves!$F$5:$F$205,MATCH($B38,LE_Curves!$F$5:$F$205,1))))))</f>
        <v/>
      </c>
      <c r="G38" s="11">
        <f>IF(Inputs!$D$27=0,0,IF($B38&lt;=Inputs!$C$27,0,IF($B38&gt;=INDEX(LE_Curves!$G$5:$G$205,201),INDEX(LE_Curves!$B$5:$B$205,201),INDEX(LE_Curves!$B$5:$B$205,MATCH($B38,LE_Curves!$G$5:$G$205,1))+($B38-INDEX(LE_Curves!$G$5:$G$205,MATCH($B38,LE_Curves!$G$5:$G$205,1)))*(INDEX(LE_Curves!$B$5:$B$205,MATCH($B38,LE_Curves!$G$5:$G$205,1)+1)-INDEX(LE_Curves!$B$5:$B$205,MATCH($B38,LE_Curves!$G$5:$G$205,1)))/(INDEX(LE_Curves!$G$5:$G$205,MATCH($B38,LE_Curves!$G$5:$G$205,1)+1)-INDEX(LE_Curves!$G$5:$G$205,MATCH($B38,LE_Curves!$G$5:$G$205,1))))))</f>
        <v/>
      </c>
      <c r="H38" s="11">
        <f>IF(Inputs!$D$28=0,0,IF($B38&lt;=Inputs!$C$28,0,IF($B38&gt;=INDEX(LE_Curves!$H$5:$H$205,201),INDEX(LE_Curves!$B$5:$B$205,201),INDEX(LE_Curves!$B$5:$B$205,MATCH($B38,LE_Curves!$H$5:$H$205,1))+($B38-INDEX(LE_Curves!$H$5:$H$205,MATCH($B38,LE_Curves!$H$5:$H$205,1)))*(INDEX(LE_Curves!$B$5:$B$205,MATCH($B38,LE_Curves!$H$5:$H$205,1)+1)-INDEX(LE_Curves!$B$5:$B$205,MATCH($B38,LE_Curves!$H$5:$H$205,1)))/(INDEX(LE_Curves!$H$5:$H$205,MATCH($B38,LE_Curves!$H$5:$H$205,1)+1)-INDEX(LE_Curves!$H$5:$H$205,MATCH($B38,LE_Curves!$H$5:$H$205,1))))))</f>
        <v/>
      </c>
      <c r="I38" s="11">
        <f>IF(Inputs!$D$29=0,0,IF($B38&lt;=Inputs!$C$29,0,IF($B38&gt;=INDEX(LE_Curves!$I$5:$I$205,201),INDEX(LE_Curves!$B$5:$B$205,201),INDEX(LE_Curves!$B$5:$B$205,MATCH($B38,LE_Curves!$I$5:$I$205,1))+($B38-INDEX(LE_Curves!$I$5:$I$205,MATCH($B38,LE_Curves!$I$5:$I$205,1)))*(INDEX(LE_Curves!$B$5:$B$205,MATCH($B38,LE_Curves!$I$5:$I$205,1)+1)-INDEX(LE_Curves!$B$5:$B$205,MATCH($B38,LE_Curves!$I$5:$I$205,1)))/(INDEX(LE_Curves!$I$5:$I$205,MATCH($B38,LE_Curves!$I$5:$I$205,1)+1)-INDEX(LE_Curves!$I$5:$I$205,MATCH($B38,LE_Curves!$I$5:$I$205,1))))))</f>
        <v/>
      </c>
      <c r="J38" s="11">
        <f>IF(Inputs!$D$30=0,0,IF($B38&lt;=Inputs!$C$30,0,IF($B38&gt;=INDEX(LE_Curves!$J$5:$J$205,201),INDEX(LE_Curves!$B$5:$B$205,201),INDEX(LE_Curves!$B$5:$B$205,MATCH($B38,LE_Curves!$J$5:$J$205,1))+($B38-INDEX(LE_Curves!$J$5:$J$205,MATCH($B38,LE_Curves!$J$5:$J$205,1)))*(INDEX(LE_Curves!$B$5:$B$205,MATCH($B38,LE_Curves!$J$5:$J$205,1)+1)-INDEX(LE_Curves!$B$5:$B$205,MATCH($B38,LE_Curves!$J$5:$J$205,1)))/(INDEX(LE_Curves!$J$5:$J$205,MATCH($B38,LE_Curves!$J$5:$J$205,1)+1)-INDEX(LE_Curves!$J$5:$J$205,MATCH($B38,LE_Curves!$J$5:$J$205,1))))))</f>
        <v/>
      </c>
      <c r="K38" s="11">
        <f>IF(Inputs!$D$31=0,0,IF($B38&lt;=Inputs!$C$31,0,IF($B38&gt;=INDEX(LE_Curves!$K$5:$K$205,201),INDEX(LE_Curves!$B$5:$B$205,201),INDEX(LE_Curves!$B$5:$B$205,MATCH($B38,LE_Curves!$K$5:$K$205,1))+($B38-INDEX(LE_Curves!$K$5:$K$205,MATCH($B38,LE_Curves!$K$5:$K$205,1)))*(INDEX(LE_Curves!$B$5:$B$205,MATCH($B38,LE_Curves!$K$5:$K$205,1)+1)-INDEX(LE_Curves!$B$5:$B$205,MATCH($B38,LE_Curves!$K$5:$K$205,1)))/(INDEX(LE_Curves!$K$5:$K$205,MATCH($B38,LE_Curves!$K$5:$K$205,1)+1)-INDEX(LE_Curves!$K$5:$K$205,MATCH($B38,LE_Curves!$K$5:$K$205,1))))))</f>
        <v/>
      </c>
      <c r="L38" s="11">
        <f>IF(Inputs!$D$32=0,0,IF($B38&lt;=Inputs!$C$32,0,IF($B38&gt;=INDEX(LE_Curves!$L$5:$L$205,201),INDEX(LE_Curves!$B$5:$B$205,201),INDEX(LE_Curves!$B$5:$B$205,MATCH($B38,LE_Curves!$L$5:$L$205,1))+($B38-INDEX(LE_Curves!$L$5:$L$205,MATCH($B38,LE_Curves!$L$5:$L$205,1)))*(INDEX(LE_Curves!$B$5:$B$205,MATCH($B38,LE_Curves!$L$5:$L$205,1)+1)-INDEX(LE_Curves!$B$5:$B$205,MATCH($B38,LE_Curves!$L$5:$L$205,1)))/(INDEX(LE_Curves!$L$5:$L$205,MATCH($B38,LE_Curves!$L$5:$L$205,1)+1)-INDEX(LE_Curves!$L$5:$L$205,MATCH($B38,LE_Curves!$L$5:$L$205,1))))))</f>
        <v/>
      </c>
      <c r="M38" s="11">
        <f>IF(Inputs!$D$33=0,0,IF($B38&lt;=Inputs!$C$33,0,IF($B38&gt;=INDEX(LE_Curves!$M$5:$M$205,201),INDEX(LE_Curves!$B$5:$B$205,201),INDEX(LE_Curves!$B$5:$B$205,MATCH($B38,LE_Curves!$M$5:$M$205,1))+($B38-INDEX(LE_Curves!$M$5:$M$205,MATCH($B38,LE_Curves!$M$5:$M$205,1)))*(INDEX(LE_Curves!$B$5:$B$205,MATCH($B38,LE_Curves!$M$5:$M$205,1)+1)-INDEX(LE_Curves!$B$5:$B$205,MATCH($B38,LE_Curves!$M$5:$M$205,1)))/(INDEX(LE_Curves!$M$5:$M$205,MATCH($B38,LE_Curves!$M$5:$M$205,1)+1)-INDEX(LE_Curves!$M$5:$M$205,MATCH($B38,LE_Curves!$M$5:$M$205,1))))))</f>
        <v/>
      </c>
      <c r="N38" s="11">
        <f>IF(Inputs!$D$34=0,0,IF($B38&lt;=Inputs!$C$34,0,IF($B38&gt;=INDEX(LE_Curves!$N$5:$N$205,201),INDEX(LE_Curves!$B$5:$B$205,201),INDEX(LE_Curves!$B$5:$B$205,MATCH($B38,LE_Curves!$N$5:$N$205,1))+($B38-INDEX(LE_Curves!$N$5:$N$205,MATCH($B38,LE_Curves!$N$5:$N$205,1)))*(INDEX(LE_Curves!$B$5:$B$205,MATCH($B38,LE_Curves!$N$5:$N$205,1)+1)-INDEX(LE_Curves!$B$5:$B$205,MATCH($B38,LE_Curves!$N$5:$N$205,1)))/(INDEX(LE_Curves!$N$5:$N$205,MATCH($B38,LE_Curves!$N$5:$N$205,1)+1)-INDEX(LE_Curves!$N$5:$N$205,MATCH($B38,LE_Curves!$N$5:$N$205,1))))))</f>
        <v/>
      </c>
      <c r="O38" s="11">
        <f>SUM(C38:N38)</f>
        <v/>
      </c>
      <c r="Q38" s="7" t="n">
        <v>7</v>
      </c>
      <c r="R38" s="23">
        <f>$B$6+($B$7-$B$6)*Q38/200</f>
        <v/>
      </c>
      <c r="S38" s="11">
        <f>IF(Inputs!$D$23=0,0,IF($R38&lt;=Inputs!$C$23,0,IF($R38&gt;=INDEX(LE_Curves!$C$5:$C$205,201),INDEX(LE_Curves!$B$5:$B$205,201),INDEX(LE_Curves!$B$5:$B$205,MATCH($R38,LE_Curves!$C$5:$C$205,1))+($R38-INDEX(LE_Curves!$C$5:$C$205,MATCH($R38,LE_Curves!$C$5:$C$205,1)))*(INDEX(LE_Curves!$B$5:$B$205,MATCH($R38,LE_Curves!$C$5:$C$205,1)+1)-INDEX(LE_Curves!$B$5:$B$205,MATCH($R38,LE_Curves!$C$5:$C$205,1)))/(INDEX(LE_Curves!$C$5:$C$205,MATCH($R38,LE_Curves!$C$5:$C$205,1)+1)-INDEX(LE_Curves!$C$5:$C$205,MATCH($R38,LE_Curves!$C$5:$C$205,1))))))</f>
        <v/>
      </c>
      <c r="T38" s="11">
        <f>IF(Inputs!$D$24=0,0,IF($R38&lt;=Inputs!$C$24,0,IF($R38&gt;=INDEX(LE_Curves!$D$5:$D$205,201),INDEX(LE_Curves!$B$5:$B$205,201),INDEX(LE_Curves!$B$5:$B$205,MATCH($R38,LE_Curves!$D$5:$D$205,1))+($R38-INDEX(LE_Curves!$D$5:$D$205,MATCH($R38,LE_Curves!$D$5:$D$205,1)))*(INDEX(LE_Curves!$B$5:$B$205,MATCH($R38,LE_Curves!$D$5:$D$205,1)+1)-INDEX(LE_Curves!$B$5:$B$205,MATCH($R38,LE_Curves!$D$5:$D$205,1)))/(INDEX(LE_Curves!$D$5:$D$205,MATCH($R38,LE_Curves!$D$5:$D$205,1)+1)-INDEX(LE_Curves!$D$5:$D$205,MATCH($R38,LE_Curves!$D$5:$D$205,1))))))</f>
        <v/>
      </c>
      <c r="U38" s="11">
        <f>IF(Inputs!$D$25=0,0,IF($R38&lt;=Inputs!$C$25,0,IF($R38&gt;=INDEX(LE_Curves!$E$5:$E$205,201),INDEX(LE_Curves!$B$5:$B$205,201),INDEX(LE_Curves!$B$5:$B$205,MATCH($R38,LE_Curves!$E$5:$E$205,1))+($R38-INDEX(LE_Curves!$E$5:$E$205,MATCH($R38,LE_Curves!$E$5:$E$205,1)))*(INDEX(LE_Curves!$B$5:$B$205,MATCH($R38,LE_Curves!$E$5:$E$205,1)+1)-INDEX(LE_Curves!$B$5:$B$205,MATCH($R38,LE_Curves!$E$5:$E$205,1)))/(INDEX(LE_Curves!$E$5:$E$205,MATCH($R38,LE_Curves!$E$5:$E$205,1)+1)-INDEX(LE_Curves!$E$5:$E$205,MATCH($R38,LE_Curves!$E$5:$E$205,1))))))</f>
        <v/>
      </c>
      <c r="V38" s="11">
        <f>IF(Inputs!$D$26=0,0,IF($R38&lt;=Inputs!$C$26,0,IF($R38&gt;=INDEX(LE_Curves!$F$5:$F$205,201),INDEX(LE_Curves!$B$5:$B$205,201),INDEX(LE_Curves!$B$5:$B$205,MATCH($R38,LE_Curves!$F$5:$F$205,1))+($R38-INDEX(LE_Curves!$F$5:$F$205,MATCH($R38,LE_Curves!$F$5:$F$205,1)))*(INDEX(LE_Curves!$B$5:$B$205,MATCH($R38,LE_Curves!$F$5:$F$205,1)+1)-INDEX(LE_Curves!$B$5:$B$205,MATCH($R38,LE_Curves!$F$5:$F$205,1)))/(INDEX(LE_Curves!$F$5:$F$205,MATCH($R38,LE_Curves!$F$5:$F$205,1)+1)-INDEX(LE_Curves!$F$5:$F$205,MATCH($R38,LE_Curves!$F$5:$F$205,1))))))</f>
        <v/>
      </c>
      <c r="W38" s="11">
        <f>IF(Inputs!$D$27=0,0,IF($R38&lt;=Inputs!$C$27,0,IF($R38&gt;=INDEX(LE_Curves!$G$5:$G$205,201),INDEX(LE_Curves!$B$5:$B$205,201),INDEX(LE_Curves!$B$5:$B$205,MATCH($R38,LE_Curves!$G$5:$G$205,1))+($R38-INDEX(LE_Curves!$G$5:$G$205,MATCH($R38,LE_Curves!$G$5:$G$205,1)))*(INDEX(LE_Curves!$B$5:$B$205,MATCH($R38,LE_Curves!$G$5:$G$205,1)+1)-INDEX(LE_Curves!$B$5:$B$205,MATCH($R38,LE_Curves!$G$5:$G$205,1)))/(INDEX(LE_Curves!$G$5:$G$205,MATCH($R38,LE_Curves!$G$5:$G$205,1)+1)-INDEX(LE_Curves!$G$5:$G$205,MATCH($R38,LE_Curves!$G$5:$G$205,1))))))</f>
        <v/>
      </c>
      <c r="X38" s="11">
        <f>IF(Inputs!$D$28=0,0,IF($R38&lt;=Inputs!$C$28,0,IF($R38&gt;=INDEX(LE_Curves!$H$5:$H$205,201),INDEX(LE_Curves!$B$5:$B$205,201),INDEX(LE_Curves!$B$5:$B$205,MATCH($R38,LE_Curves!$H$5:$H$205,1))+($R38-INDEX(LE_Curves!$H$5:$H$205,MATCH($R38,LE_Curves!$H$5:$H$205,1)))*(INDEX(LE_Curves!$B$5:$B$205,MATCH($R38,LE_Curves!$H$5:$H$205,1)+1)-INDEX(LE_Curves!$B$5:$B$205,MATCH($R38,LE_Curves!$H$5:$H$205,1)))/(INDEX(LE_Curves!$H$5:$H$205,MATCH($R38,LE_Curves!$H$5:$H$205,1)+1)-INDEX(LE_Curves!$H$5:$H$205,MATCH($R38,LE_Curves!$H$5:$H$205,1))))))</f>
        <v/>
      </c>
      <c r="Y38" s="11">
        <f>IF(Inputs!$D$29=0,0,IF($R38&lt;=Inputs!$C$29,0,IF($R38&gt;=INDEX(LE_Curves!$I$5:$I$205,201),INDEX(LE_Curves!$B$5:$B$205,201),INDEX(LE_Curves!$B$5:$B$205,MATCH($R38,LE_Curves!$I$5:$I$205,1))+($R38-INDEX(LE_Curves!$I$5:$I$205,MATCH($R38,LE_Curves!$I$5:$I$205,1)))*(INDEX(LE_Curves!$B$5:$B$205,MATCH($R38,LE_Curves!$I$5:$I$205,1)+1)-INDEX(LE_Curves!$B$5:$B$205,MATCH($R38,LE_Curves!$I$5:$I$205,1)))/(INDEX(LE_Curves!$I$5:$I$205,MATCH($R38,LE_Curves!$I$5:$I$205,1)+1)-INDEX(LE_Curves!$I$5:$I$205,MATCH($R38,LE_Curves!$I$5:$I$205,1))))))</f>
        <v/>
      </c>
      <c r="Z38" s="11">
        <f>IF(Inputs!$D$30=0,0,IF($R38&lt;=Inputs!$C$30,0,IF($R38&gt;=INDEX(LE_Curves!$J$5:$J$205,201),INDEX(LE_Curves!$B$5:$B$205,201),INDEX(LE_Curves!$B$5:$B$205,MATCH($R38,LE_Curves!$J$5:$J$205,1))+($R38-INDEX(LE_Curves!$J$5:$J$205,MATCH($R38,LE_Curves!$J$5:$J$205,1)))*(INDEX(LE_Curves!$B$5:$B$205,MATCH($R38,LE_Curves!$J$5:$J$205,1)+1)-INDEX(LE_Curves!$B$5:$B$205,MATCH($R38,LE_Curves!$J$5:$J$205,1)))/(INDEX(LE_Curves!$J$5:$J$205,MATCH($R38,LE_Curves!$J$5:$J$205,1)+1)-INDEX(LE_Curves!$J$5:$J$205,MATCH($R38,LE_Curves!$J$5:$J$205,1))))))</f>
        <v/>
      </c>
      <c r="AA38" s="11">
        <f>IF(Inputs!$D$31=0,0,IF($R38&lt;=Inputs!$C$31,0,IF($R38&gt;=INDEX(LE_Curves!$K$5:$K$205,201),INDEX(LE_Curves!$B$5:$B$205,201),INDEX(LE_Curves!$B$5:$B$205,MATCH($R38,LE_Curves!$K$5:$K$205,1))+($R38-INDEX(LE_Curves!$K$5:$K$205,MATCH($R38,LE_Curves!$K$5:$K$205,1)))*(INDEX(LE_Curves!$B$5:$B$205,MATCH($R38,LE_Curves!$K$5:$K$205,1)+1)-INDEX(LE_Curves!$B$5:$B$205,MATCH($R38,LE_Curves!$K$5:$K$205,1)))/(INDEX(LE_Curves!$K$5:$K$205,MATCH($R38,LE_Curves!$K$5:$K$205,1)+1)-INDEX(LE_Curves!$K$5:$K$205,MATCH($R38,LE_Curves!$K$5:$K$205,1))))))</f>
        <v/>
      </c>
      <c r="AB38" s="11">
        <f>IF(Inputs!$D$32=0,0,IF($R38&lt;=Inputs!$C$32,0,IF($R38&gt;=INDEX(LE_Curves!$L$5:$L$205,201),INDEX(LE_Curves!$B$5:$B$205,201),INDEX(LE_Curves!$B$5:$B$205,MATCH($R38,LE_Curves!$L$5:$L$205,1))+($R38-INDEX(LE_Curves!$L$5:$L$205,MATCH($R38,LE_Curves!$L$5:$L$205,1)))*(INDEX(LE_Curves!$B$5:$B$205,MATCH($R38,LE_Curves!$L$5:$L$205,1)+1)-INDEX(LE_Curves!$B$5:$B$205,MATCH($R38,LE_Curves!$L$5:$L$205,1)))/(INDEX(LE_Curves!$L$5:$L$205,MATCH($R38,LE_Curves!$L$5:$L$205,1)+1)-INDEX(LE_Curves!$L$5:$L$205,MATCH($R38,LE_Curves!$L$5:$L$205,1))))))</f>
        <v/>
      </c>
      <c r="AC38" s="11">
        <f>IF(Inputs!$D$33=0,0,IF($R38&lt;=Inputs!$C$33,0,IF($R38&gt;=INDEX(LE_Curves!$M$5:$M$205,201),INDEX(LE_Curves!$B$5:$B$205,201),INDEX(LE_Curves!$B$5:$B$205,MATCH($R38,LE_Curves!$M$5:$M$205,1))+($R38-INDEX(LE_Curves!$M$5:$M$205,MATCH($R38,LE_Curves!$M$5:$M$205,1)))*(INDEX(LE_Curves!$B$5:$B$205,MATCH($R38,LE_Curves!$M$5:$M$205,1)+1)-INDEX(LE_Curves!$B$5:$B$205,MATCH($R38,LE_Curves!$M$5:$M$205,1)))/(INDEX(LE_Curves!$M$5:$M$205,MATCH($R38,LE_Curves!$M$5:$M$205,1)+1)-INDEX(LE_Curves!$M$5:$M$205,MATCH($R38,LE_Curves!$M$5:$M$205,1))))))</f>
        <v/>
      </c>
      <c r="AD38" s="11">
        <f>IF(Inputs!$D$34=0,0,IF($R38&lt;=Inputs!$C$34,0,IF($R38&gt;=INDEX(LE_Curves!$N$5:$N$205,201),INDEX(LE_Curves!$B$5:$B$205,201),INDEX(LE_Curves!$B$5:$B$205,MATCH($R38,LE_Curves!$N$5:$N$205,1))+($R38-INDEX(LE_Curves!$N$5:$N$205,MATCH($R38,LE_Curves!$N$5:$N$205,1)))*(INDEX(LE_Curves!$B$5:$B$205,MATCH($R38,LE_Curves!$N$5:$N$205,1)+1)-INDEX(LE_Curves!$B$5:$B$205,MATCH($R38,LE_Curves!$N$5:$N$205,1)))/(INDEX(LE_Curves!$N$5:$N$205,MATCH($R38,LE_Curves!$N$5:$N$205,1)+1)-INDEX(LE_Curves!$N$5:$N$205,MATCH($R38,LE_Curves!$N$5:$N$205,1))))))</f>
        <v/>
      </c>
      <c r="AE38" s="37">
        <f>SUM(S38:AD38)</f>
        <v/>
      </c>
    </row>
    <row r="39">
      <c r="A39" s="7" t="n">
        <v>8</v>
      </c>
      <c r="B39" s="37">
        <f>$B$3+($B$4-$B$3)*A39/200</f>
        <v/>
      </c>
      <c r="C39" s="11">
        <f>IF(Inputs!$D$23=0,0,IF($B39&lt;=Inputs!$C$23,0,IF($B39&gt;=INDEX(LE_Curves!$C$5:$C$205,201),INDEX(LE_Curves!$B$5:$B$205,201),INDEX(LE_Curves!$B$5:$B$205,MATCH($B39,LE_Curves!$C$5:$C$205,1))+($B39-INDEX(LE_Curves!$C$5:$C$205,MATCH($B39,LE_Curves!$C$5:$C$205,1)))*(INDEX(LE_Curves!$B$5:$B$205,MATCH($B39,LE_Curves!$C$5:$C$205,1)+1)-INDEX(LE_Curves!$B$5:$B$205,MATCH($B39,LE_Curves!$C$5:$C$205,1)))/(INDEX(LE_Curves!$C$5:$C$205,MATCH($B39,LE_Curves!$C$5:$C$205,1)+1)-INDEX(LE_Curves!$C$5:$C$205,MATCH($B39,LE_Curves!$C$5:$C$205,1))))))</f>
        <v/>
      </c>
      <c r="D39" s="11">
        <f>IF(Inputs!$D$24=0,0,IF($B39&lt;=Inputs!$C$24,0,IF($B39&gt;=INDEX(LE_Curves!$D$5:$D$205,201),INDEX(LE_Curves!$B$5:$B$205,201),INDEX(LE_Curves!$B$5:$B$205,MATCH($B39,LE_Curves!$D$5:$D$205,1))+($B39-INDEX(LE_Curves!$D$5:$D$205,MATCH($B39,LE_Curves!$D$5:$D$205,1)))*(INDEX(LE_Curves!$B$5:$B$205,MATCH($B39,LE_Curves!$D$5:$D$205,1)+1)-INDEX(LE_Curves!$B$5:$B$205,MATCH($B39,LE_Curves!$D$5:$D$205,1)))/(INDEX(LE_Curves!$D$5:$D$205,MATCH($B39,LE_Curves!$D$5:$D$205,1)+1)-INDEX(LE_Curves!$D$5:$D$205,MATCH($B39,LE_Curves!$D$5:$D$205,1))))))</f>
        <v/>
      </c>
      <c r="E39" s="11">
        <f>IF(Inputs!$D$25=0,0,IF($B39&lt;=Inputs!$C$25,0,IF($B39&gt;=INDEX(LE_Curves!$E$5:$E$205,201),INDEX(LE_Curves!$B$5:$B$205,201),INDEX(LE_Curves!$B$5:$B$205,MATCH($B39,LE_Curves!$E$5:$E$205,1))+($B39-INDEX(LE_Curves!$E$5:$E$205,MATCH($B39,LE_Curves!$E$5:$E$205,1)))*(INDEX(LE_Curves!$B$5:$B$205,MATCH($B39,LE_Curves!$E$5:$E$205,1)+1)-INDEX(LE_Curves!$B$5:$B$205,MATCH($B39,LE_Curves!$E$5:$E$205,1)))/(INDEX(LE_Curves!$E$5:$E$205,MATCH($B39,LE_Curves!$E$5:$E$205,1)+1)-INDEX(LE_Curves!$E$5:$E$205,MATCH($B39,LE_Curves!$E$5:$E$205,1))))))</f>
        <v/>
      </c>
      <c r="F39" s="11">
        <f>IF(Inputs!$D$26=0,0,IF($B39&lt;=Inputs!$C$26,0,IF($B39&gt;=INDEX(LE_Curves!$F$5:$F$205,201),INDEX(LE_Curves!$B$5:$B$205,201),INDEX(LE_Curves!$B$5:$B$205,MATCH($B39,LE_Curves!$F$5:$F$205,1))+($B39-INDEX(LE_Curves!$F$5:$F$205,MATCH($B39,LE_Curves!$F$5:$F$205,1)))*(INDEX(LE_Curves!$B$5:$B$205,MATCH($B39,LE_Curves!$F$5:$F$205,1)+1)-INDEX(LE_Curves!$B$5:$B$205,MATCH($B39,LE_Curves!$F$5:$F$205,1)))/(INDEX(LE_Curves!$F$5:$F$205,MATCH($B39,LE_Curves!$F$5:$F$205,1)+1)-INDEX(LE_Curves!$F$5:$F$205,MATCH($B39,LE_Curves!$F$5:$F$205,1))))))</f>
        <v/>
      </c>
      <c r="G39" s="11">
        <f>IF(Inputs!$D$27=0,0,IF($B39&lt;=Inputs!$C$27,0,IF($B39&gt;=INDEX(LE_Curves!$G$5:$G$205,201),INDEX(LE_Curves!$B$5:$B$205,201),INDEX(LE_Curves!$B$5:$B$205,MATCH($B39,LE_Curves!$G$5:$G$205,1))+($B39-INDEX(LE_Curves!$G$5:$G$205,MATCH($B39,LE_Curves!$G$5:$G$205,1)))*(INDEX(LE_Curves!$B$5:$B$205,MATCH($B39,LE_Curves!$G$5:$G$205,1)+1)-INDEX(LE_Curves!$B$5:$B$205,MATCH($B39,LE_Curves!$G$5:$G$205,1)))/(INDEX(LE_Curves!$G$5:$G$205,MATCH($B39,LE_Curves!$G$5:$G$205,1)+1)-INDEX(LE_Curves!$G$5:$G$205,MATCH($B39,LE_Curves!$G$5:$G$205,1))))))</f>
        <v/>
      </c>
      <c r="H39" s="11">
        <f>IF(Inputs!$D$28=0,0,IF($B39&lt;=Inputs!$C$28,0,IF($B39&gt;=INDEX(LE_Curves!$H$5:$H$205,201),INDEX(LE_Curves!$B$5:$B$205,201),INDEX(LE_Curves!$B$5:$B$205,MATCH($B39,LE_Curves!$H$5:$H$205,1))+($B39-INDEX(LE_Curves!$H$5:$H$205,MATCH($B39,LE_Curves!$H$5:$H$205,1)))*(INDEX(LE_Curves!$B$5:$B$205,MATCH($B39,LE_Curves!$H$5:$H$205,1)+1)-INDEX(LE_Curves!$B$5:$B$205,MATCH($B39,LE_Curves!$H$5:$H$205,1)))/(INDEX(LE_Curves!$H$5:$H$205,MATCH($B39,LE_Curves!$H$5:$H$205,1)+1)-INDEX(LE_Curves!$H$5:$H$205,MATCH($B39,LE_Curves!$H$5:$H$205,1))))))</f>
        <v/>
      </c>
      <c r="I39" s="11">
        <f>IF(Inputs!$D$29=0,0,IF($B39&lt;=Inputs!$C$29,0,IF($B39&gt;=INDEX(LE_Curves!$I$5:$I$205,201),INDEX(LE_Curves!$B$5:$B$205,201),INDEX(LE_Curves!$B$5:$B$205,MATCH($B39,LE_Curves!$I$5:$I$205,1))+($B39-INDEX(LE_Curves!$I$5:$I$205,MATCH($B39,LE_Curves!$I$5:$I$205,1)))*(INDEX(LE_Curves!$B$5:$B$205,MATCH($B39,LE_Curves!$I$5:$I$205,1)+1)-INDEX(LE_Curves!$B$5:$B$205,MATCH($B39,LE_Curves!$I$5:$I$205,1)))/(INDEX(LE_Curves!$I$5:$I$205,MATCH($B39,LE_Curves!$I$5:$I$205,1)+1)-INDEX(LE_Curves!$I$5:$I$205,MATCH($B39,LE_Curves!$I$5:$I$205,1))))))</f>
        <v/>
      </c>
      <c r="J39" s="11">
        <f>IF(Inputs!$D$30=0,0,IF($B39&lt;=Inputs!$C$30,0,IF($B39&gt;=INDEX(LE_Curves!$J$5:$J$205,201),INDEX(LE_Curves!$B$5:$B$205,201),INDEX(LE_Curves!$B$5:$B$205,MATCH($B39,LE_Curves!$J$5:$J$205,1))+($B39-INDEX(LE_Curves!$J$5:$J$205,MATCH($B39,LE_Curves!$J$5:$J$205,1)))*(INDEX(LE_Curves!$B$5:$B$205,MATCH($B39,LE_Curves!$J$5:$J$205,1)+1)-INDEX(LE_Curves!$B$5:$B$205,MATCH($B39,LE_Curves!$J$5:$J$205,1)))/(INDEX(LE_Curves!$J$5:$J$205,MATCH($B39,LE_Curves!$J$5:$J$205,1)+1)-INDEX(LE_Curves!$J$5:$J$205,MATCH($B39,LE_Curves!$J$5:$J$205,1))))))</f>
        <v/>
      </c>
      <c r="K39" s="11">
        <f>IF(Inputs!$D$31=0,0,IF($B39&lt;=Inputs!$C$31,0,IF($B39&gt;=INDEX(LE_Curves!$K$5:$K$205,201),INDEX(LE_Curves!$B$5:$B$205,201),INDEX(LE_Curves!$B$5:$B$205,MATCH($B39,LE_Curves!$K$5:$K$205,1))+($B39-INDEX(LE_Curves!$K$5:$K$205,MATCH($B39,LE_Curves!$K$5:$K$205,1)))*(INDEX(LE_Curves!$B$5:$B$205,MATCH($B39,LE_Curves!$K$5:$K$205,1)+1)-INDEX(LE_Curves!$B$5:$B$205,MATCH($B39,LE_Curves!$K$5:$K$205,1)))/(INDEX(LE_Curves!$K$5:$K$205,MATCH($B39,LE_Curves!$K$5:$K$205,1)+1)-INDEX(LE_Curves!$K$5:$K$205,MATCH($B39,LE_Curves!$K$5:$K$205,1))))))</f>
        <v/>
      </c>
      <c r="L39" s="11">
        <f>IF(Inputs!$D$32=0,0,IF($B39&lt;=Inputs!$C$32,0,IF($B39&gt;=INDEX(LE_Curves!$L$5:$L$205,201),INDEX(LE_Curves!$B$5:$B$205,201),INDEX(LE_Curves!$B$5:$B$205,MATCH($B39,LE_Curves!$L$5:$L$205,1))+($B39-INDEX(LE_Curves!$L$5:$L$205,MATCH($B39,LE_Curves!$L$5:$L$205,1)))*(INDEX(LE_Curves!$B$5:$B$205,MATCH($B39,LE_Curves!$L$5:$L$205,1)+1)-INDEX(LE_Curves!$B$5:$B$205,MATCH($B39,LE_Curves!$L$5:$L$205,1)))/(INDEX(LE_Curves!$L$5:$L$205,MATCH($B39,LE_Curves!$L$5:$L$205,1)+1)-INDEX(LE_Curves!$L$5:$L$205,MATCH($B39,LE_Curves!$L$5:$L$205,1))))))</f>
        <v/>
      </c>
      <c r="M39" s="11">
        <f>IF(Inputs!$D$33=0,0,IF($B39&lt;=Inputs!$C$33,0,IF($B39&gt;=INDEX(LE_Curves!$M$5:$M$205,201),INDEX(LE_Curves!$B$5:$B$205,201),INDEX(LE_Curves!$B$5:$B$205,MATCH($B39,LE_Curves!$M$5:$M$205,1))+($B39-INDEX(LE_Curves!$M$5:$M$205,MATCH($B39,LE_Curves!$M$5:$M$205,1)))*(INDEX(LE_Curves!$B$5:$B$205,MATCH($B39,LE_Curves!$M$5:$M$205,1)+1)-INDEX(LE_Curves!$B$5:$B$205,MATCH($B39,LE_Curves!$M$5:$M$205,1)))/(INDEX(LE_Curves!$M$5:$M$205,MATCH($B39,LE_Curves!$M$5:$M$205,1)+1)-INDEX(LE_Curves!$M$5:$M$205,MATCH($B39,LE_Curves!$M$5:$M$205,1))))))</f>
        <v/>
      </c>
      <c r="N39" s="11">
        <f>IF(Inputs!$D$34=0,0,IF($B39&lt;=Inputs!$C$34,0,IF($B39&gt;=INDEX(LE_Curves!$N$5:$N$205,201),INDEX(LE_Curves!$B$5:$B$205,201),INDEX(LE_Curves!$B$5:$B$205,MATCH($B39,LE_Curves!$N$5:$N$205,1))+($B39-INDEX(LE_Curves!$N$5:$N$205,MATCH($B39,LE_Curves!$N$5:$N$205,1)))*(INDEX(LE_Curves!$B$5:$B$205,MATCH($B39,LE_Curves!$N$5:$N$205,1)+1)-INDEX(LE_Curves!$B$5:$B$205,MATCH($B39,LE_Curves!$N$5:$N$205,1)))/(INDEX(LE_Curves!$N$5:$N$205,MATCH($B39,LE_Curves!$N$5:$N$205,1)+1)-INDEX(LE_Curves!$N$5:$N$205,MATCH($B39,LE_Curves!$N$5:$N$205,1))))))</f>
        <v/>
      </c>
      <c r="O39" s="11">
        <f>SUM(C39:N39)</f>
        <v/>
      </c>
      <c r="Q39" s="7" t="n">
        <v>8</v>
      </c>
      <c r="R39" s="23">
        <f>$B$6+($B$7-$B$6)*Q39/200</f>
        <v/>
      </c>
      <c r="S39" s="11">
        <f>IF(Inputs!$D$23=0,0,IF($R39&lt;=Inputs!$C$23,0,IF($R39&gt;=INDEX(LE_Curves!$C$5:$C$205,201),INDEX(LE_Curves!$B$5:$B$205,201),INDEX(LE_Curves!$B$5:$B$205,MATCH($R39,LE_Curves!$C$5:$C$205,1))+($R39-INDEX(LE_Curves!$C$5:$C$205,MATCH($R39,LE_Curves!$C$5:$C$205,1)))*(INDEX(LE_Curves!$B$5:$B$205,MATCH($R39,LE_Curves!$C$5:$C$205,1)+1)-INDEX(LE_Curves!$B$5:$B$205,MATCH($R39,LE_Curves!$C$5:$C$205,1)))/(INDEX(LE_Curves!$C$5:$C$205,MATCH($R39,LE_Curves!$C$5:$C$205,1)+1)-INDEX(LE_Curves!$C$5:$C$205,MATCH($R39,LE_Curves!$C$5:$C$205,1))))))</f>
        <v/>
      </c>
      <c r="T39" s="11">
        <f>IF(Inputs!$D$24=0,0,IF($R39&lt;=Inputs!$C$24,0,IF($R39&gt;=INDEX(LE_Curves!$D$5:$D$205,201),INDEX(LE_Curves!$B$5:$B$205,201),INDEX(LE_Curves!$B$5:$B$205,MATCH($R39,LE_Curves!$D$5:$D$205,1))+($R39-INDEX(LE_Curves!$D$5:$D$205,MATCH($R39,LE_Curves!$D$5:$D$205,1)))*(INDEX(LE_Curves!$B$5:$B$205,MATCH($R39,LE_Curves!$D$5:$D$205,1)+1)-INDEX(LE_Curves!$B$5:$B$205,MATCH($R39,LE_Curves!$D$5:$D$205,1)))/(INDEX(LE_Curves!$D$5:$D$205,MATCH($R39,LE_Curves!$D$5:$D$205,1)+1)-INDEX(LE_Curves!$D$5:$D$205,MATCH($R39,LE_Curves!$D$5:$D$205,1))))))</f>
        <v/>
      </c>
      <c r="U39" s="11">
        <f>IF(Inputs!$D$25=0,0,IF($R39&lt;=Inputs!$C$25,0,IF($R39&gt;=INDEX(LE_Curves!$E$5:$E$205,201),INDEX(LE_Curves!$B$5:$B$205,201),INDEX(LE_Curves!$B$5:$B$205,MATCH($R39,LE_Curves!$E$5:$E$205,1))+($R39-INDEX(LE_Curves!$E$5:$E$205,MATCH($R39,LE_Curves!$E$5:$E$205,1)))*(INDEX(LE_Curves!$B$5:$B$205,MATCH($R39,LE_Curves!$E$5:$E$205,1)+1)-INDEX(LE_Curves!$B$5:$B$205,MATCH($R39,LE_Curves!$E$5:$E$205,1)))/(INDEX(LE_Curves!$E$5:$E$205,MATCH($R39,LE_Curves!$E$5:$E$205,1)+1)-INDEX(LE_Curves!$E$5:$E$205,MATCH($R39,LE_Curves!$E$5:$E$205,1))))))</f>
        <v/>
      </c>
      <c r="V39" s="11">
        <f>IF(Inputs!$D$26=0,0,IF($R39&lt;=Inputs!$C$26,0,IF($R39&gt;=INDEX(LE_Curves!$F$5:$F$205,201),INDEX(LE_Curves!$B$5:$B$205,201),INDEX(LE_Curves!$B$5:$B$205,MATCH($R39,LE_Curves!$F$5:$F$205,1))+($R39-INDEX(LE_Curves!$F$5:$F$205,MATCH($R39,LE_Curves!$F$5:$F$205,1)))*(INDEX(LE_Curves!$B$5:$B$205,MATCH($R39,LE_Curves!$F$5:$F$205,1)+1)-INDEX(LE_Curves!$B$5:$B$205,MATCH($R39,LE_Curves!$F$5:$F$205,1)))/(INDEX(LE_Curves!$F$5:$F$205,MATCH($R39,LE_Curves!$F$5:$F$205,1)+1)-INDEX(LE_Curves!$F$5:$F$205,MATCH($R39,LE_Curves!$F$5:$F$205,1))))))</f>
        <v/>
      </c>
      <c r="W39" s="11">
        <f>IF(Inputs!$D$27=0,0,IF($R39&lt;=Inputs!$C$27,0,IF($R39&gt;=INDEX(LE_Curves!$G$5:$G$205,201),INDEX(LE_Curves!$B$5:$B$205,201),INDEX(LE_Curves!$B$5:$B$205,MATCH($R39,LE_Curves!$G$5:$G$205,1))+($R39-INDEX(LE_Curves!$G$5:$G$205,MATCH($R39,LE_Curves!$G$5:$G$205,1)))*(INDEX(LE_Curves!$B$5:$B$205,MATCH($R39,LE_Curves!$G$5:$G$205,1)+1)-INDEX(LE_Curves!$B$5:$B$205,MATCH($R39,LE_Curves!$G$5:$G$205,1)))/(INDEX(LE_Curves!$G$5:$G$205,MATCH($R39,LE_Curves!$G$5:$G$205,1)+1)-INDEX(LE_Curves!$G$5:$G$205,MATCH($R39,LE_Curves!$G$5:$G$205,1))))))</f>
        <v/>
      </c>
      <c r="X39" s="11">
        <f>IF(Inputs!$D$28=0,0,IF($R39&lt;=Inputs!$C$28,0,IF($R39&gt;=INDEX(LE_Curves!$H$5:$H$205,201),INDEX(LE_Curves!$B$5:$B$205,201),INDEX(LE_Curves!$B$5:$B$205,MATCH($R39,LE_Curves!$H$5:$H$205,1))+($R39-INDEX(LE_Curves!$H$5:$H$205,MATCH($R39,LE_Curves!$H$5:$H$205,1)))*(INDEX(LE_Curves!$B$5:$B$205,MATCH($R39,LE_Curves!$H$5:$H$205,1)+1)-INDEX(LE_Curves!$B$5:$B$205,MATCH($R39,LE_Curves!$H$5:$H$205,1)))/(INDEX(LE_Curves!$H$5:$H$205,MATCH($R39,LE_Curves!$H$5:$H$205,1)+1)-INDEX(LE_Curves!$H$5:$H$205,MATCH($R39,LE_Curves!$H$5:$H$205,1))))))</f>
        <v/>
      </c>
      <c r="Y39" s="11">
        <f>IF(Inputs!$D$29=0,0,IF($R39&lt;=Inputs!$C$29,0,IF($R39&gt;=INDEX(LE_Curves!$I$5:$I$205,201),INDEX(LE_Curves!$B$5:$B$205,201),INDEX(LE_Curves!$B$5:$B$205,MATCH($R39,LE_Curves!$I$5:$I$205,1))+($R39-INDEX(LE_Curves!$I$5:$I$205,MATCH($R39,LE_Curves!$I$5:$I$205,1)))*(INDEX(LE_Curves!$B$5:$B$205,MATCH($R39,LE_Curves!$I$5:$I$205,1)+1)-INDEX(LE_Curves!$B$5:$B$205,MATCH($R39,LE_Curves!$I$5:$I$205,1)))/(INDEX(LE_Curves!$I$5:$I$205,MATCH($R39,LE_Curves!$I$5:$I$205,1)+1)-INDEX(LE_Curves!$I$5:$I$205,MATCH($R39,LE_Curves!$I$5:$I$205,1))))))</f>
        <v/>
      </c>
      <c r="Z39" s="11">
        <f>IF(Inputs!$D$30=0,0,IF($R39&lt;=Inputs!$C$30,0,IF($R39&gt;=INDEX(LE_Curves!$J$5:$J$205,201),INDEX(LE_Curves!$B$5:$B$205,201),INDEX(LE_Curves!$B$5:$B$205,MATCH($R39,LE_Curves!$J$5:$J$205,1))+($R39-INDEX(LE_Curves!$J$5:$J$205,MATCH($R39,LE_Curves!$J$5:$J$205,1)))*(INDEX(LE_Curves!$B$5:$B$205,MATCH($R39,LE_Curves!$J$5:$J$205,1)+1)-INDEX(LE_Curves!$B$5:$B$205,MATCH($R39,LE_Curves!$J$5:$J$205,1)))/(INDEX(LE_Curves!$J$5:$J$205,MATCH($R39,LE_Curves!$J$5:$J$205,1)+1)-INDEX(LE_Curves!$J$5:$J$205,MATCH($R39,LE_Curves!$J$5:$J$205,1))))))</f>
        <v/>
      </c>
      <c r="AA39" s="11">
        <f>IF(Inputs!$D$31=0,0,IF($R39&lt;=Inputs!$C$31,0,IF($R39&gt;=INDEX(LE_Curves!$K$5:$K$205,201),INDEX(LE_Curves!$B$5:$B$205,201),INDEX(LE_Curves!$B$5:$B$205,MATCH($R39,LE_Curves!$K$5:$K$205,1))+($R39-INDEX(LE_Curves!$K$5:$K$205,MATCH($R39,LE_Curves!$K$5:$K$205,1)))*(INDEX(LE_Curves!$B$5:$B$205,MATCH($R39,LE_Curves!$K$5:$K$205,1)+1)-INDEX(LE_Curves!$B$5:$B$205,MATCH($R39,LE_Curves!$K$5:$K$205,1)))/(INDEX(LE_Curves!$K$5:$K$205,MATCH($R39,LE_Curves!$K$5:$K$205,1)+1)-INDEX(LE_Curves!$K$5:$K$205,MATCH($R39,LE_Curves!$K$5:$K$205,1))))))</f>
        <v/>
      </c>
      <c r="AB39" s="11">
        <f>IF(Inputs!$D$32=0,0,IF($R39&lt;=Inputs!$C$32,0,IF($R39&gt;=INDEX(LE_Curves!$L$5:$L$205,201),INDEX(LE_Curves!$B$5:$B$205,201),INDEX(LE_Curves!$B$5:$B$205,MATCH($R39,LE_Curves!$L$5:$L$205,1))+($R39-INDEX(LE_Curves!$L$5:$L$205,MATCH($R39,LE_Curves!$L$5:$L$205,1)))*(INDEX(LE_Curves!$B$5:$B$205,MATCH($R39,LE_Curves!$L$5:$L$205,1)+1)-INDEX(LE_Curves!$B$5:$B$205,MATCH($R39,LE_Curves!$L$5:$L$205,1)))/(INDEX(LE_Curves!$L$5:$L$205,MATCH($R39,LE_Curves!$L$5:$L$205,1)+1)-INDEX(LE_Curves!$L$5:$L$205,MATCH($R39,LE_Curves!$L$5:$L$205,1))))))</f>
        <v/>
      </c>
      <c r="AC39" s="11">
        <f>IF(Inputs!$D$33=0,0,IF($R39&lt;=Inputs!$C$33,0,IF($R39&gt;=INDEX(LE_Curves!$M$5:$M$205,201),INDEX(LE_Curves!$B$5:$B$205,201),INDEX(LE_Curves!$B$5:$B$205,MATCH($R39,LE_Curves!$M$5:$M$205,1))+($R39-INDEX(LE_Curves!$M$5:$M$205,MATCH($R39,LE_Curves!$M$5:$M$205,1)))*(INDEX(LE_Curves!$B$5:$B$205,MATCH($R39,LE_Curves!$M$5:$M$205,1)+1)-INDEX(LE_Curves!$B$5:$B$205,MATCH($R39,LE_Curves!$M$5:$M$205,1)))/(INDEX(LE_Curves!$M$5:$M$205,MATCH($R39,LE_Curves!$M$5:$M$205,1)+1)-INDEX(LE_Curves!$M$5:$M$205,MATCH($R39,LE_Curves!$M$5:$M$205,1))))))</f>
        <v/>
      </c>
      <c r="AD39" s="11">
        <f>IF(Inputs!$D$34=0,0,IF($R39&lt;=Inputs!$C$34,0,IF($R39&gt;=INDEX(LE_Curves!$N$5:$N$205,201),INDEX(LE_Curves!$B$5:$B$205,201),INDEX(LE_Curves!$B$5:$B$205,MATCH($R39,LE_Curves!$N$5:$N$205,1))+($R39-INDEX(LE_Curves!$N$5:$N$205,MATCH($R39,LE_Curves!$N$5:$N$205,1)))*(INDEX(LE_Curves!$B$5:$B$205,MATCH($R39,LE_Curves!$N$5:$N$205,1)+1)-INDEX(LE_Curves!$B$5:$B$205,MATCH($R39,LE_Curves!$N$5:$N$205,1)))/(INDEX(LE_Curves!$N$5:$N$205,MATCH($R39,LE_Curves!$N$5:$N$205,1)+1)-INDEX(LE_Curves!$N$5:$N$205,MATCH($R39,LE_Curves!$N$5:$N$205,1))))))</f>
        <v/>
      </c>
      <c r="AE39" s="37">
        <f>SUM(S39:AD39)</f>
        <v/>
      </c>
    </row>
    <row r="40">
      <c r="A40" s="7" t="n">
        <v>9</v>
      </c>
      <c r="B40" s="37">
        <f>$B$3+($B$4-$B$3)*A40/200</f>
        <v/>
      </c>
      <c r="C40" s="11">
        <f>IF(Inputs!$D$23=0,0,IF($B40&lt;=Inputs!$C$23,0,IF($B40&gt;=INDEX(LE_Curves!$C$5:$C$205,201),INDEX(LE_Curves!$B$5:$B$205,201),INDEX(LE_Curves!$B$5:$B$205,MATCH($B40,LE_Curves!$C$5:$C$205,1))+($B40-INDEX(LE_Curves!$C$5:$C$205,MATCH($B40,LE_Curves!$C$5:$C$205,1)))*(INDEX(LE_Curves!$B$5:$B$205,MATCH($B40,LE_Curves!$C$5:$C$205,1)+1)-INDEX(LE_Curves!$B$5:$B$205,MATCH($B40,LE_Curves!$C$5:$C$205,1)))/(INDEX(LE_Curves!$C$5:$C$205,MATCH($B40,LE_Curves!$C$5:$C$205,1)+1)-INDEX(LE_Curves!$C$5:$C$205,MATCH($B40,LE_Curves!$C$5:$C$205,1))))))</f>
        <v/>
      </c>
      <c r="D40" s="11">
        <f>IF(Inputs!$D$24=0,0,IF($B40&lt;=Inputs!$C$24,0,IF($B40&gt;=INDEX(LE_Curves!$D$5:$D$205,201),INDEX(LE_Curves!$B$5:$B$205,201),INDEX(LE_Curves!$B$5:$B$205,MATCH($B40,LE_Curves!$D$5:$D$205,1))+($B40-INDEX(LE_Curves!$D$5:$D$205,MATCH($B40,LE_Curves!$D$5:$D$205,1)))*(INDEX(LE_Curves!$B$5:$B$205,MATCH($B40,LE_Curves!$D$5:$D$205,1)+1)-INDEX(LE_Curves!$B$5:$B$205,MATCH($B40,LE_Curves!$D$5:$D$205,1)))/(INDEX(LE_Curves!$D$5:$D$205,MATCH($B40,LE_Curves!$D$5:$D$205,1)+1)-INDEX(LE_Curves!$D$5:$D$205,MATCH($B40,LE_Curves!$D$5:$D$205,1))))))</f>
        <v/>
      </c>
      <c r="E40" s="11">
        <f>IF(Inputs!$D$25=0,0,IF($B40&lt;=Inputs!$C$25,0,IF($B40&gt;=INDEX(LE_Curves!$E$5:$E$205,201),INDEX(LE_Curves!$B$5:$B$205,201),INDEX(LE_Curves!$B$5:$B$205,MATCH($B40,LE_Curves!$E$5:$E$205,1))+($B40-INDEX(LE_Curves!$E$5:$E$205,MATCH($B40,LE_Curves!$E$5:$E$205,1)))*(INDEX(LE_Curves!$B$5:$B$205,MATCH($B40,LE_Curves!$E$5:$E$205,1)+1)-INDEX(LE_Curves!$B$5:$B$205,MATCH($B40,LE_Curves!$E$5:$E$205,1)))/(INDEX(LE_Curves!$E$5:$E$205,MATCH($B40,LE_Curves!$E$5:$E$205,1)+1)-INDEX(LE_Curves!$E$5:$E$205,MATCH($B40,LE_Curves!$E$5:$E$205,1))))))</f>
        <v/>
      </c>
      <c r="F40" s="11">
        <f>IF(Inputs!$D$26=0,0,IF($B40&lt;=Inputs!$C$26,0,IF($B40&gt;=INDEX(LE_Curves!$F$5:$F$205,201),INDEX(LE_Curves!$B$5:$B$205,201),INDEX(LE_Curves!$B$5:$B$205,MATCH($B40,LE_Curves!$F$5:$F$205,1))+($B40-INDEX(LE_Curves!$F$5:$F$205,MATCH($B40,LE_Curves!$F$5:$F$205,1)))*(INDEX(LE_Curves!$B$5:$B$205,MATCH($B40,LE_Curves!$F$5:$F$205,1)+1)-INDEX(LE_Curves!$B$5:$B$205,MATCH($B40,LE_Curves!$F$5:$F$205,1)))/(INDEX(LE_Curves!$F$5:$F$205,MATCH($B40,LE_Curves!$F$5:$F$205,1)+1)-INDEX(LE_Curves!$F$5:$F$205,MATCH($B40,LE_Curves!$F$5:$F$205,1))))))</f>
        <v/>
      </c>
      <c r="G40" s="11">
        <f>IF(Inputs!$D$27=0,0,IF($B40&lt;=Inputs!$C$27,0,IF($B40&gt;=INDEX(LE_Curves!$G$5:$G$205,201),INDEX(LE_Curves!$B$5:$B$205,201),INDEX(LE_Curves!$B$5:$B$205,MATCH($B40,LE_Curves!$G$5:$G$205,1))+($B40-INDEX(LE_Curves!$G$5:$G$205,MATCH($B40,LE_Curves!$G$5:$G$205,1)))*(INDEX(LE_Curves!$B$5:$B$205,MATCH($B40,LE_Curves!$G$5:$G$205,1)+1)-INDEX(LE_Curves!$B$5:$B$205,MATCH($B40,LE_Curves!$G$5:$G$205,1)))/(INDEX(LE_Curves!$G$5:$G$205,MATCH($B40,LE_Curves!$G$5:$G$205,1)+1)-INDEX(LE_Curves!$G$5:$G$205,MATCH($B40,LE_Curves!$G$5:$G$205,1))))))</f>
        <v/>
      </c>
      <c r="H40" s="11">
        <f>IF(Inputs!$D$28=0,0,IF($B40&lt;=Inputs!$C$28,0,IF($B40&gt;=INDEX(LE_Curves!$H$5:$H$205,201),INDEX(LE_Curves!$B$5:$B$205,201),INDEX(LE_Curves!$B$5:$B$205,MATCH($B40,LE_Curves!$H$5:$H$205,1))+($B40-INDEX(LE_Curves!$H$5:$H$205,MATCH($B40,LE_Curves!$H$5:$H$205,1)))*(INDEX(LE_Curves!$B$5:$B$205,MATCH($B40,LE_Curves!$H$5:$H$205,1)+1)-INDEX(LE_Curves!$B$5:$B$205,MATCH($B40,LE_Curves!$H$5:$H$205,1)))/(INDEX(LE_Curves!$H$5:$H$205,MATCH($B40,LE_Curves!$H$5:$H$205,1)+1)-INDEX(LE_Curves!$H$5:$H$205,MATCH($B40,LE_Curves!$H$5:$H$205,1))))))</f>
        <v/>
      </c>
      <c r="I40" s="11">
        <f>IF(Inputs!$D$29=0,0,IF($B40&lt;=Inputs!$C$29,0,IF($B40&gt;=INDEX(LE_Curves!$I$5:$I$205,201),INDEX(LE_Curves!$B$5:$B$205,201),INDEX(LE_Curves!$B$5:$B$205,MATCH($B40,LE_Curves!$I$5:$I$205,1))+($B40-INDEX(LE_Curves!$I$5:$I$205,MATCH($B40,LE_Curves!$I$5:$I$205,1)))*(INDEX(LE_Curves!$B$5:$B$205,MATCH($B40,LE_Curves!$I$5:$I$205,1)+1)-INDEX(LE_Curves!$B$5:$B$205,MATCH($B40,LE_Curves!$I$5:$I$205,1)))/(INDEX(LE_Curves!$I$5:$I$205,MATCH($B40,LE_Curves!$I$5:$I$205,1)+1)-INDEX(LE_Curves!$I$5:$I$205,MATCH($B40,LE_Curves!$I$5:$I$205,1))))))</f>
        <v/>
      </c>
      <c r="J40" s="11">
        <f>IF(Inputs!$D$30=0,0,IF($B40&lt;=Inputs!$C$30,0,IF($B40&gt;=INDEX(LE_Curves!$J$5:$J$205,201),INDEX(LE_Curves!$B$5:$B$205,201),INDEX(LE_Curves!$B$5:$B$205,MATCH($B40,LE_Curves!$J$5:$J$205,1))+($B40-INDEX(LE_Curves!$J$5:$J$205,MATCH($B40,LE_Curves!$J$5:$J$205,1)))*(INDEX(LE_Curves!$B$5:$B$205,MATCH($B40,LE_Curves!$J$5:$J$205,1)+1)-INDEX(LE_Curves!$B$5:$B$205,MATCH($B40,LE_Curves!$J$5:$J$205,1)))/(INDEX(LE_Curves!$J$5:$J$205,MATCH($B40,LE_Curves!$J$5:$J$205,1)+1)-INDEX(LE_Curves!$J$5:$J$205,MATCH($B40,LE_Curves!$J$5:$J$205,1))))))</f>
        <v/>
      </c>
      <c r="K40" s="11">
        <f>IF(Inputs!$D$31=0,0,IF($B40&lt;=Inputs!$C$31,0,IF($B40&gt;=INDEX(LE_Curves!$K$5:$K$205,201),INDEX(LE_Curves!$B$5:$B$205,201),INDEX(LE_Curves!$B$5:$B$205,MATCH($B40,LE_Curves!$K$5:$K$205,1))+($B40-INDEX(LE_Curves!$K$5:$K$205,MATCH($B40,LE_Curves!$K$5:$K$205,1)))*(INDEX(LE_Curves!$B$5:$B$205,MATCH($B40,LE_Curves!$K$5:$K$205,1)+1)-INDEX(LE_Curves!$B$5:$B$205,MATCH($B40,LE_Curves!$K$5:$K$205,1)))/(INDEX(LE_Curves!$K$5:$K$205,MATCH($B40,LE_Curves!$K$5:$K$205,1)+1)-INDEX(LE_Curves!$K$5:$K$205,MATCH($B40,LE_Curves!$K$5:$K$205,1))))))</f>
        <v/>
      </c>
      <c r="L40" s="11">
        <f>IF(Inputs!$D$32=0,0,IF($B40&lt;=Inputs!$C$32,0,IF($B40&gt;=INDEX(LE_Curves!$L$5:$L$205,201),INDEX(LE_Curves!$B$5:$B$205,201),INDEX(LE_Curves!$B$5:$B$205,MATCH($B40,LE_Curves!$L$5:$L$205,1))+($B40-INDEX(LE_Curves!$L$5:$L$205,MATCH($B40,LE_Curves!$L$5:$L$205,1)))*(INDEX(LE_Curves!$B$5:$B$205,MATCH($B40,LE_Curves!$L$5:$L$205,1)+1)-INDEX(LE_Curves!$B$5:$B$205,MATCH($B40,LE_Curves!$L$5:$L$205,1)))/(INDEX(LE_Curves!$L$5:$L$205,MATCH($B40,LE_Curves!$L$5:$L$205,1)+1)-INDEX(LE_Curves!$L$5:$L$205,MATCH($B40,LE_Curves!$L$5:$L$205,1))))))</f>
        <v/>
      </c>
      <c r="M40" s="11">
        <f>IF(Inputs!$D$33=0,0,IF($B40&lt;=Inputs!$C$33,0,IF($B40&gt;=INDEX(LE_Curves!$M$5:$M$205,201),INDEX(LE_Curves!$B$5:$B$205,201),INDEX(LE_Curves!$B$5:$B$205,MATCH($B40,LE_Curves!$M$5:$M$205,1))+($B40-INDEX(LE_Curves!$M$5:$M$205,MATCH($B40,LE_Curves!$M$5:$M$205,1)))*(INDEX(LE_Curves!$B$5:$B$205,MATCH($B40,LE_Curves!$M$5:$M$205,1)+1)-INDEX(LE_Curves!$B$5:$B$205,MATCH($B40,LE_Curves!$M$5:$M$205,1)))/(INDEX(LE_Curves!$M$5:$M$205,MATCH($B40,LE_Curves!$M$5:$M$205,1)+1)-INDEX(LE_Curves!$M$5:$M$205,MATCH($B40,LE_Curves!$M$5:$M$205,1))))))</f>
        <v/>
      </c>
      <c r="N40" s="11">
        <f>IF(Inputs!$D$34=0,0,IF($B40&lt;=Inputs!$C$34,0,IF($B40&gt;=INDEX(LE_Curves!$N$5:$N$205,201),INDEX(LE_Curves!$B$5:$B$205,201),INDEX(LE_Curves!$B$5:$B$205,MATCH($B40,LE_Curves!$N$5:$N$205,1))+($B40-INDEX(LE_Curves!$N$5:$N$205,MATCH($B40,LE_Curves!$N$5:$N$205,1)))*(INDEX(LE_Curves!$B$5:$B$205,MATCH($B40,LE_Curves!$N$5:$N$205,1)+1)-INDEX(LE_Curves!$B$5:$B$205,MATCH($B40,LE_Curves!$N$5:$N$205,1)))/(INDEX(LE_Curves!$N$5:$N$205,MATCH($B40,LE_Curves!$N$5:$N$205,1)+1)-INDEX(LE_Curves!$N$5:$N$205,MATCH($B40,LE_Curves!$N$5:$N$205,1))))))</f>
        <v/>
      </c>
      <c r="O40" s="11">
        <f>SUM(C40:N40)</f>
        <v/>
      </c>
      <c r="Q40" s="7" t="n">
        <v>9</v>
      </c>
      <c r="R40" s="23">
        <f>$B$6+($B$7-$B$6)*Q40/200</f>
        <v/>
      </c>
      <c r="S40" s="11">
        <f>IF(Inputs!$D$23=0,0,IF($R40&lt;=Inputs!$C$23,0,IF($R40&gt;=INDEX(LE_Curves!$C$5:$C$205,201),INDEX(LE_Curves!$B$5:$B$205,201),INDEX(LE_Curves!$B$5:$B$205,MATCH($R40,LE_Curves!$C$5:$C$205,1))+($R40-INDEX(LE_Curves!$C$5:$C$205,MATCH($R40,LE_Curves!$C$5:$C$205,1)))*(INDEX(LE_Curves!$B$5:$B$205,MATCH($R40,LE_Curves!$C$5:$C$205,1)+1)-INDEX(LE_Curves!$B$5:$B$205,MATCH($R40,LE_Curves!$C$5:$C$205,1)))/(INDEX(LE_Curves!$C$5:$C$205,MATCH($R40,LE_Curves!$C$5:$C$205,1)+1)-INDEX(LE_Curves!$C$5:$C$205,MATCH($R40,LE_Curves!$C$5:$C$205,1))))))</f>
        <v/>
      </c>
      <c r="T40" s="11">
        <f>IF(Inputs!$D$24=0,0,IF($R40&lt;=Inputs!$C$24,0,IF($R40&gt;=INDEX(LE_Curves!$D$5:$D$205,201),INDEX(LE_Curves!$B$5:$B$205,201),INDEX(LE_Curves!$B$5:$B$205,MATCH($R40,LE_Curves!$D$5:$D$205,1))+($R40-INDEX(LE_Curves!$D$5:$D$205,MATCH($R40,LE_Curves!$D$5:$D$205,1)))*(INDEX(LE_Curves!$B$5:$B$205,MATCH($R40,LE_Curves!$D$5:$D$205,1)+1)-INDEX(LE_Curves!$B$5:$B$205,MATCH($R40,LE_Curves!$D$5:$D$205,1)))/(INDEX(LE_Curves!$D$5:$D$205,MATCH($R40,LE_Curves!$D$5:$D$205,1)+1)-INDEX(LE_Curves!$D$5:$D$205,MATCH($R40,LE_Curves!$D$5:$D$205,1))))))</f>
        <v/>
      </c>
      <c r="U40" s="11">
        <f>IF(Inputs!$D$25=0,0,IF($R40&lt;=Inputs!$C$25,0,IF($R40&gt;=INDEX(LE_Curves!$E$5:$E$205,201),INDEX(LE_Curves!$B$5:$B$205,201),INDEX(LE_Curves!$B$5:$B$205,MATCH($R40,LE_Curves!$E$5:$E$205,1))+($R40-INDEX(LE_Curves!$E$5:$E$205,MATCH($R40,LE_Curves!$E$5:$E$205,1)))*(INDEX(LE_Curves!$B$5:$B$205,MATCH($R40,LE_Curves!$E$5:$E$205,1)+1)-INDEX(LE_Curves!$B$5:$B$205,MATCH($R40,LE_Curves!$E$5:$E$205,1)))/(INDEX(LE_Curves!$E$5:$E$205,MATCH($R40,LE_Curves!$E$5:$E$205,1)+1)-INDEX(LE_Curves!$E$5:$E$205,MATCH($R40,LE_Curves!$E$5:$E$205,1))))))</f>
        <v/>
      </c>
      <c r="V40" s="11">
        <f>IF(Inputs!$D$26=0,0,IF($R40&lt;=Inputs!$C$26,0,IF($R40&gt;=INDEX(LE_Curves!$F$5:$F$205,201),INDEX(LE_Curves!$B$5:$B$205,201),INDEX(LE_Curves!$B$5:$B$205,MATCH($R40,LE_Curves!$F$5:$F$205,1))+($R40-INDEX(LE_Curves!$F$5:$F$205,MATCH($R40,LE_Curves!$F$5:$F$205,1)))*(INDEX(LE_Curves!$B$5:$B$205,MATCH($R40,LE_Curves!$F$5:$F$205,1)+1)-INDEX(LE_Curves!$B$5:$B$205,MATCH($R40,LE_Curves!$F$5:$F$205,1)))/(INDEX(LE_Curves!$F$5:$F$205,MATCH($R40,LE_Curves!$F$5:$F$205,1)+1)-INDEX(LE_Curves!$F$5:$F$205,MATCH($R40,LE_Curves!$F$5:$F$205,1))))))</f>
        <v/>
      </c>
      <c r="W40" s="11">
        <f>IF(Inputs!$D$27=0,0,IF($R40&lt;=Inputs!$C$27,0,IF($R40&gt;=INDEX(LE_Curves!$G$5:$G$205,201),INDEX(LE_Curves!$B$5:$B$205,201),INDEX(LE_Curves!$B$5:$B$205,MATCH($R40,LE_Curves!$G$5:$G$205,1))+($R40-INDEX(LE_Curves!$G$5:$G$205,MATCH($R40,LE_Curves!$G$5:$G$205,1)))*(INDEX(LE_Curves!$B$5:$B$205,MATCH($R40,LE_Curves!$G$5:$G$205,1)+1)-INDEX(LE_Curves!$B$5:$B$205,MATCH($R40,LE_Curves!$G$5:$G$205,1)))/(INDEX(LE_Curves!$G$5:$G$205,MATCH($R40,LE_Curves!$G$5:$G$205,1)+1)-INDEX(LE_Curves!$G$5:$G$205,MATCH($R40,LE_Curves!$G$5:$G$205,1))))))</f>
        <v/>
      </c>
      <c r="X40" s="11">
        <f>IF(Inputs!$D$28=0,0,IF($R40&lt;=Inputs!$C$28,0,IF($R40&gt;=INDEX(LE_Curves!$H$5:$H$205,201),INDEX(LE_Curves!$B$5:$B$205,201),INDEX(LE_Curves!$B$5:$B$205,MATCH($R40,LE_Curves!$H$5:$H$205,1))+($R40-INDEX(LE_Curves!$H$5:$H$205,MATCH($R40,LE_Curves!$H$5:$H$205,1)))*(INDEX(LE_Curves!$B$5:$B$205,MATCH($R40,LE_Curves!$H$5:$H$205,1)+1)-INDEX(LE_Curves!$B$5:$B$205,MATCH($R40,LE_Curves!$H$5:$H$205,1)))/(INDEX(LE_Curves!$H$5:$H$205,MATCH($R40,LE_Curves!$H$5:$H$205,1)+1)-INDEX(LE_Curves!$H$5:$H$205,MATCH($R40,LE_Curves!$H$5:$H$205,1))))))</f>
        <v/>
      </c>
      <c r="Y40" s="11">
        <f>IF(Inputs!$D$29=0,0,IF($R40&lt;=Inputs!$C$29,0,IF($R40&gt;=INDEX(LE_Curves!$I$5:$I$205,201),INDEX(LE_Curves!$B$5:$B$205,201),INDEX(LE_Curves!$B$5:$B$205,MATCH($R40,LE_Curves!$I$5:$I$205,1))+($R40-INDEX(LE_Curves!$I$5:$I$205,MATCH($R40,LE_Curves!$I$5:$I$205,1)))*(INDEX(LE_Curves!$B$5:$B$205,MATCH($R40,LE_Curves!$I$5:$I$205,1)+1)-INDEX(LE_Curves!$B$5:$B$205,MATCH($R40,LE_Curves!$I$5:$I$205,1)))/(INDEX(LE_Curves!$I$5:$I$205,MATCH($R40,LE_Curves!$I$5:$I$205,1)+1)-INDEX(LE_Curves!$I$5:$I$205,MATCH($R40,LE_Curves!$I$5:$I$205,1))))))</f>
        <v/>
      </c>
      <c r="Z40" s="11">
        <f>IF(Inputs!$D$30=0,0,IF($R40&lt;=Inputs!$C$30,0,IF($R40&gt;=INDEX(LE_Curves!$J$5:$J$205,201),INDEX(LE_Curves!$B$5:$B$205,201),INDEX(LE_Curves!$B$5:$B$205,MATCH($R40,LE_Curves!$J$5:$J$205,1))+($R40-INDEX(LE_Curves!$J$5:$J$205,MATCH($R40,LE_Curves!$J$5:$J$205,1)))*(INDEX(LE_Curves!$B$5:$B$205,MATCH($R40,LE_Curves!$J$5:$J$205,1)+1)-INDEX(LE_Curves!$B$5:$B$205,MATCH($R40,LE_Curves!$J$5:$J$205,1)))/(INDEX(LE_Curves!$J$5:$J$205,MATCH($R40,LE_Curves!$J$5:$J$205,1)+1)-INDEX(LE_Curves!$J$5:$J$205,MATCH($R40,LE_Curves!$J$5:$J$205,1))))))</f>
        <v/>
      </c>
      <c r="AA40" s="11">
        <f>IF(Inputs!$D$31=0,0,IF($R40&lt;=Inputs!$C$31,0,IF($R40&gt;=INDEX(LE_Curves!$K$5:$K$205,201),INDEX(LE_Curves!$B$5:$B$205,201),INDEX(LE_Curves!$B$5:$B$205,MATCH($R40,LE_Curves!$K$5:$K$205,1))+($R40-INDEX(LE_Curves!$K$5:$K$205,MATCH($R40,LE_Curves!$K$5:$K$205,1)))*(INDEX(LE_Curves!$B$5:$B$205,MATCH($R40,LE_Curves!$K$5:$K$205,1)+1)-INDEX(LE_Curves!$B$5:$B$205,MATCH($R40,LE_Curves!$K$5:$K$205,1)))/(INDEX(LE_Curves!$K$5:$K$205,MATCH($R40,LE_Curves!$K$5:$K$205,1)+1)-INDEX(LE_Curves!$K$5:$K$205,MATCH($R40,LE_Curves!$K$5:$K$205,1))))))</f>
        <v/>
      </c>
      <c r="AB40" s="11">
        <f>IF(Inputs!$D$32=0,0,IF($R40&lt;=Inputs!$C$32,0,IF($R40&gt;=INDEX(LE_Curves!$L$5:$L$205,201),INDEX(LE_Curves!$B$5:$B$205,201),INDEX(LE_Curves!$B$5:$B$205,MATCH($R40,LE_Curves!$L$5:$L$205,1))+($R40-INDEX(LE_Curves!$L$5:$L$205,MATCH($R40,LE_Curves!$L$5:$L$205,1)))*(INDEX(LE_Curves!$B$5:$B$205,MATCH($R40,LE_Curves!$L$5:$L$205,1)+1)-INDEX(LE_Curves!$B$5:$B$205,MATCH($R40,LE_Curves!$L$5:$L$205,1)))/(INDEX(LE_Curves!$L$5:$L$205,MATCH($R40,LE_Curves!$L$5:$L$205,1)+1)-INDEX(LE_Curves!$L$5:$L$205,MATCH($R40,LE_Curves!$L$5:$L$205,1))))))</f>
        <v/>
      </c>
      <c r="AC40" s="11">
        <f>IF(Inputs!$D$33=0,0,IF($R40&lt;=Inputs!$C$33,0,IF($R40&gt;=INDEX(LE_Curves!$M$5:$M$205,201),INDEX(LE_Curves!$B$5:$B$205,201),INDEX(LE_Curves!$B$5:$B$205,MATCH($R40,LE_Curves!$M$5:$M$205,1))+($R40-INDEX(LE_Curves!$M$5:$M$205,MATCH($R40,LE_Curves!$M$5:$M$205,1)))*(INDEX(LE_Curves!$B$5:$B$205,MATCH($R40,LE_Curves!$M$5:$M$205,1)+1)-INDEX(LE_Curves!$B$5:$B$205,MATCH($R40,LE_Curves!$M$5:$M$205,1)))/(INDEX(LE_Curves!$M$5:$M$205,MATCH($R40,LE_Curves!$M$5:$M$205,1)+1)-INDEX(LE_Curves!$M$5:$M$205,MATCH($R40,LE_Curves!$M$5:$M$205,1))))))</f>
        <v/>
      </c>
      <c r="AD40" s="11">
        <f>IF(Inputs!$D$34=0,0,IF($R40&lt;=Inputs!$C$34,0,IF($R40&gt;=INDEX(LE_Curves!$N$5:$N$205,201),INDEX(LE_Curves!$B$5:$B$205,201),INDEX(LE_Curves!$B$5:$B$205,MATCH($R40,LE_Curves!$N$5:$N$205,1))+($R40-INDEX(LE_Curves!$N$5:$N$205,MATCH($R40,LE_Curves!$N$5:$N$205,1)))*(INDEX(LE_Curves!$B$5:$B$205,MATCH($R40,LE_Curves!$N$5:$N$205,1)+1)-INDEX(LE_Curves!$B$5:$B$205,MATCH($R40,LE_Curves!$N$5:$N$205,1)))/(INDEX(LE_Curves!$N$5:$N$205,MATCH($R40,LE_Curves!$N$5:$N$205,1)+1)-INDEX(LE_Curves!$N$5:$N$205,MATCH($R40,LE_Curves!$N$5:$N$205,1))))))</f>
        <v/>
      </c>
      <c r="AE40" s="37">
        <f>SUM(S40:AD40)</f>
        <v/>
      </c>
    </row>
    <row r="41">
      <c r="A41" s="7" t="n">
        <v>10</v>
      </c>
      <c r="B41" s="37">
        <f>$B$3+($B$4-$B$3)*A41/200</f>
        <v/>
      </c>
      <c r="C41" s="11">
        <f>IF(Inputs!$D$23=0,0,IF($B41&lt;=Inputs!$C$23,0,IF($B41&gt;=INDEX(LE_Curves!$C$5:$C$205,201),INDEX(LE_Curves!$B$5:$B$205,201),INDEX(LE_Curves!$B$5:$B$205,MATCH($B41,LE_Curves!$C$5:$C$205,1))+($B41-INDEX(LE_Curves!$C$5:$C$205,MATCH($B41,LE_Curves!$C$5:$C$205,1)))*(INDEX(LE_Curves!$B$5:$B$205,MATCH($B41,LE_Curves!$C$5:$C$205,1)+1)-INDEX(LE_Curves!$B$5:$B$205,MATCH($B41,LE_Curves!$C$5:$C$205,1)))/(INDEX(LE_Curves!$C$5:$C$205,MATCH($B41,LE_Curves!$C$5:$C$205,1)+1)-INDEX(LE_Curves!$C$5:$C$205,MATCH($B41,LE_Curves!$C$5:$C$205,1))))))</f>
        <v/>
      </c>
      <c r="D41" s="11">
        <f>IF(Inputs!$D$24=0,0,IF($B41&lt;=Inputs!$C$24,0,IF($B41&gt;=INDEX(LE_Curves!$D$5:$D$205,201),INDEX(LE_Curves!$B$5:$B$205,201),INDEX(LE_Curves!$B$5:$B$205,MATCH($B41,LE_Curves!$D$5:$D$205,1))+($B41-INDEX(LE_Curves!$D$5:$D$205,MATCH($B41,LE_Curves!$D$5:$D$205,1)))*(INDEX(LE_Curves!$B$5:$B$205,MATCH($B41,LE_Curves!$D$5:$D$205,1)+1)-INDEX(LE_Curves!$B$5:$B$205,MATCH($B41,LE_Curves!$D$5:$D$205,1)))/(INDEX(LE_Curves!$D$5:$D$205,MATCH($B41,LE_Curves!$D$5:$D$205,1)+1)-INDEX(LE_Curves!$D$5:$D$205,MATCH($B41,LE_Curves!$D$5:$D$205,1))))))</f>
        <v/>
      </c>
      <c r="E41" s="11">
        <f>IF(Inputs!$D$25=0,0,IF($B41&lt;=Inputs!$C$25,0,IF($B41&gt;=INDEX(LE_Curves!$E$5:$E$205,201),INDEX(LE_Curves!$B$5:$B$205,201),INDEX(LE_Curves!$B$5:$B$205,MATCH($B41,LE_Curves!$E$5:$E$205,1))+($B41-INDEX(LE_Curves!$E$5:$E$205,MATCH($B41,LE_Curves!$E$5:$E$205,1)))*(INDEX(LE_Curves!$B$5:$B$205,MATCH($B41,LE_Curves!$E$5:$E$205,1)+1)-INDEX(LE_Curves!$B$5:$B$205,MATCH($B41,LE_Curves!$E$5:$E$205,1)))/(INDEX(LE_Curves!$E$5:$E$205,MATCH($B41,LE_Curves!$E$5:$E$205,1)+1)-INDEX(LE_Curves!$E$5:$E$205,MATCH($B41,LE_Curves!$E$5:$E$205,1))))))</f>
        <v/>
      </c>
      <c r="F41" s="11">
        <f>IF(Inputs!$D$26=0,0,IF($B41&lt;=Inputs!$C$26,0,IF($B41&gt;=INDEX(LE_Curves!$F$5:$F$205,201),INDEX(LE_Curves!$B$5:$B$205,201),INDEX(LE_Curves!$B$5:$B$205,MATCH($B41,LE_Curves!$F$5:$F$205,1))+($B41-INDEX(LE_Curves!$F$5:$F$205,MATCH($B41,LE_Curves!$F$5:$F$205,1)))*(INDEX(LE_Curves!$B$5:$B$205,MATCH($B41,LE_Curves!$F$5:$F$205,1)+1)-INDEX(LE_Curves!$B$5:$B$205,MATCH($B41,LE_Curves!$F$5:$F$205,1)))/(INDEX(LE_Curves!$F$5:$F$205,MATCH($B41,LE_Curves!$F$5:$F$205,1)+1)-INDEX(LE_Curves!$F$5:$F$205,MATCH($B41,LE_Curves!$F$5:$F$205,1))))))</f>
        <v/>
      </c>
      <c r="G41" s="11">
        <f>IF(Inputs!$D$27=0,0,IF($B41&lt;=Inputs!$C$27,0,IF($B41&gt;=INDEX(LE_Curves!$G$5:$G$205,201),INDEX(LE_Curves!$B$5:$B$205,201),INDEX(LE_Curves!$B$5:$B$205,MATCH($B41,LE_Curves!$G$5:$G$205,1))+($B41-INDEX(LE_Curves!$G$5:$G$205,MATCH($B41,LE_Curves!$G$5:$G$205,1)))*(INDEX(LE_Curves!$B$5:$B$205,MATCH($B41,LE_Curves!$G$5:$G$205,1)+1)-INDEX(LE_Curves!$B$5:$B$205,MATCH($B41,LE_Curves!$G$5:$G$205,1)))/(INDEX(LE_Curves!$G$5:$G$205,MATCH($B41,LE_Curves!$G$5:$G$205,1)+1)-INDEX(LE_Curves!$G$5:$G$205,MATCH($B41,LE_Curves!$G$5:$G$205,1))))))</f>
        <v/>
      </c>
      <c r="H41" s="11">
        <f>IF(Inputs!$D$28=0,0,IF($B41&lt;=Inputs!$C$28,0,IF($B41&gt;=INDEX(LE_Curves!$H$5:$H$205,201),INDEX(LE_Curves!$B$5:$B$205,201),INDEX(LE_Curves!$B$5:$B$205,MATCH($B41,LE_Curves!$H$5:$H$205,1))+($B41-INDEX(LE_Curves!$H$5:$H$205,MATCH($B41,LE_Curves!$H$5:$H$205,1)))*(INDEX(LE_Curves!$B$5:$B$205,MATCH($B41,LE_Curves!$H$5:$H$205,1)+1)-INDEX(LE_Curves!$B$5:$B$205,MATCH($B41,LE_Curves!$H$5:$H$205,1)))/(INDEX(LE_Curves!$H$5:$H$205,MATCH($B41,LE_Curves!$H$5:$H$205,1)+1)-INDEX(LE_Curves!$H$5:$H$205,MATCH($B41,LE_Curves!$H$5:$H$205,1))))))</f>
        <v/>
      </c>
      <c r="I41" s="11">
        <f>IF(Inputs!$D$29=0,0,IF($B41&lt;=Inputs!$C$29,0,IF($B41&gt;=INDEX(LE_Curves!$I$5:$I$205,201),INDEX(LE_Curves!$B$5:$B$205,201),INDEX(LE_Curves!$B$5:$B$205,MATCH($B41,LE_Curves!$I$5:$I$205,1))+($B41-INDEX(LE_Curves!$I$5:$I$205,MATCH($B41,LE_Curves!$I$5:$I$205,1)))*(INDEX(LE_Curves!$B$5:$B$205,MATCH($B41,LE_Curves!$I$5:$I$205,1)+1)-INDEX(LE_Curves!$B$5:$B$205,MATCH($B41,LE_Curves!$I$5:$I$205,1)))/(INDEX(LE_Curves!$I$5:$I$205,MATCH($B41,LE_Curves!$I$5:$I$205,1)+1)-INDEX(LE_Curves!$I$5:$I$205,MATCH($B41,LE_Curves!$I$5:$I$205,1))))))</f>
        <v/>
      </c>
      <c r="J41" s="11">
        <f>IF(Inputs!$D$30=0,0,IF($B41&lt;=Inputs!$C$30,0,IF($B41&gt;=INDEX(LE_Curves!$J$5:$J$205,201),INDEX(LE_Curves!$B$5:$B$205,201),INDEX(LE_Curves!$B$5:$B$205,MATCH($B41,LE_Curves!$J$5:$J$205,1))+($B41-INDEX(LE_Curves!$J$5:$J$205,MATCH($B41,LE_Curves!$J$5:$J$205,1)))*(INDEX(LE_Curves!$B$5:$B$205,MATCH($B41,LE_Curves!$J$5:$J$205,1)+1)-INDEX(LE_Curves!$B$5:$B$205,MATCH($B41,LE_Curves!$J$5:$J$205,1)))/(INDEX(LE_Curves!$J$5:$J$205,MATCH($B41,LE_Curves!$J$5:$J$205,1)+1)-INDEX(LE_Curves!$J$5:$J$205,MATCH($B41,LE_Curves!$J$5:$J$205,1))))))</f>
        <v/>
      </c>
      <c r="K41" s="11">
        <f>IF(Inputs!$D$31=0,0,IF($B41&lt;=Inputs!$C$31,0,IF($B41&gt;=INDEX(LE_Curves!$K$5:$K$205,201),INDEX(LE_Curves!$B$5:$B$205,201),INDEX(LE_Curves!$B$5:$B$205,MATCH($B41,LE_Curves!$K$5:$K$205,1))+($B41-INDEX(LE_Curves!$K$5:$K$205,MATCH($B41,LE_Curves!$K$5:$K$205,1)))*(INDEX(LE_Curves!$B$5:$B$205,MATCH($B41,LE_Curves!$K$5:$K$205,1)+1)-INDEX(LE_Curves!$B$5:$B$205,MATCH($B41,LE_Curves!$K$5:$K$205,1)))/(INDEX(LE_Curves!$K$5:$K$205,MATCH($B41,LE_Curves!$K$5:$K$205,1)+1)-INDEX(LE_Curves!$K$5:$K$205,MATCH($B41,LE_Curves!$K$5:$K$205,1))))))</f>
        <v/>
      </c>
      <c r="L41" s="11">
        <f>IF(Inputs!$D$32=0,0,IF($B41&lt;=Inputs!$C$32,0,IF($B41&gt;=INDEX(LE_Curves!$L$5:$L$205,201),INDEX(LE_Curves!$B$5:$B$205,201),INDEX(LE_Curves!$B$5:$B$205,MATCH($B41,LE_Curves!$L$5:$L$205,1))+($B41-INDEX(LE_Curves!$L$5:$L$205,MATCH($B41,LE_Curves!$L$5:$L$205,1)))*(INDEX(LE_Curves!$B$5:$B$205,MATCH($B41,LE_Curves!$L$5:$L$205,1)+1)-INDEX(LE_Curves!$B$5:$B$205,MATCH($B41,LE_Curves!$L$5:$L$205,1)))/(INDEX(LE_Curves!$L$5:$L$205,MATCH($B41,LE_Curves!$L$5:$L$205,1)+1)-INDEX(LE_Curves!$L$5:$L$205,MATCH($B41,LE_Curves!$L$5:$L$205,1))))))</f>
        <v/>
      </c>
      <c r="M41" s="11">
        <f>IF(Inputs!$D$33=0,0,IF($B41&lt;=Inputs!$C$33,0,IF($B41&gt;=INDEX(LE_Curves!$M$5:$M$205,201),INDEX(LE_Curves!$B$5:$B$205,201),INDEX(LE_Curves!$B$5:$B$205,MATCH($B41,LE_Curves!$M$5:$M$205,1))+($B41-INDEX(LE_Curves!$M$5:$M$205,MATCH($B41,LE_Curves!$M$5:$M$205,1)))*(INDEX(LE_Curves!$B$5:$B$205,MATCH($B41,LE_Curves!$M$5:$M$205,1)+1)-INDEX(LE_Curves!$B$5:$B$205,MATCH($B41,LE_Curves!$M$5:$M$205,1)))/(INDEX(LE_Curves!$M$5:$M$205,MATCH($B41,LE_Curves!$M$5:$M$205,1)+1)-INDEX(LE_Curves!$M$5:$M$205,MATCH($B41,LE_Curves!$M$5:$M$205,1))))))</f>
        <v/>
      </c>
      <c r="N41" s="11">
        <f>IF(Inputs!$D$34=0,0,IF($B41&lt;=Inputs!$C$34,0,IF($B41&gt;=INDEX(LE_Curves!$N$5:$N$205,201),INDEX(LE_Curves!$B$5:$B$205,201),INDEX(LE_Curves!$B$5:$B$205,MATCH($B41,LE_Curves!$N$5:$N$205,1))+($B41-INDEX(LE_Curves!$N$5:$N$205,MATCH($B41,LE_Curves!$N$5:$N$205,1)))*(INDEX(LE_Curves!$B$5:$B$205,MATCH($B41,LE_Curves!$N$5:$N$205,1)+1)-INDEX(LE_Curves!$B$5:$B$205,MATCH($B41,LE_Curves!$N$5:$N$205,1)))/(INDEX(LE_Curves!$N$5:$N$205,MATCH($B41,LE_Curves!$N$5:$N$205,1)+1)-INDEX(LE_Curves!$N$5:$N$205,MATCH($B41,LE_Curves!$N$5:$N$205,1))))))</f>
        <v/>
      </c>
      <c r="O41" s="11">
        <f>SUM(C41:N41)</f>
        <v/>
      </c>
      <c r="Q41" s="7" t="n">
        <v>10</v>
      </c>
      <c r="R41" s="23">
        <f>$B$6+($B$7-$B$6)*Q41/200</f>
        <v/>
      </c>
      <c r="S41" s="11">
        <f>IF(Inputs!$D$23=0,0,IF($R41&lt;=Inputs!$C$23,0,IF($R41&gt;=INDEX(LE_Curves!$C$5:$C$205,201),INDEX(LE_Curves!$B$5:$B$205,201),INDEX(LE_Curves!$B$5:$B$205,MATCH($R41,LE_Curves!$C$5:$C$205,1))+($R41-INDEX(LE_Curves!$C$5:$C$205,MATCH($R41,LE_Curves!$C$5:$C$205,1)))*(INDEX(LE_Curves!$B$5:$B$205,MATCH($R41,LE_Curves!$C$5:$C$205,1)+1)-INDEX(LE_Curves!$B$5:$B$205,MATCH($R41,LE_Curves!$C$5:$C$205,1)))/(INDEX(LE_Curves!$C$5:$C$205,MATCH($R41,LE_Curves!$C$5:$C$205,1)+1)-INDEX(LE_Curves!$C$5:$C$205,MATCH($R41,LE_Curves!$C$5:$C$205,1))))))</f>
        <v/>
      </c>
      <c r="T41" s="11">
        <f>IF(Inputs!$D$24=0,0,IF($R41&lt;=Inputs!$C$24,0,IF($R41&gt;=INDEX(LE_Curves!$D$5:$D$205,201),INDEX(LE_Curves!$B$5:$B$205,201),INDEX(LE_Curves!$B$5:$B$205,MATCH($R41,LE_Curves!$D$5:$D$205,1))+($R41-INDEX(LE_Curves!$D$5:$D$205,MATCH($R41,LE_Curves!$D$5:$D$205,1)))*(INDEX(LE_Curves!$B$5:$B$205,MATCH($R41,LE_Curves!$D$5:$D$205,1)+1)-INDEX(LE_Curves!$B$5:$B$205,MATCH($R41,LE_Curves!$D$5:$D$205,1)))/(INDEX(LE_Curves!$D$5:$D$205,MATCH($R41,LE_Curves!$D$5:$D$205,1)+1)-INDEX(LE_Curves!$D$5:$D$205,MATCH($R41,LE_Curves!$D$5:$D$205,1))))))</f>
        <v/>
      </c>
      <c r="U41" s="11">
        <f>IF(Inputs!$D$25=0,0,IF($R41&lt;=Inputs!$C$25,0,IF($R41&gt;=INDEX(LE_Curves!$E$5:$E$205,201),INDEX(LE_Curves!$B$5:$B$205,201),INDEX(LE_Curves!$B$5:$B$205,MATCH($R41,LE_Curves!$E$5:$E$205,1))+($R41-INDEX(LE_Curves!$E$5:$E$205,MATCH($R41,LE_Curves!$E$5:$E$205,1)))*(INDEX(LE_Curves!$B$5:$B$205,MATCH($R41,LE_Curves!$E$5:$E$205,1)+1)-INDEX(LE_Curves!$B$5:$B$205,MATCH($R41,LE_Curves!$E$5:$E$205,1)))/(INDEX(LE_Curves!$E$5:$E$205,MATCH($R41,LE_Curves!$E$5:$E$205,1)+1)-INDEX(LE_Curves!$E$5:$E$205,MATCH($R41,LE_Curves!$E$5:$E$205,1))))))</f>
        <v/>
      </c>
      <c r="V41" s="11">
        <f>IF(Inputs!$D$26=0,0,IF($R41&lt;=Inputs!$C$26,0,IF($R41&gt;=INDEX(LE_Curves!$F$5:$F$205,201),INDEX(LE_Curves!$B$5:$B$205,201),INDEX(LE_Curves!$B$5:$B$205,MATCH($R41,LE_Curves!$F$5:$F$205,1))+($R41-INDEX(LE_Curves!$F$5:$F$205,MATCH($R41,LE_Curves!$F$5:$F$205,1)))*(INDEX(LE_Curves!$B$5:$B$205,MATCH($R41,LE_Curves!$F$5:$F$205,1)+1)-INDEX(LE_Curves!$B$5:$B$205,MATCH($R41,LE_Curves!$F$5:$F$205,1)))/(INDEX(LE_Curves!$F$5:$F$205,MATCH($R41,LE_Curves!$F$5:$F$205,1)+1)-INDEX(LE_Curves!$F$5:$F$205,MATCH($R41,LE_Curves!$F$5:$F$205,1))))))</f>
        <v/>
      </c>
      <c r="W41" s="11">
        <f>IF(Inputs!$D$27=0,0,IF($R41&lt;=Inputs!$C$27,0,IF($R41&gt;=INDEX(LE_Curves!$G$5:$G$205,201),INDEX(LE_Curves!$B$5:$B$205,201),INDEX(LE_Curves!$B$5:$B$205,MATCH($R41,LE_Curves!$G$5:$G$205,1))+($R41-INDEX(LE_Curves!$G$5:$G$205,MATCH($R41,LE_Curves!$G$5:$G$205,1)))*(INDEX(LE_Curves!$B$5:$B$205,MATCH($R41,LE_Curves!$G$5:$G$205,1)+1)-INDEX(LE_Curves!$B$5:$B$205,MATCH($R41,LE_Curves!$G$5:$G$205,1)))/(INDEX(LE_Curves!$G$5:$G$205,MATCH($R41,LE_Curves!$G$5:$G$205,1)+1)-INDEX(LE_Curves!$G$5:$G$205,MATCH($R41,LE_Curves!$G$5:$G$205,1))))))</f>
        <v/>
      </c>
      <c r="X41" s="11">
        <f>IF(Inputs!$D$28=0,0,IF($R41&lt;=Inputs!$C$28,0,IF($R41&gt;=INDEX(LE_Curves!$H$5:$H$205,201),INDEX(LE_Curves!$B$5:$B$205,201),INDEX(LE_Curves!$B$5:$B$205,MATCH($R41,LE_Curves!$H$5:$H$205,1))+($R41-INDEX(LE_Curves!$H$5:$H$205,MATCH($R41,LE_Curves!$H$5:$H$205,1)))*(INDEX(LE_Curves!$B$5:$B$205,MATCH($R41,LE_Curves!$H$5:$H$205,1)+1)-INDEX(LE_Curves!$B$5:$B$205,MATCH($R41,LE_Curves!$H$5:$H$205,1)))/(INDEX(LE_Curves!$H$5:$H$205,MATCH($R41,LE_Curves!$H$5:$H$205,1)+1)-INDEX(LE_Curves!$H$5:$H$205,MATCH($R41,LE_Curves!$H$5:$H$205,1))))))</f>
        <v/>
      </c>
      <c r="Y41" s="11">
        <f>IF(Inputs!$D$29=0,0,IF($R41&lt;=Inputs!$C$29,0,IF($R41&gt;=INDEX(LE_Curves!$I$5:$I$205,201),INDEX(LE_Curves!$B$5:$B$205,201),INDEX(LE_Curves!$B$5:$B$205,MATCH($R41,LE_Curves!$I$5:$I$205,1))+($R41-INDEX(LE_Curves!$I$5:$I$205,MATCH($R41,LE_Curves!$I$5:$I$205,1)))*(INDEX(LE_Curves!$B$5:$B$205,MATCH($R41,LE_Curves!$I$5:$I$205,1)+1)-INDEX(LE_Curves!$B$5:$B$205,MATCH($R41,LE_Curves!$I$5:$I$205,1)))/(INDEX(LE_Curves!$I$5:$I$205,MATCH($R41,LE_Curves!$I$5:$I$205,1)+1)-INDEX(LE_Curves!$I$5:$I$205,MATCH($R41,LE_Curves!$I$5:$I$205,1))))))</f>
        <v/>
      </c>
      <c r="Z41" s="11">
        <f>IF(Inputs!$D$30=0,0,IF($R41&lt;=Inputs!$C$30,0,IF($R41&gt;=INDEX(LE_Curves!$J$5:$J$205,201),INDEX(LE_Curves!$B$5:$B$205,201),INDEX(LE_Curves!$B$5:$B$205,MATCH($R41,LE_Curves!$J$5:$J$205,1))+($R41-INDEX(LE_Curves!$J$5:$J$205,MATCH($R41,LE_Curves!$J$5:$J$205,1)))*(INDEX(LE_Curves!$B$5:$B$205,MATCH($R41,LE_Curves!$J$5:$J$205,1)+1)-INDEX(LE_Curves!$B$5:$B$205,MATCH($R41,LE_Curves!$J$5:$J$205,1)))/(INDEX(LE_Curves!$J$5:$J$205,MATCH($R41,LE_Curves!$J$5:$J$205,1)+1)-INDEX(LE_Curves!$J$5:$J$205,MATCH($R41,LE_Curves!$J$5:$J$205,1))))))</f>
        <v/>
      </c>
      <c r="AA41" s="11">
        <f>IF(Inputs!$D$31=0,0,IF($R41&lt;=Inputs!$C$31,0,IF($R41&gt;=INDEX(LE_Curves!$K$5:$K$205,201),INDEX(LE_Curves!$B$5:$B$205,201),INDEX(LE_Curves!$B$5:$B$205,MATCH($R41,LE_Curves!$K$5:$K$205,1))+($R41-INDEX(LE_Curves!$K$5:$K$205,MATCH($R41,LE_Curves!$K$5:$K$205,1)))*(INDEX(LE_Curves!$B$5:$B$205,MATCH($R41,LE_Curves!$K$5:$K$205,1)+1)-INDEX(LE_Curves!$B$5:$B$205,MATCH($R41,LE_Curves!$K$5:$K$205,1)))/(INDEX(LE_Curves!$K$5:$K$205,MATCH($R41,LE_Curves!$K$5:$K$205,1)+1)-INDEX(LE_Curves!$K$5:$K$205,MATCH($R41,LE_Curves!$K$5:$K$205,1))))))</f>
        <v/>
      </c>
      <c r="AB41" s="11">
        <f>IF(Inputs!$D$32=0,0,IF($R41&lt;=Inputs!$C$32,0,IF($R41&gt;=INDEX(LE_Curves!$L$5:$L$205,201),INDEX(LE_Curves!$B$5:$B$205,201),INDEX(LE_Curves!$B$5:$B$205,MATCH($R41,LE_Curves!$L$5:$L$205,1))+($R41-INDEX(LE_Curves!$L$5:$L$205,MATCH($R41,LE_Curves!$L$5:$L$205,1)))*(INDEX(LE_Curves!$B$5:$B$205,MATCH($R41,LE_Curves!$L$5:$L$205,1)+1)-INDEX(LE_Curves!$B$5:$B$205,MATCH($R41,LE_Curves!$L$5:$L$205,1)))/(INDEX(LE_Curves!$L$5:$L$205,MATCH($R41,LE_Curves!$L$5:$L$205,1)+1)-INDEX(LE_Curves!$L$5:$L$205,MATCH($R41,LE_Curves!$L$5:$L$205,1))))))</f>
        <v/>
      </c>
      <c r="AC41" s="11">
        <f>IF(Inputs!$D$33=0,0,IF($R41&lt;=Inputs!$C$33,0,IF($R41&gt;=INDEX(LE_Curves!$M$5:$M$205,201),INDEX(LE_Curves!$B$5:$B$205,201),INDEX(LE_Curves!$B$5:$B$205,MATCH($R41,LE_Curves!$M$5:$M$205,1))+($R41-INDEX(LE_Curves!$M$5:$M$205,MATCH($R41,LE_Curves!$M$5:$M$205,1)))*(INDEX(LE_Curves!$B$5:$B$205,MATCH($R41,LE_Curves!$M$5:$M$205,1)+1)-INDEX(LE_Curves!$B$5:$B$205,MATCH($R41,LE_Curves!$M$5:$M$205,1)))/(INDEX(LE_Curves!$M$5:$M$205,MATCH($R41,LE_Curves!$M$5:$M$205,1)+1)-INDEX(LE_Curves!$M$5:$M$205,MATCH($R41,LE_Curves!$M$5:$M$205,1))))))</f>
        <v/>
      </c>
      <c r="AD41" s="11">
        <f>IF(Inputs!$D$34=0,0,IF($R41&lt;=Inputs!$C$34,0,IF($R41&gt;=INDEX(LE_Curves!$N$5:$N$205,201),INDEX(LE_Curves!$B$5:$B$205,201),INDEX(LE_Curves!$B$5:$B$205,MATCH($R41,LE_Curves!$N$5:$N$205,1))+($R41-INDEX(LE_Curves!$N$5:$N$205,MATCH($R41,LE_Curves!$N$5:$N$205,1)))*(INDEX(LE_Curves!$B$5:$B$205,MATCH($R41,LE_Curves!$N$5:$N$205,1)+1)-INDEX(LE_Curves!$B$5:$B$205,MATCH($R41,LE_Curves!$N$5:$N$205,1)))/(INDEX(LE_Curves!$N$5:$N$205,MATCH($R41,LE_Curves!$N$5:$N$205,1)+1)-INDEX(LE_Curves!$N$5:$N$205,MATCH($R41,LE_Curves!$N$5:$N$205,1))))))</f>
        <v/>
      </c>
      <c r="AE41" s="37">
        <f>SUM(S41:AD41)</f>
        <v/>
      </c>
    </row>
    <row r="42">
      <c r="A42" s="7" t="n">
        <v>11</v>
      </c>
      <c r="B42" s="37">
        <f>$B$3+($B$4-$B$3)*A42/200</f>
        <v/>
      </c>
      <c r="C42" s="11">
        <f>IF(Inputs!$D$23=0,0,IF($B42&lt;=Inputs!$C$23,0,IF($B42&gt;=INDEX(LE_Curves!$C$5:$C$205,201),INDEX(LE_Curves!$B$5:$B$205,201),INDEX(LE_Curves!$B$5:$B$205,MATCH($B42,LE_Curves!$C$5:$C$205,1))+($B42-INDEX(LE_Curves!$C$5:$C$205,MATCH($B42,LE_Curves!$C$5:$C$205,1)))*(INDEX(LE_Curves!$B$5:$B$205,MATCH($B42,LE_Curves!$C$5:$C$205,1)+1)-INDEX(LE_Curves!$B$5:$B$205,MATCH($B42,LE_Curves!$C$5:$C$205,1)))/(INDEX(LE_Curves!$C$5:$C$205,MATCH($B42,LE_Curves!$C$5:$C$205,1)+1)-INDEX(LE_Curves!$C$5:$C$205,MATCH($B42,LE_Curves!$C$5:$C$205,1))))))</f>
        <v/>
      </c>
      <c r="D42" s="11">
        <f>IF(Inputs!$D$24=0,0,IF($B42&lt;=Inputs!$C$24,0,IF($B42&gt;=INDEX(LE_Curves!$D$5:$D$205,201),INDEX(LE_Curves!$B$5:$B$205,201),INDEX(LE_Curves!$B$5:$B$205,MATCH($B42,LE_Curves!$D$5:$D$205,1))+($B42-INDEX(LE_Curves!$D$5:$D$205,MATCH($B42,LE_Curves!$D$5:$D$205,1)))*(INDEX(LE_Curves!$B$5:$B$205,MATCH($B42,LE_Curves!$D$5:$D$205,1)+1)-INDEX(LE_Curves!$B$5:$B$205,MATCH($B42,LE_Curves!$D$5:$D$205,1)))/(INDEX(LE_Curves!$D$5:$D$205,MATCH($B42,LE_Curves!$D$5:$D$205,1)+1)-INDEX(LE_Curves!$D$5:$D$205,MATCH($B42,LE_Curves!$D$5:$D$205,1))))))</f>
        <v/>
      </c>
      <c r="E42" s="11">
        <f>IF(Inputs!$D$25=0,0,IF($B42&lt;=Inputs!$C$25,0,IF($B42&gt;=INDEX(LE_Curves!$E$5:$E$205,201),INDEX(LE_Curves!$B$5:$B$205,201),INDEX(LE_Curves!$B$5:$B$205,MATCH($B42,LE_Curves!$E$5:$E$205,1))+($B42-INDEX(LE_Curves!$E$5:$E$205,MATCH($B42,LE_Curves!$E$5:$E$205,1)))*(INDEX(LE_Curves!$B$5:$B$205,MATCH($B42,LE_Curves!$E$5:$E$205,1)+1)-INDEX(LE_Curves!$B$5:$B$205,MATCH($B42,LE_Curves!$E$5:$E$205,1)))/(INDEX(LE_Curves!$E$5:$E$205,MATCH($B42,LE_Curves!$E$5:$E$205,1)+1)-INDEX(LE_Curves!$E$5:$E$205,MATCH($B42,LE_Curves!$E$5:$E$205,1))))))</f>
        <v/>
      </c>
      <c r="F42" s="11">
        <f>IF(Inputs!$D$26=0,0,IF($B42&lt;=Inputs!$C$26,0,IF($B42&gt;=INDEX(LE_Curves!$F$5:$F$205,201),INDEX(LE_Curves!$B$5:$B$205,201),INDEX(LE_Curves!$B$5:$B$205,MATCH($B42,LE_Curves!$F$5:$F$205,1))+($B42-INDEX(LE_Curves!$F$5:$F$205,MATCH($B42,LE_Curves!$F$5:$F$205,1)))*(INDEX(LE_Curves!$B$5:$B$205,MATCH($B42,LE_Curves!$F$5:$F$205,1)+1)-INDEX(LE_Curves!$B$5:$B$205,MATCH($B42,LE_Curves!$F$5:$F$205,1)))/(INDEX(LE_Curves!$F$5:$F$205,MATCH($B42,LE_Curves!$F$5:$F$205,1)+1)-INDEX(LE_Curves!$F$5:$F$205,MATCH($B42,LE_Curves!$F$5:$F$205,1))))))</f>
        <v/>
      </c>
      <c r="G42" s="11">
        <f>IF(Inputs!$D$27=0,0,IF($B42&lt;=Inputs!$C$27,0,IF($B42&gt;=INDEX(LE_Curves!$G$5:$G$205,201),INDEX(LE_Curves!$B$5:$B$205,201),INDEX(LE_Curves!$B$5:$B$205,MATCH($B42,LE_Curves!$G$5:$G$205,1))+($B42-INDEX(LE_Curves!$G$5:$G$205,MATCH($B42,LE_Curves!$G$5:$G$205,1)))*(INDEX(LE_Curves!$B$5:$B$205,MATCH($B42,LE_Curves!$G$5:$G$205,1)+1)-INDEX(LE_Curves!$B$5:$B$205,MATCH($B42,LE_Curves!$G$5:$G$205,1)))/(INDEX(LE_Curves!$G$5:$G$205,MATCH($B42,LE_Curves!$G$5:$G$205,1)+1)-INDEX(LE_Curves!$G$5:$G$205,MATCH($B42,LE_Curves!$G$5:$G$205,1))))))</f>
        <v/>
      </c>
      <c r="H42" s="11">
        <f>IF(Inputs!$D$28=0,0,IF($B42&lt;=Inputs!$C$28,0,IF($B42&gt;=INDEX(LE_Curves!$H$5:$H$205,201),INDEX(LE_Curves!$B$5:$B$205,201),INDEX(LE_Curves!$B$5:$B$205,MATCH($B42,LE_Curves!$H$5:$H$205,1))+($B42-INDEX(LE_Curves!$H$5:$H$205,MATCH($B42,LE_Curves!$H$5:$H$205,1)))*(INDEX(LE_Curves!$B$5:$B$205,MATCH($B42,LE_Curves!$H$5:$H$205,1)+1)-INDEX(LE_Curves!$B$5:$B$205,MATCH($B42,LE_Curves!$H$5:$H$205,1)))/(INDEX(LE_Curves!$H$5:$H$205,MATCH($B42,LE_Curves!$H$5:$H$205,1)+1)-INDEX(LE_Curves!$H$5:$H$205,MATCH($B42,LE_Curves!$H$5:$H$205,1))))))</f>
        <v/>
      </c>
      <c r="I42" s="11">
        <f>IF(Inputs!$D$29=0,0,IF($B42&lt;=Inputs!$C$29,0,IF($B42&gt;=INDEX(LE_Curves!$I$5:$I$205,201),INDEX(LE_Curves!$B$5:$B$205,201),INDEX(LE_Curves!$B$5:$B$205,MATCH($B42,LE_Curves!$I$5:$I$205,1))+($B42-INDEX(LE_Curves!$I$5:$I$205,MATCH($B42,LE_Curves!$I$5:$I$205,1)))*(INDEX(LE_Curves!$B$5:$B$205,MATCH($B42,LE_Curves!$I$5:$I$205,1)+1)-INDEX(LE_Curves!$B$5:$B$205,MATCH($B42,LE_Curves!$I$5:$I$205,1)))/(INDEX(LE_Curves!$I$5:$I$205,MATCH($B42,LE_Curves!$I$5:$I$205,1)+1)-INDEX(LE_Curves!$I$5:$I$205,MATCH($B42,LE_Curves!$I$5:$I$205,1))))))</f>
        <v/>
      </c>
      <c r="J42" s="11">
        <f>IF(Inputs!$D$30=0,0,IF($B42&lt;=Inputs!$C$30,0,IF($B42&gt;=INDEX(LE_Curves!$J$5:$J$205,201),INDEX(LE_Curves!$B$5:$B$205,201),INDEX(LE_Curves!$B$5:$B$205,MATCH($B42,LE_Curves!$J$5:$J$205,1))+($B42-INDEX(LE_Curves!$J$5:$J$205,MATCH($B42,LE_Curves!$J$5:$J$205,1)))*(INDEX(LE_Curves!$B$5:$B$205,MATCH($B42,LE_Curves!$J$5:$J$205,1)+1)-INDEX(LE_Curves!$B$5:$B$205,MATCH($B42,LE_Curves!$J$5:$J$205,1)))/(INDEX(LE_Curves!$J$5:$J$205,MATCH($B42,LE_Curves!$J$5:$J$205,1)+1)-INDEX(LE_Curves!$J$5:$J$205,MATCH($B42,LE_Curves!$J$5:$J$205,1))))))</f>
        <v/>
      </c>
      <c r="K42" s="11">
        <f>IF(Inputs!$D$31=0,0,IF($B42&lt;=Inputs!$C$31,0,IF($B42&gt;=INDEX(LE_Curves!$K$5:$K$205,201),INDEX(LE_Curves!$B$5:$B$205,201),INDEX(LE_Curves!$B$5:$B$205,MATCH($B42,LE_Curves!$K$5:$K$205,1))+($B42-INDEX(LE_Curves!$K$5:$K$205,MATCH($B42,LE_Curves!$K$5:$K$205,1)))*(INDEX(LE_Curves!$B$5:$B$205,MATCH($B42,LE_Curves!$K$5:$K$205,1)+1)-INDEX(LE_Curves!$B$5:$B$205,MATCH($B42,LE_Curves!$K$5:$K$205,1)))/(INDEX(LE_Curves!$K$5:$K$205,MATCH($B42,LE_Curves!$K$5:$K$205,1)+1)-INDEX(LE_Curves!$K$5:$K$205,MATCH($B42,LE_Curves!$K$5:$K$205,1))))))</f>
        <v/>
      </c>
      <c r="L42" s="11">
        <f>IF(Inputs!$D$32=0,0,IF($B42&lt;=Inputs!$C$32,0,IF($B42&gt;=INDEX(LE_Curves!$L$5:$L$205,201),INDEX(LE_Curves!$B$5:$B$205,201),INDEX(LE_Curves!$B$5:$B$205,MATCH($B42,LE_Curves!$L$5:$L$205,1))+($B42-INDEX(LE_Curves!$L$5:$L$205,MATCH($B42,LE_Curves!$L$5:$L$205,1)))*(INDEX(LE_Curves!$B$5:$B$205,MATCH($B42,LE_Curves!$L$5:$L$205,1)+1)-INDEX(LE_Curves!$B$5:$B$205,MATCH($B42,LE_Curves!$L$5:$L$205,1)))/(INDEX(LE_Curves!$L$5:$L$205,MATCH($B42,LE_Curves!$L$5:$L$205,1)+1)-INDEX(LE_Curves!$L$5:$L$205,MATCH($B42,LE_Curves!$L$5:$L$205,1))))))</f>
        <v/>
      </c>
      <c r="M42" s="11">
        <f>IF(Inputs!$D$33=0,0,IF($B42&lt;=Inputs!$C$33,0,IF($B42&gt;=INDEX(LE_Curves!$M$5:$M$205,201),INDEX(LE_Curves!$B$5:$B$205,201),INDEX(LE_Curves!$B$5:$B$205,MATCH($B42,LE_Curves!$M$5:$M$205,1))+($B42-INDEX(LE_Curves!$M$5:$M$205,MATCH($B42,LE_Curves!$M$5:$M$205,1)))*(INDEX(LE_Curves!$B$5:$B$205,MATCH($B42,LE_Curves!$M$5:$M$205,1)+1)-INDEX(LE_Curves!$B$5:$B$205,MATCH($B42,LE_Curves!$M$5:$M$205,1)))/(INDEX(LE_Curves!$M$5:$M$205,MATCH($B42,LE_Curves!$M$5:$M$205,1)+1)-INDEX(LE_Curves!$M$5:$M$205,MATCH($B42,LE_Curves!$M$5:$M$205,1))))))</f>
        <v/>
      </c>
      <c r="N42" s="11">
        <f>IF(Inputs!$D$34=0,0,IF($B42&lt;=Inputs!$C$34,0,IF($B42&gt;=INDEX(LE_Curves!$N$5:$N$205,201),INDEX(LE_Curves!$B$5:$B$205,201),INDEX(LE_Curves!$B$5:$B$205,MATCH($B42,LE_Curves!$N$5:$N$205,1))+($B42-INDEX(LE_Curves!$N$5:$N$205,MATCH($B42,LE_Curves!$N$5:$N$205,1)))*(INDEX(LE_Curves!$B$5:$B$205,MATCH($B42,LE_Curves!$N$5:$N$205,1)+1)-INDEX(LE_Curves!$B$5:$B$205,MATCH($B42,LE_Curves!$N$5:$N$205,1)))/(INDEX(LE_Curves!$N$5:$N$205,MATCH($B42,LE_Curves!$N$5:$N$205,1)+1)-INDEX(LE_Curves!$N$5:$N$205,MATCH($B42,LE_Curves!$N$5:$N$205,1))))))</f>
        <v/>
      </c>
      <c r="O42" s="11">
        <f>SUM(C42:N42)</f>
        <v/>
      </c>
      <c r="Q42" s="7" t="n">
        <v>11</v>
      </c>
      <c r="R42" s="23">
        <f>$B$6+($B$7-$B$6)*Q42/200</f>
        <v/>
      </c>
      <c r="S42" s="11">
        <f>IF(Inputs!$D$23=0,0,IF($R42&lt;=Inputs!$C$23,0,IF($R42&gt;=INDEX(LE_Curves!$C$5:$C$205,201),INDEX(LE_Curves!$B$5:$B$205,201),INDEX(LE_Curves!$B$5:$B$205,MATCH($R42,LE_Curves!$C$5:$C$205,1))+($R42-INDEX(LE_Curves!$C$5:$C$205,MATCH($R42,LE_Curves!$C$5:$C$205,1)))*(INDEX(LE_Curves!$B$5:$B$205,MATCH($R42,LE_Curves!$C$5:$C$205,1)+1)-INDEX(LE_Curves!$B$5:$B$205,MATCH($R42,LE_Curves!$C$5:$C$205,1)))/(INDEX(LE_Curves!$C$5:$C$205,MATCH($R42,LE_Curves!$C$5:$C$205,1)+1)-INDEX(LE_Curves!$C$5:$C$205,MATCH($R42,LE_Curves!$C$5:$C$205,1))))))</f>
        <v/>
      </c>
      <c r="T42" s="11">
        <f>IF(Inputs!$D$24=0,0,IF($R42&lt;=Inputs!$C$24,0,IF($R42&gt;=INDEX(LE_Curves!$D$5:$D$205,201),INDEX(LE_Curves!$B$5:$B$205,201),INDEX(LE_Curves!$B$5:$B$205,MATCH($R42,LE_Curves!$D$5:$D$205,1))+($R42-INDEX(LE_Curves!$D$5:$D$205,MATCH($R42,LE_Curves!$D$5:$D$205,1)))*(INDEX(LE_Curves!$B$5:$B$205,MATCH($R42,LE_Curves!$D$5:$D$205,1)+1)-INDEX(LE_Curves!$B$5:$B$205,MATCH($R42,LE_Curves!$D$5:$D$205,1)))/(INDEX(LE_Curves!$D$5:$D$205,MATCH($R42,LE_Curves!$D$5:$D$205,1)+1)-INDEX(LE_Curves!$D$5:$D$205,MATCH($R42,LE_Curves!$D$5:$D$205,1))))))</f>
        <v/>
      </c>
      <c r="U42" s="11">
        <f>IF(Inputs!$D$25=0,0,IF($R42&lt;=Inputs!$C$25,0,IF($R42&gt;=INDEX(LE_Curves!$E$5:$E$205,201),INDEX(LE_Curves!$B$5:$B$205,201),INDEX(LE_Curves!$B$5:$B$205,MATCH($R42,LE_Curves!$E$5:$E$205,1))+($R42-INDEX(LE_Curves!$E$5:$E$205,MATCH($R42,LE_Curves!$E$5:$E$205,1)))*(INDEX(LE_Curves!$B$5:$B$205,MATCH($R42,LE_Curves!$E$5:$E$205,1)+1)-INDEX(LE_Curves!$B$5:$B$205,MATCH($R42,LE_Curves!$E$5:$E$205,1)))/(INDEX(LE_Curves!$E$5:$E$205,MATCH($R42,LE_Curves!$E$5:$E$205,1)+1)-INDEX(LE_Curves!$E$5:$E$205,MATCH($R42,LE_Curves!$E$5:$E$205,1))))))</f>
        <v/>
      </c>
      <c r="V42" s="11">
        <f>IF(Inputs!$D$26=0,0,IF($R42&lt;=Inputs!$C$26,0,IF($R42&gt;=INDEX(LE_Curves!$F$5:$F$205,201),INDEX(LE_Curves!$B$5:$B$205,201),INDEX(LE_Curves!$B$5:$B$205,MATCH($R42,LE_Curves!$F$5:$F$205,1))+($R42-INDEX(LE_Curves!$F$5:$F$205,MATCH($R42,LE_Curves!$F$5:$F$205,1)))*(INDEX(LE_Curves!$B$5:$B$205,MATCH($R42,LE_Curves!$F$5:$F$205,1)+1)-INDEX(LE_Curves!$B$5:$B$205,MATCH($R42,LE_Curves!$F$5:$F$205,1)))/(INDEX(LE_Curves!$F$5:$F$205,MATCH($R42,LE_Curves!$F$5:$F$205,1)+1)-INDEX(LE_Curves!$F$5:$F$205,MATCH($R42,LE_Curves!$F$5:$F$205,1))))))</f>
        <v/>
      </c>
      <c r="W42" s="11">
        <f>IF(Inputs!$D$27=0,0,IF($R42&lt;=Inputs!$C$27,0,IF($R42&gt;=INDEX(LE_Curves!$G$5:$G$205,201),INDEX(LE_Curves!$B$5:$B$205,201),INDEX(LE_Curves!$B$5:$B$205,MATCH($R42,LE_Curves!$G$5:$G$205,1))+($R42-INDEX(LE_Curves!$G$5:$G$205,MATCH($R42,LE_Curves!$G$5:$G$205,1)))*(INDEX(LE_Curves!$B$5:$B$205,MATCH($R42,LE_Curves!$G$5:$G$205,1)+1)-INDEX(LE_Curves!$B$5:$B$205,MATCH($R42,LE_Curves!$G$5:$G$205,1)))/(INDEX(LE_Curves!$G$5:$G$205,MATCH($R42,LE_Curves!$G$5:$G$205,1)+1)-INDEX(LE_Curves!$G$5:$G$205,MATCH($R42,LE_Curves!$G$5:$G$205,1))))))</f>
        <v/>
      </c>
      <c r="X42" s="11">
        <f>IF(Inputs!$D$28=0,0,IF($R42&lt;=Inputs!$C$28,0,IF($R42&gt;=INDEX(LE_Curves!$H$5:$H$205,201),INDEX(LE_Curves!$B$5:$B$205,201),INDEX(LE_Curves!$B$5:$B$205,MATCH($R42,LE_Curves!$H$5:$H$205,1))+($R42-INDEX(LE_Curves!$H$5:$H$205,MATCH($R42,LE_Curves!$H$5:$H$205,1)))*(INDEX(LE_Curves!$B$5:$B$205,MATCH($R42,LE_Curves!$H$5:$H$205,1)+1)-INDEX(LE_Curves!$B$5:$B$205,MATCH($R42,LE_Curves!$H$5:$H$205,1)))/(INDEX(LE_Curves!$H$5:$H$205,MATCH($R42,LE_Curves!$H$5:$H$205,1)+1)-INDEX(LE_Curves!$H$5:$H$205,MATCH($R42,LE_Curves!$H$5:$H$205,1))))))</f>
        <v/>
      </c>
      <c r="Y42" s="11">
        <f>IF(Inputs!$D$29=0,0,IF($R42&lt;=Inputs!$C$29,0,IF($R42&gt;=INDEX(LE_Curves!$I$5:$I$205,201),INDEX(LE_Curves!$B$5:$B$205,201),INDEX(LE_Curves!$B$5:$B$205,MATCH($R42,LE_Curves!$I$5:$I$205,1))+($R42-INDEX(LE_Curves!$I$5:$I$205,MATCH($R42,LE_Curves!$I$5:$I$205,1)))*(INDEX(LE_Curves!$B$5:$B$205,MATCH($R42,LE_Curves!$I$5:$I$205,1)+1)-INDEX(LE_Curves!$B$5:$B$205,MATCH($R42,LE_Curves!$I$5:$I$205,1)))/(INDEX(LE_Curves!$I$5:$I$205,MATCH($R42,LE_Curves!$I$5:$I$205,1)+1)-INDEX(LE_Curves!$I$5:$I$205,MATCH($R42,LE_Curves!$I$5:$I$205,1))))))</f>
        <v/>
      </c>
      <c r="Z42" s="11">
        <f>IF(Inputs!$D$30=0,0,IF($R42&lt;=Inputs!$C$30,0,IF($R42&gt;=INDEX(LE_Curves!$J$5:$J$205,201),INDEX(LE_Curves!$B$5:$B$205,201),INDEX(LE_Curves!$B$5:$B$205,MATCH($R42,LE_Curves!$J$5:$J$205,1))+($R42-INDEX(LE_Curves!$J$5:$J$205,MATCH($R42,LE_Curves!$J$5:$J$205,1)))*(INDEX(LE_Curves!$B$5:$B$205,MATCH($R42,LE_Curves!$J$5:$J$205,1)+1)-INDEX(LE_Curves!$B$5:$B$205,MATCH($R42,LE_Curves!$J$5:$J$205,1)))/(INDEX(LE_Curves!$J$5:$J$205,MATCH($R42,LE_Curves!$J$5:$J$205,1)+1)-INDEX(LE_Curves!$J$5:$J$205,MATCH($R42,LE_Curves!$J$5:$J$205,1))))))</f>
        <v/>
      </c>
      <c r="AA42" s="11">
        <f>IF(Inputs!$D$31=0,0,IF($R42&lt;=Inputs!$C$31,0,IF($R42&gt;=INDEX(LE_Curves!$K$5:$K$205,201),INDEX(LE_Curves!$B$5:$B$205,201),INDEX(LE_Curves!$B$5:$B$205,MATCH($R42,LE_Curves!$K$5:$K$205,1))+($R42-INDEX(LE_Curves!$K$5:$K$205,MATCH($R42,LE_Curves!$K$5:$K$205,1)))*(INDEX(LE_Curves!$B$5:$B$205,MATCH($R42,LE_Curves!$K$5:$K$205,1)+1)-INDEX(LE_Curves!$B$5:$B$205,MATCH($R42,LE_Curves!$K$5:$K$205,1)))/(INDEX(LE_Curves!$K$5:$K$205,MATCH($R42,LE_Curves!$K$5:$K$205,1)+1)-INDEX(LE_Curves!$K$5:$K$205,MATCH($R42,LE_Curves!$K$5:$K$205,1))))))</f>
        <v/>
      </c>
      <c r="AB42" s="11">
        <f>IF(Inputs!$D$32=0,0,IF($R42&lt;=Inputs!$C$32,0,IF($R42&gt;=INDEX(LE_Curves!$L$5:$L$205,201),INDEX(LE_Curves!$B$5:$B$205,201),INDEX(LE_Curves!$B$5:$B$205,MATCH($R42,LE_Curves!$L$5:$L$205,1))+($R42-INDEX(LE_Curves!$L$5:$L$205,MATCH($R42,LE_Curves!$L$5:$L$205,1)))*(INDEX(LE_Curves!$B$5:$B$205,MATCH($R42,LE_Curves!$L$5:$L$205,1)+1)-INDEX(LE_Curves!$B$5:$B$205,MATCH($R42,LE_Curves!$L$5:$L$205,1)))/(INDEX(LE_Curves!$L$5:$L$205,MATCH($R42,LE_Curves!$L$5:$L$205,1)+1)-INDEX(LE_Curves!$L$5:$L$205,MATCH($R42,LE_Curves!$L$5:$L$205,1))))))</f>
        <v/>
      </c>
      <c r="AC42" s="11">
        <f>IF(Inputs!$D$33=0,0,IF($R42&lt;=Inputs!$C$33,0,IF($R42&gt;=INDEX(LE_Curves!$M$5:$M$205,201),INDEX(LE_Curves!$B$5:$B$205,201),INDEX(LE_Curves!$B$5:$B$205,MATCH($R42,LE_Curves!$M$5:$M$205,1))+($R42-INDEX(LE_Curves!$M$5:$M$205,MATCH($R42,LE_Curves!$M$5:$M$205,1)))*(INDEX(LE_Curves!$B$5:$B$205,MATCH($R42,LE_Curves!$M$5:$M$205,1)+1)-INDEX(LE_Curves!$B$5:$B$205,MATCH($R42,LE_Curves!$M$5:$M$205,1)))/(INDEX(LE_Curves!$M$5:$M$205,MATCH($R42,LE_Curves!$M$5:$M$205,1)+1)-INDEX(LE_Curves!$M$5:$M$205,MATCH($R42,LE_Curves!$M$5:$M$205,1))))))</f>
        <v/>
      </c>
      <c r="AD42" s="11">
        <f>IF(Inputs!$D$34=0,0,IF($R42&lt;=Inputs!$C$34,0,IF($R42&gt;=INDEX(LE_Curves!$N$5:$N$205,201),INDEX(LE_Curves!$B$5:$B$205,201),INDEX(LE_Curves!$B$5:$B$205,MATCH($R42,LE_Curves!$N$5:$N$205,1))+($R42-INDEX(LE_Curves!$N$5:$N$205,MATCH($R42,LE_Curves!$N$5:$N$205,1)))*(INDEX(LE_Curves!$B$5:$B$205,MATCH($R42,LE_Curves!$N$5:$N$205,1)+1)-INDEX(LE_Curves!$B$5:$B$205,MATCH($R42,LE_Curves!$N$5:$N$205,1)))/(INDEX(LE_Curves!$N$5:$N$205,MATCH($R42,LE_Curves!$N$5:$N$205,1)+1)-INDEX(LE_Curves!$N$5:$N$205,MATCH($R42,LE_Curves!$N$5:$N$205,1))))))</f>
        <v/>
      </c>
      <c r="AE42" s="37">
        <f>SUM(S42:AD42)</f>
        <v/>
      </c>
    </row>
    <row r="43">
      <c r="A43" s="7" t="n">
        <v>12</v>
      </c>
      <c r="B43" s="37">
        <f>$B$3+($B$4-$B$3)*A43/200</f>
        <v/>
      </c>
      <c r="C43" s="11">
        <f>IF(Inputs!$D$23=0,0,IF($B43&lt;=Inputs!$C$23,0,IF($B43&gt;=INDEX(LE_Curves!$C$5:$C$205,201),INDEX(LE_Curves!$B$5:$B$205,201),INDEX(LE_Curves!$B$5:$B$205,MATCH($B43,LE_Curves!$C$5:$C$205,1))+($B43-INDEX(LE_Curves!$C$5:$C$205,MATCH($B43,LE_Curves!$C$5:$C$205,1)))*(INDEX(LE_Curves!$B$5:$B$205,MATCH($B43,LE_Curves!$C$5:$C$205,1)+1)-INDEX(LE_Curves!$B$5:$B$205,MATCH($B43,LE_Curves!$C$5:$C$205,1)))/(INDEX(LE_Curves!$C$5:$C$205,MATCH($B43,LE_Curves!$C$5:$C$205,1)+1)-INDEX(LE_Curves!$C$5:$C$205,MATCH($B43,LE_Curves!$C$5:$C$205,1))))))</f>
        <v/>
      </c>
      <c r="D43" s="11">
        <f>IF(Inputs!$D$24=0,0,IF($B43&lt;=Inputs!$C$24,0,IF($B43&gt;=INDEX(LE_Curves!$D$5:$D$205,201),INDEX(LE_Curves!$B$5:$B$205,201),INDEX(LE_Curves!$B$5:$B$205,MATCH($B43,LE_Curves!$D$5:$D$205,1))+($B43-INDEX(LE_Curves!$D$5:$D$205,MATCH($B43,LE_Curves!$D$5:$D$205,1)))*(INDEX(LE_Curves!$B$5:$B$205,MATCH($B43,LE_Curves!$D$5:$D$205,1)+1)-INDEX(LE_Curves!$B$5:$B$205,MATCH($B43,LE_Curves!$D$5:$D$205,1)))/(INDEX(LE_Curves!$D$5:$D$205,MATCH($B43,LE_Curves!$D$5:$D$205,1)+1)-INDEX(LE_Curves!$D$5:$D$205,MATCH($B43,LE_Curves!$D$5:$D$205,1))))))</f>
        <v/>
      </c>
      <c r="E43" s="11">
        <f>IF(Inputs!$D$25=0,0,IF($B43&lt;=Inputs!$C$25,0,IF($B43&gt;=INDEX(LE_Curves!$E$5:$E$205,201),INDEX(LE_Curves!$B$5:$B$205,201),INDEX(LE_Curves!$B$5:$B$205,MATCH($B43,LE_Curves!$E$5:$E$205,1))+($B43-INDEX(LE_Curves!$E$5:$E$205,MATCH($B43,LE_Curves!$E$5:$E$205,1)))*(INDEX(LE_Curves!$B$5:$B$205,MATCH($B43,LE_Curves!$E$5:$E$205,1)+1)-INDEX(LE_Curves!$B$5:$B$205,MATCH($B43,LE_Curves!$E$5:$E$205,1)))/(INDEX(LE_Curves!$E$5:$E$205,MATCH($B43,LE_Curves!$E$5:$E$205,1)+1)-INDEX(LE_Curves!$E$5:$E$205,MATCH($B43,LE_Curves!$E$5:$E$205,1))))))</f>
        <v/>
      </c>
      <c r="F43" s="11">
        <f>IF(Inputs!$D$26=0,0,IF($B43&lt;=Inputs!$C$26,0,IF($B43&gt;=INDEX(LE_Curves!$F$5:$F$205,201),INDEX(LE_Curves!$B$5:$B$205,201),INDEX(LE_Curves!$B$5:$B$205,MATCH($B43,LE_Curves!$F$5:$F$205,1))+($B43-INDEX(LE_Curves!$F$5:$F$205,MATCH($B43,LE_Curves!$F$5:$F$205,1)))*(INDEX(LE_Curves!$B$5:$B$205,MATCH($B43,LE_Curves!$F$5:$F$205,1)+1)-INDEX(LE_Curves!$B$5:$B$205,MATCH($B43,LE_Curves!$F$5:$F$205,1)))/(INDEX(LE_Curves!$F$5:$F$205,MATCH($B43,LE_Curves!$F$5:$F$205,1)+1)-INDEX(LE_Curves!$F$5:$F$205,MATCH($B43,LE_Curves!$F$5:$F$205,1))))))</f>
        <v/>
      </c>
      <c r="G43" s="11">
        <f>IF(Inputs!$D$27=0,0,IF($B43&lt;=Inputs!$C$27,0,IF($B43&gt;=INDEX(LE_Curves!$G$5:$G$205,201),INDEX(LE_Curves!$B$5:$B$205,201),INDEX(LE_Curves!$B$5:$B$205,MATCH($B43,LE_Curves!$G$5:$G$205,1))+($B43-INDEX(LE_Curves!$G$5:$G$205,MATCH($B43,LE_Curves!$G$5:$G$205,1)))*(INDEX(LE_Curves!$B$5:$B$205,MATCH($B43,LE_Curves!$G$5:$G$205,1)+1)-INDEX(LE_Curves!$B$5:$B$205,MATCH($B43,LE_Curves!$G$5:$G$205,1)))/(INDEX(LE_Curves!$G$5:$G$205,MATCH($B43,LE_Curves!$G$5:$G$205,1)+1)-INDEX(LE_Curves!$G$5:$G$205,MATCH($B43,LE_Curves!$G$5:$G$205,1))))))</f>
        <v/>
      </c>
      <c r="H43" s="11">
        <f>IF(Inputs!$D$28=0,0,IF($B43&lt;=Inputs!$C$28,0,IF($B43&gt;=INDEX(LE_Curves!$H$5:$H$205,201),INDEX(LE_Curves!$B$5:$B$205,201),INDEX(LE_Curves!$B$5:$B$205,MATCH($B43,LE_Curves!$H$5:$H$205,1))+($B43-INDEX(LE_Curves!$H$5:$H$205,MATCH($B43,LE_Curves!$H$5:$H$205,1)))*(INDEX(LE_Curves!$B$5:$B$205,MATCH($B43,LE_Curves!$H$5:$H$205,1)+1)-INDEX(LE_Curves!$B$5:$B$205,MATCH($B43,LE_Curves!$H$5:$H$205,1)))/(INDEX(LE_Curves!$H$5:$H$205,MATCH($B43,LE_Curves!$H$5:$H$205,1)+1)-INDEX(LE_Curves!$H$5:$H$205,MATCH($B43,LE_Curves!$H$5:$H$205,1))))))</f>
        <v/>
      </c>
      <c r="I43" s="11">
        <f>IF(Inputs!$D$29=0,0,IF($B43&lt;=Inputs!$C$29,0,IF($B43&gt;=INDEX(LE_Curves!$I$5:$I$205,201),INDEX(LE_Curves!$B$5:$B$205,201),INDEX(LE_Curves!$B$5:$B$205,MATCH($B43,LE_Curves!$I$5:$I$205,1))+($B43-INDEX(LE_Curves!$I$5:$I$205,MATCH($B43,LE_Curves!$I$5:$I$205,1)))*(INDEX(LE_Curves!$B$5:$B$205,MATCH($B43,LE_Curves!$I$5:$I$205,1)+1)-INDEX(LE_Curves!$B$5:$B$205,MATCH($B43,LE_Curves!$I$5:$I$205,1)))/(INDEX(LE_Curves!$I$5:$I$205,MATCH($B43,LE_Curves!$I$5:$I$205,1)+1)-INDEX(LE_Curves!$I$5:$I$205,MATCH($B43,LE_Curves!$I$5:$I$205,1))))))</f>
        <v/>
      </c>
      <c r="J43" s="11">
        <f>IF(Inputs!$D$30=0,0,IF($B43&lt;=Inputs!$C$30,0,IF($B43&gt;=INDEX(LE_Curves!$J$5:$J$205,201),INDEX(LE_Curves!$B$5:$B$205,201),INDEX(LE_Curves!$B$5:$B$205,MATCH($B43,LE_Curves!$J$5:$J$205,1))+($B43-INDEX(LE_Curves!$J$5:$J$205,MATCH($B43,LE_Curves!$J$5:$J$205,1)))*(INDEX(LE_Curves!$B$5:$B$205,MATCH($B43,LE_Curves!$J$5:$J$205,1)+1)-INDEX(LE_Curves!$B$5:$B$205,MATCH($B43,LE_Curves!$J$5:$J$205,1)))/(INDEX(LE_Curves!$J$5:$J$205,MATCH($B43,LE_Curves!$J$5:$J$205,1)+1)-INDEX(LE_Curves!$J$5:$J$205,MATCH($B43,LE_Curves!$J$5:$J$205,1))))))</f>
        <v/>
      </c>
      <c r="K43" s="11">
        <f>IF(Inputs!$D$31=0,0,IF($B43&lt;=Inputs!$C$31,0,IF($B43&gt;=INDEX(LE_Curves!$K$5:$K$205,201),INDEX(LE_Curves!$B$5:$B$205,201),INDEX(LE_Curves!$B$5:$B$205,MATCH($B43,LE_Curves!$K$5:$K$205,1))+($B43-INDEX(LE_Curves!$K$5:$K$205,MATCH($B43,LE_Curves!$K$5:$K$205,1)))*(INDEX(LE_Curves!$B$5:$B$205,MATCH($B43,LE_Curves!$K$5:$K$205,1)+1)-INDEX(LE_Curves!$B$5:$B$205,MATCH($B43,LE_Curves!$K$5:$K$205,1)))/(INDEX(LE_Curves!$K$5:$K$205,MATCH($B43,LE_Curves!$K$5:$K$205,1)+1)-INDEX(LE_Curves!$K$5:$K$205,MATCH($B43,LE_Curves!$K$5:$K$205,1))))))</f>
        <v/>
      </c>
      <c r="L43" s="11">
        <f>IF(Inputs!$D$32=0,0,IF($B43&lt;=Inputs!$C$32,0,IF($B43&gt;=INDEX(LE_Curves!$L$5:$L$205,201),INDEX(LE_Curves!$B$5:$B$205,201),INDEX(LE_Curves!$B$5:$B$205,MATCH($B43,LE_Curves!$L$5:$L$205,1))+($B43-INDEX(LE_Curves!$L$5:$L$205,MATCH($B43,LE_Curves!$L$5:$L$205,1)))*(INDEX(LE_Curves!$B$5:$B$205,MATCH($B43,LE_Curves!$L$5:$L$205,1)+1)-INDEX(LE_Curves!$B$5:$B$205,MATCH($B43,LE_Curves!$L$5:$L$205,1)))/(INDEX(LE_Curves!$L$5:$L$205,MATCH($B43,LE_Curves!$L$5:$L$205,1)+1)-INDEX(LE_Curves!$L$5:$L$205,MATCH($B43,LE_Curves!$L$5:$L$205,1))))))</f>
        <v/>
      </c>
      <c r="M43" s="11">
        <f>IF(Inputs!$D$33=0,0,IF($B43&lt;=Inputs!$C$33,0,IF($B43&gt;=INDEX(LE_Curves!$M$5:$M$205,201),INDEX(LE_Curves!$B$5:$B$205,201),INDEX(LE_Curves!$B$5:$B$205,MATCH($B43,LE_Curves!$M$5:$M$205,1))+($B43-INDEX(LE_Curves!$M$5:$M$205,MATCH($B43,LE_Curves!$M$5:$M$205,1)))*(INDEX(LE_Curves!$B$5:$B$205,MATCH($B43,LE_Curves!$M$5:$M$205,1)+1)-INDEX(LE_Curves!$B$5:$B$205,MATCH($B43,LE_Curves!$M$5:$M$205,1)))/(INDEX(LE_Curves!$M$5:$M$205,MATCH($B43,LE_Curves!$M$5:$M$205,1)+1)-INDEX(LE_Curves!$M$5:$M$205,MATCH($B43,LE_Curves!$M$5:$M$205,1))))))</f>
        <v/>
      </c>
      <c r="N43" s="11">
        <f>IF(Inputs!$D$34=0,0,IF($B43&lt;=Inputs!$C$34,0,IF($B43&gt;=INDEX(LE_Curves!$N$5:$N$205,201),INDEX(LE_Curves!$B$5:$B$205,201),INDEX(LE_Curves!$B$5:$B$205,MATCH($B43,LE_Curves!$N$5:$N$205,1))+($B43-INDEX(LE_Curves!$N$5:$N$205,MATCH($B43,LE_Curves!$N$5:$N$205,1)))*(INDEX(LE_Curves!$B$5:$B$205,MATCH($B43,LE_Curves!$N$5:$N$205,1)+1)-INDEX(LE_Curves!$B$5:$B$205,MATCH($B43,LE_Curves!$N$5:$N$205,1)))/(INDEX(LE_Curves!$N$5:$N$205,MATCH($B43,LE_Curves!$N$5:$N$205,1)+1)-INDEX(LE_Curves!$N$5:$N$205,MATCH($B43,LE_Curves!$N$5:$N$205,1))))))</f>
        <v/>
      </c>
      <c r="O43" s="11">
        <f>SUM(C43:N43)</f>
        <v/>
      </c>
      <c r="Q43" s="7" t="n">
        <v>12</v>
      </c>
      <c r="R43" s="23">
        <f>$B$6+($B$7-$B$6)*Q43/200</f>
        <v/>
      </c>
      <c r="S43" s="11">
        <f>IF(Inputs!$D$23=0,0,IF($R43&lt;=Inputs!$C$23,0,IF($R43&gt;=INDEX(LE_Curves!$C$5:$C$205,201),INDEX(LE_Curves!$B$5:$B$205,201),INDEX(LE_Curves!$B$5:$B$205,MATCH($R43,LE_Curves!$C$5:$C$205,1))+($R43-INDEX(LE_Curves!$C$5:$C$205,MATCH($R43,LE_Curves!$C$5:$C$205,1)))*(INDEX(LE_Curves!$B$5:$B$205,MATCH($R43,LE_Curves!$C$5:$C$205,1)+1)-INDEX(LE_Curves!$B$5:$B$205,MATCH($R43,LE_Curves!$C$5:$C$205,1)))/(INDEX(LE_Curves!$C$5:$C$205,MATCH($R43,LE_Curves!$C$5:$C$205,1)+1)-INDEX(LE_Curves!$C$5:$C$205,MATCH($R43,LE_Curves!$C$5:$C$205,1))))))</f>
        <v/>
      </c>
      <c r="T43" s="11">
        <f>IF(Inputs!$D$24=0,0,IF($R43&lt;=Inputs!$C$24,0,IF($R43&gt;=INDEX(LE_Curves!$D$5:$D$205,201),INDEX(LE_Curves!$B$5:$B$205,201),INDEX(LE_Curves!$B$5:$B$205,MATCH($R43,LE_Curves!$D$5:$D$205,1))+($R43-INDEX(LE_Curves!$D$5:$D$205,MATCH($R43,LE_Curves!$D$5:$D$205,1)))*(INDEX(LE_Curves!$B$5:$B$205,MATCH($R43,LE_Curves!$D$5:$D$205,1)+1)-INDEX(LE_Curves!$B$5:$B$205,MATCH($R43,LE_Curves!$D$5:$D$205,1)))/(INDEX(LE_Curves!$D$5:$D$205,MATCH($R43,LE_Curves!$D$5:$D$205,1)+1)-INDEX(LE_Curves!$D$5:$D$205,MATCH($R43,LE_Curves!$D$5:$D$205,1))))))</f>
        <v/>
      </c>
      <c r="U43" s="11">
        <f>IF(Inputs!$D$25=0,0,IF($R43&lt;=Inputs!$C$25,0,IF($R43&gt;=INDEX(LE_Curves!$E$5:$E$205,201),INDEX(LE_Curves!$B$5:$B$205,201),INDEX(LE_Curves!$B$5:$B$205,MATCH($R43,LE_Curves!$E$5:$E$205,1))+($R43-INDEX(LE_Curves!$E$5:$E$205,MATCH($R43,LE_Curves!$E$5:$E$205,1)))*(INDEX(LE_Curves!$B$5:$B$205,MATCH($R43,LE_Curves!$E$5:$E$205,1)+1)-INDEX(LE_Curves!$B$5:$B$205,MATCH($R43,LE_Curves!$E$5:$E$205,1)))/(INDEX(LE_Curves!$E$5:$E$205,MATCH($R43,LE_Curves!$E$5:$E$205,1)+1)-INDEX(LE_Curves!$E$5:$E$205,MATCH($R43,LE_Curves!$E$5:$E$205,1))))))</f>
        <v/>
      </c>
      <c r="V43" s="11">
        <f>IF(Inputs!$D$26=0,0,IF($R43&lt;=Inputs!$C$26,0,IF($R43&gt;=INDEX(LE_Curves!$F$5:$F$205,201),INDEX(LE_Curves!$B$5:$B$205,201),INDEX(LE_Curves!$B$5:$B$205,MATCH($R43,LE_Curves!$F$5:$F$205,1))+($R43-INDEX(LE_Curves!$F$5:$F$205,MATCH($R43,LE_Curves!$F$5:$F$205,1)))*(INDEX(LE_Curves!$B$5:$B$205,MATCH($R43,LE_Curves!$F$5:$F$205,1)+1)-INDEX(LE_Curves!$B$5:$B$205,MATCH($R43,LE_Curves!$F$5:$F$205,1)))/(INDEX(LE_Curves!$F$5:$F$205,MATCH($R43,LE_Curves!$F$5:$F$205,1)+1)-INDEX(LE_Curves!$F$5:$F$205,MATCH($R43,LE_Curves!$F$5:$F$205,1))))))</f>
        <v/>
      </c>
      <c r="W43" s="11">
        <f>IF(Inputs!$D$27=0,0,IF($R43&lt;=Inputs!$C$27,0,IF($R43&gt;=INDEX(LE_Curves!$G$5:$G$205,201),INDEX(LE_Curves!$B$5:$B$205,201),INDEX(LE_Curves!$B$5:$B$205,MATCH($R43,LE_Curves!$G$5:$G$205,1))+($R43-INDEX(LE_Curves!$G$5:$G$205,MATCH($R43,LE_Curves!$G$5:$G$205,1)))*(INDEX(LE_Curves!$B$5:$B$205,MATCH($R43,LE_Curves!$G$5:$G$205,1)+1)-INDEX(LE_Curves!$B$5:$B$205,MATCH($R43,LE_Curves!$G$5:$G$205,1)))/(INDEX(LE_Curves!$G$5:$G$205,MATCH($R43,LE_Curves!$G$5:$G$205,1)+1)-INDEX(LE_Curves!$G$5:$G$205,MATCH($R43,LE_Curves!$G$5:$G$205,1))))))</f>
        <v/>
      </c>
      <c r="X43" s="11">
        <f>IF(Inputs!$D$28=0,0,IF($R43&lt;=Inputs!$C$28,0,IF($R43&gt;=INDEX(LE_Curves!$H$5:$H$205,201),INDEX(LE_Curves!$B$5:$B$205,201),INDEX(LE_Curves!$B$5:$B$205,MATCH($R43,LE_Curves!$H$5:$H$205,1))+($R43-INDEX(LE_Curves!$H$5:$H$205,MATCH($R43,LE_Curves!$H$5:$H$205,1)))*(INDEX(LE_Curves!$B$5:$B$205,MATCH($R43,LE_Curves!$H$5:$H$205,1)+1)-INDEX(LE_Curves!$B$5:$B$205,MATCH($R43,LE_Curves!$H$5:$H$205,1)))/(INDEX(LE_Curves!$H$5:$H$205,MATCH($R43,LE_Curves!$H$5:$H$205,1)+1)-INDEX(LE_Curves!$H$5:$H$205,MATCH($R43,LE_Curves!$H$5:$H$205,1))))))</f>
        <v/>
      </c>
      <c r="Y43" s="11">
        <f>IF(Inputs!$D$29=0,0,IF($R43&lt;=Inputs!$C$29,0,IF($R43&gt;=INDEX(LE_Curves!$I$5:$I$205,201),INDEX(LE_Curves!$B$5:$B$205,201),INDEX(LE_Curves!$B$5:$B$205,MATCH($R43,LE_Curves!$I$5:$I$205,1))+($R43-INDEX(LE_Curves!$I$5:$I$205,MATCH($R43,LE_Curves!$I$5:$I$205,1)))*(INDEX(LE_Curves!$B$5:$B$205,MATCH($R43,LE_Curves!$I$5:$I$205,1)+1)-INDEX(LE_Curves!$B$5:$B$205,MATCH($R43,LE_Curves!$I$5:$I$205,1)))/(INDEX(LE_Curves!$I$5:$I$205,MATCH($R43,LE_Curves!$I$5:$I$205,1)+1)-INDEX(LE_Curves!$I$5:$I$205,MATCH($R43,LE_Curves!$I$5:$I$205,1))))))</f>
        <v/>
      </c>
      <c r="Z43" s="11">
        <f>IF(Inputs!$D$30=0,0,IF($R43&lt;=Inputs!$C$30,0,IF($R43&gt;=INDEX(LE_Curves!$J$5:$J$205,201),INDEX(LE_Curves!$B$5:$B$205,201),INDEX(LE_Curves!$B$5:$B$205,MATCH($R43,LE_Curves!$J$5:$J$205,1))+($R43-INDEX(LE_Curves!$J$5:$J$205,MATCH($R43,LE_Curves!$J$5:$J$205,1)))*(INDEX(LE_Curves!$B$5:$B$205,MATCH($R43,LE_Curves!$J$5:$J$205,1)+1)-INDEX(LE_Curves!$B$5:$B$205,MATCH($R43,LE_Curves!$J$5:$J$205,1)))/(INDEX(LE_Curves!$J$5:$J$205,MATCH($R43,LE_Curves!$J$5:$J$205,1)+1)-INDEX(LE_Curves!$J$5:$J$205,MATCH($R43,LE_Curves!$J$5:$J$205,1))))))</f>
        <v/>
      </c>
      <c r="AA43" s="11">
        <f>IF(Inputs!$D$31=0,0,IF($R43&lt;=Inputs!$C$31,0,IF($R43&gt;=INDEX(LE_Curves!$K$5:$K$205,201),INDEX(LE_Curves!$B$5:$B$205,201),INDEX(LE_Curves!$B$5:$B$205,MATCH($R43,LE_Curves!$K$5:$K$205,1))+($R43-INDEX(LE_Curves!$K$5:$K$205,MATCH($R43,LE_Curves!$K$5:$K$205,1)))*(INDEX(LE_Curves!$B$5:$B$205,MATCH($R43,LE_Curves!$K$5:$K$205,1)+1)-INDEX(LE_Curves!$B$5:$B$205,MATCH($R43,LE_Curves!$K$5:$K$205,1)))/(INDEX(LE_Curves!$K$5:$K$205,MATCH($R43,LE_Curves!$K$5:$K$205,1)+1)-INDEX(LE_Curves!$K$5:$K$205,MATCH($R43,LE_Curves!$K$5:$K$205,1))))))</f>
        <v/>
      </c>
      <c r="AB43" s="11">
        <f>IF(Inputs!$D$32=0,0,IF($R43&lt;=Inputs!$C$32,0,IF($R43&gt;=INDEX(LE_Curves!$L$5:$L$205,201),INDEX(LE_Curves!$B$5:$B$205,201),INDEX(LE_Curves!$B$5:$B$205,MATCH($R43,LE_Curves!$L$5:$L$205,1))+($R43-INDEX(LE_Curves!$L$5:$L$205,MATCH($R43,LE_Curves!$L$5:$L$205,1)))*(INDEX(LE_Curves!$B$5:$B$205,MATCH($R43,LE_Curves!$L$5:$L$205,1)+1)-INDEX(LE_Curves!$B$5:$B$205,MATCH($R43,LE_Curves!$L$5:$L$205,1)))/(INDEX(LE_Curves!$L$5:$L$205,MATCH($R43,LE_Curves!$L$5:$L$205,1)+1)-INDEX(LE_Curves!$L$5:$L$205,MATCH($R43,LE_Curves!$L$5:$L$205,1))))))</f>
        <v/>
      </c>
      <c r="AC43" s="11">
        <f>IF(Inputs!$D$33=0,0,IF($R43&lt;=Inputs!$C$33,0,IF($R43&gt;=INDEX(LE_Curves!$M$5:$M$205,201),INDEX(LE_Curves!$B$5:$B$205,201),INDEX(LE_Curves!$B$5:$B$205,MATCH($R43,LE_Curves!$M$5:$M$205,1))+($R43-INDEX(LE_Curves!$M$5:$M$205,MATCH($R43,LE_Curves!$M$5:$M$205,1)))*(INDEX(LE_Curves!$B$5:$B$205,MATCH($R43,LE_Curves!$M$5:$M$205,1)+1)-INDEX(LE_Curves!$B$5:$B$205,MATCH($R43,LE_Curves!$M$5:$M$205,1)))/(INDEX(LE_Curves!$M$5:$M$205,MATCH($R43,LE_Curves!$M$5:$M$205,1)+1)-INDEX(LE_Curves!$M$5:$M$205,MATCH($R43,LE_Curves!$M$5:$M$205,1))))))</f>
        <v/>
      </c>
      <c r="AD43" s="11">
        <f>IF(Inputs!$D$34=0,0,IF($R43&lt;=Inputs!$C$34,0,IF($R43&gt;=INDEX(LE_Curves!$N$5:$N$205,201),INDEX(LE_Curves!$B$5:$B$205,201),INDEX(LE_Curves!$B$5:$B$205,MATCH($R43,LE_Curves!$N$5:$N$205,1))+($R43-INDEX(LE_Curves!$N$5:$N$205,MATCH($R43,LE_Curves!$N$5:$N$205,1)))*(INDEX(LE_Curves!$B$5:$B$205,MATCH($R43,LE_Curves!$N$5:$N$205,1)+1)-INDEX(LE_Curves!$B$5:$B$205,MATCH($R43,LE_Curves!$N$5:$N$205,1)))/(INDEX(LE_Curves!$N$5:$N$205,MATCH($R43,LE_Curves!$N$5:$N$205,1)+1)-INDEX(LE_Curves!$N$5:$N$205,MATCH($R43,LE_Curves!$N$5:$N$205,1))))))</f>
        <v/>
      </c>
      <c r="AE43" s="37">
        <f>SUM(S43:AD43)</f>
        <v/>
      </c>
    </row>
    <row r="44">
      <c r="A44" s="7" t="n">
        <v>13</v>
      </c>
      <c r="B44" s="37">
        <f>$B$3+($B$4-$B$3)*A44/200</f>
        <v/>
      </c>
      <c r="C44" s="11">
        <f>IF(Inputs!$D$23=0,0,IF($B44&lt;=Inputs!$C$23,0,IF($B44&gt;=INDEX(LE_Curves!$C$5:$C$205,201),INDEX(LE_Curves!$B$5:$B$205,201),INDEX(LE_Curves!$B$5:$B$205,MATCH($B44,LE_Curves!$C$5:$C$205,1))+($B44-INDEX(LE_Curves!$C$5:$C$205,MATCH($B44,LE_Curves!$C$5:$C$205,1)))*(INDEX(LE_Curves!$B$5:$B$205,MATCH($B44,LE_Curves!$C$5:$C$205,1)+1)-INDEX(LE_Curves!$B$5:$B$205,MATCH($B44,LE_Curves!$C$5:$C$205,1)))/(INDEX(LE_Curves!$C$5:$C$205,MATCH($B44,LE_Curves!$C$5:$C$205,1)+1)-INDEX(LE_Curves!$C$5:$C$205,MATCH($B44,LE_Curves!$C$5:$C$205,1))))))</f>
        <v/>
      </c>
      <c r="D44" s="11">
        <f>IF(Inputs!$D$24=0,0,IF($B44&lt;=Inputs!$C$24,0,IF($B44&gt;=INDEX(LE_Curves!$D$5:$D$205,201),INDEX(LE_Curves!$B$5:$B$205,201),INDEX(LE_Curves!$B$5:$B$205,MATCH($B44,LE_Curves!$D$5:$D$205,1))+($B44-INDEX(LE_Curves!$D$5:$D$205,MATCH($B44,LE_Curves!$D$5:$D$205,1)))*(INDEX(LE_Curves!$B$5:$B$205,MATCH($B44,LE_Curves!$D$5:$D$205,1)+1)-INDEX(LE_Curves!$B$5:$B$205,MATCH($B44,LE_Curves!$D$5:$D$205,1)))/(INDEX(LE_Curves!$D$5:$D$205,MATCH($B44,LE_Curves!$D$5:$D$205,1)+1)-INDEX(LE_Curves!$D$5:$D$205,MATCH($B44,LE_Curves!$D$5:$D$205,1))))))</f>
        <v/>
      </c>
      <c r="E44" s="11">
        <f>IF(Inputs!$D$25=0,0,IF($B44&lt;=Inputs!$C$25,0,IF($B44&gt;=INDEX(LE_Curves!$E$5:$E$205,201),INDEX(LE_Curves!$B$5:$B$205,201),INDEX(LE_Curves!$B$5:$B$205,MATCH($B44,LE_Curves!$E$5:$E$205,1))+($B44-INDEX(LE_Curves!$E$5:$E$205,MATCH($B44,LE_Curves!$E$5:$E$205,1)))*(INDEX(LE_Curves!$B$5:$B$205,MATCH($B44,LE_Curves!$E$5:$E$205,1)+1)-INDEX(LE_Curves!$B$5:$B$205,MATCH($B44,LE_Curves!$E$5:$E$205,1)))/(INDEX(LE_Curves!$E$5:$E$205,MATCH($B44,LE_Curves!$E$5:$E$205,1)+1)-INDEX(LE_Curves!$E$5:$E$205,MATCH($B44,LE_Curves!$E$5:$E$205,1))))))</f>
        <v/>
      </c>
      <c r="F44" s="11">
        <f>IF(Inputs!$D$26=0,0,IF($B44&lt;=Inputs!$C$26,0,IF($B44&gt;=INDEX(LE_Curves!$F$5:$F$205,201),INDEX(LE_Curves!$B$5:$B$205,201),INDEX(LE_Curves!$B$5:$B$205,MATCH($B44,LE_Curves!$F$5:$F$205,1))+($B44-INDEX(LE_Curves!$F$5:$F$205,MATCH($B44,LE_Curves!$F$5:$F$205,1)))*(INDEX(LE_Curves!$B$5:$B$205,MATCH($B44,LE_Curves!$F$5:$F$205,1)+1)-INDEX(LE_Curves!$B$5:$B$205,MATCH($B44,LE_Curves!$F$5:$F$205,1)))/(INDEX(LE_Curves!$F$5:$F$205,MATCH($B44,LE_Curves!$F$5:$F$205,1)+1)-INDEX(LE_Curves!$F$5:$F$205,MATCH($B44,LE_Curves!$F$5:$F$205,1))))))</f>
        <v/>
      </c>
      <c r="G44" s="11">
        <f>IF(Inputs!$D$27=0,0,IF($B44&lt;=Inputs!$C$27,0,IF($B44&gt;=INDEX(LE_Curves!$G$5:$G$205,201),INDEX(LE_Curves!$B$5:$B$205,201),INDEX(LE_Curves!$B$5:$B$205,MATCH($B44,LE_Curves!$G$5:$G$205,1))+($B44-INDEX(LE_Curves!$G$5:$G$205,MATCH($B44,LE_Curves!$G$5:$G$205,1)))*(INDEX(LE_Curves!$B$5:$B$205,MATCH($B44,LE_Curves!$G$5:$G$205,1)+1)-INDEX(LE_Curves!$B$5:$B$205,MATCH($B44,LE_Curves!$G$5:$G$205,1)))/(INDEX(LE_Curves!$G$5:$G$205,MATCH($B44,LE_Curves!$G$5:$G$205,1)+1)-INDEX(LE_Curves!$G$5:$G$205,MATCH($B44,LE_Curves!$G$5:$G$205,1))))))</f>
        <v/>
      </c>
      <c r="H44" s="11">
        <f>IF(Inputs!$D$28=0,0,IF($B44&lt;=Inputs!$C$28,0,IF($B44&gt;=INDEX(LE_Curves!$H$5:$H$205,201),INDEX(LE_Curves!$B$5:$B$205,201),INDEX(LE_Curves!$B$5:$B$205,MATCH($B44,LE_Curves!$H$5:$H$205,1))+($B44-INDEX(LE_Curves!$H$5:$H$205,MATCH($B44,LE_Curves!$H$5:$H$205,1)))*(INDEX(LE_Curves!$B$5:$B$205,MATCH($B44,LE_Curves!$H$5:$H$205,1)+1)-INDEX(LE_Curves!$B$5:$B$205,MATCH($B44,LE_Curves!$H$5:$H$205,1)))/(INDEX(LE_Curves!$H$5:$H$205,MATCH($B44,LE_Curves!$H$5:$H$205,1)+1)-INDEX(LE_Curves!$H$5:$H$205,MATCH($B44,LE_Curves!$H$5:$H$205,1))))))</f>
        <v/>
      </c>
      <c r="I44" s="11">
        <f>IF(Inputs!$D$29=0,0,IF($B44&lt;=Inputs!$C$29,0,IF($B44&gt;=INDEX(LE_Curves!$I$5:$I$205,201),INDEX(LE_Curves!$B$5:$B$205,201),INDEX(LE_Curves!$B$5:$B$205,MATCH($B44,LE_Curves!$I$5:$I$205,1))+($B44-INDEX(LE_Curves!$I$5:$I$205,MATCH($B44,LE_Curves!$I$5:$I$205,1)))*(INDEX(LE_Curves!$B$5:$B$205,MATCH($B44,LE_Curves!$I$5:$I$205,1)+1)-INDEX(LE_Curves!$B$5:$B$205,MATCH($B44,LE_Curves!$I$5:$I$205,1)))/(INDEX(LE_Curves!$I$5:$I$205,MATCH($B44,LE_Curves!$I$5:$I$205,1)+1)-INDEX(LE_Curves!$I$5:$I$205,MATCH($B44,LE_Curves!$I$5:$I$205,1))))))</f>
        <v/>
      </c>
      <c r="J44" s="11">
        <f>IF(Inputs!$D$30=0,0,IF($B44&lt;=Inputs!$C$30,0,IF($B44&gt;=INDEX(LE_Curves!$J$5:$J$205,201),INDEX(LE_Curves!$B$5:$B$205,201),INDEX(LE_Curves!$B$5:$B$205,MATCH($B44,LE_Curves!$J$5:$J$205,1))+($B44-INDEX(LE_Curves!$J$5:$J$205,MATCH($B44,LE_Curves!$J$5:$J$205,1)))*(INDEX(LE_Curves!$B$5:$B$205,MATCH($B44,LE_Curves!$J$5:$J$205,1)+1)-INDEX(LE_Curves!$B$5:$B$205,MATCH($B44,LE_Curves!$J$5:$J$205,1)))/(INDEX(LE_Curves!$J$5:$J$205,MATCH($B44,LE_Curves!$J$5:$J$205,1)+1)-INDEX(LE_Curves!$J$5:$J$205,MATCH($B44,LE_Curves!$J$5:$J$205,1))))))</f>
        <v/>
      </c>
      <c r="K44" s="11">
        <f>IF(Inputs!$D$31=0,0,IF($B44&lt;=Inputs!$C$31,0,IF($B44&gt;=INDEX(LE_Curves!$K$5:$K$205,201),INDEX(LE_Curves!$B$5:$B$205,201),INDEX(LE_Curves!$B$5:$B$205,MATCH($B44,LE_Curves!$K$5:$K$205,1))+($B44-INDEX(LE_Curves!$K$5:$K$205,MATCH($B44,LE_Curves!$K$5:$K$205,1)))*(INDEX(LE_Curves!$B$5:$B$205,MATCH($B44,LE_Curves!$K$5:$K$205,1)+1)-INDEX(LE_Curves!$B$5:$B$205,MATCH($B44,LE_Curves!$K$5:$K$205,1)))/(INDEX(LE_Curves!$K$5:$K$205,MATCH($B44,LE_Curves!$K$5:$K$205,1)+1)-INDEX(LE_Curves!$K$5:$K$205,MATCH($B44,LE_Curves!$K$5:$K$205,1))))))</f>
        <v/>
      </c>
      <c r="L44" s="11">
        <f>IF(Inputs!$D$32=0,0,IF($B44&lt;=Inputs!$C$32,0,IF($B44&gt;=INDEX(LE_Curves!$L$5:$L$205,201),INDEX(LE_Curves!$B$5:$B$205,201),INDEX(LE_Curves!$B$5:$B$205,MATCH($B44,LE_Curves!$L$5:$L$205,1))+($B44-INDEX(LE_Curves!$L$5:$L$205,MATCH($B44,LE_Curves!$L$5:$L$205,1)))*(INDEX(LE_Curves!$B$5:$B$205,MATCH($B44,LE_Curves!$L$5:$L$205,1)+1)-INDEX(LE_Curves!$B$5:$B$205,MATCH($B44,LE_Curves!$L$5:$L$205,1)))/(INDEX(LE_Curves!$L$5:$L$205,MATCH($B44,LE_Curves!$L$5:$L$205,1)+1)-INDEX(LE_Curves!$L$5:$L$205,MATCH($B44,LE_Curves!$L$5:$L$205,1))))))</f>
        <v/>
      </c>
      <c r="M44" s="11">
        <f>IF(Inputs!$D$33=0,0,IF($B44&lt;=Inputs!$C$33,0,IF($B44&gt;=INDEX(LE_Curves!$M$5:$M$205,201),INDEX(LE_Curves!$B$5:$B$205,201),INDEX(LE_Curves!$B$5:$B$205,MATCH($B44,LE_Curves!$M$5:$M$205,1))+($B44-INDEX(LE_Curves!$M$5:$M$205,MATCH($B44,LE_Curves!$M$5:$M$205,1)))*(INDEX(LE_Curves!$B$5:$B$205,MATCH($B44,LE_Curves!$M$5:$M$205,1)+1)-INDEX(LE_Curves!$B$5:$B$205,MATCH($B44,LE_Curves!$M$5:$M$205,1)))/(INDEX(LE_Curves!$M$5:$M$205,MATCH($B44,LE_Curves!$M$5:$M$205,1)+1)-INDEX(LE_Curves!$M$5:$M$205,MATCH($B44,LE_Curves!$M$5:$M$205,1))))))</f>
        <v/>
      </c>
      <c r="N44" s="11">
        <f>IF(Inputs!$D$34=0,0,IF($B44&lt;=Inputs!$C$34,0,IF($B44&gt;=INDEX(LE_Curves!$N$5:$N$205,201),INDEX(LE_Curves!$B$5:$B$205,201),INDEX(LE_Curves!$B$5:$B$205,MATCH($B44,LE_Curves!$N$5:$N$205,1))+($B44-INDEX(LE_Curves!$N$5:$N$205,MATCH($B44,LE_Curves!$N$5:$N$205,1)))*(INDEX(LE_Curves!$B$5:$B$205,MATCH($B44,LE_Curves!$N$5:$N$205,1)+1)-INDEX(LE_Curves!$B$5:$B$205,MATCH($B44,LE_Curves!$N$5:$N$205,1)))/(INDEX(LE_Curves!$N$5:$N$205,MATCH($B44,LE_Curves!$N$5:$N$205,1)+1)-INDEX(LE_Curves!$N$5:$N$205,MATCH($B44,LE_Curves!$N$5:$N$205,1))))))</f>
        <v/>
      </c>
      <c r="O44" s="11">
        <f>SUM(C44:N44)</f>
        <v/>
      </c>
      <c r="Q44" s="7" t="n">
        <v>13</v>
      </c>
      <c r="R44" s="23">
        <f>$B$6+($B$7-$B$6)*Q44/200</f>
        <v/>
      </c>
      <c r="S44" s="11">
        <f>IF(Inputs!$D$23=0,0,IF($R44&lt;=Inputs!$C$23,0,IF($R44&gt;=INDEX(LE_Curves!$C$5:$C$205,201),INDEX(LE_Curves!$B$5:$B$205,201),INDEX(LE_Curves!$B$5:$B$205,MATCH($R44,LE_Curves!$C$5:$C$205,1))+($R44-INDEX(LE_Curves!$C$5:$C$205,MATCH($R44,LE_Curves!$C$5:$C$205,1)))*(INDEX(LE_Curves!$B$5:$B$205,MATCH($R44,LE_Curves!$C$5:$C$205,1)+1)-INDEX(LE_Curves!$B$5:$B$205,MATCH($R44,LE_Curves!$C$5:$C$205,1)))/(INDEX(LE_Curves!$C$5:$C$205,MATCH($R44,LE_Curves!$C$5:$C$205,1)+1)-INDEX(LE_Curves!$C$5:$C$205,MATCH($R44,LE_Curves!$C$5:$C$205,1))))))</f>
        <v/>
      </c>
      <c r="T44" s="11">
        <f>IF(Inputs!$D$24=0,0,IF($R44&lt;=Inputs!$C$24,0,IF($R44&gt;=INDEX(LE_Curves!$D$5:$D$205,201),INDEX(LE_Curves!$B$5:$B$205,201),INDEX(LE_Curves!$B$5:$B$205,MATCH($R44,LE_Curves!$D$5:$D$205,1))+($R44-INDEX(LE_Curves!$D$5:$D$205,MATCH($R44,LE_Curves!$D$5:$D$205,1)))*(INDEX(LE_Curves!$B$5:$B$205,MATCH($R44,LE_Curves!$D$5:$D$205,1)+1)-INDEX(LE_Curves!$B$5:$B$205,MATCH($R44,LE_Curves!$D$5:$D$205,1)))/(INDEX(LE_Curves!$D$5:$D$205,MATCH($R44,LE_Curves!$D$5:$D$205,1)+1)-INDEX(LE_Curves!$D$5:$D$205,MATCH($R44,LE_Curves!$D$5:$D$205,1))))))</f>
        <v/>
      </c>
      <c r="U44" s="11">
        <f>IF(Inputs!$D$25=0,0,IF($R44&lt;=Inputs!$C$25,0,IF($R44&gt;=INDEX(LE_Curves!$E$5:$E$205,201),INDEX(LE_Curves!$B$5:$B$205,201),INDEX(LE_Curves!$B$5:$B$205,MATCH($R44,LE_Curves!$E$5:$E$205,1))+($R44-INDEX(LE_Curves!$E$5:$E$205,MATCH($R44,LE_Curves!$E$5:$E$205,1)))*(INDEX(LE_Curves!$B$5:$B$205,MATCH($R44,LE_Curves!$E$5:$E$205,1)+1)-INDEX(LE_Curves!$B$5:$B$205,MATCH($R44,LE_Curves!$E$5:$E$205,1)))/(INDEX(LE_Curves!$E$5:$E$205,MATCH($R44,LE_Curves!$E$5:$E$205,1)+1)-INDEX(LE_Curves!$E$5:$E$205,MATCH($R44,LE_Curves!$E$5:$E$205,1))))))</f>
        <v/>
      </c>
      <c r="V44" s="11">
        <f>IF(Inputs!$D$26=0,0,IF($R44&lt;=Inputs!$C$26,0,IF($R44&gt;=INDEX(LE_Curves!$F$5:$F$205,201),INDEX(LE_Curves!$B$5:$B$205,201),INDEX(LE_Curves!$B$5:$B$205,MATCH($R44,LE_Curves!$F$5:$F$205,1))+($R44-INDEX(LE_Curves!$F$5:$F$205,MATCH($R44,LE_Curves!$F$5:$F$205,1)))*(INDEX(LE_Curves!$B$5:$B$205,MATCH($R44,LE_Curves!$F$5:$F$205,1)+1)-INDEX(LE_Curves!$B$5:$B$205,MATCH($R44,LE_Curves!$F$5:$F$205,1)))/(INDEX(LE_Curves!$F$5:$F$205,MATCH($R44,LE_Curves!$F$5:$F$205,1)+1)-INDEX(LE_Curves!$F$5:$F$205,MATCH($R44,LE_Curves!$F$5:$F$205,1))))))</f>
        <v/>
      </c>
      <c r="W44" s="11">
        <f>IF(Inputs!$D$27=0,0,IF($R44&lt;=Inputs!$C$27,0,IF($R44&gt;=INDEX(LE_Curves!$G$5:$G$205,201),INDEX(LE_Curves!$B$5:$B$205,201),INDEX(LE_Curves!$B$5:$B$205,MATCH($R44,LE_Curves!$G$5:$G$205,1))+($R44-INDEX(LE_Curves!$G$5:$G$205,MATCH($R44,LE_Curves!$G$5:$G$205,1)))*(INDEX(LE_Curves!$B$5:$B$205,MATCH($R44,LE_Curves!$G$5:$G$205,1)+1)-INDEX(LE_Curves!$B$5:$B$205,MATCH($R44,LE_Curves!$G$5:$G$205,1)))/(INDEX(LE_Curves!$G$5:$G$205,MATCH($R44,LE_Curves!$G$5:$G$205,1)+1)-INDEX(LE_Curves!$G$5:$G$205,MATCH($R44,LE_Curves!$G$5:$G$205,1))))))</f>
        <v/>
      </c>
      <c r="X44" s="11">
        <f>IF(Inputs!$D$28=0,0,IF($R44&lt;=Inputs!$C$28,0,IF($R44&gt;=INDEX(LE_Curves!$H$5:$H$205,201),INDEX(LE_Curves!$B$5:$B$205,201),INDEX(LE_Curves!$B$5:$B$205,MATCH($R44,LE_Curves!$H$5:$H$205,1))+($R44-INDEX(LE_Curves!$H$5:$H$205,MATCH($R44,LE_Curves!$H$5:$H$205,1)))*(INDEX(LE_Curves!$B$5:$B$205,MATCH($R44,LE_Curves!$H$5:$H$205,1)+1)-INDEX(LE_Curves!$B$5:$B$205,MATCH($R44,LE_Curves!$H$5:$H$205,1)))/(INDEX(LE_Curves!$H$5:$H$205,MATCH($R44,LE_Curves!$H$5:$H$205,1)+1)-INDEX(LE_Curves!$H$5:$H$205,MATCH($R44,LE_Curves!$H$5:$H$205,1))))))</f>
        <v/>
      </c>
      <c r="Y44" s="11">
        <f>IF(Inputs!$D$29=0,0,IF($R44&lt;=Inputs!$C$29,0,IF($R44&gt;=INDEX(LE_Curves!$I$5:$I$205,201),INDEX(LE_Curves!$B$5:$B$205,201),INDEX(LE_Curves!$B$5:$B$205,MATCH($R44,LE_Curves!$I$5:$I$205,1))+($R44-INDEX(LE_Curves!$I$5:$I$205,MATCH($R44,LE_Curves!$I$5:$I$205,1)))*(INDEX(LE_Curves!$B$5:$B$205,MATCH($R44,LE_Curves!$I$5:$I$205,1)+1)-INDEX(LE_Curves!$B$5:$B$205,MATCH($R44,LE_Curves!$I$5:$I$205,1)))/(INDEX(LE_Curves!$I$5:$I$205,MATCH($R44,LE_Curves!$I$5:$I$205,1)+1)-INDEX(LE_Curves!$I$5:$I$205,MATCH($R44,LE_Curves!$I$5:$I$205,1))))))</f>
        <v/>
      </c>
      <c r="Z44" s="11">
        <f>IF(Inputs!$D$30=0,0,IF($R44&lt;=Inputs!$C$30,0,IF($R44&gt;=INDEX(LE_Curves!$J$5:$J$205,201),INDEX(LE_Curves!$B$5:$B$205,201),INDEX(LE_Curves!$B$5:$B$205,MATCH($R44,LE_Curves!$J$5:$J$205,1))+($R44-INDEX(LE_Curves!$J$5:$J$205,MATCH($R44,LE_Curves!$J$5:$J$205,1)))*(INDEX(LE_Curves!$B$5:$B$205,MATCH($R44,LE_Curves!$J$5:$J$205,1)+1)-INDEX(LE_Curves!$B$5:$B$205,MATCH($R44,LE_Curves!$J$5:$J$205,1)))/(INDEX(LE_Curves!$J$5:$J$205,MATCH($R44,LE_Curves!$J$5:$J$205,1)+1)-INDEX(LE_Curves!$J$5:$J$205,MATCH($R44,LE_Curves!$J$5:$J$205,1))))))</f>
        <v/>
      </c>
      <c r="AA44" s="11">
        <f>IF(Inputs!$D$31=0,0,IF($R44&lt;=Inputs!$C$31,0,IF($R44&gt;=INDEX(LE_Curves!$K$5:$K$205,201),INDEX(LE_Curves!$B$5:$B$205,201),INDEX(LE_Curves!$B$5:$B$205,MATCH($R44,LE_Curves!$K$5:$K$205,1))+($R44-INDEX(LE_Curves!$K$5:$K$205,MATCH($R44,LE_Curves!$K$5:$K$205,1)))*(INDEX(LE_Curves!$B$5:$B$205,MATCH($R44,LE_Curves!$K$5:$K$205,1)+1)-INDEX(LE_Curves!$B$5:$B$205,MATCH($R44,LE_Curves!$K$5:$K$205,1)))/(INDEX(LE_Curves!$K$5:$K$205,MATCH($R44,LE_Curves!$K$5:$K$205,1)+1)-INDEX(LE_Curves!$K$5:$K$205,MATCH($R44,LE_Curves!$K$5:$K$205,1))))))</f>
        <v/>
      </c>
      <c r="AB44" s="11">
        <f>IF(Inputs!$D$32=0,0,IF($R44&lt;=Inputs!$C$32,0,IF($R44&gt;=INDEX(LE_Curves!$L$5:$L$205,201),INDEX(LE_Curves!$B$5:$B$205,201),INDEX(LE_Curves!$B$5:$B$205,MATCH($R44,LE_Curves!$L$5:$L$205,1))+($R44-INDEX(LE_Curves!$L$5:$L$205,MATCH($R44,LE_Curves!$L$5:$L$205,1)))*(INDEX(LE_Curves!$B$5:$B$205,MATCH($R44,LE_Curves!$L$5:$L$205,1)+1)-INDEX(LE_Curves!$B$5:$B$205,MATCH($R44,LE_Curves!$L$5:$L$205,1)))/(INDEX(LE_Curves!$L$5:$L$205,MATCH($R44,LE_Curves!$L$5:$L$205,1)+1)-INDEX(LE_Curves!$L$5:$L$205,MATCH($R44,LE_Curves!$L$5:$L$205,1))))))</f>
        <v/>
      </c>
      <c r="AC44" s="11">
        <f>IF(Inputs!$D$33=0,0,IF($R44&lt;=Inputs!$C$33,0,IF($R44&gt;=INDEX(LE_Curves!$M$5:$M$205,201),INDEX(LE_Curves!$B$5:$B$205,201),INDEX(LE_Curves!$B$5:$B$205,MATCH($R44,LE_Curves!$M$5:$M$205,1))+($R44-INDEX(LE_Curves!$M$5:$M$205,MATCH($R44,LE_Curves!$M$5:$M$205,1)))*(INDEX(LE_Curves!$B$5:$B$205,MATCH($R44,LE_Curves!$M$5:$M$205,1)+1)-INDEX(LE_Curves!$B$5:$B$205,MATCH($R44,LE_Curves!$M$5:$M$205,1)))/(INDEX(LE_Curves!$M$5:$M$205,MATCH($R44,LE_Curves!$M$5:$M$205,1)+1)-INDEX(LE_Curves!$M$5:$M$205,MATCH($R44,LE_Curves!$M$5:$M$205,1))))))</f>
        <v/>
      </c>
      <c r="AD44" s="11">
        <f>IF(Inputs!$D$34=0,0,IF($R44&lt;=Inputs!$C$34,0,IF($R44&gt;=INDEX(LE_Curves!$N$5:$N$205,201),INDEX(LE_Curves!$B$5:$B$205,201),INDEX(LE_Curves!$B$5:$B$205,MATCH($R44,LE_Curves!$N$5:$N$205,1))+($R44-INDEX(LE_Curves!$N$5:$N$205,MATCH($R44,LE_Curves!$N$5:$N$205,1)))*(INDEX(LE_Curves!$B$5:$B$205,MATCH($R44,LE_Curves!$N$5:$N$205,1)+1)-INDEX(LE_Curves!$B$5:$B$205,MATCH($R44,LE_Curves!$N$5:$N$205,1)))/(INDEX(LE_Curves!$N$5:$N$205,MATCH($R44,LE_Curves!$N$5:$N$205,1)+1)-INDEX(LE_Curves!$N$5:$N$205,MATCH($R44,LE_Curves!$N$5:$N$205,1))))))</f>
        <v/>
      </c>
      <c r="AE44" s="37">
        <f>SUM(S44:AD44)</f>
        <v/>
      </c>
    </row>
    <row r="45">
      <c r="A45" s="7" t="n">
        <v>14</v>
      </c>
      <c r="B45" s="37">
        <f>$B$3+($B$4-$B$3)*A45/200</f>
        <v/>
      </c>
      <c r="C45" s="11">
        <f>IF(Inputs!$D$23=0,0,IF($B45&lt;=Inputs!$C$23,0,IF($B45&gt;=INDEX(LE_Curves!$C$5:$C$205,201),INDEX(LE_Curves!$B$5:$B$205,201),INDEX(LE_Curves!$B$5:$B$205,MATCH($B45,LE_Curves!$C$5:$C$205,1))+($B45-INDEX(LE_Curves!$C$5:$C$205,MATCH($B45,LE_Curves!$C$5:$C$205,1)))*(INDEX(LE_Curves!$B$5:$B$205,MATCH($B45,LE_Curves!$C$5:$C$205,1)+1)-INDEX(LE_Curves!$B$5:$B$205,MATCH($B45,LE_Curves!$C$5:$C$205,1)))/(INDEX(LE_Curves!$C$5:$C$205,MATCH($B45,LE_Curves!$C$5:$C$205,1)+1)-INDEX(LE_Curves!$C$5:$C$205,MATCH($B45,LE_Curves!$C$5:$C$205,1))))))</f>
        <v/>
      </c>
      <c r="D45" s="11">
        <f>IF(Inputs!$D$24=0,0,IF($B45&lt;=Inputs!$C$24,0,IF($B45&gt;=INDEX(LE_Curves!$D$5:$D$205,201),INDEX(LE_Curves!$B$5:$B$205,201),INDEX(LE_Curves!$B$5:$B$205,MATCH($B45,LE_Curves!$D$5:$D$205,1))+($B45-INDEX(LE_Curves!$D$5:$D$205,MATCH($B45,LE_Curves!$D$5:$D$205,1)))*(INDEX(LE_Curves!$B$5:$B$205,MATCH($B45,LE_Curves!$D$5:$D$205,1)+1)-INDEX(LE_Curves!$B$5:$B$205,MATCH($B45,LE_Curves!$D$5:$D$205,1)))/(INDEX(LE_Curves!$D$5:$D$205,MATCH($B45,LE_Curves!$D$5:$D$205,1)+1)-INDEX(LE_Curves!$D$5:$D$205,MATCH($B45,LE_Curves!$D$5:$D$205,1))))))</f>
        <v/>
      </c>
      <c r="E45" s="11">
        <f>IF(Inputs!$D$25=0,0,IF($B45&lt;=Inputs!$C$25,0,IF($B45&gt;=INDEX(LE_Curves!$E$5:$E$205,201),INDEX(LE_Curves!$B$5:$B$205,201),INDEX(LE_Curves!$B$5:$B$205,MATCH($B45,LE_Curves!$E$5:$E$205,1))+($B45-INDEX(LE_Curves!$E$5:$E$205,MATCH($B45,LE_Curves!$E$5:$E$205,1)))*(INDEX(LE_Curves!$B$5:$B$205,MATCH($B45,LE_Curves!$E$5:$E$205,1)+1)-INDEX(LE_Curves!$B$5:$B$205,MATCH($B45,LE_Curves!$E$5:$E$205,1)))/(INDEX(LE_Curves!$E$5:$E$205,MATCH($B45,LE_Curves!$E$5:$E$205,1)+1)-INDEX(LE_Curves!$E$5:$E$205,MATCH($B45,LE_Curves!$E$5:$E$205,1))))))</f>
        <v/>
      </c>
      <c r="F45" s="11">
        <f>IF(Inputs!$D$26=0,0,IF($B45&lt;=Inputs!$C$26,0,IF($B45&gt;=INDEX(LE_Curves!$F$5:$F$205,201),INDEX(LE_Curves!$B$5:$B$205,201),INDEX(LE_Curves!$B$5:$B$205,MATCH($B45,LE_Curves!$F$5:$F$205,1))+($B45-INDEX(LE_Curves!$F$5:$F$205,MATCH($B45,LE_Curves!$F$5:$F$205,1)))*(INDEX(LE_Curves!$B$5:$B$205,MATCH($B45,LE_Curves!$F$5:$F$205,1)+1)-INDEX(LE_Curves!$B$5:$B$205,MATCH($B45,LE_Curves!$F$5:$F$205,1)))/(INDEX(LE_Curves!$F$5:$F$205,MATCH($B45,LE_Curves!$F$5:$F$205,1)+1)-INDEX(LE_Curves!$F$5:$F$205,MATCH($B45,LE_Curves!$F$5:$F$205,1))))))</f>
        <v/>
      </c>
      <c r="G45" s="11">
        <f>IF(Inputs!$D$27=0,0,IF($B45&lt;=Inputs!$C$27,0,IF($B45&gt;=INDEX(LE_Curves!$G$5:$G$205,201),INDEX(LE_Curves!$B$5:$B$205,201),INDEX(LE_Curves!$B$5:$B$205,MATCH($B45,LE_Curves!$G$5:$G$205,1))+($B45-INDEX(LE_Curves!$G$5:$G$205,MATCH($B45,LE_Curves!$G$5:$G$205,1)))*(INDEX(LE_Curves!$B$5:$B$205,MATCH($B45,LE_Curves!$G$5:$G$205,1)+1)-INDEX(LE_Curves!$B$5:$B$205,MATCH($B45,LE_Curves!$G$5:$G$205,1)))/(INDEX(LE_Curves!$G$5:$G$205,MATCH($B45,LE_Curves!$G$5:$G$205,1)+1)-INDEX(LE_Curves!$G$5:$G$205,MATCH($B45,LE_Curves!$G$5:$G$205,1))))))</f>
        <v/>
      </c>
      <c r="H45" s="11">
        <f>IF(Inputs!$D$28=0,0,IF($B45&lt;=Inputs!$C$28,0,IF($B45&gt;=INDEX(LE_Curves!$H$5:$H$205,201),INDEX(LE_Curves!$B$5:$B$205,201),INDEX(LE_Curves!$B$5:$B$205,MATCH($B45,LE_Curves!$H$5:$H$205,1))+($B45-INDEX(LE_Curves!$H$5:$H$205,MATCH($B45,LE_Curves!$H$5:$H$205,1)))*(INDEX(LE_Curves!$B$5:$B$205,MATCH($B45,LE_Curves!$H$5:$H$205,1)+1)-INDEX(LE_Curves!$B$5:$B$205,MATCH($B45,LE_Curves!$H$5:$H$205,1)))/(INDEX(LE_Curves!$H$5:$H$205,MATCH($B45,LE_Curves!$H$5:$H$205,1)+1)-INDEX(LE_Curves!$H$5:$H$205,MATCH($B45,LE_Curves!$H$5:$H$205,1))))))</f>
        <v/>
      </c>
      <c r="I45" s="11">
        <f>IF(Inputs!$D$29=0,0,IF($B45&lt;=Inputs!$C$29,0,IF($B45&gt;=INDEX(LE_Curves!$I$5:$I$205,201),INDEX(LE_Curves!$B$5:$B$205,201),INDEX(LE_Curves!$B$5:$B$205,MATCH($B45,LE_Curves!$I$5:$I$205,1))+($B45-INDEX(LE_Curves!$I$5:$I$205,MATCH($B45,LE_Curves!$I$5:$I$205,1)))*(INDEX(LE_Curves!$B$5:$B$205,MATCH($B45,LE_Curves!$I$5:$I$205,1)+1)-INDEX(LE_Curves!$B$5:$B$205,MATCH($B45,LE_Curves!$I$5:$I$205,1)))/(INDEX(LE_Curves!$I$5:$I$205,MATCH($B45,LE_Curves!$I$5:$I$205,1)+1)-INDEX(LE_Curves!$I$5:$I$205,MATCH($B45,LE_Curves!$I$5:$I$205,1))))))</f>
        <v/>
      </c>
      <c r="J45" s="11">
        <f>IF(Inputs!$D$30=0,0,IF($B45&lt;=Inputs!$C$30,0,IF($B45&gt;=INDEX(LE_Curves!$J$5:$J$205,201),INDEX(LE_Curves!$B$5:$B$205,201),INDEX(LE_Curves!$B$5:$B$205,MATCH($B45,LE_Curves!$J$5:$J$205,1))+($B45-INDEX(LE_Curves!$J$5:$J$205,MATCH($B45,LE_Curves!$J$5:$J$205,1)))*(INDEX(LE_Curves!$B$5:$B$205,MATCH($B45,LE_Curves!$J$5:$J$205,1)+1)-INDEX(LE_Curves!$B$5:$B$205,MATCH($B45,LE_Curves!$J$5:$J$205,1)))/(INDEX(LE_Curves!$J$5:$J$205,MATCH($B45,LE_Curves!$J$5:$J$205,1)+1)-INDEX(LE_Curves!$J$5:$J$205,MATCH($B45,LE_Curves!$J$5:$J$205,1))))))</f>
        <v/>
      </c>
      <c r="K45" s="11">
        <f>IF(Inputs!$D$31=0,0,IF($B45&lt;=Inputs!$C$31,0,IF($B45&gt;=INDEX(LE_Curves!$K$5:$K$205,201),INDEX(LE_Curves!$B$5:$B$205,201),INDEX(LE_Curves!$B$5:$B$205,MATCH($B45,LE_Curves!$K$5:$K$205,1))+($B45-INDEX(LE_Curves!$K$5:$K$205,MATCH($B45,LE_Curves!$K$5:$K$205,1)))*(INDEX(LE_Curves!$B$5:$B$205,MATCH($B45,LE_Curves!$K$5:$K$205,1)+1)-INDEX(LE_Curves!$B$5:$B$205,MATCH($B45,LE_Curves!$K$5:$K$205,1)))/(INDEX(LE_Curves!$K$5:$K$205,MATCH($B45,LE_Curves!$K$5:$K$205,1)+1)-INDEX(LE_Curves!$K$5:$K$205,MATCH($B45,LE_Curves!$K$5:$K$205,1))))))</f>
        <v/>
      </c>
      <c r="L45" s="11">
        <f>IF(Inputs!$D$32=0,0,IF($B45&lt;=Inputs!$C$32,0,IF($B45&gt;=INDEX(LE_Curves!$L$5:$L$205,201),INDEX(LE_Curves!$B$5:$B$205,201),INDEX(LE_Curves!$B$5:$B$205,MATCH($B45,LE_Curves!$L$5:$L$205,1))+($B45-INDEX(LE_Curves!$L$5:$L$205,MATCH($B45,LE_Curves!$L$5:$L$205,1)))*(INDEX(LE_Curves!$B$5:$B$205,MATCH($B45,LE_Curves!$L$5:$L$205,1)+1)-INDEX(LE_Curves!$B$5:$B$205,MATCH($B45,LE_Curves!$L$5:$L$205,1)))/(INDEX(LE_Curves!$L$5:$L$205,MATCH($B45,LE_Curves!$L$5:$L$205,1)+1)-INDEX(LE_Curves!$L$5:$L$205,MATCH($B45,LE_Curves!$L$5:$L$205,1))))))</f>
        <v/>
      </c>
      <c r="M45" s="11">
        <f>IF(Inputs!$D$33=0,0,IF($B45&lt;=Inputs!$C$33,0,IF($B45&gt;=INDEX(LE_Curves!$M$5:$M$205,201),INDEX(LE_Curves!$B$5:$B$205,201),INDEX(LE_Curves!$B$5:$B$205,MATCH($B45,LE_Curves!$M$5:$M$205,1))+($B45-INDEX(LE_Curves!$M$5:$M$205,MATCH($B45,LE_Curves!$M$5:$M$205,1)))*(INDEX(LE_Curves!$B$5:$B$205,MATCH($B45,LE_Curves!$M$5:$M$205,1)+1)-INDEX(LE_Curves!$B$5:$B$205,MATCH($B45,LE_Curves!$M$5:$M$205,1)))/(INDEX(LE_Curves!$M$5:$M$205,MATCH($B45,LE_Curves!$M$5:$M$205,1)+1)-INDEX(LE_Curves!$M$5:$M$205,MATCH($B45,LE_Curves!$M$5:$M$205,1))))))</f>
        <v/>
      </c>
      <c r="N45" s="11">
        <f>IF(Inputs!$D$34=0,0,IF($B45&lt;=Inputs!$C$34,0,IF($B45&gt;=INDEX(LE_Curves!$N$5:$N$205,201),INDEX(LE_Curves!$B$5:$B$205,201),INDEX(LE_Curves!$B$5:$B$205,MATCH($B45,LE_Curves!$N$5:$N$205,1))+($B45-INDEX(LE_Curves!$N$5:$N$205,MATCH($B45,LE_Curves!$N$5:$N$205,1)))*(INDEX(LE_Curves!$B$5:$B$205,MATCH($B45,LE_Curves!$N$5:$N$205,1)+1)-INDEX(LE_Curves!$B$5:$B$205,MATCH($B45,LE_Curves!$N$5:$N$205,1)))/(INDEX(LE_Curves!$N$5:$N$205,MATCH($B45,LE_Curves!$N$5:$N$205,1)+1)-INDEX(LE_Curves!$N$5:$N$205,MATCH($B45,LE_Curves!$N$5:$N$205,1))))))</f>
        <v/>
      </c>
      <c r="O45" s="11">
        <f>SUM(C45:N45)</f>
        <v/>
      </c>
      <c r="Q45" s="7" t="n">
        <v>14</v>
      </c>
      <c r="R45" s="23">
        <f>$B$6+($B$7-$B$6)*Q45/200</f>
        <v/>
      </c>
      <c r="S45" s="11">
        <f>IF(Inputs!$D$23=0,0,IF($R45&lt;=Inputs!$C$23,0,IF($R45&gt;=INDEX(LE_Curves!$C$5:$C$205,201),INDEX(LE_Curves!$B$5:$B$205,201),INDEX(LE_Curves!$B$5:$B$205,MATCH($R45,LE_Curves!$C$5:$C$205,1))+($R45-INDEX(LE_Curves!$C$5:$C$205,MATCH($R45,LE_Curves!$C$5:$C$205,1)))*(INDEX(LE_Curves!$B$5:$B$205,MATCH($R45,LE_Curves!$C$5:$C$205,1)+1)-INDEX(LE_Curves!$B$5:$B$205,MATCH($R45,LE_Curves!$C$5:$C$205,1)))/(INDEX(LE_Curves!$C$5:$C$205,MATCH($R45,LE_Curves!$C$5:$C$205,1)+1)-INDEX(LE_Curves!$C$5:$C$205,MATCH($R45,LE_Curves!$C$5:$C$205,1))))))</f>
        <v/>
      </c>
      <c r="T45" s="11">
        <f>IF(Inputs!$D$24=0,0,IF($R45&lt;=Inputs!$C$24,0,IF($R45&gt;=INDEX(LE_Curves!$D$5:$D$205,201),INDEX(LE_Curves!$B$5:$B$205,201),INDEX(LE_Curves!$B$5:$B$205,MATCH($R45,LE_Curves!$D$5:$D$205,1))+($R45-INDEX(LE_Curves!$D$5:$D$205,MATCH($R45,LE_Curves!$D$5:$D$205,1)))*(INDEX(LE_Curves!$B$5:$B$205,MATCH($R45,LE_Curves!$D$5:$D$205,1)+1)-INDEX(LE_Curves!$B$5:$B$205,MATCH($R45,LE_Curves!$D$5:$D$205,1)))/(INDEX(LE_Curves!$D$5:$D$205,MATCH($R45,LE_Curves!$D$5:$D$205,1)+1)-INDEX(LE_Curves!$D$5:$D$205,MATCH($R45,LE_Curves!$D$5:$D$205,1))))))</f>
        <v/>
      </c>
      <c r="U45" s="11">
        <f>IF(Inputs!$D$25=0,0,IF($R45&lt;=Inputs!$C$25,0,IF($R45&gt;=INDEX(LE_Curves!$E$5:$E$205,201),INDEX(LE_Curves!$B$5:$B$205,201),INDEX(LE_Curves!$B$5:$B$205,MATCH($R45,LE_Curves!$E$5:$E$205,1))+($R45-INDEX(LE_Curves!$E$5:$E$205,MATCH($R45,LE_Curves!$E$5:$E$205,1)))*(INDEX(LE_Curves!$B$5:$B$205,MATCH($R45,LE_Curves!$E$5:$E$205,1)+1)-INDEX(LE_Curves!$B$5:$B$205,MATCH($R45,LE_Curves!$E$5:$E$205,1)))/(INDEX(LE_Curves!$E$5:$E$205,MATCH($R45,LE_Curves!$E$5:$E$205,1)+1)-INDEX(LE_Curves!$E$5:$E$205,MATCH($R45,LE_Curves!$E$5:$E$205,1))))))</f>
        <v/>
      </c>
      <c r="V45" s="11">
        <f>IF(Inputs!$D$26=0,0,IF($R45&lt;=Inputs!$C$26,0,IF($R45&gt;=INDEX(LE_Curves!$F$5:$F$205,201),INDEX(LE_Curves!$B$5:$B$205,201),INDEX(LE_Curves!$B$5:$B$205,MATCH($R45,LE_Curves!$F$5:$F$205,1))+($R45-INDEX(LE_Curves!$F$5:$F$205,MATCH($R45,LE_Curves!$F$5:$F$205,1)))*(INDEX(LE_Curves!$B$5:$B$205,MATCH($R45,LE_Curves!$F$5:$F$205,1)+1)-INDEX(LE_Curves!$B$5:$B$205,MATCH($R45,LE_Curves!$F$5:$F$205,1)))/(INDEX(LE_Curves!$F$5:$F$205,MATCH($R45,LE_Curves!$F$5:$F$205,1)+1)-INDEX(LE_Curves!$F$5:$F$205,MATCH($R45,LE_Curves!$F$5:$F$205,1))))))</f>
        <v/>
      </c>
      <c r="W45" s="11">
        <f>IF(Inputs!$D$27=0,0,IF($R45&lt;=Inputs!$C$27,0,IF($R45&gt;=INDEX(LE_Curves!$G$5:$G$205,201),INDEX(LE_Curves!$B$5:$B$205,201),INDEX(LE_Curves!$B$5:$B$205,MATCH($R45,LE_Curves!$G$5:$G$205,1))+($R45-INDEX(LE_Curves!$G$5:$G$205,MATCH($R45,LE_Curves!$G$5:$G$205,1)))*(INDEX(LE_Curves!$B$5:$B$205,MATCH($R45,LE_Curves!$G$5:$G$205,1)+1)-INDEX(LE_Curves!$B$5:$B$205,MATCH($R45,LE_Curves!$G$5:$G$205,1)))/(INDEX(LE_Curves!$G$5:$G$205,MATCH($R45,LE_Curves!$G$5:$G$205,1)+1)-INDEX(LE_Curves!$G$5:$G$205,MATCH($R45,LE_Curves!$G$5:$G$205,1))))))</f>
        <v/>
      </c>
      <c r="X45" s="11">
        <f>IF(Inputs!$D$28=0,0,IF($R45&lt;=Inputs!$C$28,0,IF($R45&gt;=INDEX(LE_Curves!$H$5:$H$205,201),INDEX(LE_Curves!$B$5:$B$205,201),INDEX(LE_Curves!$B$5:$B$205,MATCH($R45,LE_Curves!$H$5:$H$205,1))+($R45-INDEX(LE_Curves!$H$5:$H$205,MATCH($R45,LE_Curves!$H$5:$H$205,1)))*(INDEX(LE_Curves!$B$5:$B$205,MATCH($R45,LE_Curves!$H$5:$H$205,1)+1)-INDEX(LE_Curves!$B$5:$B$205,MATCH($R45,LE_Curves!$H$5:$H$205,1)))/(INDEX(LE_Curves!$H$5:$H$205,MATCH($R45,LE_Curves!$H$5:$H$205,1)+1)-INDEX(LE_Curves!$H$5:$H$205,MATCH($R45,LE_Curves!$H$5:$H$205,1))))))</f>
        <v/>
      </c>
      <c r="Y45" s="11">
        <f>IF(Inputs!$D$29=0,0,IF($R45&lt;=Inputs!$C$29,0,IF($R45&gt;=INDEX(LE_Curves!$I$5:$I$205,201),INDEX(LE_Curves!$B$5:$B$205,201),INDEX(LE_Curves!$B$5:$B$205,MATCH($R45,LE_Curves!$I$5:$I$205,1))+($R45-INDEX(LE_Curves!$I$5:$I$205,MATCH($R45,LE_Curves!$I$5:$I$205,1)))*(INDEX(LE_Curves!$B$5:$B$205,MATCH($R45,LE_Curves!$I$5:$I$205,1)+1)-INDEX(LE_Curves!$B$5:$B$205,MATCH($R45,LE_Curves!$I$5:$I$205,1)))/(INDEX(LE_Curves!$I$5:$I$205,MATCH($R45,LE_Curves!$I$5:$I$205,1)+1)-INDEX(LE_Curves!$I$5:$I$205,MATCH($R45,LE_Curves!$I$5:$I$205,1))))))</f>
        <v/>
      </c>
      <c r="Z45" s="11">
        <f>IF(Inputs!$D$30=0,0,IF($R45&lt;=Inputs!$C$30,0,IF($R45&gt;=INDEX(LE_Curves!$J$5:$J$205,201),INDEX(LE_Curves!$B$5:$B$205,201),INDEX(LE_Curves!$B$5:$B$205,MATCH($R45,LE_Curves!$J$5:$J$205,1))+($R45-INDEX(LE_Curves!$J$5:$J$205,MATCH($R45,LE_Curves!$J$5:$J$205,1)))*(INDEX(LE_Curves!$B$5:$B$205,MATCH($R45,LE_Curves!$J$5:$J$205,1)+1)-INDEX(LE_Curves!$B$5:$B$205,MATCH($R45,LE_Curves!$J$5:$J$205,1)))/(INDEX(LE_Curves!$J$5:$J$205,MATCH($R45,LE_Curves!$J$5:$J$205,1)+1)-INDEX(LE_Curves!$J$5:$J$205,MATCH($R45,LE_Curves!$J$5:$J$205,1))))))</f>
        <v/>
      </c>
      <c r="AA45" s="11">
        <f>IF(Inputs!$D$31=0,0,IF($R45&lt;=Inputs!$C$31,0,IF($R45&gt;=INDEX(LE_Curves!$K$5:$K$205,201),INDEX(LE_Curves!$B$5:$B$205,201),INDEX(LE_Curves!$B$5:$B$205,MATCH($R45,LE_Curves!$K$5:$K$205,1))+($R45-INDEX(LE_Curves!$K$5:$K$205,MATCH($R45,LE_Curves!$K$5:$K$205,1)))*(INDEX(LE_Curves!$B$5:$B$205,MATCH($R45,LE_Curves!$K$5:$K$205,1)+1)-INDEX(LE_Curves!$B$5:$B$205,MATCH($R45,LE_Curves!$K$5:$K$205,1)))/(INDEX(LE_Curves!$K$5:$K$205,MATCH($R45,LE_Curves!$K$5:$K$205,1)+1)-INDEX(LE_Curves!$K$5:$K$205,MATCH($R45,LE_Curves!$K$5:$K$205,1))))))</f>
        <v/>
      </c>
      <c r="AB45" s="11">
        <f>IF(Inputs!$D$32=0,0,IF($R45&lt;=Inputs!$C$32,0,IF($R45&gt;=INDEX(LE_Curves!$L$5:$L$205,201),INDEX(LE_Curves!$B$5:$B$205,201),INDEX(LE_Curves!$B$5:$B$205,MATCH($R45,LE_Curves!$L$5:$L$205,1))+($R45-INDEX(LE_Curves!$L$5:$L$205,MATCH($R45,LE_Curves!$L$5:$L$205,1)))*(INDEX(LE_Curves!$B$5:$B$205,MATCH($R45,LE_Curves!$L$5:$L$205,1)+1)-INDEX(LE_Curves!$B$5:$B$205,MATCH($R45,LE_Curves!$L$5:$L$205,1)))/(INDEX(LE_Curves!$L$5:$L$205,MATCH($R45,LE_Curves!$L$5:$L$205,1)+1)-INDEX(LE_Curves!$L$5:$L$205,MATCH($R45,LE_Curves!$L$5:$L$205,1))))))</f>
        <v/>
      </c>
      <c r="AC45" s="11">
        <f>IF(Inputs!$D$33=0,0,IF($R45&lt;=Inputs!$C$33,0,IF($R45&gt;=INDEX(LE_Curves!$M$5:$M$205,201),INDEX(LE_Curves!$B$5:$B$205,201),INDEX(LE_Curves!$B$5:$B$205,MATCH($R45,LE_Curves!$M$5:$M$205,1))+($R45-INDEX(LE_Curves!$M$5:$M$205,MATCH($R45,LE_Curves!$M$5:$M$205,1)))*(INDEX(LE_Curves!$B$5:$B$205,MATCH($R45,LE_Curves!$M$5:$M$205,1)+1)-INDEX(LE_Curves!$B$5:$B$205,MATCH($R45,LE_Curves!$M$5:$M$205,1)))/(INDEX(LE_Curves!$M$5:$M$205,MATCH($R45,LE_Curves!$M$5:$M$205,1)+1)-INDEX(LE_Curves!$M$5:$M$205,MATCH($R45,LE_Curves!$M$5:$M$205,1))))))</f>
        <v/>
      </c>
      <c r="AD45" s="11">
        <f>IF(Inputs!$D$34=0,0,IF($R45&lt;=Inputs!$C$34,0,IF($R45&gt;=INDEX(LE_Curves!$N$5:$N$205,201),INDEX(LE_Curves!$B$5:$B$205,201),INDEX(LE_Curves!$B$5:$B$205,MATCH($R45,LE_Curves!$N$5:$N$205,1))+($R45-INDEX(LE_Curves!$N$5:$N$205,MATCH($R45,LE_Curves!$N$5:$N$205,1)))*(INDEX(LE_Curves!$B$5:$B$205,MATCH($R45,LE_Curves!$N$5:$N$205,1)+1)-INDEX(LE_Curves!$B$5:$B$205,MATCH($R45,LE_Curves!$N$5:$N$205,1)))/(INDEX(LE_Curves!$N$5:$N$205,MATCH($R45,LE_Curves!$N$5:$N$205,1)+1)-INDEX(LE_Curves!$N$5:$N$205,MATCH($R45,LE_Curves!$N$5:$N$205,1))))))</f>
        <v/>
      </c>
      <c r="AE45" s="37">
        <f>SUM(S45:AD45)</f>
        <v/>
      </c>
    </row>
    <row r="46">
      <c r="A46" s="7" t="n">
        <v>15</v>
      </c>
      <c r="B46" s="37">
        <f>$B$3+($B$4-$B$3)*A46/200</f>
        <v/>
      </c>
      <c r="C46" s="11">
        <f>IF(Inputs!$D$23=0,0,IF($B46&lt;=Inputs!$C$23,0,IF($B46&gt;=INDEX(LE_Curves!$C$5:$C$205,201),INDEX(LE_Curves!$B$5:$B$205,201),INDEX(LE_Curves!$B$5:$B$205,MATCH($B46,LE_Curves!$C$5:$C$205,1))+($B46-INDEX(LE_Curves!$C$5:$C$205,MATCH($B46,LE_Curves!$C$5:$C$205,1)))*(INDEX(LE_Curves!$B$5:$B$205,MATCH($B46,LE_Curves!$C$5:$C$205,1)+1)-INDEX(LE_Curves!$B$5:$B$205,MATCH($B46,LE_Curves!$C$5:$C$205,1)))/(INDEX(LE_Curves!$C$5:$C$205,MATCH($B46,LE_Curves!$C$5:$C$205,1)+1)-INDEX(LE_Curves!$C$5:$C$205,MATCH($B46,LE_Curves!$C$5:$C$205,1))))))</f>
        <v/>
      </c>
      <c r="D46" s="11">
        <f>IF(Inputs!$D$24=0,0,IF($B46&lt;=Inputs!$C$24,0,IF($B46&gt;=INDEX(LE_Curves!$D$5:$D$205,201),INDEX(LE_Curves!$B$5:$B$205,201),INDEX(LE_Curves!$B$5:$B$205,MATCH($B46,LE_Curves!$D$5:$D$205,1))+($B46-INDEX(LE_Curves!$D$5:$D$205,MATCH($B46,LE_Curves!$D$5:$D$205,1)))*(INDEX(LE_Curves!$B$5:$B$205,MATCH($B46,LE_Curves!$D$5:$D$205,1)+1)-INDEX(LE_Curves!$B$5:$B$205,MATCH($B46,LE_Curves!$D$5:$D$205,1)))/(INDEX(LE_Curves!$D$5:$D$205,MATCH($B46,LE_Curves!$D$5:$D$205,1)+1)-INDEX(LE_Curves!$D$5:$D$205,MATCH($B46,LE_Curves!$D$5:$D$205,1))))))</f>
        <v/>
      </c>
      <c r="E46" s="11">
        <f>IF(Inputs!$D$25=0,0,IF($B46&lt;=Inputs!$C$25,0,IF($B46&gt;=INDEX(LE_Curves!$E$5:$E$205,201),INDEX(LE_Curves!$B$5:$B$205,201),INDEX(LE_Curves!$B$5:$B$205,MATCH($B46,LE_Curves!$E$5:$E$205,1))+($B46-INDEX(LE_Curves!$E$5:$E$205,MATCH($B46,LE_Curves!$E$5:$E$205,1)))*(INDEX(LE_Curves!$B$5:$B$205,MATCH($B46,LE_Curves!$E$5:$E$205,1)+1)-INDEX(LE_Curves!$B$5:$B$205,MATCH($B46,LE_Curves!$E$5:$E$205,1)))/(INDEX(LE_Curves!$E$5:$E$205,MATCH($B46,LE_Curves!$E$5:$E$205,1)+1)-INDEX(LE_Curves!$E$5:$E$205,MATCH($B46,LE_Curves!$E$5:$E$205,1))))))</f>
        <v/>
      </c>
      <c r="F46" s="11">
        <f>IF(Inputs!$D$26=0,0,IF($B46&lt;=Inputs!$C$26,0,IF($B46&gt;=INDEX(LE_Curves!$F$5:$F$205,201),INDEX(LE_Curves!$B$5:$B$205,201),INDEX(LE_Curves!$B$5:$B$205,MATCH($B46,LE_Curves!$F$5:$F$205,1))+($B46-INDEX(LE_Curves!$F$5:$F$205,MATCH($B46,LE_Curves!$F$5:$F$205,1)))*(INDEX(LE_Curves!$B$5:$B$205,MATCH($B46,LE_Curves!$F$5:$F$205,1)+1)-INDEX(LE_Curves!$B$5:$B$205,MATCH($B46,LE_Curves!$F$5:$F$205,1)))/(INDEX(LE_Curves!$F$5:$F$205,MATCH($B46,LE_Curves!$F$5:$F$205,1)+1)-INDEX(LE_Curves!$F$5:$F$205,MATCH($B46,LE_Curves!$F$5:$F$205,1))))))</f>
        <v/>
      </c>
      <c r="G46" s="11">
        <f>IF(Inputs!$D$27=0,0,IF($B46&lt;=Inputs!$C$27,0,IF($B46&gt;=INDEX(LE_Curves!$G$5:$G$205,201),INDEX(LE_Curves!$B$5:$B$205,201),INDEX(LE_Curves!$B$5:$B$205,MATCH($B46,LE_Curves!$G$5:$G$205,1))+($B46-INDEX(LE_Curves!$G$5:$G$205,MATCH($B46,LE_Curves!$G$5:$G$205,1)))*(INDEX(LE_Curves!$B$5:$B$205,MATCH($B46,LE_Curves!$G$5:$G$205,1)+1)-INDEX(LE_Curves!$B$5:$B$205,MATCH($B46,LE_Curves!$G$5:$G$205,1)))/(INDEX(LE_Curves!$G$5:$G$205,MATCH($B46,LE_Curves!$G$5:$G$205,1)+1)-INDEX(LE_Curves!$G$5:$G$205,MATCH($B46,LE_Curves!$G$5:$G$205,1))))))</f>
        <v/>
      </c>
      <c r="H46" s="11">
        <f>IF(Inputs!$D$28=0,0,IF($B46&lt;=Inputs!$C$28,0,IF($B46&gt;=INDEX(LE_Curves!$H$5:$H$205,201),INDEX(LE_Curves!$B$5:$B$205,201),INDEX(LE_Curves!$B$5:$B$205,MATCH($B46,LE_Curves!$H$5:$H$205,1))+($B46-INDEX(LE_Curves!$H$5:$H$205,MATCH($B46,LE_Curves!$H$5:$H$205,1)))*(INDEX(LE_Curves!$B$5:$B$205,MATCH($B46,LE_Curves!$H$5:$H$205,1)+1)-INDEX(LE_Curves!$B$5:$B$205,MATCH($B46,LE_Curves!$H$5:$H$205,1)))/(INDEX(LE_Curves!$H$5:$H$205,MATCH($B46,LE_Curves!$H$5:$H$205,1)+1)-INDEX(LE_Curves!$H$5:$H$205,MATCH($B46,LE_Curves!$H$5:$H$205,1))))))</f>
        <v/>
      </c>
      <c r="I46" s="11">
        <f>IF(Inputs!$D$29=0,0,IF($B46&lt;=Inputs!$C$29,0,IF($B46&gt;=INDEX(LE_Curves!$I$5:$I$205,201),INDEX(LE_Curves!$B$5:$B$205,201),INDEX(LE_Curves!$B$5:$B$205,MATCH($B46,LE_Curves!$I$5:$I$205,1))+($B46-INDEX(LE_Curves!$I$5:$I$205,MATCH($B46,LE_Curves!$I$5:$I$205,1)))*(INDEX(LE_Curves!$B$5:$B$205,MATCH($B46,LE_Curves!$I$5:$I$205,1)+1)-INDEX(LE_Curves!$B$5:$B$205,MATCH($B46,LE_Curves!$I$5:$I$205,1)))/(INDEX(LE_Curves!$I$5:$I$205,MATCH($B46,LE_Curves!$I$5:$I$205,1)+1)-INDEX(LE_Curves!$I$5:$I$205,MATCH($B46,LE_Curves!$I$5:$I$205,1))))))</f>
        <v/>
      </c>
      <c r="J46" s="11">
        <f>IF(Inputs!$D$30=0,0,IF($B46&lt;=Inputs!$C$30,0,IF($B46&gt;=INDEX(LE_Curves!$J$5:$J$205,201),INDEX(LE_Curves!$B$5:$B$205,201),INDEX(LE_Curves!$B$5:$B$205,MATCH($B46,LE_Curves!$J$5:$J$205,1))+($B46-INDEX(LE_Curves!$J$5:$J$205,MATCH($B46,LE_Curves!$J$5:$J$205,1)))*(INDEX(LE_Curves!$B$5:$B$205,MATCH($B46,LE_Curves!$J$5:$J$205,1)+1)-INDEX(LE_Curves!$B$5:$B$205,MATCH($B46,LE_Curves!$J$5:$J$205,1)))/(INDEX(LE_Curves!$J$5:$J$205,MATCH($B46,LE_Curves!$J$5:$J$205,1)+1)-INDEX(LE_Curves!$J$5:$J$205,MATCH($B46,LE_Curves!$J$5:$J$205,1))))))</f>
        <v/>
      </c>
      <c r="K46" s="11">
        <f>IF(Inputs!$D$31=0,0,IF($B46&lt;=Inputs!$C$31,0,IF($B46&gt;=INDEX(LE_Curves!$K$5:$K$205,201),INDEX(LE_Curves!$B$5:$B$205,201),INDEX(LE_Curves!$B$5:$B$205,MATCH($B46,LE_Curves!$K$5:$K$205,1))+($B46-INDEX(LE_Curves!$K$5:$K$205,MATCH($B46,LE_Curves!$K$5:$K$205,1)))*(INDEX(LE_Curves!$B$5:$B$205,MATCH($B46,LE_Curves!$K$5:$K$205,1)+1)-INDEX(LE_Curves!$B$5:$B$205,MATCH($B46,LE_Curves!$K$5:$K$205,1)))/(INDEX(LE_Curves!$K$5:$K$205,MATCH($B46,LE_Curves!$K$5:$K$205,1)+1)-INDEX(LE_Curves!$K$5:$K$205,MATCH($B46,LE_Curves!$K$5:$K$205,1))))))</f>
        <v/>
      </c>
      <c r="L46" s="11">
        <f>IF(Inputs!$D$32=0,0,IF($B46&lt;=Inputs!$C$32,0,IF($B46&gt;=INDEX(LE_Curves!$L$5:$L$205,201),INDEX(LE_Curves!$B$5:$B$205,201),INDEX(LE_Curves!$B$5:$B$205,MATCH($B46,LE_Curves!$L$5:$L$205,1))+($B46-INDEX(LE_Curves!$L$5:$L$205,MATCH($B46,LE_Curves!$L$5:$L$205,1)))*(INDEX(LE_Curves!$B$5:$B$205,MATCH($B46,LE_Curves!$L$5:$L$205,1)+1)-INDEX(LE_Curves!$B$5:$B$205,MATCH($B46,LE_Curves!$L$5:$L$205,1)))/(INDEX(LE_Curves!$L$5:$L$205,MATCH($B46,LE_Curves!$L$5:$L$205,1)+1)-INDEX(LE_Curves!$L$5:$L$205,MATCH($B46,LE_Curves!$L$5:$L$205,1))))))</f>
        <v/>
      </c>
      <c r="M46" s="11">
        <f>IF(Inputs!$D$33=0,0,IF($B46&lt;=Inputs!$C$33,0,IF($B46&gt;=INDEX(LE_Curves!$M$5:$M$205,201),INDEX(LE_Curves!$B$5:$B$205,201),INDEX(LE_Curves!$B$5:$B$205,MATCH($B46,LE_Curves!$M$5:$M$205,1))+($B46-INDEX(LE_Curves!$M$5:$M$205,MATCH($B46,LE_Curves!$M$5:$M$205,1)))*(INDEX(LE_Curves!$B$5:$B$205,MATCH($B46,LE_Curves!$M$5:$M$205,1)+1)-INDEX(LE_Curves!$B$5:$B$205,MATCH($B46,LE_Curves!$M$5:$M$205,1)))/(INDEX(LE_Curves!$M$5:$M$205,MATCH($B46,LE_Curves!$M$5:$M$205,1)+1)-INDEX(LE_Curves!$M$5:$M$205,MATCH($B46,LE_Curves!$M$5:$M$205,1))))))</f>
        <v/>
      </c>
      <c r="N46" s="11">
        <f>IF(Inputs!$D$34=0,0,IF($B46&lt;=Inputs!$C$34,0,IF($B46&gt;=INDEX(LE_Curves!$N$5:$N$205,201),INDEX(LE_Curves!$B$5:$B$205,201),INDEX(LE_Curves!$B$5:$B$205,MATCH($B46,LE_Curves!$N$5:$N$205,1))+($B46-INDEX(LE_Curves!$N$5:$N$205,MATCH($B46,LE_Curves!$N$5:$N$205,1)))*(INDEX(LE_Curves!$B$5:$B$205,MATCH($B46,LE_Curves!$N$5:$N$205,1)+1)-INDEX(LE_Curves!$B$5:$B$205,MATCH($B46,LE_Curves!$N$5:$N$205,1)))/(INDEX(LE_Curves!$N$5:$N$205,MATCH($B46,LE_Curves!$N$5:$N$205,1)+1)-INDEX(LE_Curves!$N$5:$N$205,MATCH($B46,LE_Curves!$N$5:$N$205,1))))))</f>
        <v/>
      </c>
      <c r="O46" s="11">
        <f>SUM(C46:N46)</f>
        <v/>
      </c>
      <c r="Q46" s="7" t="n">
        <v>15</v>
      </c>
      <c r="R46" s="23">
        <f>$B$6+($B$7-$B$6)*Q46/200</f>
        <v/>
      </c>
      <c r="S46" s="11">
        <f>IF(Inputs!$D$23=0,0,IF($R46&lt;=Inputs!$C$23,0,IF($R46&gt;=INDEX(LE_Curves!$C$5:$C$205,201),INDEX(LE_Curves!$B$5:$B$205,201),INDEX(LE_Curves!$B$5:$B$205,MATCH($R46,LE_Curves!$C$5:$C$205,1))+($R46-INDEX(LE_Curves!$C$5:$C$205,MATCH($R46,LE_Curves!$C$5:$C$205,1)))*(INDEX(LE_Curves!$B$5:$B$205,MATCH($R46,LE_Curves!$C$5:$C$205,1)+1)-INDEX(LE_Curves!$B$5:$B$205,MATCH($R46,LE_Curves!$C$5:$C$205,1)))/(INDEX(LE_Curves!$C$5:$C$205,MATCH($R46,LE_Curves!$C$5:$C$205,1)+1)-INDEX(LE_Curves!$C$5:$C$205,MATCH($R46,LE_Curves!$C$5:$C$205,1))))))</f>
        <v/>
      </c>
      <c r="T46" s="11">
        <f>IF(Inputs!$D$24=0,0,IF($R46&lt;=Inputs!$C$24,0,IF($R46&gt;=INDEX(LE_Curves!$D$5:$D$205,201),INDEX(LE_Curves!$B$5:$B$205,201),INDEX(LE_Curves!$B$5:$B$205,MATCH($R46,LE_Curves!$D$5:$D$205,1))+($R46-INDEX(LE_Curves!$D$5:$D$205,MATCH($R46,LE_Curves!$D$5:$D$205,1)))*(INDEX(LE_Curves!$B$5:$B$205,MATCH($R46,LE_Curves!$D$5:$D$205,1)+1)-INDEX(LE_Curves!$B$5:$B$205,MATCH($R46,LE_Curves!$D$5:$D$205,1)))/(INDEX(LE_Curves!$D$5:$D$205,MATCH($R46,LE_Curves!$D$5:$D$205,1)+1)-INDEX(LE_Curves!$D$5:$D$205,MATCH($R46,LE_Curves!$D$5:$D$205,1))))))</f>
        <v/>
      </c>
      <c r="U46" s="11">
        <f>IF(Inputs!$D$25=0,0,IF($R46&lt;=Inputs!$C$25,0,IF($R46&gt;=INDEX(LE_Curves!$E$5:$E$205,201),INDEX(LE_Curves!$B$5:$B$205,201),INDEX(LE_Curves!$B$5:$B$205,MATCH($R46,LE_Curves!$E$5:$E$205,1))+($R46-INDEX(LE_Curves!$E$5:$E$205,MATCH($R46,LE_Curves!$E$5:$E$205,1)))*(INDEX(LE_Curves!$B$5:$B$205,MATCH($R46,LE_Curves!$E$5:$E$205,1)+1)-INDEX(LE_Curves!$B$5:$B$205,MATCH($R46,LE_Curves!$E$5:$E$205,1)))/(INDEX(LE_Curves!$E$5:$E$205,MATCH($R46,LE_Curves!$E$5:$E$205,1)+1)-INDEX(LE_Curves!$E$5:$E$205,MATCH($R46,LE_Curves!$E$5:$E$205,1))))))</f>
        <v/>
      </c>
      <c r="V46" s="11">
        <f>IF(Inputs!$D$26=0,0,IF($R46&lt;=Inputs!$C$26,0,IF($R46&gt;=INDEX(LE_Curves!$F$5:$F$205,201),INDEX(LE_Curves!$B$5:$B$205,201),INDEX(LE_Curves!$B$5:$B$205,MATCH($R46,LE_Curves!$F$5:$F$205,1))+($R46-INDEX(LE_Curves!$F$5:$F$205,MATCH($R46,LE_Curves!$F$5:$F$205,1)))*(INDEX(LE_Curves!$B$5:$B$205,MATCH($R46,LE_Curves!$F$5:$F$205,1)+1)-INDEX(LE_Curves!$B$5:$B$205,MATCH($R46,LE_Curves!$F$5:$F$205,1)))/(INDEX(LE_Curves!$F$5:$F$205,MATCH($R46,LE_Curves!$F$5:$F$205,1)+1)-INDEX(LE_Curves!$F$5:$F$205,MATCH($R46,LE_Curves!$F$5:$F$205,1))))))</f>
        <v/>
      </c>
      <c r="W46" s="11">
        <f>IF(Inputs!$D$27=0,0,IF($R46&lt;=Inputs!$C$27,0,IF($R46&gt;=INDEX(LE_Curves!$G$5:$G$205,201),INDEX(LE_Curves!$B$5:$B$205,201),INDEX(LE_Curves!$B$5:$B$205,MATCH($R46,LE_Curves!$G$5:$G$205,1))+($R46-INDEX(LE_Curves!$G$5:$G$205,MATCH($R46,LE_Curves!$G$5:$G$205,1)))*(INDEX(LE_Curves!$B$5:$B$205,MATCH($R46,LE_Curves!$G$5:$G$205,1)+1)-INDEX(LE_Curves!$B$5:$B$205,MATCH($R46,LE_Curves!$G$5:$G$205,1)))/(INDEX(LE_Curves!$G$5:$G$205,MATCH($R46,LE_Curves!$G$5:$G$205,1)+1)-INDEX(LE_Curves!$G$5:$G$205,MATCH($R46,LE_Curves!$G$5:$G$205,1))))))</f>
        <v/>
      </c>
      <c r="X46" s="11">
        <f>IF(Inputs!$D$28=0,0,IF($R46&lt;=Inputs!$C$28,0,IF($R46&gt;=INDEX(LE_Curves!$H$5:$H$205,201),INDEX(LE_Curves!$B$5:$B$205,201),INDEX(LE_Curves!$B$5:$B$205,MATCH($R46,LE_Curves!$H$5:$H$205,1))+($R46-INDEX(LE_Curves!$H$5:$H$205,MATCH($R46,LE_Curves!$H$5:$H$205,1)))*(INDEX(LE_Curves!$B$5:$B$205,MATCH($R46,LE_Curves!$H$5:$H$205,1)+1)-INDEX(LE_Curves!$B$5:$B$205,MATCH($R46,LE_Curves!$H$5:$H$205,1)))/(INDEX(LE_Curves!$H$5:$H$205,MATCH($R46,LE_Curves!$H$5:$H$205,1)+1)-INDEX(LE_Curves!$H$5:$H$205,MATCH($R46,LE_Curves!$H$5:$H$205,1))))))</f>
        <v/>
      </c>
      <c r="Y46" s="11">
        <f>IF(Inputs!$D$29=0,0,IF($R46&lt;=Inputs!$C$29,0,IF($R46&gt;=INDEX(LE_Curves!$I$5:$I$205,201),INDEX(LE_Curves!$B$5:$B$205,201),INDEX(LE_Curves!$B$5:$B$205,MATCH($R46,LE_Curves!$I$5:$I$205,1))+($R46-INDEX(LE_Curves!$I$5:$I$205,MATCH($R46,LE_Curves!$I$5:$I$205,1)))*(INDEX(LE_Curves!$B$5:$B$205,MATCH($R46,LE_Curves!$I$5:$I$205,1)+1)-INDEX(LE_Curves!$B$5:$B$205,MATCH($R46,LE_Curves!$I$5:$I$205,1)))/(INDEX(LE_Curves!$I$5:$I$205,MATCH($R46,LE_Curves!$I$5:$I$205,1)+1)-INDEX(LE_Curves!$I$5:$I$205,MATCH($R46,LE_Curves!$I$5:$I$205,1))))))</f>
        <v/>
      </c>
      <c r="Z46" s="11">
        <f>IF(Inputs!$D$30=0,0,IF($R46&lt;=Inputs!$C$30,0,IF($R46&gt;=INDEX(LE_Curves!$J$5:$J$205,201),INDEX(LE_Curves!$B$5:$B$205,201),INDEX(LE_Curves!$B$5:$B$205,MATCH($R46,LE_Curves!$J$5:$J$205,1))+($R46-INDEX(LE_Curves!$J$5:$J$205,MATCH($R46,LE_Curves!$J$5:$J$205,1)))*(INDEX(LE_Curves!$B$5:$B$205,MATCH($R46,LE_Curves!$J$5:$J$205,1)+1)-INDEX(LE_Curves!$B$5:$B$205,MATCH($R46,LE_Curves!$J$5:$J$205,1)))/(INDEX(LE_Curves!$J$5:$J$205,MATCH($R46,LE_Curves!$J$5:$J$205,1)+1)-INDEX(LE_Curves!$J$5:$J$205,MATCH($R46,LE_Curves!$J$5:$J$205,1))))))</f>
        <v/>
      </c>
      <c r="AA46" s="11">
        <f>IF(Inputs!$D$31=0,0,IF($R46&lt;=Inputs!$C$31,0,IF($R46&gt;=INDEX(LE_Curves!$K$5:$K$205,201),INDEX(LE_Curves!$B$5:$B$205,201),INDEX(LE_Curves!$B$5:$B$205,MATCH($R46,LE_Curves!$K$5:$K$205,1))+($R46-INDEX(LE_Curves!$K$5:$K$205,MATCH($R46,LE_Curves!$K$5:$K$205,1)))*(INDEX(LE_Curves!$B$5:$B$205,MATCH($R46,LE_Curves!$K$5:$K$205,1)+1)-INDEX(LE_Curves!$B$5:$B$205,MATCH($R46,LE_Curves!$K$5:$K$205,1)))/(INDEX(LE_Curves!$K$5:$K$205,MATCH($R46,LE_Curves!$K$5:$K$205,1)+1)-INDEX(LE_Curves!$K$5:$K$205,MATCH($R46,LE_Curves!$K$5:$K$205,1))))))</f>
        <v/>
      </c>
      <c r="AB46" s="11">
        <f>IF(Inputs!$D$32=0,0,IF($R46&lt;=Inputs!$C$32,0,IF($R46&gt;=INDEX(LE_Curves!$L$5:$L$205,201),INDEX(LE_Curves!$B$5:$B$205,201),INDEX(LE_Curves!$B$5:$B$205,MATCH($R46,LE_Curves!$L$5:$L$205,1))+($R46-INDEX(LE_Curves!$L$5:$L$205,MATCH($R46,LE_Curves!$L$5:$L$205,1)))*(INDEX(LE_Curves!$B$5:$B$205,MATCH($R46,LE_Curves!$L$5:$L$205,1)+1)-INDEX(LE_Curves!$B$5:$B$205,MATCH($R46,LE_Curves!$L$5:$L$205,1)))/(INDEX(LE_Curves!$L$5:$L$205,MATCH($R46,LE_Curves!$L$5:$L$205,1)+1)-INDEX(LE_Curves!$L$5:$L$205,MATCH($R46,LE_Curves!$L$5:$L$205,1))))))</f>
        <v/>
      </c>
      <c r="AC46" s="11">
        <f>IF(Inputs!$D$33=0,0,IF($R46&lt;=Inputs!$C$33,0,IF($R46&gt;=INDEX(LE_Curves!$M$5:$M$205,201),INDEX(LE_Curves!$B$5:$B$205,201),INDEX(LE_Curves!$B$5:$B$205,MATCH($R46,LE_Curves!$M$5:$M$205,1))+($R46-INDEX(LE_Curves!$M$5:$M$205,MATCH($R46,LE_Curves!$M$5:$M$205,1)))*(INDEX(LE_Curves!$B$5:$B$205,MATCH($R46,LE_Curves!$M$5:$M$205,1)+1)-INDEX(LE_Curves!$B$5:$B$205,MATCH($R46,LE_Curves!$M$5:$M$205,1)))/(INDEX(LE_Curves!$M$5:$M$205,MATCH($R46,LE_Curves!$M$5:$M$205,1)+1)-INDEX(LE_Curves!$M$5:$M$205,MATCH($R46,LE_Curves!$M$5:$M$205,1))))))</f>
        <v/>
      </c>
      <c r="AD46" s="11">
        <f>IF(Inputs!$D$34=0,0,IF($R46&lt;=Inputs!$C$34,0,IF($R46&gt;=INDEX(LE_Curves!$N$5:$N$205,201),INDEX(LE_Curves!$B$5:$B$205,201),INDEX(LE_Curves!$B$5:$B$205,MATCH($R46,LE_Curves!$N$5:$N$205,1))+($R46-INDEX(LE_Curves!$N$5:$N$205,MATCH($R46,LE_Curves!$N$5:$N$205,1)))*(INDEX(LE_Curves!$B$5:$B$205,MATCH($R46,LE_Curves!$N$5:$N$205,1)+1)-INDEX(LE_Curves!$B$5:$B$205,MATCH($R46,LE_Curves!$N$5:$N$205,1)))/(INDEX(LE_Curves!$N$5:$N$205,MATCH($R46,LE_Curves!$N$5:$N$205,1)+1)-INDEX(LE_Curves!$N$5:$N$205,MATCH($R46,LE_Curves!$N$5:$N$205,1))))))</f>
        <v/>
      </c>
      <c r="AE46" s="37">
        <f>SUM(S46:AD46)</f>
        <v/>
      </c>
    </row>
    <row r="47">
      <c r="A47" s="7" t="n">
        <v>16</v>
      </c>
      <c r="B47" s="37">
        <f>$B$3+($B$4-$B$3)*A47/200</f>
        <v/>
      </c>
      <c r="C47" s="11">
        <f>IF(Inputs!$D$23=0,0,IF($B47&lt;=Inputs!$C$23,0,IF($B47&gt;=INDEX(LE_Curves!$C$5:$C$205,201),INDEX(LE_Curves!$B$5:$B$205,201),INDEX(LE_Curves!$B$5:$B$205,MATCH($B47,LE_Curves!$C$5:$C$205,1))+($B47-INDEX(LE_Curves!$C$5:$C$205,MATCH($B47,LE_Curves!$C$5:$C$205,1)))*(INDEX(LE_Curves!$B$5:$B$205,MATCH($B47,LE_Curves!$C$5:$C$205,1)+1)-INDEX(LE_Curves!$B$5:$B$205,MATCH($B47,LE_Curves!$C$5:$C$205,1)))/(INDEX(LE_Curves!$C$5:$C$205,MATCH($B47,LE_Curves!$C$5:$C$205,1)+1)-INDEX(LE_Curves!$C$5:$C$205,MATCH($B47,LE_Curves!$C$5:$C$205,1))))))</f>
        <v/>
      </c>
      <c r="D47" s="11">
        <f>IF(Inputs!$D$24=0,0,IF($B47&lt;=Inputs!$C$24,0,IF($B47&gt;=INDEX(LE_Curves!$D$5:$D$205,201),INDEX(LE_Curves!$B$5:$B$205,201),INDEX(LE_Curves!$B$5:$B$205,MATCH($B47,LE_Curves!$D$5:$D$205,1))+($B47-INDEX(LE_Curves!$D$5:$D$205,MATCH($B47,LE_Curves!$D$5:$D$205,1)))*(INDEX(LE_Curves!$B$5:$B$205,MATCH($B47,LE_Curves!$D$5:$D$205,1)+1)-INDEX(LE_Curves!$B$5:$B$205,MATCH($B47,LE_Curves!$D$5:$D$205,1)))/(INDEX(LE_Curves!$D$5:$D$205,MATCH($B47,LE_Curves!$D$5:$D$205,1)+1)-INDEX(LE_Curves!$D$5:$D$205,MATCH($B47,LE_Curves!$D$5:$D$205,1))))))</f>
        <v/>
      </c>
      <c r="E47" s="11">
        <f>IF(Inputs!$D$25=0,0,IF($B47&lt;=Inputs!$C$25,0,IF($B47&gt;=INDEX(LE_Curves!$E$5:$E$205,201),INDEX(LE_Curves!$B$5:$B$205,201),INDEX(LE_Curves!$B$5:$B$205,MATCH($B47,LE_Curves!$E$5:$E$205,1))+($B47-INDEX(LE_Curves!$E$5:$E$205,MATCH($B47,LE_Curves!$E$5:$E$205,1)))*(INDEX(LE_Curves!$B$5:$B$205,MATCH($B47,LE_Curves!$E$5:$E$205,1)+1)-INDEX(LE_Curves!$B$5:$B$205,MATCH($B47,LE_Curves!$E$5:$E$205,1)))/(INDEX(LE_Curves!$E$5:$E$205,MATCH($B47,LE_Curves!$E$5:$E$205,1)+1)-INDEX(LE_Curves!$E$5:$E$205,MATCH($B47,LE_Curves!$E$5:$E$205,1))))))</f>
        <v/>
      </c>
      <c r="F47" s="11">
        <f>IF(Inputs!$D$26=0,0,IF($B47&lt;=Inputs!$C$26,0,IF($B47&gt;=INDEX(LE_Curves!$F$5:$F$205,201),INDEX(LE_Curves!$B$5:$B$205,201),INDEX(LE_Curves!$B$5:$B$205,MATCH($B47,LE_Curves!$F$5:$F$205,1))+($B47-INDEX(LE_Curves!$F$5:$F$205,MATCH($B47,LE_Curves!$F$5:$F$205,1)))*(INDEX(LE_Curves!$B$5:$B$205,MATCH($B47,LE_Curves!$F$5:$F$205,1)+1)-INDEX(LE_Curves!$B$5:$B$205,MATCH($B47,LE_Curves!$F$5:$F$205,1)))/(INDEX(LE_Curves!$F$5:$F$205,MATCH($B47,LE_Curves!$F$5:$F$205,1)+1)-INDEX(LE_Curves!$F$5:$F$205,MATCH($B47,LE_Curves!$F$5:$F$205,1))))))</f>
        <v/>
      </c>
      <c r="G47" s="11">
        <f>IF(Inputs!$D$27=0,0,IF($B47&lt;=Inputs!$C$27,0,IF($B47&gt;=INDEX(LE_Curves!$G$5:$G$205,201),INDEX(LE_Curves!$B$5:$B$205,201),INDEX(LE_Curves!$B$5:$B$205,MATCH($B47,LE_Curves!$G$5:$G$205,1))+($B47-INDEX(LE_Curves!$G$5:$G$205,MATCH($B47,LE_Curves!$G$5:$G$205,1)))*(INDEX(LE_Curves!$B$5:$B$205,MATCH($B47,LE_Curves!$G$5:$G$205,1)+1)-INDEX(LE_Curves!$B$5:$B$205,MATCH($B47,LE_Curves!$G$5:$G$205,1)))/(INDEX(LE_Curves!$G$5:$G$205,MATCH($B47,LE_Curves!$G$5:$G$205,1)+1)-INDEX(LE_Curves!$G$5:$G$205,MATCH($B47,LE_Curves!$G$5:$G$205,1))))))</f>
        <v/>
      </c>
      <c r="H47" s="11">
        <f>IF(Inputs!$D$28=0,0,IF($B47&lt;=Inputs!$C$28,0,IF($B47&gt;=INDEX(LE_Curves!$H$5:$H$205,201),INDEX(LE_Curves!$B$5:$B$205,201),INDEX(LE_Curves!$B$5:$B$205,MATCH($B47,LE_Curves!$H$5:$H$205,1))+($B47-INDEX(LE_Curves!$H$5:$H$205,MATCH($B47,LE_Curves!$H$5:$H$205,1)))*(INDEX(LE_Curves!$B$5:$B$205,MATCH($B47,LE_Curves!$H$5:$H$205,1)+1)-INDEX(LE_Curves!$B$5:$B$205,MATCH($B47,LE_Curves!$H$5:$H$205,1)))/(INDEX(LE_Curves!$H$5:$H$205,MATCH($B47,LE_Curves!$H$5:$H$205,1)+1)-INDEX(LE_Curves!$H$5:$H$205,MATCH($B47,LE_Curves!$H$5:$H$205,1))))))</f>
        <v/>
      </c>
      <c r="I47" s="11">
        <f>IF(Inputs!$D$29=0,0,IF($B47&lt;=Inputs!$C$29,0,IF($B47&gt;=INDEX(LE_Curves!$I$5:$I$205,201),INDEX(LE_Curves!$B$5:$B$205,201),INDEX(LE_Curves!$B$5:$B$205,MATCH($B47,LE_Curves!$I$5:$I$205,1))+($B47-INDEX(LE_Curves!$I$5:$I$205,MATCH($B47,LE_Curves!$I$5:$I$205,1)))*(INDEX(LE_Curves!$B$5:$B$205,MATCH($B47,LE_Curves!$I$5:$I$205,1)+1)-INDEX(LE_Curves!$B$5:$B$205,MATCH($B47,LE_Curves!$I$5:$I$205,1)))/(INDEX(LE_Curves!$I$5:$I$205,MATCH($B47,LE_Curves!$I$5:$I$205,1)+1)-INDEX(LE_Curves!$I$5:$I$205,MATCH($B47,LE_Curves!$I$5:$I$205,1))))))</f>
        <v/>
      </c>
      <c r="J47" s="11">
        <f>IF(Inputs!$D$30=0,0,IF($B47&lt;=Inputs!$C$30,0,IF($B47&gt;=INDEX(LE_Curves!$J$5:$J$205,201),INDEX(LE_Curves!$B$5:$B$205,201),INDEX(LE_Curves!$B$5:$B$205,MATCH($B47,LE_Curves!$J$5:$J$205,1))+($B47-INDEX(LE_Curves!$J$5:$J$205,MATCH($B47,LE_Curves!$J$5:$J$205,1)))*(INDEX(LE_Curves!$B$5:$B$205,MATCH($B47,LE_Curves!$J$5:$J$205,1)+1)-INDEX(LE_Curves!$B$5:$B$205,MATCH($B47,LE_Curves!$J$5:$J$205,1)))/(INDEX(LE_Curves!$J$5:$J$205,MATCH($B47,LE_Curves!$J$5:$J$205,1)+1)-INDEX(LE_Curves!$J$5:$J$205,MATCH($B47,LE_Curves!$J$5:$J$205,1))))))</f>
        <v/>
      </c>
      <c r="K47" s="11">
        <f>IF(Inputs!$D$31=0,0,IF($B47&lt;=Inputs!$C$31,0,IF($B47&gt;=INDEX(LE_Curves!$K$5:$K$205,201),INDEX(LE_Curves!$B$5:$B$205,201),INDEX(LE_Curves!$B$5:$B$205,MATCH($B47,LE_Curves!$K$5:$K$205,1))+($B47-INDEX(LE_Curves!$K$5:$K$205,MATCH($B47,LE_Curves!$K$5:$K$205,1)))*(INDEX(LE_Curves!$B$5:$B$205,MATCH($B47,LE_Curves!$K$5:$K$205,1)+1)-INDEX(LE_Curves!$B$5:$B$205,MATCH($B47,LE_Curves!$K$5:$K$205,1)))/(INDEX(LE_Curves!$K$5:$K$205,MATCH($B47,LE_Curves!$K$5:$K$205,1)+1)-INDEX(LE_Curves!$K$5:$K$205,MATCH($B47,LE_Curves!$K$5:$K$205,1))))))</f>
        <v/>
      </c>
      <c r="L47" s="11">
        <f>IF(Inputs!$D$32=0,0,IF($B47&lt;=Inputs!$C$32,0,IF($B47&gt;=INDEX(LE_Curves!$L$5:$L$205,201),INDEX(LE_Curves!$B$5:$B$205,201),INDEX(LE_Curves!$B$5:$B$205,MATCH($B47,LE_Curves!$L$5:$L$205,1))+($B47-INDEX(LE_Curves!$L$5:$L$205,MATCH($B47,LE_Curves!$L$5:$L$205,1)))*(INDEX(LE_Curves!$B$5:$B$205,MATCH($B47,LE_Curves!$L$5:$L$205,1)+1)-INDEX(LE_Curves!$B$5:$B$205,MATCH($B47,LE_Curves!$L$5:$L$205,1)))/(INDEX(LE_Curves!$L$5:$L$205,MATCH($B47,LE_Curves!$L$5:$L$205,1)+1)-INDEX(LE_Curves!$L$5:$L$205,MATCH($B47,LE_Curves!$L$5:$L$205,1))))))</f>
        <v/>
      </c>
      <c r="M47" s="11">
        <f>IF(Inputs!$D$33=0,0,IF($B47&lt;=Inputs!$C$33,0,IF($B47&gt;=INDEX(LE_Curves!$M$5:$M$205,201),INDEX(LE_Curves!$B$5:$B$205,201),INDEX(LE_Curves!$B$5:$B$205,MATCH($B47,LE_Curves!$M$5:$M$205,1))+($B47-INDEX(LE_Curves!$M$5:$M$205,MATCH($B47,LE_Curves!$M$5:$M$205,1)))*(INDEX(LE_Curves!$B$5:$B$205,MATCH($B47,LE_Curves!$M$5:$M$205,1)+1)-INDEX(LE_Curves!$B$5:$B$205,MATCH($B47,LE_Curves!$M$5:$M$205,1)))/(INDEX(LE_Curves!$M$5:$M$205,MATCH($B47,LE_Curves!$M$5:$M$205,1)+1)-INDEX(LE_Curves!$M$5:$M$205,MATCH($B47,LE_Curves!$M$5:$M$205,1))))))</f>
        <v/>
      </c>
      <c r="N47" s="11">
        <f>IF(Inputs!$D$34=0,0,IF($B47&lt;=Inputs!$C$34,0,IF($B47&gt;=INDEX(LE_Curves!$N$5:$N$205,201),INDEX(LE_Curves!$B$5:$B$205,201),INDEX(LE_Curves!$B$5:$B$205,MATCH($B47,LE_Curves!$N$5:$N$205,1))+($B47-INDEX(LE_Curves!$N$5:$N$205,MATCH($B47,LE_Curves!$N$5:$N$205,1)))*(INDEX(LE_Curves!$B$5:$B$205,MATCH($B47,LE_Curves!$N$5:$N$205,1)+1)-INDEX(LE_Curves!$B$5:$B$205,MATCH($B47,LE_Curves!$N$5:$N$205,1)))/(INDEX(LE_Curves!$N$5:$N$205,MATCH($B47,LE_Curves!$N$5:$N$205,1)+1)-INDEX(LE_Curves!$N$5:$N$205,MATCH($B47,LE_Curves!$N$5:$N$205,1))))))</f>
        <v/>
      </c>
      <c r="O47" s="11">
        <f>SUM(C47:N47)</f>
        <v/>
      </c>
      <c r="Q47" s="7" t="n">
        <v>16</v>
      </c>
      <c r="R47" s="23">
        <f>$B$6+($B$7-$B$6)*Q47/200</f>
        <v/>
      </c>
      <c r="S47" s="11">
        <f>IF(Inputs!$D$23=0,0,IF($R47&lt;=Inputs!$C$23,0,IF($R47&gt;=INDEX(LE_Curves!$C$5:$C$205,201),INDEX(LE_Curves!$B$5:$B$205,201),INDEX(LE_Curves!$B$5:$B$205,MATCH($R47,LE_Curves!$C$5:$C$205,1))+($R47-INDEX(LE_Curves!$C$5:$C$205,MATCH($R47,LE_Curves!$C$5:$C$205,1)))*(INDEX(LE_Curves!$B$5:$B$205,MATCH($R47,LE_Curves!$C$5:$C$205,1)+1)-INDEX(LE_Curves!$B$5:$B$205,MATCH($R47,LE_Curves!$C$5:$C$205,1)))/(INDEX(LE_Curves!$C$5:$C$205,MATCH($R47,LE_Curves!$C$5:$C$205,1)+1)-INDEX(LE_Curves!$C$5:$C$205,MATCH($R47,LE_Curves!$C$5:$C$205,1))))))</f>
        <v/>
      </c>
      <c r="T47" s="11">
        <f>IF(Inputs!$D$24=0,0,IF($R47&lt;=Inputs!$C$24,0,IF($R47&gt;=INDEX(LE_Curves!$D$5:$D$205,201),INDEX(LE_Curves!$B$5:$B$205,201),INDEX(LE_Curves!$B$5:$B$205,MATCH($R47,LE_Curves!$D$5:$D$205,1))+($R47-INDEX(LE_Curves!$D$5:$D$205,MATCH($R47,LE_Curves!$D$5:$D$205,1)))*(INDEX(LE_Curves!$B$5:$B$205,MATCH($R47,LE_Curves!$D$5:$D$205,1)+1)-INDEX(LE_Curves!$B$5:$B$205,MATCH($R47,LE_Curves!$D$5:$D$205,1)))/(INDEX(LE_Curves!$D$5:$D$205,MATCH($R47,LE_Curves!$D$5:$D$205,1)+1)-INDEX(LE_Curves!$D$5:$D$205,MATCH($R47,LE_Curves!$D$5:$D$205,1))))))</f>
        <v/>
      </c>
      <c r="U47" s="11">
        <f>IF(Inputs!$D$25=0,0,IF($R47&lt;=Inputs!$C$25,0,IF($R47&gt;=INDEX(LE_Curves!$E$5:$E$205,201),INDEX(LE_Curves!$B$5:$B$205,201),INDEX(LE_Curves!$B$5:$B$205,MATCH($R47,LE_Curves!$E$5:$E$205,1))+($R47-INDEX(LE_Curves!$E$5:$E$205,MATCH($R47,LE_Curves!$E$5:$E$205,1)))*(INDEX(LE_Curves!$B$5:$B$205,MATCH($R47,LE_Curves!$E$5:$E$205,1)+1)-INDEX(LE_Curves!$B$5:$B$205,MATCH($R47,LE_Curves!$E$5:$E$205,1)))/(INDEX(LE_Curves!$E$5:$E$205,MATCH($R47,LE_Curves!$E$5:$E$205,1)+1)-INDEX(LE_Curves!$E$5:$E$205,MATCH($R47,LE_Curves!$E$5:$E$205,1))))))</f>
        <v/>
      </c>
      <c r="V47" s="11">
        <f>IF(Inputs!$D$26=0,0,IF($R47&lt;=Inputs!$C$26,0,IF($R47&gt;=INDEX(LE_Curves!$F$5:$F$205,201),INDEX(LE_Curves!$B$5:$B$205,201),INDEX(LE_Curves!$B$5:$B$205,MATCH($R47,LE_Curves!$F$5:$F$205,1))+($R47-INDEX(LE_Curves!$F$5:$F$205,MATCH($R47,LE_Curves!$F$5:$F$205,1)))*(INDEX(LE_Curves!$B$5:$B$205,MATCH($R47,LE_Curves!$F$5:$F$205,1)+1)-INDEX(LE_Curves!$B$5:$B$205,MATCH($R47,LE_Curves!$F$5:$F$205,1)))/(INDEX(LE_Curves!$F$5:$F$205,MATCH($R47,LE_Curves!$F$5:$F$205,1)+1)-INDEX(LE_Curves!$F$5:$F$205,MATCH($R47,LE_Curves!$F$5:$F$205,1))))))</f>
        <v/>
      </c>
      <c r="W47" s="11">
        <f>IF(Inputs!$D$27=0,0,IF($R47&lt;=Inputs!$C$27,0,IF($R47&gt;=INDEX(LE_Curves!$G$5:$G$205,201),INDEX(LE_Curves!$B$5:$B$205,201),INDEX(LE_Curves!$B$5:$B$205,MATCH($R47,LE_Curves!$G$5:$G$205,1))+($R47-INDEX(LE_Curves!$G$5:$G$205,MATCH($R47,LE_Curves!$G$5:$G$205,1)))*(INDEX(LE_Curves!$B$5:$B$205,MATCH($R47,LE_Curves!$G$5:$G$205,1)+1)-INDEX(LE_Curves!$B$5:$B$205,MATCH($R47,LE_Curves!$G$5:$G$205,1)))/(INDEX(LE_Curves!$G$5:$G$205,MATCH($R47,LE_Curves!$G$5:$G$205,1)+1)-INDEX(LE_Curves!$G$5:$G$205,MATCH($R47,LE_Curves!$G$5:$G$205,1))))))</f>
        <v/>
      </c>
      <c r="X47" s="11">
        <f>IF(Inputs!$D$28=0,0,IF($R47&lt;=Inputs!$C$28,0,IF($R47&gt;=INDEX(LE_Curves!$H$5:$H$205,201),INDEX(LE_Curves!$B$5:$B$205,201),INDEX(LE_Curves!$B$5:$B$205,MATCH($R47,LE_Curves!$H$5:$H$205,1))+($R47-INDEX(LE_Curves!$H$5:$H$205,MATCH($R47,LE_Curves!$H$5:$H$205,1)))*(INDEX(LE_Curves!$B$5:$B$205,MATCH($R47,LE_Curves!$H$5:$H$205,1)+1)-INDEX(LE_Curves!$B$5:$B$205,MATCH($R47,LE_Curves!$H$5:$H$205,1)))/(INDEX(LE_Curves!$H$5:$H$205,MATCH($R47,LE_Curves!$H$5:$H$205,1)+1)-INDEX(LE_Curves!$H$5:$H$205,MATCH($R47,LE_Curves!$H$5:$H$205,1))))))</f>
        <v/>
      </c>
      <c r="Y47" s="11">
        <f>IF(Inputs!$D$29=0,0,IF($R47&lt;=Inputs!$C$29,0,IF($R47&gt;=INDEX(LE_Curves!$I$5:$I$205,201),INDEX(LE_Curves!$B$5:$B$205,201),INDEX(LE_Curves!$B$5:$B$205,MATCH($R47,LE_Curves!$I$5:$I$205,1))+($R47-INDEX(LE_Curves!$I$5:$I$205,MATCH($R47,LE_Curves!$I$5:$I$205,1)))*(INDEX(LE_Curves!$B$5:$B$205,MATCH($R47,LE_Curves!$I$5:$I$205,1)+1)-INDEX(LE_Curves!$B$5:$B$205,MATCH($R47,LE_Curves!$I$5:$I$205,1)))/(INDEX(LE_Curves!$I$5:$I$205,MATCH($R47,LE_Curves!$I$5:$I$205,1)+1)-INDEX(LE_Curves!$I$5:$I$205,MATCH($R47,LE_Curves!$I$5:$I$205,1))))))</f>
        <v/>
      </c>
      <c r="Z47" s="11">
        <f>IF(Inputs!$D$30=0,0,IF($R47&lt;=Inputs!$C$30,0,IF($R47&gt;=INDEX(LE_Curves!$J$5:$J$205,201),INDEX(LE_Curves!$B$5:$B$205,201),INDEX(LE_Curves!$B$5:$B$205,MATCH($R47,LE_Curves!$J$5:$J$205,1))+($R47-INDEX(LE_Curves!$J$5:$J$205,MATCH($R47,LE_Curves!$J$5:$J$205,1)))*(INDEX(LE_Curves!$B$5:$B$205,MATCH($R47,LE_Curves!$J$5:$J$205,1)+1)-INDEX(LE_Curves!$B$5:$B$205,MATCH($R47,LE_Curves!$J$5:$J$205,1)))/(INDEX(LE_Curves!$J$5:$J$205,MATCH($R47,LE_Curves!$J$5:$J$205,1)+1)-INDEX(LE_Curves!$J$5:$J$205,MATCH($R47,LE_Curves!$J$5:$J$205,1))))))</f>
        <v/>
      </c>
      <c r="AA47" s="11">
        <f>IF(Inputs!$D$31=0,0,IF($R47&lt;=Inputs!$C$31,0,IF($R47&gt;=INDEX(LE_Curves!$K$5:$K$205,201),INDEX(LE_Curves!$B$5:$B$205,201),INDEX(LE_Curves!$B$5:$B$205,MATCH($R47,LE_Curves!$K$5:$K$205,1))+($R47-INDEX(LE_Curves!$K$5:$K$205,MATCH($R47,LE_Curves!$K$5:$K$205,1)))*(INDEX(LE_Curves!$B$5:$B$205,MATCH($R47,LE_Curves!$K$5:$K$205,1)+1)-INDEX(LE_Curves!$B$5:$B$205,MATCH($R47,LE_Curves!$K$5:$K$205,1)))/(INDEX(LE_Curves!$K$5:$K$205,MATCH($R47,LE_Curves!$K$5:$K$205,1)+1)-INDEX(LE_Curves!$K$5:$K$205,MATCH($R47,LE_Curves!$K$5:$K$205,1))))))</f>
        <v/>
      </c>
      <c r="AB47" s="11">
        <f>IF(Inputs!$D$32=0,0,IF($R47&lt;=Inputs!$C$32,0,IF($R47&gt;=INDEX(LE_Curves!$L$5:$L$205,201),INDEX(LE_Curves!$B$5:$B$205,201),INDEX(LE_Curves!$B$5:$B$205,MATCH($R47,LE_Curves!$L$5:$L$205,1))+($R47-INDEX(LE_Curves!$L$5:$L$205,MATCH($R47,LE_Curves!$L$5:$L$205,1)))*(INDEX(LE_Curves!$B$5:$B$205,MATCH($R47,LE_Curves!$L$5:$L$205,1)+1)-INDEX(LE_Curves!$B$5:$B$205,MATCH($R47,LE_Curves!$L$5:$L$205,1)))/(INDEX(LE_Curves!$L$5:$L$205,MATCH($R47,LE_Curves!$L$5:$L$205,1)+1)-INDEX(LE_Curves!$L$5:$L$205,MATCH($R47,LE_Curves!$L$5:$L$205,1))))))</f>
        <v/>
      </c>
      <c r="AC47" s="11">
        <f>IF(Inputs!$D$33=0,0,IF($R47&lt;=Inputs!$C$33,0,IF($R47&gt;=INDEX(LE_Curves!$M$5:$M$205,201),INDEX(LE_Curves!$B$5:$B$205,201),INDEX(LE_Curves!$B$5:$B$205,MATCH($R47,LE_Curves!$M$5:$M$205,1))+($R47-INDEX(LE_Curves!$M$5:$M$205,MATCH($R47,LE_Curves!$M$5:$M$205,1)))*(INDEX(LE_Curves!$B$5:$B$205,MATCH($R47,LE_Curves!$M$5:$M$205,1)+1)-INDEX(LE_Curves!$B$5:$B$205,MATCH($R47,LE_Curves!$M$5:$M$205,1)))/(INDEX(LE_Curves!$M$5:$M$205,MATCH($R47,LE_Curves!$M$5:$M$205,1)+1)-INDEX(LE_Curves!$M$5:$M$205,MATCH($R47,LE_Curves!$M$5:$M$205,1))))))</f>
        <v/>
      </c>
      <c r="AD47" s="11">
        <f>IF(Inputs!$D$34=0,0,IF($R47&lt;=Inputs!$C$34,0,IF($R47&gt;=INDEX(LE_Curves!$N$5:$N$205,201),INDEX(LE_Curves!$B$5:$B$205,201),INDEX(LE_Curves!$B$5:$B$205,MATCH($R47,LE_Curves!$N$5:$N$205,1))+($R47-INDEX(LE_Curves!$N$5:$N$205,MATCH($R47,LE_Curves!$N$5:$N$205,1)))*(INDEX(LE_Curves!$B$5:$B$205,MATCH($R47,LE_Curves!$N$5:$N$205,1)+1)-INDEX(LE_Curves!$B$5:$B$205,MATCH($R47,LE_Curves!$N$5:$N$205,1)))/(INDEX(LE_Curves!$N$5:$N$205,MATCH($R47,LE_Curves!$N$5:$N$205,1)+1)-INDEX(LE_Curves!$N$5:$N$205,MATCH($R47,LE_Curves!$N$5:$N$205,1))))))</f>
        <v/>
      </c>
      <c r="AE47" s="37">
        <f>SUM(S47:AD47)</f>
        <v/>
      </c>
    </row>
    <row r="48">
      <c r="A48" s="7" t="n">
        <v>17</v>
      </c>
      <c r="B48" s="37">
        <f>$B$3+($B$4-$B$3)*A48/200</f>
        <v/>
      </c>
      <c r="C48" s="11">
        <f>IF(Inputs!$D$23=0,0,IF($B48&lt;=Inputs!$C$23,0,IF($B48&gt;=INDEX(LE_Curves!$C$5:$C$205,201),INDEX(LE_Curves!$B$5:$B$205,201),INDEX(LE_Curves!$B$5:$B$205,MATCH($B48,LE_Curves!$C$5:$C$205,1))+($B48-INDEX(LE_Curves!$C$5:$C$205,MATCH($B48,LE_Curves!$C$5:$C$205,1)))*(INDEX(LE_Curves!$B$5:$B$205,MATCH($B48,LE_Curves!$C$5:$C$205,1)+1)-INDEX(LE_Curves!$B$5:$B$205,MATCH($B48,LE_Curves!$C$5:$C$205,1)))/(INDEX(LE_Curves!$C$5:$C$205,MATCH($B48,LE_Curves!$C$5:$C$205,1)+1)-INDEX(LE_Curves!$C$5:$C$205,MATCH($B48,LE_Curves!$C$5:$C$205,1))))))</f>
        <v/>
      </c>
      <c r="D48" s="11">
        <f>IF(Inputs!$D$24=0,0,IF($B48&lt;=Inputs!$C$24,0,IF($B48&gt;=INDEX(LE_Curves!$D$5:$D$205,201),INDEX(LE_Curves!$B$5:$B$205,201),INDEX(LE_Curves!$B$5:$B$205,MATCH($B48,LE_Curves!$D$5:$D$205,1))+($B48-INDEX(LE_Curves!$D$5:$D$205,MATCH($B48,LE_Curves!$D$5:$D$205,1)))*(INDEX(LE_Curves!$B$5:$B$205,MATCH($B48,LE_Curves!$D$5:$D$205,1)+1)-INDEX(LE_Curves!$B$5:$B$205,MATCH($B48,LE_Curves!$D$5:$D$205,1)))/(INDEX(LE_Curves!$D$5:$D$205,MATCH($B48,LE_Curves!$D$5:$D$205,1)+1)-INDEX(LE_Curves!$D$5:$D$205,MATCH($B48,LE_Curves!$D$5:$D$205,1))))))</f>
        <v/>
      </c>
      <c r="E48" s="11">
        <f>IF(Inputs!$D$25=0,0,IF($B48&lt;=Inputs!$C$25,0,IF($B48&gt;=INDEX(LE_Curves!$E$5:$E$205,201),INDEX(LE_Curves!$B$5:$B$205,201),INDEX(LE_Curves!$B$5:$B$205,MATCH($B48,LE_Curves!$E$5:$E$205,1))+($B48-INDEX(LE_Curves!$E$5:$E$205,MATCH($B48,LE_Curves!$E$5:$E$205,1)))*(INDEX(LE_Curves!$B$5:$B$205,MATCH($B48,LE_Curves!$E$5:$E$205,1)+1)-INDEX(LE_Curves!$B$5:$B$205,MATCH($B48,LE_Curves!$E$5:$E$205,1)))/(INDEX(LE_Curves!$E$5:$E$205,MATCH($B48,LE_Curves!$E$5:$E$205,1)+1)-INDEX(LE_Curves!$E$5:$E$205,MATCH($B48,LE_Curves!$E$5:$E$205,1))))))</f>
        <v/>
      </c>
      <c r="F48" s="11">
        <f>IF(Inputs!$D$26=0,0,IF($B48&lt;=Inputs!$C$26,0,IF($B48&gt;=INDEX(LE_Curves!$F$5:$F$205,201),INDEX(LE_Curves!$B$5:$B$205,201),INDEX(LE_Curves!$B$5:$B$205,MATCH($B48,LE_Curves!$F$5:$F$205,1))+($B48-INDEX(LE_Curves!$F$5:$F$205,MATCH($B48,LE_Curves!$F$5:$F$205,1)))*(INDEX(LE_Curves!$B$5:$B$205,MATCH($B48,LE_Curves!$F$5:$F$205,1)+1)-INDEX(LE_Curves!$B$5:$B$205,MATCH($B48,LE_Curves!$F$5:$F$205,1)))/(INDEX(LE_Curves!$F$5:$F$205,MATCH($B48,LE_Curves!$F$5:$F$205,1)+1)-INDEX(LE_Curves!$F$5:$F$205,MATCH($B48,LE_Curves!$F$5:$F$205,1))))))</f>
        <v/>
      </c>
      <c r="G48" s="11">
        <f>IF(Inputs!$D$27=0,0,IF($B48&lt;=Inputs!$C$27,0,IF($B48&gt;=INDEX(LE_Curves!$G$5:$G$205,201),INDEX(LE_Curves!$B$5:$B$205,201),INDEX(LE_Curves!$B$5:$B$205,MATCH($B48,LE_Curves!$G$5:$G$205,1))+($B48-INDEX(LE_Curves!$G$5:$G$205,MATCH($B48,LE_Curves!$G$5:$G$205,1)))*(INDEX(LE_Curves!$B$5:$B$205,MATCH($B48,LE_Curves!$G$5:$G$205,1)+1)-INDEX(LE_Curves!$B$5:$B$205,MATCH($B48,LE_Curves!$G$5:$G$205,1)))/(INDEX(LE_Curves!$G$5:$G$205,MATCH($B48,LE_Curves!$G$5:$G$205,1)+1)-INDEX(LE_Curves!$G$5:$G$205,MATCH($B48,LE_Curves!$G$5:$G$205,1))))))</f>
        <v/>
      </c>
      <c r="H48" s="11">
        <f>IF(Inputs!$D$28=0,0,IF($B48&lt;=Inputs!$C$28,0,IF($B48&gt;=INDEX(LE_Curves!$H$5:$H$205,201),INDEX(LE_Curves!$B$5:$B$205,201),INDEX(LE_Curves!$B$5:$B$205,MATCH($B48,LE_Curves!$H$5:$H$205,1))+($B48-INDEX(LE_Curves!$H$5:$H$205,MATCH($B48,LE_Curves!$H$5:$H$205,1)))*(INDEX(LE_Curves!$B$5:$B$205,MATCH($B48,LE_Curves!$H$5:$H$205,1)+1)-INDEX(LE_Curves!$B$5:$B$205,MATCH($B48,LE_Curves!$H$5:$H$205,1)))/(INDEX(LE_Curves!$H$5:$H$205,MATCH($B48,LE_Curves!$H$5:$H$205,1)+1)-INDEX(LE_Curves!$H$5:$H$205,MATCH($B48,LE_Curves!$H$5:$H$205,1))))))</f>
        <v/>
      </c>
      <c r="I48" s="11">
        <f>IF(Inputs!$D$29=0,0,IF($B48&lt;=Inputs!$C$29,0,IF($B48&gt;=INDEX(LE_Curves!$I$5:$I$205,201),INDEX(LE_Curves!$B$5:$B$205,201),INDEX(LE_Curves!$B$5:$B$205,MATCH($B48,LE_Curves!$I$5:$I$205,1))+($B48-INDEX(LE_Curves!$I$5:$I$205,MATCH($B48,LE_Curves!$I$5:$I$205,1)))*(INDEX(LE_Curves!$B$5:$B$205,MATCH($B48,LE_Curves!$I$5:$I$205,1)+1)-INDEX(LE_Curves!$B$5:$B$205,MATCH($B48,LE_Curves!$I$5:$I$205,1)))/(INDEX(LE_Curves!$I$5:$I$205,MATCH($B48,LE_Curves!$I$5:$I$205,1)+1)-INDEX(LE_Curves!$I$5:$I$205,MATCH($B48,LE_Curves!$I$5:$I$205,1))))))</f>
        <v/>
      </c>
      <c r="J48" s="11">
        <f>IF(Inputs!$D$30=0,0,IF($B48&lt;=Inputs!$C$30,0,IF($B48&gt;=INDEX(LE_Curves!$J$5:$J$205,201),INDEX(LE_Curves!$B$5:$B$205,201),INDEX(LE_Curves!$B$5:$B$205,MATCH($B48,LE_Curves!$J$5:$J$205,1))+($B48-INDEX(LE_Curves!$J$5:$J$205,MATCH($B48,LE_Curves!$J$5:$J$205,1)))*(INDEX(LE_Curves!$B$5:$B$205,MATCH($B48,LE_Curves!$J$5:$J$205,1)+1)-INDEX(LE_Curves!$B$5:$B$205,MATCH($B48,LE_Curves!$J$5:$J$205,1)))/(INDEX(LE_Curves!$J$5:$J$205,MATCH($B48,LE_Curves!$J$5:$J$205,1)+1)-INDEX(LE_Curves!$J$5:$J$205,MATCH($B48,LE_Curves!$J$5:$J$205,1))))))</f>
        <v/>
      </c>
      <c r="K48" s="11">
        <f>IF(Inputs!$D$31=0,0,IF($B48&lt;=Inputs!$C$31,0,IF($B48&gt;=INDEX(LE_Curves!$K$5:$K$205,201),INDEX(LE_Curves!$B$5:$B$205,201),INDEX(LE_Curves!$B$5:$B$205,MATCH($B48,LE_Curves!$K$5:$K$205,1))+($B48-INDEX(LE_Curves!$K$5:$K$205,MATCH($B48,LE_Curves!$K$5:$K$205,1)))*(INDEX(LE_Curves!$B$5:$B$205,MATCH($B48,LE_Curves!$K$5:$K$205,1)+1)-INDEX(LE_Curves!$B$5:$B$205,MATCH($B48,LE_Curves!$K$5:$K$205,1)))/(INDEX(LE_Curves!$K$5:$K$205,MATCH($B48,LE_Curves!$K$5:$K$205,1)+1)-INDEX(LE_Curves!$K$5:$K$205,MATCH($B48,LE_Curves!$K$5:$K$205,1))))))</f>
        <v/>
      </c>
      <c r="L48" s="11">
        <f>IF(Inputs!$D$32=0,0,IF($B48&lt;=Inputs!$C$32,0,IF($B48&gt;=INDEX(LE_Curves!$L$5:$L$205,201),INDEX(LE_Curves!$B$5:$B$205,201),INDEX(LE_Curves!$B$5:$B$205,MATCH($B48,LE_Curves!$L$5:$L$205,1))+($B48-INDEX(LE_Curves!$L$5:$L$205,MATCH($B48,LE_Curves!$L$5:$L$205,1)))*(INDEX(LE_Curves!$B$5:$B$205,MATCH($B48,LE_Curves!$L$5:$L$205,1)+1)-INDEX(LE_Curves!$B$5:$B$205,MATCH($B48,LE_Curves!$L$5:$L$205,1)))/(INDEX(LE_Curves!$L$5:$L$205,MATCH($B48,LE_Curves!$L$5:$L$205,1)+1)-INDEX(LE_Curves!$L$5:$L$205,MATCH($B48,LE_Curves!$L$5:$L$205,1))))))</f>
        <v/>
      </c>
      <c r="M48" s="11">
        <f>IF(Inputs!$D$33=0,0,IF($B48&lt;=Inputs!$C$33,0,IF($B48&gt;=INDEX(LE_Curves!$M$5:$M$205,201),INDEX(LE_Curves!$B$5:$B$205,201),INDEX(LE_Curves!$B$5:$B$205,MATCH($B48,LE_Curves!$M$5:$M$205,1))+($B48-INDEX(LE_Curves!$M$5:$M$205,MATCH($B48,LE_Curves!$M$5:$M$205,1)))*(INDEX(LE_Curves!$B$5:$B$205,MATCH($B48,LE_Curves!$M$5:$M$205,1)+1)-INDEX(LE_Curves!$B$5:$B$205,MATCH($B48,LE_Curves!$M$5:$M$205,1)))/(INDEX(LE_Curves!$M$5:$M$205,MATCH($B48,LE_Curves!$M$5:$M$205,1)+1)-INDEX(LE_Curves!$M$5:$M$205,MATCH($B48,LE_Curves!$M$5:$M$205,1))))))</f>
        <v/>
      </c>
      <c r="N48" s="11">
        <f>IF(Inputs!$D$34=0,0,IF($B48&lt;=Inputs!$C$34,0,IF($B48&gt;=INDEX(LE_Curves!$N$5:$N$205,201),INDEX(LE_Curves!$B$5:$B$205,201),INDEX(LE_Curves!$B$5:$B$205,MATCH($B48,LE_Curves!$N$5:$N$205,1))+($B48-INDEX(LE_Curves!$N$5:$N$205,MATCH($B48,LE_Curves!$N$5:$N$205,1)))*(INDEX(LE_Curves!$B$5:$B$205,MATCH($B48,LE_Curves!$N$5:$N$205,1)+1)-INDEX(LE_Curves!$B$5:$B$205,MATCH($B48,LE_Curves!$N$5:$N$205,1)))/(INDEX(LE_Curves!$N$5:$N$205,MATCH($B48,LE_Curves!$N$5:$N$205,1)+1)-INDEX(LE_Curves!$N$5:$N$205,MATCH($B48,LE_Curves!$N$5:$N$205,1))))))</f>
        <v/>
      </c>
      <c r="O48" s="11">
        <f>SUM(C48:N48)</f>
        <v/>
      </c>
      <c r="Q48" s="7" t="n">
        <v>17</v>
      </c>
      <c r="R48" s="23">
        <f>$B$6+($B$7-$B$6)*Q48/200</f>
        <v/>
      </c>
      <c r="S48" s="11">
        <f>IF(Inputs!$D$23=0,0,IF($R48&lt;=Inputs!$C$23,0,IF($R48&gt;=INDEX(LE_Curves!$C$5:$C$205,201),INDEX(LE_Curves!$B$5:$B$205,201),INDEX(LE_Curves!$B$5:$B$205,MATCH($R48,LE_Curves!$C$5:$C$205,1))+($R48-INDEX(LE_Curves!$C$5:$C$205,MATCH($R48,LE_Curves!$C$5:$C$205,1)))*(INDEX(LE_Curves!$B$5:$B$205,MATCH($R48,LE_Curves!$C$5:$C$205,1)+1)-INDEX(LE_Curves!$B$5:$B$205,MATCH($R48,LE_Curves!$C$5:$C$205,1)))/(INDEX(LE_Curves!$C$5:$C$205,MATCH($R48,LE_Curves!$C$5:$C$205,1)+1)-INDEX(LE_Curves!$C$5:$C$205,MATCH($R48,LE_Curves!$C$5:$C$205,1))))))</f>
        <v/>
      </c>
      <c r="T48" s="11">
        <f>IF(Inputs!$D$24=0,0,IF($R48&lt;=Inputs!$C$24,0,IF($R48&gt;=INDEX(LE_Curves!$D$5:$D$205,201),INDEX(LE_Curves!$B$5:$B$205,201),INDEX(LE_Curves!$B$5:$B$205,MATCH($R48,LE_Curves!$D$5:$D$205,1))+($R48-INDEX(LE_Curves!$D$5:$D$205,MATCH($R48,LE_Curves!$D$5:$D$205,1)))*(INDEX(LE_Curves!$B$5:$B$205,MATCH($R48,LE_Curves!$D$5:$D$205,1)+1)-INDEX(LE_Curves!$B$5:$B$205,MATCH($R48,LE_Curves!$D$5:$D$205,1)))/(INDEX(LE_Curves!$D$5:$D$205,MATCH($R48,LE_Curves!$D$5:$D$205,1)+1)-INDEX(LE_Curves!$D$5:$D$205,MATCH($R48,LE_Curves!$D$5:$D$205,1))))))</f>
        <v/>
      </c>
      <c r="U48" s="11">
        <f>IF(Inputs!$D$25=0,0,IF($R48&lt;=Inputs!$C$25,0,IF($R48&gt;=INDEX(LE_Curves!$E$5:$E$205,201),INDEX(LE_Curves!$B$5:$B$205,201),INDEX(LE_Curves!$B$5:$B$205,MATCH($R48,LE_Curves!$E$5:$E$205,1))+($R48-INDEX(LE_Curves!$E$5:$E$205,MATCH($R48,LE_Curves!$E$5:$E$205,1)))*(INDEX(LE_Curves!$B$5:$B$205,MATCH($R48,LE_Curves!$E$5:$E$205,1)+1)-INDEX(LE_Curves!$B$5:$B$205,MATCH($R48,LE_Curves!$E$5:$E$205,1)))/(INDEX(LE_Curves!$E$5:$E$205,MATCH($R48,LE_Curves!$E$5:$E$205,1)+1)-INDEX(LE_Curves!$E$5:$E$205,MATCH($R48,LE_Curves!$E$5:$E$205,1))))))</f>
        <v/>
      </c>
      <c r="V48" s="11">
        <f>IF(Inputs!$D$26=0,0,IF($R48&lt;=Inputs!$C$26,0,IF($R48&gt;=INDEX(LE_Curves!$F$5:$F$205,201),INDEX(LE_Curves!$B$5:$B$205,201),INDEX(LE_Curves!$B$5:$B$205,MATCH($R48,LE_Curves!$F$5:$F$205,1))+($R48-INDEX(LE_Curves!$F$5:$F$205,MATCH($R48,LE_Curves!$F$5:$F$205,1)))*(INDEX(LE_Curves!$B$5:$B$205,MATCH($R48,LE_Curves!$F$5:$F$205,1)+1)-INDEX(LE_Curves!$B$5:$B$205,MATCH($R48,LE_Curves!$F$5:$F$205,1)))/(INDEX(LE_Curves!$F$5:$F$205,MATCH($R48,LE_Curves!$F$5:$F$205,1)+1)-INDEX(LE_Curves!$F$5:$F$205,MATCH($R48,LE_Curves!$F$5:$F$205,1))))))</f>
        <v/>
      </c>
      <c r="W48" s="11">
        <f>IF(Inputs!$D$27=0,0,IF($R48&lt;=Inputs!$C$27,0,IF($R48&gt;=INDEX(LE_Curves!$G$5:$G$205,201),INDEX(LE_Curves!$B$5:$B$205,201),INDEX(LE_Curves!$B$5:$B$205,MATCH($R48,LE_Curves!$G$5:$G$205,1))+($R48-INDEX(LE_Curves!$G$5:$G$205,MATCH($R48,LE_Curves!$G$5:$G$205,1)))*(INDEX(LE_Curves!$B$5:$B$205,MATCH($R48,LE_Curves!$G$5:$G$205,1)+1)-INDEX(LE_Curves!$B$5:$B$205,MATCH($R48,LE_Curves!$G$5:$G$205,1)))/(INDEX(LE_Curves!$G$5:$G$205,MATCH($R48,LE_Curves!$G$5:$G$205,1)+1)-INDEX(LE_Curves!$G$5:$G$205,MATCH($R48,LE_Curves!$G$5:$G$205,1))))))</f>
        <v/>
      </c>
      <c r="X48" s="11">
        <f>IF(Inputs!$D$28=0,0,IF($R48&lt;=Inputs!$C$28,0,IF($R48&gt;=INDEX(LE_Curves!$H$5:$H$205,201),INDEX(LE_Curves!$B$5:$B$205,201),INDEX(LE_Curves!$B$5:$B$205,MATCH($R48,LE_Curves!$H$5:$H$205,1))+($R48-INDEX(LE_Curves!$H$5:$H$205,MATCH($R48,LE_Curves!$H$5:$H$205,1)))*(INDEX(LE_Curves!$B$5:$B$205,MATCH($R48,LE_Curves!$H$5:$H$205,1)+1)-INDEX(LE_Curves!$B$5:$B$205,MATCH($R48,LE_Curves!$H$5:$H$205,1)))/(INDEX(LE_Curves!$H$5:$H$205,MATCH($R48,LE_Curves!$H$5:$H$205,1)+1)-INDEX(LE_Curves!$H$5:$H$205,MATCH($R48,LE_Curves!$H$5:$H$205,1))))))</f>
        <v/>
      </c>
      <c r="Y48" s="11">
        <f>IF(Inputs!$D$29=0,0,IF($R48&lt;=Inputs!$C$29,0,IF($R48&gt;=INDEX(LE_Curves!$I$5:$I$205,201),INDEX(LE_Curves!$B$5:$B$205,201),INDEX(LE_Curves!$B$5:$B$205,MATCH($R48,LE_Curves!$I$5:$I$205,1))+($R48-INDEX(LE_Curves!$I$5:$I$205,MATCH($R48,LE_Curves!$I$5:$I$205,1)))*(INDEX(LE_Curves!$B$5:$B$205,MATCH($R48,LE_Curves!$I$5:$I$205,1)+1)-INDEX(LE_Curves!$B$5:$B$205,MATCH($R48,LE_Curves!$I$5:$I$205,1)))/(INDEX(LE_Curves!$I$5:$I$205,MATCH($R48,LE_Curves!$I$5:$I$205,1)+1)-INDEX(LE_Curves!$I$5:$I$205,MATCH($R48,LE_Curves!$I$5:$I$205,1))))))</f>
        <v/>
      </c>
      <c r="Z48" s="11">
        <f>IF(Inputs!$D$30=0,0,IF($R48&lt;=Inputs!$C$30,0,IF($R48&gt;=INDEX(LE_Curves!$J$5:$J$205,201),INDEX(LE_Curves!$B$5:$B$205,201),INDEX(LE_Curves!$B$5:$B$205,MATCH($R48,LE_Curves!$J$5:$J$205,1))+($R48-INDEX(LE_Curves!$J$5:$J$205,MATCH($R48,LE_Curves!$J$5:$J$205,1)))*(INDEX(LE_Curves!$B$5:$B$205,MATCH($R48,LE_Curves!$J$5:$J$205,1)+1)-INDEX(LE_Curves!$B$5:$B$205,MATCH($R48,LE_Curves!$J$5:$J$205,1)))/(INDEX(LE_Curves!$J$5:$J$205,MATCH($R48,LE_Curves!$J$5:$J$205,1)+1)-INDEX(LE_Curves!$J$5:$J$205,MATCH($R48,LE_Curves!$J$5:$J$205,1))))))</f>
        <v/>
      </c>
      <c r="AA48" s="11">
        <f>IF(Inputs!$D$31=0,0,IF($R48&lt;=Inputs!$C$31,0,IF($R48&gt;=INDEX(LE_Curves!$K$5:$K$205,201),INDEX(LE_Curves!$B$5:$B$205,201),INDEX(LE_Curves!$B$5:$B$205,MATCH($R48,LE_Curves!$K$5:$K$205,1))+($R48-INDEX(LE_Curves!$K$5:$K$205,MATCH($R48,LE_Curves!$K$5:$K$205,1)))*(INDEX(LE_Curves!$B$5:$B$205,MATCH($R48,LE_Curves!$K$5:$K$205,1)+1)-INDEX(LE_Curves!$B$5:$B$205,MATCH($R48,LE_Curves!$K$5:$K$205,1)))/(INDEX(LE_Curves!$K$5:$K$205,MATCH($R48,LE_Curves!$K$5:$K$205,1)+1)-INDEX(LE_Curves!$K$5:$K$205,MATCH($R48,LE_Curves!$K$5:$K$205,1))))))</f>
        <v/>
      </c>
      <c r="AB48" s="11">
        <f>IF(Inputs!$D$32=0,0,IF($R48&lt;=Inputs!$C$32,0,IF($R48&gt;=INDEX(LE_Curves!$L$5:$L$205,201),INDEX(LE_Curves!$B$5:$B$205,201),INDEX(LE_Curves!$B$5:$B$205,MATCH($R48,LE_Curves!$L$5:$L$205,1))+($R48-INDEX(LE_Curves!$L$5:$L$205,MATCH($R48,LE_Curves!$L$5:$L$205,1)))*(INDEX(LE_Curves!$B$5:$B$205,MATCH($R48,LE_Curves!$L$5:$L$205,1)+1)-INDEX(LE_Curves!$B$5:$B$205,MATCH($R48,LE_Curves!$L$5:$L$205,1)))/(INDEX(LE_Curves!$L$5:$L$205,MATCH($R48,LE_Curves!$L$5:$L$205,1)+1)-INDEX(LE_Curves!$L$5:$L$205,MATCH($R48,LE_Curves!$L$5:$L$205,1))))))</f>
        <v/>
      </c>
      <c r="AC48" s="11">
        <f>IF(Inputs!$D$33=0,0,IF($R48&lt;=Inputs!$C$33,0,IF($R48&gt;=INDEX(LE_Curves!$M$5:$M$205,201),INDEX(LE_Curves!$B$5:$B$205,201),INDEX(LE_Curves!$B$5:$B$205,MATCH($R48,LE_Curves!$M$5:$M$205,1))+($R48-INDEX(LE_Curves!$M$5:$M$205,MATCH($R48,LE_Curves!$M$5:$M$205,1)))*(INDEX(LE_Curves!$B$5:$B$205,MATCH($R48,LE_Curves!$M$5:$M$205,1)+1)-INDEX(LE_Curves!$B$5:$B$205,MATCH($R48,LE_Curves!$M$5:$M$205,1)))/(INDEX(LE_Curves!$M$5:$M$205,MATCH($R48,LE_Curves!$M$5:$M$205,1)+1)-INDEX(LE_Curves!$M$5:$M$205,MATCH($R48,LE_Curves!$M$5:$M$205,1))))))</f>
        <v/>
      </c>
      <c r="AD48" s="11">
        <f>IF(Inputs!$D$34=0,0,IF($R48&lt;=Inputs!$C$34,0,IF($R48&gt;=INDEX(LE_Curves!$N$5:$N$205,201),INDEX(LE_Curves!$B$5:$B$205,201),INDEX(LE_Curves!$B$5:$B$205,MATCH($R48,LE_Curves!$N$5:$N$205,1))+($R48-INDEX(LE_Curves!$N$5:$N$205,MATCH($R48,LE_Curves!$N$5:$N$205,1)))*(INDEX(LE_Curves!$B$5:$B$205,MATCH($R48,LE_Curves!$N$5:$N$205,1)+1)-INDEX(LE_Curves!$B$5:$B$205,MATCH($R48,LE_Curves!$N$5:$N$205,1)))/(INDEX(LE_Curves!$N$5:$N$205,MATCH($R48,LE_Curves!$N$5:$N$205,1)+1)-INDEX(LE_Curves!$N$5:$N$205,MATCH($R48,LE_Curves!$N$5:$N$205,1))))))</f>
        <v/>
      </c>
      <c r="AE48" s="37">
        <f>SUM(S48:AD48)</f>
        <v/>
      </c>
    </row>
    <row r="49">
      <c r="A49" s="7" t="n">
        <v>18</v>
      </c>
      <c r="B49" s="37">
        <f>$B$3+($B$4-$B$3)*A49/200</f>
        <v/>
      </c>
      <c r="C49" s="11">
        <f>IF(Inputs!$D$23=0,0,IF($B49&lt;=Inputs!$C$23,0,IF($B49&gt;=INDEX(LE_Curves!$C$5:$C$205,201),INDEX(LE_Curves!$B$5:$B$205,201),INDEX(LE_Curves!$B$5:$B$205,MATCH($B49,LE_Curves!$C$5:$C$205,1))+($B49-INDEX(LE_Curves!$C$5:$C$205,MATCH($B49,LE_Curves!$C$5:$C$205,1)))*(INDEX(LE_Curves!$B$5:$B$205,MATCH($B49,LE_Curves!$C$5:$C$205,1)+1)-INDEX(LE_Curves!$B$5:$B$205,MATCH($B49,LE_Curves!$C$5:$C$205,1)))/(INDEX(LE_Curves!$C$5:$C$205,MATCH($B49,LE_Curves!$C$5:$C$205,1)+1)-INDEX(LE_Curves!$C$5:$C$205,MATCH($B49,LE_Curves!$C$5:$C$205,1))))))</f>
        <v/>
      </c>
      <c r="D49" s="11">
        <f>IF(Inputs!$D$24=0,0,IF($B49&lt;=Inputs!$C$24,0,IF($B49&gt;=INDEX(LE_Curves!$D$5:$D$205,201),INDEX(LE_Curves!$B$5:$B$205,201),INDEX(LE_Curves!$B$5:$B$205,MATCH($B49,LE_Curves!$D$5:$D$205,1))+($B49-INDEX(LE_Curves!$D$5:$D$205,MATCH($B49,LE_Curves!$D$5:$D$205,1)))*(INDEX(LE_Curves!$B$5:$B$205,MATCH($B49,LE_Curves!$D$5:$D$205,1)+1)-INDEX(LE_Curves!$B$5:$B$205,MATCH($B49,LE_Curves!$D$5:$D$205,1)))/(INDEX(LE_Curves!$D$5:$D$205,MATCH($B49,LE_Curves!$D$5:$D$205,1)+1)-INDEX(LE_Curves!$D$5:$D$205,MATCH($B49,LE_Curves!$D$5:$D$205,1))))))</f>
        <v/>
      </c>
      <c r="E49" s="11">
        <f>IF(Inputs!$D$25=0,0,IF($B49&lt;=Inputs!$C$25,0,IF($B49&gt;=INDEX(LE_Curves!$E$5:$E$205,201),INDEX(LE_Curves!$B$5:$B$205,201),INDEX(LE_Curves!$B$5:$B$205,MATCH($B49,LE_Curves!$E$5:$E$205,1))+($B49-INDEX(LE_Curves!$E$5:$E$205,MATCH($B49,LE_Curves!$E$5:$E$205,1)))*(INDEX(LE_Curves!$B$5:$B$205,MATCH($B49,LE_Curves!$E$5:$E$205,1)+1)-INDEX(LE_Curves!$B$5:$B$205,MATCH($B49,LE_Curves!$E$5:$E$205,1)))/(INDEX(LE_Curves!$E$5:$E$205,MATCH($B49,LE_Curves!$E$5:$E$205,1)+1)-INDEX(LE_Curves!$E$5:$E$205,MATCH($B49,LE_Curves!$E$5:$E$205,1))))))</f>
        <v/>
      </c>
      <c r="F49" s="11">
        <f>IF(Inputs!$D$26=0,0,IF($B49&lt;=Inputs!$C$26,0,IF($B49&gt;=INDEX(LE_Curves!$F$5:$F$205,201),INDEX(LE_Curves!$B$5:$B$205,201),INDEX(LE_Curves!$B$5:$B$205,MATCH($B49,LE_Curves!$F$5:$F$205,1))+($B49-INDEX(LE_Curves!$F$5:$F$205,MATCH($B49,LE_Curves!$F$5:$F$205,1)))*(INDEX(LE_Curves!$B$5:$B$205,MATCH($B49,LE_Curves!$F$5:$F$205,1)+1)-INDEX(LE_Curves!$B$5:$B$205,MATCH($B49,LE_Curves!$F$5:$F$205,1)))/(INDEX(LE_Curves!$F$5:$F$205,MATCH($B49,LE_Curves!$F$5:$F$205,1)+1)-INDEX(LE_Curves!$F$5:$F$205,MATCH($B49,LE_Curves!$F$5:$F$205,1))))))</f>
        <v/>
      </c>
      <c r="G49" s="11">
        <f>IF(Inputs!$D$27=0,0,IF($B49&lt;=Inputs!$C$27,0,IF($B49&gt;=INDEX(LE_Curves!$G$5:$G$205,201),INDEX(LE_Curves!$B$5:$B$205,201),INDEX(LE_Curves!$B$5:$B$205,MATCH($B49,LE_Curves!$G$5:$G$205,1))+($B49-INDEX(LE_Curves!$G$5:$G$205,MATCH($B49,LE_Curves!$G$5:$G$205,1)))*(INDEX(LE_Curves!$B$5:$B$205,MATCH($B49,LE_Curves!$G$5:$G$205,1)+1)-INDEX(LE_Curves!$B$5:$B$205,MATCH($B49,LE_Curves!$G$5:$G$205,1)))/(INDEX(LE_Curves!$G$5:$G$205,MATCH($B49,LE_Curves!$G$5:$G$205,1)+1)-INDEX(LE_Curves!$G$5:$G$205,MATCH($B49,LE_Curves!$G$5:$G$205,1))))))</f>
        <v/>
      </c>
      <c r="H49" s="11">
        <f>IF(Inputs!$D$28=0,0,IF($B49&lt;=Inputs!$C$28,0,IF($B49&gt;=INDEX(LE_Curves!$H$5:$H$205,201),INDEX(LE_Curves!$B$5:$B$205,201),INDEX(LE_Curves!$B$5:$B$205,MATCH($B49,LE_Curves!$H$5:$H$205,1))+($B49-INDEX(LE_Curves!$H$5:$H$205,MATCH($B49,LE_Curves!$H$5:$H$205,1)))*(INDEX(LE_Curves!$B$5:$B$205,MATCH($B49,LE_Curves!$H$5:$H$205,1)+1)-INDEX(LE_Curves!$B$5:$B$205,MATCH($B49,LE_Curves!$H$5:$H$205,1)))/(INDEX(LE_Curves!$H$5:$H$205,MATCH($B49,LE_Curves!$H$5:$H$205,1)+1)-INDEX(LE_Curves!$H$5:$H$205,MATCH($B49,LE_Curves!$H$5:$H$205,1))))))</f>
        <v/>
      </c>
      <c r="I49" s="11">
        <f>IF(Inputs!$D$29=0,0,IF($B49&lt;=Inputs!$C$29,0,IF($B49&gt;=INDEX(LE_Curves!$I$5:$I$205,201),INDEX(LE_Curves!$B$5:$B$205,201),INDEX(LE_Curves!$B$5:$B$205,MATCH($B49,LE_Curves!$I$5:$I$205,1))+($B49-INDEX(LE_Curves!$I$5:$I$205,MATCH($B49,LE_Curves!$I$5:$I$205,1)))*(INDEX(LE_Curves!$B$5:$B$205,MATCH($B49,LE_Curves!$I$5:$I$205,1)+1)-INDEX(LE_Curves!$B$5:$B$205,MATCH($B49,LE_Curves!$I$5:$I$205,1)))/(INDEX(LE_Curves!$I$5:$I$205,MATCH($B49,LE_Curves!$I$5:$I$205,1)+1)-INDEX(LE_Curves!$I$5:$I$205,MATCH($B49,LE_Curves!$I$5:$I$205,1))))))</f>
        <v/>
      </c>
      <c r="J49" s="11">
        <f>IF(Inputs!$D$30=0,0,IF($B49&lt;=Inputs!$C$30,0,IF($B49&gt;=INDEX(LE_Curves!$J$5:$J$205,201),INDEX(LE_Curves!$B$5:$B$205,201),INDEX(LE_Curves!$B$5:$B$205,MATCH($B49,LE_Curves!$J$5:$J$205,1))+($B49-INDEX(LE_Curves!$J$5:$J$205,MATCH($B49,LE_Curves!$J$5:$J$205,1)))*(INDEX(LE_Curves!$B$5:$B$205,MATCH($B49,LE_Curves!$J$5:$J$205,1)+1)-INDEX(LE_Curves!$B$5:$B$205,MATCH($B49,LE_Curves!$J$5:$J$205,1)))/(INDEX(LE_Curves!$J$5:$J$205,MATCH($B49,LE_Curves!$J$5:$J$205,1)+1)-INDEX(LE_Curves!$J$5:$J$205,MATCH($B49,LE_Curves!$J$5:$J$205,1))))))</f>
        <v/>
      </c>
      <c r="K49" s="11">
        <f>IF(Inputs!$D$31=0,0,IF($B49&lt;=Inputs!$C$31,0,IF($B49&gt;=INDEX(LE_Curves!$K$5:$K$205,201),INDEX(LE_Curves!$B$5:$B$205,201),INDEX(LE_Curves!$B$5:$B$205,MATCH($B49,LE_Curves!$K$5:$K$205,1))+($B49-INDEX(LE_Curves!$K$5:$K$205,MATCH($B49,LE_Curves!$K$5:$K$205,1)))*(INDEX(LE_Curves!$B$5:$B$205,MATCH($B49,LE_Curves!$K$5:$K$205,1)+1)-INDEX(LE_Curves!$B$5:$B$205,MATCH($B49,LE_Curves!$K$5:$K$205,1)))/(INDEX(LE_Curves!$K$5:$K$205,MATCH($B49,LE_Curves!$K$5:$K$205,1)+1)-INDEX(LE_Curves!$K$5:$K$205,MATCH($B49,LE_Curves!$K$5:$K$205,1))))))</f>
        <v/>
      </c>
      <c r="L49" s="11">
        <f>IF(Inputs!$D$32=0,0,IF($B49&lt;=Inputs!$C$32,0,IF($B49&gt;=INDEX(LE_Curves!$L$5:$L$205,201),INDEX(LE_Curves!$B$5:$B$205,201),INDEX(LE_Curves!$B$5:$B$205,MATCH($B49,LE_Curves!$L$5:$L$205,1))+($B49-INDEX(LE_Curves!$L$5:$L$205,MATCH($B49,LE_Curves!$L$5:$L$205,1)))*(INDEX(LE_Curves!$B$5:$B$205,MATCH($B49,LE_Curves!$L$5:$L$205,1)+1)-INDEX(LE_Curves!$B$5:$B$205,MATCH($B49,LE_Curves!$L$5:$L$205,1)))/(INDEX(LE_Curves!$L$5:$L$205,MATCH($B49,LE_Curves!$L$5:$L$205,1)+1)-INDEX(LE_Curves!$L$5:$L$205,MATCH($B49,LE_Curves!$L$5:$L$205,1))))))</f>
        <v/>
      </c>
      <c r="M49" s="11">
        <f>IF(Inputs!$D$33=0,0,IF($B49&lt;=Inputs!$C$33,0,IF($B49&gt;=INDEX(LE_Curves!$M$5:$M$205,201),INDEX(LE_Curves!$B$5:$B$205,201),INDEX(LE_Curves!$B$5:$B$205,MATCH($B49,LE_Curves!$M$5:$M$205,1))+($B49-INDEX(LE_Curves!$M$5:$M$205,MATCH($B49,LE_Curves!$M$5:$M$205,1)))*(INDEX(LE_Curves!$B$5:$B$205,MATCH($B49,LE_Curves!$M$5:$M$205,1)+1)-INDEX(LE_Curves!$B$5:$B$205,MATCH($B49,LE_Curves!$M$5:$M$205,1)))/(INDEX(LE_Curves!$M$5:$M$205,MATCH($B49,LE_Curves!$M$5:$M$205,1)+1)-INDEX(LE_Curves!$M$5:$M$205,MATCH($B49,LE_Curves!$M$5:$M$205,1))))))</f>
        <v/>
      </c>
      <c r="N49" s="11">
        <f>IF(Inputs!$D$34=0,0,IF($B49&lt;=Inputs!$C$34,0,IF($B49&gt;=INDEX(LE_Curves!$N$5:$N$205,201),INDEX(LE_Curves!$B$5:$B$205,201),INDEX(LE_Curves!$B$5:$B$205,MATCH($B49,LE_Curves!$N$5:$N$205,1))+($B49-INDEX(LE_Curves!$N$5:$N$205,MATCH($B49,LE_Curves!$N$5:$N$205,1)))*(INDEX(LE_Curves!$B$5:$B$205,MATCH($B49,LE_Curves!$N$5:$N$205,1)+1)-INDEX(LE_Curves!$B$5:$B$205,MATCH($B49,LE_Curves!$N$5:$N$205,1)))/(INDEX(LE_Curves!$N$5:$N$205,MATCH($B49,LE_Curves!$N$5:$N$205,1)+1)-INDEX(LE_Curves!$N$5:$N$205,MATCH($B49,LE_Curves!$N$5:$N$205,1))))))</f>
        <v/>
      </c>
      <c r="O49" s="11">
        <f>SUM(C49:N49)</f>
        <v/>
      </c>
      <c r="Q49" s="7" t="n">
        <v>18</v>
      </c>
      <c r="R49" s="23">
        <f>$B$6+($B$7-$B$6)*Q49/200</f>
        <v/>
      </c>
      <c r="S49" s="11">
        <f>IF(Inputs!$D$23=0,0,IF($R49&lt;=Inputs!$C$23,0,IF($R49&gt;=INDEX(LE_Curves!$C$5:$C$205,201),INDEX(LE_Curves!$B$5:$B$205,201),INDEX(LE_Curves!$B$5:$B$205,MATCH($R49,LE_Curves!$C$5:$C$205,1))+($R49-INDEX(LE_Curves!$C$5:$C$205,MATCH($R49,LE_Curves!$C$5:$C$205,1)))*(INDEX(LE_Curves!$B$5:$B$205,MATCH($R49,LE_Curves!$C$5:$C$205,1)+1)-INDEX(LE_Curves!$B$5:$B$205,MATCH($R49,LE_Curves!$C$5:$C$205,1)))/(INDEX(LE_Curves!$C$5:$C$205,MATCH($R49,LE_Curves!$C$5:$C$205,1)+1)-INDEX(LE_Curves!$C$5:$C$205,MATCH($R49,LE_Curves!$C$5:$C$205,1))))))</f>
        <v/>
      </c>
      <c r="T49" s="11">
        <f>IF(Inputs!$D$24=0,0,IF($R49&lt;=Inputs!$C$24,0,IF($R49&gt;=INDEX(LE_Curves!$D$5:$D$205,201),INDEX(LE_Curves!$B$5:$B$205,201),INDEX(LE_Curves!$B$5:$B$205,MATCH($R49,LE_Curves!$D$5:$D$205,1))+($R49-INDEX(LE_Curves!$D$5:$D$205,MATCH($R49,LE_Curves!$D$5:$D$205,1)))*(INDEX(LE_Curves!$B$5:$B$205,MATCH($R49,LE_Curves!$D$5:$D$205,1)+1)-INDEX(LE_Curves!$B$5:$B$205,MATCH($R49,LE_Curves!$D$5:$D$205,1)))/(INDEX(LE_Curves!$D$5:$D$205,MATCH($R49,LE_Curves!$D$5:$D$205,1)+1)-INDEX(LE_Curves!$D$5:$D$205,MATCH($R49,LE_Curves!$D$5:$D$205,1))))))</f>
        <v/>
      </c>
      <c r="U49" s="11">
        <f>IF(Inputs!$D$25=0,0,IF($R49&lt;=Inputs!$C$25,0,IF($R49&gt;=INDEX(LE_Curves!$E$5:$E$205,201),INDEX(LE_Curves!$B$5:$B$205,201),INDEX(LE_Curves!$B$5:$B$205,MATCH($R49,LE_Curves!$E$5:$E$205,1))+($R49-INDEX(LE_Curves!$E$5:$E$205,MATCH($R49,LE_Curves!$E$5:$E$205,1)))*(INDEX(LE_Curves!$B$5:$B$205,MATCH($R49,LE_Curves!$E$5:$E$205,1)+1)-INDEX(LE_Curves!$B$5:$B$205,MATCH($R49,LE_Curves!$E$5:$E$205,1)))/(INDEX(LE_Curves!$E$5:$E$205,MATCH($R49,LE_Curves!$E$5:$E$205,1)+1)-INDEX(LE_Curves!$E$5:$E$205,MATCH($R49,LE_Curves!$E$5:$E$205,1))))))</f>
        <v/>
      </c>
      <c r="V49" s="11">
        <f>IF(Inputs!$D$26=0,0,IF($R49&lt;=Inputs!$C$26,0,IF($R49&gt;=INDEX(LE_Curves!$F$5:$F$205,201),INDEX(LE_Curves!$B$5:$B$205,201),INDEX(LE_Curves!$B$5:$B$205,MATCH($R49,LE_Curves!$F$5:$F$205,1))+($R49-INDEX(LE_Curves!$F$5:$F$205,MATCH($R49,LE_Curves!$F$5:$F$205,1)))*(INDEX(LE_Curves!$B$5:$B$205,MATCH($R49,LE_Curves!$F$5:$F$205,1)+1)-INDEX(LE_Curves!$B$5:$B$205,MATCH($R49,LE_Curves!$F$5:$F$205,1)))/(INDEX(LE_Curves!$F$5:$F$205,MATCH($R49,LE_Curves!$F$5:$F$205,1)+1)-INDEX(LE_Curves!$F$5:$F$205,MATCH($R49,LE_Curves!$F$5:$F$205,1))))))</f>
        <v/>
      </c>
      <c r="W49" s="11">
        <f>IF(Inputs!$D$27=0,0,IF($R49&lt;=Inputs!$C$27,0,IF($R49&gt;=INDEX(LE_Curves!$G$5:$G$205,201),INDEX(LE_Curves!$B$5:$B$205,201),INDEX(LE_Curves!$B$5:$B$205,MATCH($R49,LE_Curves!$G$5:$G$205,1))+($R49-INDEX(LE_Curves!$G$5:$G$205,MATCH($R49,LE_Curves!$G$5:$G$205,1)))*(INDEX(LE_Curves!$B$5:$B$205,MATCH($R49,LE_Curves!$G$5:$G$205,1)+1)-INDEX(LE_Curves!$B$5:$B$205,MATCH($R49,LE_Curves!$G$5:$G$205,1)))/(INDEX(LE_Curves!$G$5:$G$205,MATCH($R49,LE_Curves!$G$5:$G$205,1)+1)-INDEX(LE_Curves!$G$5:$G$205,MATCH($R49,LE_Curves!$G$5:$G$205,1))))))</f>
        <v/>
      </c>
      <c r="X49" s="11">
        <f>IF(Inputs!$D$28=0,0,IF($R49&lt;=Inputs!$C$28,0,IF($R49&gt;=INDEX(LE_Curves!$H$5:$H$205,201),INDEX(LE_Curves!$B$5:$B$205,201),INDEX(LE_Curves!$B$5:$B$205,MATCH($R49,LE_Curves!$H$5:$H$205,1))+($R49-INDEX(LE_Curves!$H$5:$H$205,MATCH($R49,LE_Curves!$H$5:$H$205,1)))*(INDEX(LE_Curves!$B$5:$B$205,MATCH($R49,LE_Curves!$H$5:$H$205,1)+1)-INDEX(LE_Curves!$B$5:$B$205,MATCH($R49,LE_Curves!$H$5:$H$205,1)))/(INDEX(LE_Curves!$H$5:$H$205,MATCH($R49,LE_Curves!$H$5:$H$205,1)+1)-INDEX(LE_Curves!$H$5:$H$205,MATCH($R49,LE_Curves!$H$5:$H$205,1))))))</f>
        <v/>
      </c>
      <c r="Y49" s="11">
        <f>IF(Inputs!$D$29=0,0,IF($R49&lt;=Inputs!$C$29,0,IF($R49&gt;=INDEX(LE_Curves!$I$5:$I$205,201),INDEX(LE_Curves!$B$5:$B$205,201),INDEX(LE_Curves!$B$5:$B$205,MATCH($R49,LE_Curves!$I$5:$I$205,1))+($R49-INDEX(LE_Curves!$I$5:$I$205,MATCH($R49,LE_Curves!$I$5:$I$205,1)))*(INDEX(LE_Curves!$B$5:$B$205,MATCH($R49,LE_Curves!$I$5:$I$205,1)+1)-INDEX(LE_Curves!$B$5:$B$205,MATCH($R49,LE_Curves!$I$5:$I$205,1)))/(INDEX(LE_Curves!$I$5:$I$205,MATCH($R49,LE_Curves!$I$5:$I$205,1)+1)-INDEX(LE_Curves!$I$5:$I$205,MATCH($R49,LE_Curves!$I$5:$I$205,1))))))</f>
        <v/>
      </c>
      <c r="Z49" s="11">
        <f>IF(Inputs!$D$30=0,0,IF($R49&lt;=Inputs!$C$30,0,IF($R49&gt;=INDEX(LE_Curves!$J$5:$J$205,201),INDEX(LE_Curves!$B$5:$B$205,201),INDEX(LE_Curves!$B$5:$B$205,MATCH($R49,LE_Curves!$J$5:$J$205,1))+($R49-INDEX(LE_Curves!$J$5:$J$205,MATCH($R49,LE_Curves!$J$5:$J$205,1)))*(INDEX(LE_Curves!$B$5:$B$205,MATCH($R49,LE_Curves!$J$5:$J$205,1)+1)-INDEX(LE_Curves!$B$5:$B$205,MATCH($R49,LE_Curves!$J$5:$J$205,1)))/(INDEX(LE_Curves!$J$5:$J$205,MATCH($R49,LE_Curves!$J$5:$J$205,1)+1)-INDEX(LE_Curves!$J$5:$J$205,MATCH($R49,LE_Curves!$J$5:$J$205,1))))))</f>
        <v/>
      </c>
      <c r="AA49" s="11">
        <f>IF(Inputs!$D$31=0,0,IF($R49&lt;=Inputs!$C$31,0,IF($R49&gt;=INDEX(LE_Curves!$K$5:$K$205,201),INDEX(LE_Curves!$B$5:$B$205,201),INDEX(LE_Curves!$B$5:$B$205,MATCH($R49,LE_Curves!$K$5:$K$205,1))+($R49-INDEX(LE_Curves!$K$5:$K$205,MATCH($R49,LE_Curves!$K$5:$K$205,1)))*(INDEX(LE_Curves!$B$5:$B$205,MATCH($R49,LE_Curves!$K$5:$K$205,1)+1)-INDEX(LE_Curves!$B$5:$B$205,MATCH($R49,LE_Curves!$K$5:$K$205,1)))/(INDEX(LE_Curves!$K$5:$K$205,MATCH($R49,LE_Curves!$K$5:$K$205,1)+1)-INDEX(LE_Curves!$K$5:$K$205,MATCH($R49,LE_Curves!$K$5:$K$205,1))))))</f>
        <v/>
      </c>
      <c r="AB49" s="11">
        <f>IF(Inputs!$D$32=0,0,IF($R49&lt;=Inputs!$C$32,0,IF($R49&gt;=INDEX(LE_Curves!$L$5:$L$205,201),INDEX(LE_Curves!$B$5:$B$205,201),INDEX(LE_Curves!$B$5:$B$205,MATCH($R49,LE_Curves!$L$5:$L$205,1))+($R49-INDEX(LE_Curves!$L$5:$L$205,MATCH($R49,LE_Curves!$L$5:$L$205,1)))*(INDEX(LE_Curves!$B$5:$B$205,MATCH($R49,LE_Curves!$L$5:$L$205,1)+1)-INDEX(LE_Curves!$B$5:$B$205,MATCH($R49,LE_Curves!$L$5:$L$205,1)))/(INDEX(LE_Curves!$L$5:$L$205,MATCH($R49,LE_Curves!$L$5:$L$205,1)+1)-INDEX(LE_Curves!$L$5:$L$205,MATCH($R49,LE_Curves!$L$5:$L$205,1))))))</f>
        <v/>
      </c>
      <c r="AC49" s="11">
        <f>IF(Inputs!$D$33=0,0,IF($R49&lt;=Inputs!$C$33,0,IF($R49&gt;=INDEX(LE_Curves!$M$5:$M$205,201),INDEX(LE_Curves!$B$5:$B$205,201),INDEX(LE_Curves!$B$5:$B$205,MATCH($R49,LE_Curves!$M$5:$M$205,1))+($R49-INDEX(LE_Curves!$M$5:$M$205,MATCH($R49,LE_Curves!$M$5:$M$205,1)))*(INDEX(LE_Curves!$B$5:$B$205,MATCH($R49,LE_Curves!$M$5:$M$205,1)+1)-INDEX(LE_Curves!$B$5:$B$205,MATCH($R49,LE_Curves!$M$5:$M$205,1)))/(INDEX(LE_Curves!$M$5:$M$205,MATCH($R49,LE_Curves!$M$5:$M$205,1)+1)-INDEX(LE_Curves!$M$5:$M$205,MATCH($R49,LE_Curves!$M$5:$M$205,1))))))</f>
        <v/>
      </c>
      <c r="AD49" s="11">
        <f>IF(Inputs!$D$34=0,0,IF($R49&lt;=Inputs!$C$34,0,IF($R49&gt;=INDEX(LE_Curves!$N$5:$N$205,201),INDEX(LE_Curves!$B$5:$B$205,201),INDEX(LE_Curves!$B$5:$B$205,MATCH($R49,LE_Curves!$N$5:$N$205,1))+($R49-INDEX(LE_Curves!$N$5:$N$205,MATCH($R49,LE_Curves!$N$5:$N$205,1)))*(INDEX(LE_Curves!$B$5:$B$205,MATCH($R49,LE_Curves!$N$5:$N$205,1)+1)-INDEX(LE_Curves!$B$5:$B$205,MATCH($R49,LE_Curves!$N$5:$N$205,1)))/(INDEX(LE_Curves!$N$5:$N$205,MATCH($R49,LE_Curves!$N$5:$N$205,1)+1)-INDEX(LE_Curves!$N$5:$N$205,MATCH($R49,LE_Curves!$N$5:$N$205,1))))))</f>
        <v/>
      </c>
      <c r="AE49" s="37">
        <f>SUM(S49:AD49)</f>
        <v/>
      </c>
    </row>
    <row r="50">
      <c r="A50" s="7" t="n">
        <v>19</v>
      </c>
      <c r="B50" s="37">
        <f>$B$3+($B$4-$B$3)*A50/200</f>
        <v/>
      </c>
      <c r="C50" s="11">
        <f>IF(Inputs!$D$23=0,0,IF($B50&lt;=Inputs!$C$23,0,IF($B50&gt;=INDEX(LE_Curves!$C$5:$C$205,201),INDEX(LE_Curves!$B$5:$B$205,201),INDEX(LE_Curves!$B$5:$B$205,MATCH($B50,LE_Curves!$C$5:$C$205,1))+($B50-INDEX(LE_Curves!$C$5:$C$205,MATCH($B50,LE_Curves!$C$5:$C$205,1)))*(INDEX(LE_Curves!$B$5:$B$205,MATCH($B50,LE_Curves!$C$5:$C$205,1)+1)-INDEX(LE_Curves!$B$5:$B$205,MATCH($B50,LE_Curves!$C$5:$C$205,1)))/(INDEX(LE_Curves!$C$5:$C$205,MATCH($B50,LE_Curves!$C$5:$C$205,1)+1)-INDEX(LE_Curves!$C$5:$C$205,MATCH($B50,LE_Curves!$C$5:$C$205,1))))))</f>
        <v/>
      </c>
      <c r="D50" s="11">
        <f>IF(Inputs!$D$24=0,0,IF($B50&lt;=Inputs!$C$24,0,IF($B50&gt;=INDEX(LE_Curves!$D$5:$D$205,201),INDEX(LE_Curves!$B$5:$B$205,201),INDEX(LE_Curves!$B$5:$B$205,MATCH($B50,LE_Curves!$D$5:$D$205,1))+($B50-INDEX(LE_Curves!$D$5:$D$205,MATCH($B50,LE_Curves!$D$5:$D$205,1)))*(INDEX(LE_Curves!$B$5:$B$205,MATCH($B50,LE_Curves!$D$5:$D$205,1)+1)-INDEX(LE_Curves!$B$5:$B$205,MATCH($B50,LE_Curves!$D$5:$D$205,1)))/(INDEX(LE_Curves!$D$5:$D$205,MATCH($B50,LE_Curves!$D$5:$D$205,1)+1)-INDEX(LE_Curves!$D$5:$D$205,MATCH($B50,LE_Curves!$D$5:$D$205,1))))))</f>
        <v/>
      </c>
      <c r="E50" s="11">
        <f>IF(Inputs!$D$25=0,0,IF($B50&lt;=Inputs!$C$25,0,IF($B50&gt;=INDEX(LE_Curves!$E$5:$E$205,201),INDEX(LE_Curves!$B$5:$B$205,201),INDEX(LE_Curves!$B$5:$B$205,MATCH($B50,LE_Curves!$E$5:$E$205,1))+($B50-INDEX(LE_Curves!$E$5:$E$205,MATCH($B50,LE_Curves!$E$5:$E$205,1)))*(INDEX(LE_Curves!$B$5:$B$205,MATCH($B50,LE_Curves!$E$5:$E$205,1)+1)-INDEX(LE_Curves!$B$5:$B$205,MATCH($B50,LE_Curves!$E$5:$E$205,1)))/(INDEX(LE_Curves!$E$5:$E$205,MATCH($B50,LE_Curves!$E$5:$E$205,1)+1)-INDEX(LE_Curves!$E$5:$E$205,MATCH($B50,LE_Curves!$E$5:$E$205,1))))))</f>
        <v/>
      </c>
      <c r="F50" s="11">
        <f>IF(Inputs!$D$26=0,0,IF($B50&lt;=Inputs!$C$26,0,IF($B50&gt;=INDEX(LE_Curves!$F$5:$F$205,201),INDEX(LE_Curves!$B$5:$B$205,201),INDEX(LE_Curves!$B$5:$B$205,MATCH($B50,LE_Curves!$F$5:$F$205,1))+($B50-INDEX(LE_Curves!$F$5:$F$205,MATCH($B50,LE_Curves!$F$5:$F$205,1)))*(INDEX(LE_Curves!$B$5:$B$205,MATCH($B50,LE_Curves!$F$5:$F$205,1)+1)-INDEX(LE_Curves!$B$5:$B$205,MATCH($B50,LE_Curves!$F$5:$F$205,1)))/(INDEX(LE_Curves!$F$5:$F$205,MATCH($B50,LE_Curves!$F$5:$F$205,1)+1)-INDEX(LE_Curves!$F$5:$F$205,MATCH($B50,LE_Curves!$F$5:$F$205,1))))))</f>
        <v/>
      </c>
      <c r="G50" s="11">
        <f>IF(Inputs!$D$27=0,0,IF($B50&lt;=Inputs!$C$27,0,IF($B50&gt;=INDEX(LE_Curves!$G$5:$G$205,201),INDEX(LE_Curves!$B$5:$B$205,201),INDEX(LE_Curves!$B$5:$B$205,MATCH($B50,LE_Curves!$G$5:$G$205,1))+($B50-INDEX(LE_Curves!$G$5:$G$205,MATCH($B50,LE_Curves!$G$5:$G$205,1)))*(INDEX(LE_Curves!$B$5:$B$205,MATCH($B50,LE_Curves!$G$5:$G$205,1)+1)-INDEX(LE_Curves!$B$5:$B$205,MATCH($B50,LE_Curves!$G$5:$G$205,1)))/(INDEX(LE_Curves!$G$5:$G$205,MATCH($B50,LE_Curves!$G$5:$G$205,1)+1)-INDEX(LE_Curves!$G$5:$G$205,MATCH($B50,LE_Curves!$G$5:$G$205,1))))))</f>
        <v/>
      </c>
      <c r="H50" s="11">
        <f>IF(Inputs!$D$28=0,0,IF($B50&lt;=Inputs!$C$28,0,IF($B50&gt;=INDEX(LE_Curves!$H$5:$H$205,201),INDEX(LE_Curves!$B$5:$B$205,201),INDEX(LE_Curves!$B$5:$B$205,MATCH($B50,LE_Curves!$H$5:$H$205,1))+($B50-INDEX(LE_Curves!$H$5:$H$205,MATCH($B50,LE_Curves!$H$5:$H$205,1)))*(INDEX(LE_Curves!$B$5:$B$205,MATCH($B50,LE_Curves!$H$5:$H$205,1)+1)-INDEX(LE_Curves!$B$5:$B$205,MATCH($B50,LE_Curves!$H$5:$H$205,1)))/(INDEX(LE_Curves!$H$5:$H$205,MATCH($B50,LE_Curves!$H$5:$H$205,1)+1)-INDEX(LE_Curves!$H$5:$H$205,MATCH($B50,LE_Curves!$H$5:$H$205,1))))))</f>
        <v/>
      </c>
      <c r="I50" s="11">
        <f>IF(Inputs!$D$29=0,0,IF($B50&lt;=Inputs!$C$29,0,IF($B50&gt;=INDEX(LE_Curves!$I$5:$I$205,201),INDEX(LE_Curves!$B$5:$B$205,201),INDEX(LE_Curves!$B$5:$B$205,MATCH($B50,LE_Curves!$I$5:$I$205,1))+($B50-INDEX(LE_Curves!$I$5:$I$205,MATCH($B50,LE_Curves!$I$5:$I$205,1)))*(INDEX(LE_Curves!$B$5:$B$205,MATCH($B50,LE_Curves!$I$5:$I$205,1)+1)-INDEX(LE_Curves!$B$5:$B$205,MATCH($B50,LE_Curves!$I$5:$I$205,1)))/(INDEX(LE_Curves!$I$5:$I$205,MATCH($B50,LE_Curves!$I$5:$I$205,1)+1)-INDEX(LE_Curves!$I$5:$I$205,MATCH($B50,LE_Curves!$I$5:$I$205,1))))))</f>
        <v/>
      </c>
      <c r="J50" s="11">
        <f>IF(Inputs!$D$30=0,0,IF($B50&lt;=Inputs!$C$30,0,IF($B50&gt;=INDEX(LE_Curves!$J$5:$J$205,201),INDEX(LE_Curves!$B$5:$B$205,201),INDEX(LE_Curves!$B$5:$B$205,MATCH($B50,LE_Curves!$J$5:$J$205,1))+($B50-INDEX(LE_Curves!$J$5:$J$205,MATCH($B50,LE_Curves!$J$5:$J$205,1)))*(INDEX(LE_Curves!$B$5:$B$205,MATCH($B50,LE_Curves!$J$5:$J$205,1)+1)-INDEX(LE_Curves!$B$5:$B$205,MATCH($B50,LE_Curves!$J$5:$J$205,1)))/(INDEX(LE_Curves!$J$5:$J$205,MATCH($B50,LE_Curves!$J$5:$J$205,1)+1)-INDEX(LE_Curves!$J$5:$J$205,MATCH($B50,LE_Curves!$J$5:$J$205,1))))))</f>
        <v/>
      </c>
      <c r="K50" s="11">
        <f>IF(Inputs!$D$31=0,0,IF($B50&lt;=Inputs!$C$31,0,IF($B50&gt;=INDEX(LE_Curves!$K$5:$K$205,201),INDEX(LE_Curves!$B$5:$B$205,201),INDEX(LE_Curves!$B$5:$B$205,MATCH($B50,LE_Curves!$K$5:$K$205,1))+($B50-INDEX(LE_Curves!$K$5:$K$205,MATCH($B50,LE_Curves!$K$5:$K$205,1)))*(INDEX(LE_Curves!$B$5:$B$205,MATCH($B50,LE_Curves!$K$5:$K$205,1)+1)-INDEX(LE_Curves!$B$5:$B$205,MATCH($B50,LE_Curves!$K$5:$K$205,1)))/(INDEX(LE_Curves!$K$5:$K$205,MATCH($B50,LE_Curves!$K$5:$K$205,1)+1)-INDEX(LE_Curves!$K$5:$K$205,MATCH($B50,LE_Curves!$K$5:$K$205,1))))))</f>
        <v/>
      </c>
      <c r="L50" s="11">
        <f>IF(Inputs!$D$32=0,0,IF($B50&lt;=Inputs!$C$32,0,IF($B50&gt;=INDEX(LE_Curves!$L$5:$L$205,201),INDEX(LE_Curves!$B$5:$B$205,201),INDEX(LE_Curves!$B$5:$B$205,MATCH($B50,LE_Curves!$L$5:$L$205,1))+($B50-INDEX(LE_Curves!$L$5:$L$205,MATCH($B50,LE_Curves!$L$5:$L$205,1)))*(INDEX(LE_Curves!$B$5:$B$205,MATCH($B50,LE_Curves!$L$5:$L$205,1)+1)-INDEX(LE_Curves!$B$5:$B$205,MATCH($B50,LE_Curves!$L$5:$L$205,1)))/(INDEX(LE_Curves!$L$5:$L$205,MATCH($B50,LE_Curves!$L$5:$L$205,1)+1)-INDEX(LE_Curves!$L$5:$L$205,MATCH($B50,LE_Curves!$L$5:$L$205,1))))))</f>
        <v/>
      </c>
      <c r="M50" s="11">
        <f>IF(Inputs!$D$33=0,0,IF($B50&lt;=Inputs!$C$33,0,IF($B50&gt;=INDEX(LE_Curves!$M$5:$M$205,201),INDEX(LE_Curves!$B$5:$B$205,201),INDEX(LE_Curves!$B$5:$B$205,MATCH($B50,LE_Curves!$M$5:$M$205,1))+($B50-INDEX(LE_Curves!$M$5:$M$205,MATCH($B50,LE_Curves!$M$5:$M$205,1)))*(INDEX(LE_Curves!$B$5:$B$205,MATCH($B50,LE_Curves!$M$5:$M$205,1)+1)-INDEX(LE_Curves!$B$5:$B$205,MATCH($B50,LE_Curves!$M$5:$M$205,1)))/(INDEX(LE_Curves!$M$5:$M$205,MATCH($B50,LE_Curves!$M$5:$M$205,1)+1)-INDEX(LE_Curves!$M$5:$M$205,MATCH($B50,LE_Curves!$M$5:$M$205,1))))))</f>
        <v/>
      </c>
      <c r="N50" s="11">
        <f>IF(Inputs!$D$34=0,0,IF($B50&lt;=Inputs!$C$34,0,IF($B50&gt;=INDEX(LE_Curves!$N$5:$N$205,201),INDEX(LE_Curves!$B$5:$B$205,201),INDEX(LE_Curves!$B$5:$B$205,MATCH($B50,LE_Curves!$N$5:$N$205,1))+($B50-INDEX(LE_Curves!$N$5:$N$205,MATCH($B50,LE_Curves!$N$5:$N$205,1)))*(INDEX(LE_Curves!$B$5:$B$205,MATCH($B50,LE_Curves!$N$5:$N$205,1)+1)-INDEX(LE_Curves!$B$5:$B$205,MATCH($B50,LE_Curves!$N$5:$N$205,1)))/(INDEX(LE_Curves!$N$5:$N$205,MATCH($B50,LE_Curves!$N$5:$N$205,1)+1)-INDEX(LE_Curves!$N$5:$N$205,MATCH($B50,LE_Curves!$N$5:$N$205,1))))))</f>
        <v/>
      </c>
      <c r="O50" s="11">
        <f>SUM(C50:N50)</f>
        <v/>
      </c>
      <c r="Q50" s="7" t="n">
        <v>19</v>
      </c>
      <c r="R50" s="23">
        <f>$B$6+($B$7-$B$6)*Q50/200</f>
        <v/>
      </c>
      <c r="S50" s="11">
        <f>IF(Inputs!$D$23=0,0,IF($R50&lt;=Inputs!$C$23,0,IF($R50&gt;=INDEX(LE_Curves!$C$5:$C$205,201),INDEX(LE_Curves!$B$5:$B$205,201),INDEX(LE_Curves!$B$5:$B$205,MATCH($R50,LE_Curves!$C$5:$C$205,1))+($R50-INDEX(LE_Curves!$C$5:$C$205,MATCH($R50,LE_Curves!$C$5:$C$205,1)))*(INDEX(LE_Curves!$B$5:$B$205,MATCH($R50,LE_Curves!$C$5:$C$205,1)+1)-INDEX(LE_Curves!$B$5:$B$205,MATCH($R50,LE_Curves!$C$5:$C$205,1)))/(INDEX(LE_Curves!$C$5:$C$205,MATCH($R50,LE_Curves!$C$5:$C$205,1)+1)-INDEX(LE_Curves!$C$5:$C$205,MATCH($R50,LE_Curves!$C$5:$C$205,1))))))</f>
        <v/>
      </c>
      <c r="T50" s="11">
        <f>IF(Inputs!$D$24=0,0,IF($R50&lt;=Inputs!$C$24,0,IF($R50&gt;=INDEX(LE_Curves!$D$5:$D$205,201),INDEX(LE_Curves!$B$5:$B$205,201),INDEX(LE_Curves!$B$5:$B$205,MATCH($R50,LE_Curves!$D$5:$D$205,1))+($R50-INDEX(LE_Curves!$D$5:$D$205,MATCH($R50,LE_Curves!$D$5:$D$205,1)))*(INDEX(LE_Curves!$B$5:$B$205,MATCH($R50,LE_Curves!$D$5:$D$205,1)+1)-INDEX(LE_Curves!$B$5:$B$205,MATCH($R50,LE_Curves!$D$5:$D$205,1)))/(INDEX(LE_Curves!$D$5:$D$205,MATCH($R50,LE_Curves!$D$5:$D$205,1)+1)-INDEX(LE_Curves!$D$5:$D$205,MATCH($R50,LE_Curves!$D$5:$D$205,1))))))</f>
        <v/>
      </c>
      <c r="U50" s="11">
        <f>IF(Inputs!$D$25=0,0,IF($R50&lt;=Inputs!$C$25,0,IF($R50&gt;=INDEX(LE_Curves!$E$5:$E$205,201),INDEX(LE_Curves!$B$5:$B$205,201),INDEX(LE_Curves!$B$5:$B$205,MATCH($R50,LE_Curves!$E$5:$E$205,1))+($R50-INDEX(LE_Curves!$E$5:$E$205,MATCH($R50,LE_Curves!$E$5:$E$205,1)))*(INDEX(LE_Curves!$B$5:$B$205,MATCH($R50,LE_Curves!$E$5:$E$205,1)+1)-INDEX(LE_Curves!$B$5:$B$205,MATCH($R50,LE_Curves!$E$5:$E$205,1)))/(INDEX(LE_Curves!$E$5:$E$205,MATCH($R50,LE_Curves!$E$5:$E$205,1)+1)-INDEX(LE_Curves!$E$5:$E$205,MATCH($R50,LE_Curves!$E$5:$E$205,1))))))</f>
        <v/>
      </c>
      <c r="V50" s="11">
        <f>IF(Inputs!$D$26=0,0,IF($R50&lt;=Inputs!$C$26,0,IF($R50&gt;=INDEX(LE_Curves!$F$5:$F$205,201),INDEX(LE_Curves!$B$5:$B$205,201),INDEX(LE_Curves!$B$5:$B$205,MATCH($R50,LE_Curves!$F$5:$F$205,1))+($R50-INDEX(LE_Curves!$F$5:$F$205,MATCH($R50,LE_Curves!$F$5:$F$205,1)))*(INDEX(LE_Curves!$B$5:$B$205,MATCH($R50,LE_Curves!$F$5:$F$205,1)+1)-INDEX(LE_Curves!$B$5:$B$205,MATCH($R50,LE_Curves!$F$5:$F$205,1)))/(INDEX(LE_Curves!$F$5:$F$205,MATCH($R50,LE_Curves!$F$5:$F$205,1)+1)-INDEX(LE_Curves!$F$5:$F$205,MATCH($R50,LE_Curves!$F$5:$F$205,1))))))</f>
        <v/>
      </c>
      <c r="W50" s="11">
        <f>IF(Inputs!$D$27=0,0,IF($R50&lt;=Inputs!$C$27,0,IF($R50&gt;=INDEX(LE_Curves!$G$5:$G$205,201),INDEX(LE_Curves!$B$5:$B$205,201),INDEX(LE_Curves!$B$5:$B$205,MATCH($R50,LE_Curves!$G$5:$G$205,1))+($R50-INDEX(LE_Curves!$G$5:$G$205,MATCH($R50,LE_Curves!$G$5:$G$205,1)))*(INDEX(LE_Curves!$B$5:$B$205,MATCH($R50,LE_Curves!$G$5:$G$205,1)+1)-INDEX(LE_Curves!$B$5:$B$205,MATCH($R50,LE_Curves!$G$5:$G$205,1)))/(INDEX(LE_Curves!$G$5:$G$205,MATCH($R50,LE_Curves!$G$5:$G$205,1)+1)-INDEX(LE_Curves!$G$5:$G$205,MATCH($R50,LE_Curves!$G$5:$G$205,1))))))</f>
        <v/>
      </c>
      <c r="X50" s="11">
        <f>IF(Inputs!$D$28=0,0,IF($R50&lt;=Inputs!$C$28,0,IF($R50&gt;=INDEX(LE_Curves!$H$5:$H$205,201),INDEX(LE_Curves!$B$5:$B$205,201),INDEX(LE_Curves!$B$5:$B$205,MATCH($R50,LE_Curves!$H$5:$H$205,1))+($R50-INDEX(LE_Curves!$H$5:$H$205,MATCH($R50,LE_Curves!$H$5:$H$205,1)))*(INDEX(LE_Curves!$B$5:$B$205,MATCH($R50,LE_Curves!$H$5:$H$205,1)+1)-INDEX(LE_Curves!$B$5:$B$205,MATCH($R50,LE_Curves!$H$5:$H$205,1)))/(INDEX(LE_Curves!$H$5:$H$205,MATCH($R50,LE_Curves!$H$5:$H$205,1)+1)-INDEX(LE_Curves!$H$5:$H$205,MATCH($R50,LE_Curves!$H$5:$H$205,1))))))</f>
        <v/>
      </c>
      <c r="Y50" s="11">
        <f>IF(Inputs!$D$29=0,0,IF($R50&lt;=Inputs!$C$29,0,IF($R50&gt;=INDEX(LE_Curves!$I$5:$I$205,201),INDEX(LE_Curves!$B$5:$B$205,201),INDEX(LE_Curves!$B$5:$B$205,MATCH($R50,LE_Curves!$I$5:$I$205,1))+($R50-INDEX(LE_Curves!$I$5:$I$205,MATCH($R50,LE_Curves!$I$5:$I$205,1)))*(INDEX(LE_Curves!$B$5:$B$205,MATCH($R50,LE_Curves!$I$5:$I$205,1)+1)-INDEX(LE_Curves!$B$5:$B$205,MATCH($R50,LE_Curves!$I$5:$I$205,1)))/(INDEX(LE_Curves!$I$5:$I$205,MATCH($R50,LE_Curves!$I$5:$I$205,1)+1)-INDEX(LE_Curves!$I$5:$I$205,MATCH($R50,LE_Curves!$I$5:$I$205,1))))))</f>
        <v/>
      </c>
      <c r="Z50" s="11">
        <f>IF(Inputs!$D$30=0,0,IF($R50&lt;=Inputs!$C$30,0,IF($R50&gt;=INDEX(LE_Curves!$J$5:$J$205,201),INDEX(LE_Curves!$B$5:$B$205,201),INDEX(LE_Curves!$B$5:$B$205,MATCH($R50,LE_Curves!$J$5:$J$205,1))+($R50-INDEX(LE_Curves!$J$5:$J$205,MATCH($R50,LE_Curves!$J$5:$J$205,1)))*(INDEX(LE_Curves!$B$5:$B$205,MATCH($R50,LE_Curves!$J$5:$J$205,1)+1)-INDEX(LE_Curves!$B$5:$B$205,MATCH($R50,LE_Curves!$J$5:$J$205,1)))/(INDEX(LE_Curves!$J$5:$J$205,MATCH($R50,LE_Curves!$J$5:$J$205,1)+1)-INDEX(LE_Curves!$J$5:$J$205,MATCH($R50,LE_Curves!$J$5:$J$205,1))))))</f>
        <v/>
      </c>
      <c r="AA50" s="11">
        <f>IF(Inputs!$D$31=0,0,IF($R50&lt;=Inputs!$C$31,0,IF($R50&gt;=INDEX(LE_Curves!$K$5:$K$205,201),INDEX(LE_Curves!$B$5:$B$205,201),INDEX(LE_Curves!$B$5:$B$205,MATCH($R50,LE_Curves!$K$5:$K$205,1))+($R50-INDEX(LE_Curves!$K$5:$K$205,MATCH($R50,LE_Curves!$K$5:$K$205,1)))*(INDEX(LE_Curves!$B$5:$B$205,MATCH($R50,LE_Curves!$K$5:$K$205,1)+1)-INDEX(LE_Curves!$B$5:$B$205,MATCH($R50,LE_Curves!$K$5:$K$205,1)))/(INDEX(LE_Curves!$K$5:$K$205,MATCH($R50,LE_Curves!$K$5:$K$205,1)+1)-INDEX(LE_Curves!$K$5:$K$205,MATCH($R50,LE_Curves!$K$5:$K$205,1))))))</f>
        <v/>
      </c>
      <c r="AB50" s="11">
        <f>IF(Inputs!$D$32=0,0,IF($R50&lt;=Inputs!$C$32,0,IF($R50&gt;=INDEX(LE_Curves!$L$5:$L$205,201),INDEX(LE_Curves!$B$5:$B$205,201),INDEX(LE_Curves!$B$5:$B$205,MATCH($R50,LE_Curves!$L$5:$L$205,1))+($R50-INDEX(LE_Curves!$L$5:$L$205,MATCH($R50,LE_Curves!$L$5:$L$205,1)))*(INDEX(LE_Curves!$B$5:$B$205,MATCH($R50,LE_Curves!$L$5:$L$205,1)+1)-INDEX(LE_Curves!$B$5:$B$205,MATCH($R50,LE_Curves!$L$5:$L$205,1)))/(INDEX(LE_Curves!$L$5:$L$205,MATCH($R50,LE_Curves!$L$5:$L$205,1)+1)-INDEX(LE_Curves!$L$5:$L$205,MATCH($R50,LE_Curves!$L$5:$L$205,1))))))</f>
        <v/>
      </c>
      <c r="AC50" s="11">
        <f>IF(Inputs!$D$33=0,0,IF($R50&lt;=Inputs!$C$33,0,IF($R50&gt;=INDEX(LE_Curves!$M$5:$M$205,201),INDEX(LE_Curves!$B$5:$B$205,201),INDEX(LE_Curves!$B$5:$B$205,MATCH($R50,LE_Curves!$M$5:$M$205,1))+($R50-INDEX(LE_Curves!$M$5:$M$205,MATCH($R50,LE_Curves!$M$5:$M$205,1)))*(INDEX(LE_Curves!$B$5:$B$205,MATCH($R50,LE_Curves!$M$5:$M$205,1)+1)-INDEX(LE_Curves!$B$5:$B$205,MATCH($R50,LE_Curves!$M$5:$M$205,1)))/(INDEX(LE_Curves!$M$5:$M$205,MATCH($R50,LE_Curves!$M$5:$M$205,1)+1)-INDEX(LE_Curves!$M$5:$M$205,MATCH($R50,LE_Curves!$M$5:$M$205,1))))))</f>
        <v/>
      </c>
      <c r="AD50" s="11">
        <f>IF(Inputs!$D$34=0,0,IF($R50&lt;=Inputs!$C$34,0,IF($R50&gt;=INDEX(LE_Curves!$N$5:$N$205,201),INDEX(LE_Curves!$B$5:$B$205,201),INDEX(LE_Curves!$B$5:$B$205,MATCH($R50,LE_Curves!$N$5:$N$205,1))+($R50-INDEX(LE_Curves!$N$5:$N$205,MATCH($R50,LE_Curves!$N$5:$N$205,1)))*(INDEX(LE_Curves!$B$5:$B$205,MATCH($R50,LE_Curves!$N$5:$N$205,1)+1)-INDEX(LE_Curves!$B$5:$B$205,MATCH($R50,LE_Curves!$N$5:$N$205,1)))/(INDEX(LE_Curves!$N$5:$N$205,MATCH($R50,LE_Curves!$N$5:$N$205,1)+1)-INDEX(LE_Curves!$N$5:$N$205,MATCH($R50,LE_Curves!$N$5:$N$205,1))))))</f>
        <v/>
      </c>
      <c r="AE50" s="37">
        <f>SUM(S50:AD50)</f>
        <v/>
      </c>
    </row>
    <row r="51">
      <c r="A51" s="7" t="n">
        <v>20</v>
      </c>
      <c r="B51" s="37">
        <f>$B$3+($B$4-$B$3)*A51/200</f>
        <v/>
      </c>
      <c r="C51" s="11">
        <f>IF(Inputs!$D$23=0,0,IF($B51&lt;=Inputs!$C$23,0,IF($B51&gt;=INDEX(LE_Curves!$C$5:$C$205,201),INDEX(LE_Curves!$B$5:$B$205,201),INDEX(LE_Curves!$B$5:$B$205,MATCH($B51,LE_Curves!$C$5:$C$205,1))+($B51-INDEX(LE_Curves!$C$5:$C$205,MATCH($B51,LE_Curves!$C$5:$C$205,1)))*(INDEX(LE_Curves!$B$5:$B$205,MATCH($B51,LE_Curves!$C$5:$C$205,1)+1)-INDEX(LE_Curves!$B$5:$B$205,MATCH($B51,LE_Curves!$C$5:$C$205,1)))/(INDEX(LE_Curves!$C$5:$C$205,MATCH($B51,LE_Curves!$C$5:$C$205,1)+1)-INDEX(LE_Curves!$C$5:$C$205,MATCH($B51,LE_Curves!$C$5:$C$205,1))))))</f>
        <v/>
      </c>
      <c r="D51" s="11">
        <f>IF(Inputs!$D$24=0,0,IF($B51&lt;=Inputs!$C$24,0,IF($B51&gt;=INDEX(LE_Curves!$D$5:$D$205,201),INDEX(LE_Curves!$B$5:$B$205,201),INDEX(LE_Curves!$B$5:$B$205,MATCH($B51,LE_Curves!$D$5:$D$205,1))+($B51-INDEX(LE_Curves!$D$5:$D$205,MATCH($B51,LE_Curves!$D$5:$D$205,1)))*(INDEX(LE_Curves!$B$5:$B$205,MATCH($B51,LE_Curves!$D$5:$D$205,1)+1)-INDEX(LE_Curves!$B$5:$B$205,MATCH($B51,LE_Curves!$D$5:$D$205,1)))/(INDEX(LE_Curves!$D$5:$D$205,MATCH($B51,LE_Curves!$D$5:$D$205,1)+1)-INDEX(LE_Curves!$D$5:$D$205,MATCH($B51,LE_Curves!$D$5:$D$205,1))))))</f>
        <v/>
      </c>
      <c r="E51" s="11">
        <f>IF(Inputs!$D$25=0,0,IF($B51&lt;=Inputs!$C$25,0,IF($B51&gt;=INDEX(LE_Curves!$E$5:$E$205,201),INDEX(LE_Curves!$B$5:$B$205,201),INDEX(LE_Curves!$B$5:$B$205,MATCH($B51,LE_Curves!$E$5:$E$205,1))+($B51-INDEX(LE_Curves!$E$5:$E$205,MATCH($B51,LE_Curves!$E$5:$E$205,1)))*(INDEX(LE_Curves!$B$5:$B$205,MATCH($B51,LE_Curves!$E$5:$E$205,1)+1)-INDEX(LE_Curves!$B$5:$B$205,MATCH($B51,LE_Curves!$E$5:$E$205,1)))/(INDEX(LE_Curves!$E$5:$E$205,MATCH($B51,LE_Curves!$E$5:$E$205,1)+1)-INDEX(LE_Curves!$E$5:$E$205,MATCH($B51,LE_Curves!$E$5:$E$205,1))))))</f>
        <v/>
      </c>
      <c r="F51" s="11">
        <f>IF(Inputs!$D$26=0,0,IF($B51&lt;=Inputs!$C$26,0,IF($B51&gt;=INDEX(LE_Curves!$F$5:$F$205,201),INDEX(LE_Curves!$B$5:$B$205,201),INDEX(LE_Curves!$B$5:$B$205,MATCH($B51,LE_Curves!$F$5:$F$205,1))+($B51-INDEX(LE_Curves!$F$5:$F$205,MATCH($B51,LE_Curves!$F$5:$F$205,1)))*(INDEX(LE_Curves!$B$5:$B$205,MATCH($B51,LE_Curves!$F$5:$F$205,1)+1)-INDEX(LE_Curves!$B$5:$B$205,MATCH($B51,LE_Curves!$F$5:$F$205,1)))/(INDEX(LE_Curves!$F$5:$F$205,MATCH($B51,LE_Curves!$F$5:$F$205,1)+1)-INDEX(LE_Curves!$F$5:$F$205,MATCH($B51,LE_Curves!$F$5:$F$205,1))))))</f>
        <v/>
      </c>
      <c r="G51" s="11">
        <f>IF(Inputs!$D$27=0,0,IF($B51&lt;=Inputs!$C$27,0,IF($B51&gt;=INDEX(LE_Curves!$G$5:$G$205,201),INDEX(LE_Curves!$B$5:$B$205,201),INDEX(LE_Curves!$B$5:$B$205,MATCH($B51,LE_Curves!$G$5:$G$205,1))+($B51-INDEX(LE_Curves!$G$5:$G$205,MATCH($B51,LE_Curves!$G$5:$G$205,1)))*(INDEX(LE_Curves!$B$5:$B$205,MATCH($B51,LE_Curves!$G$5:$G$205,1)+1)-INDEX(LE_Curves!$B$5:$B$205,MATCH($B51,LE_Curves!$G$5:$G$205,1)))/(INDEX(LE_Curves!$G$5:$G$205,MATCH($B51,LE_Curves!$G$5:$G$205,1)+1)-INDEX(LE_Curves!$G$5:$G$205,MATCH($B51,LE_Curves!$G$5:$G$205,1))))))</f>
        <v/>
      </c>
      <c r="H51" s="11">
        <f>IF(Inputs!$D$28=0,0,IF($B51&lt;=Inputs!$C$28,0,IF($B51&gt;=INDEX(LE_Curves!$H$5:$H$205,201),INDEX(LE_Curves!$B$5:$B$205,201),INDEX(LE_Curves!$B$5:$B$205,MATCH($B51,LE_Curves!$H$5:$H$205,1))+($B51-INDEX(LE_Curves!$H$5:$H$205,MATCH($B51,LE_Curves!$H$5:$H$205,1)))*(INDEX(LE_Curves!$B$5:$B$205,MATCH($B51,LE_Curves!$H$5:$H$205,1)+1)-INDEX(LE_Curves!$B$5:$B$205,MATCH($B51,LE_Curves!$H$5:$H$205,1)))/(INDEX(LE_Curves!$H$5:$H$205,MATCH($B51,LE_Curves!$H$5:$H$205,1)+1)-INDEX(LE_Curves!$H$5:$H$205,MATCH($B51,LE_Curves!$H$5:$H$205,1))))))</f>
        <v/>
      </c>
      <c r="I51" s="11">
        <f>IF(Inputs!$D$29=0,0,IF($B51&lt;=Inputs!$C$29,0,IF($B51&gt;=INDEX(LE_Curves!$I$5:$I$205,201),INDEX(LE_Curves!$B$5:$B$205,201),INDEX(LE_Curves!$B$5:$B$205,MATCH($B51,LE_Curves!$I$5:$I$205,1))+($B51-INDEX(LE_Curves!$I$5:$I$205,MATCH($B51,LE_Curves!$I$5:$I$205,1)))*(INDEX(LE_Curves!$B$5:$B$205,MATCH($B51,LE_Curves!$I$5:$I$205,1)+1)-INDEX(LE_Curves!$B$5:$B$205,MATCH($B51,LE_Curves!$I$5:$I$205,1)))/(INDEX(LE_Curves!$I$5:$I$205,MATCH($B51,LE_Curves!$I$5:$I$205,1)+1)-INDEX(LE_Curves!$I$5:$I$205,MATCH($B51,LE_Curves!$I$5:$I$205,1))))))</f>
        <v/>
      </c>
      <c r="J51" s="11">
        <f>IF(Inputs!$D$30=0,0,IF($B51&lt;=Inputs!$C$30,0,IF($B51&gt;=INDEX(LE_Curves!$J$5:$J$205,201),INDEX(LE_Curves!$B$5:$B$205,201),INDEX(LE_Curves!$B$5:$B$205,MATCH($B51,LE_Curves!$J$5:$J$205,1))+($B51-INDEX(LE_Curves!$J$5:$J$205,MATCH($B51,LE_Curves!$J$5:$J$205,1)))*(INDEX(LE_Curves!$B$5:$B$205,MATCH($B51,LE_Curves!$J$5:$J$205,1)+1)-INDEX(LE_Curves!$B$5:$B$205,MATCH($B51,LE_Curves!$J$5:$J$205,1)))/(INDEX(LE_Curves!$J$5:$J$205,MATCH($B51,LE_Curves!$J$5:$J$205,1)+1)-INDEX(LE_Curves!$J$5:$J$205,MATCH($B51,LE_Curves!$J$5:$J$205,1))))))</f>
        <v/>
      </c>
      <c r="K51" s="11">
        <f>IF(Inputs!$D$31=0,0,IF($B51&lt;=Inputs!$C$31,0,IF($B51&gt;=INDEX(LE_Curves!$K$5:$K$205,201),INDEX(LE_Curves!$B$5:$B$205,201),INDEX(LE_Curves!$B$5:$B$205,MATCH($B51,LE_Curves!$K$5:$K$205,1))+($B51-INDEX(LE_Curves!$K$5:$K$205,MATCH($B51,LE_Curves!$K$5:$K$205,1)))*(INDEX(LE_Curves!$B$5:$B$205,MATCH($B51,LE_Curves!$K$5:$K$205,1)+1)-INDEX(LE_Curves!$B$5:$B$205,MATCH($B51,LE_Curves!$K$5:$K$205,1)))/(INDEX(LE_Curves!$K$5:$K$205,MATCH($B51,LE_Curves!$K$5:$K$205,1)+1)-INDEX(LE_Curves!$K$5:$K$205,MATCH($B51,LE_Curves!$K$5:$K$205,1))))))</f>
        <v/>
      </c>
      <c r="L51" s="11">
        <f>IF(Inputs!$D$32=0,0,IF($B51&lt;=Inputs!$C$32,0,IF($B51&gt;=INDEX(LE_Curves!$L$5:$L$205,201),INDEX(LE_Curves!$B$5:$B$205,201),INDEX(LE_Curves!$B$5:$B$205,MATCH($B51,LE_Curves!$L$5:$L$205,1))+($B51-INDEX(LE_Curves!$L$5:$L$205,MATCH($B51,LE_Curves!$L$5:$L$205,1)))*(INDEX(LE_Curves!$B$5:$B$205,MATCH($B51,LE_Curves!$L$5:$L$205,1)+1)-INDEX(LE_Curves!$B$5:$B$205,MATCH($B51,LE_Curves!$L$5:$L$205,1)))/(INDEX(LE_Curves!$L$5:$L$205,MATCH($B51,LE_Curves!$L$5:$L$205,1)+1)-INDEX(LE_Curves!$L$5:$L$205,MATCH($B51,LE_Curves!$L$5:$L$205,1))))))</f>
        <v/>
      </c>
      <c r="M51" s="11">
        <f>IF(Inputs!$D$33=0,0,IF($B51&lt;=Inputs!$C$33,0,IF($B51&gt;=INDEX(LE_Curves!$M$5:$M$205,201),INDEX(LE_Curves!$B$5:$B$205,201),INDEX(LE_Curves!$B$5:$B$205,MATCH($B51,LE_Curves!$M$5:$M$205,1))+($B51-INDEX(LE_Curves!$M$5:$M$205,MATCH($B51,LE_Curves!$M$5:$M$205,1)))*(INDEX(LE_Curves!$B$5:$B$205,MATCH($B51,LE_Curves!$M$5:$M$205,1)+1)-INDEX(LE_Curves!$B$5:$B$205,MATCH($B51,LE_Curves!$M$5:$M$205,1)))/(INDEX(LE_Curves!$M$5:$M$205,MATCH($B51,LE_Curves!$M$5:$M$205,1)+1)-INDEX(LE_Curves!$M$5:$M$205,MATCH($B51,LE_Curves!$M$5:$M$205,1))))))</f>
        <v/>
      </c>
      <c r="N51" s="11">
        <f>IF(Inputs!$D$34=0,0,IF($B51&lt;=Inputs!$C$34,0,IF($B51&gt;=INDEX(LE_Curves!$N$5:$N$205,201),INDEX(LE_Curves!$B$5:$B$205,201),INDEX(LE_Curves!$B$5:$B$205,MATCH($B51,LE_Curves!$N$5:$N$205,1))+($B51-INDEX(LE_Curves!$N$5:$N$205,MATCH($B51,LE_Curves!$N$5:$N$205,1)))*(INDEX(LE_Curves!$B$5:$B$205,MATCH($B51,LE_Curves!$N$5:$N$205,1)+1)-INDEX(LE_Curves!$B$5:$B$205,MATCH($B51,LE_Curves!$N$5:$N$205,1)))/(INDEX(LE_Curves!$N$5:$N$205,MATCH($B51,LE_Curves!$N$5:$N$205,1)+1)-INDEX(LE_Curves!$N$5:$N$205,MATCH($B51,LE_Curves!$N$5:$N$205,1))))))</f>
        <v/>
      </c>
      <c r="O51" s="11">
        <f>SUM(C51:N51)</f>
        <v/>
      </c>
      <c r="Q51" s="7" t="n">
        <v>20</v>
      </c>
      <c r="R51" s="23">
        <f>$B$6+($B$7-$B$6)*Q51/200</f>
        <v/>
      </c>
      <c r="S51" s="11">
        <f>IF(Inputs!$D$23=0,0,IF($R51&lt;=Inputs!$C$23,0,IF($R51&gt;=INDEX(LE_Curves!$C$5:$C$205,201),INDEX(LE_Curves!$B$5:$B$205,201),INDEX(LE_Curves!$B$5:$B$205,MATCH($R51,LE_Curves!$C$5:$C$205,1))+($R51-INDEX(LE_Curves!$C$5:$C$205,MATCH($R51,LE_Curves!$C$5:$C$205,1)))*(INDEX(LE_Curves!$B$5:$B$205,MATCH($R51,LE_Curves!$C$5:$C$205,1)+1)-INDEX(LE_Curves!$B$5:$B$205,MATCH($R51,LE_Curves!$C$5:$C$205,1)))/(INDEX(LE_Curves!$C$5:$C$205,MATCH($R51,LE_Curves!$C$5:$C$205,1)+1)-INDEX(LE_Curves!$C$5:$C$205,MATCH($R51,LE_Curves!$C$5:$C$205,1))))))</f>
        <v/>
      </c>
      <c r="T51" s="11">
        <f>IF(Inputs!$D$24=0,0,IF($R51&lt;=Inputs!$C$24,0,IF($R51&gt;=INDEX(LE_Curves!$D$5:$D$205,201),INDEX(LE_Curves!$B$5:$B$205,201),INDEX(LE_Curves!$B$5:$B$205,MATCH($R51,LE_Curves!$D$5:$D$205,1))+($R51-INDEX(LE_Curves!$D$5:$D$205,MATCH($R51,LE_Curves!$D$5:$D$205,1)))*(INDEX(LE_Curves!$B$5:$B$205,MATCH($R51,LE_Curves!$D$5:$D$205,1)+1)-INDEX(LE_Curves!$B$5:$B$205,MATCH($R51,LE_Curves!$D$5:$D$205,1)))/(INDEX(LE_Curves!$D$5:$D$205,MATCH($R51,LE_Curves!$D$5:$D$205,1)+1)-INDEX(LE_Curves!$D$5:$D$205,MATCH($R51,LE_Curves!$D$5:$D$205,1))))))</f>
        <v/>
      </c>
      <c r="U51" s="11">
        <f>IF(Inputs!$D$25=0,0,IF($R51&lt;=Inputs!$C$25,0,IF($R51&gt;=INDEX(LE_Curves!$E$5:$E$205,201),INDEX(LE_Curves!$B$5:$B$205,201),INDEX(LE_Curves!$B$5:$B$205,MATCH($R51,LE_Curves!$E$5:$E$205,1))+($R51-INDEX(LE_Curves!$E$5:$E$205,MATCH($R51,LE_Curves!$E$5:$E$205,1)))*(INDEX(LE_Curves!$B$5:$B$205,MATCH($R51,LE_Curves!$E$5:$E$205,1)+1)-INDEX(LE_Curves!$B$5:$B$205,MATCH($R51,LE_Curves!$E$5:$E$205,1)))/(INDEX(LE_Curves!$E$5:$E$205,MATCH($R51,LE_Curves!$E$5:$E$205,1)+1)-INDEX(LE_Curves!$E$5:$E$205,MATCH($R51,LE_Curves!$E$5:$E$205,1))))))</f>
        <v/>
      </c>
      <c r="V51" s="11">
        <f>IF(Inputs!$D$26=0,0,IF($R51&lt;=Inputs!$C$26,0,IF($R51&gt;=INDEX(LE_Curves!$F$5:$F$205,201),INDEX(LE_Curves!$B$5:$B$205,201),INDEX(LE_Curves!$B$5:$B$205,MATCH($R51,LE_Curves!$F$5:$F$205,1))+($R51-INDEX(LE_Curves!$F$5:$F$205,MATCH($R51,LE_Curves!$F$5:$F$205,1)))*(INDEX(LE_Curves!$B$5:$B$205,MATCH($R51,LE_Curves!$F$5:$F$205,1)+1)-INDEX(LE_Curves!$B$5:$B$205,MATCH($R51,LE_Curves!$F$5:$F$205,1)))/(INDEX(LE_Curves!$F$5:$F$205,MATCH($R51,LE_Curves!$F$5:$F$205,1)+1)-INDEX(LE_Curves!$F$5:$F$205,MATCH($R51,LE_Curves!$F$5:$F$205,1))))))</f>
        <v/>
      </c>
      <c r="W51" s="11">
        <f>IF(Inputs!$D$27=0,0,IF($R51&lt;=Inputs!$C$27,0,IF($R51&gt;=INDEX(LE_Curves!$G$5:$G$205,201),INDEX(LE_Curves!$B$5:$B$205,201),INDEX(LE_Curves!$B$5:$B$205,MATCH($R51,LE_Curves!$G$5:$G$205,1))+($R51-INDEX(LE_Curves!$G$5:$G$205,MATCH($R51,LE_Curves!$G$5:$G$205,1)))*(INDEX(LE_Curves!$B$5:$B$205,MATCH($R51,LE_Curves!$G$5:$G$205,1)+1)-INDEX(LE_Curves!$B$5:$B$205,MATCH($R51,LE_Curves!$G$5:$G$205,1)))/(INDEX(LE_Curves!$G$5:$G$205,MATCH($R51,LE_Curves!$G$5:$G$205,1)+1)-INDEX(LE_Curves!$G$5:$G$205,MATCH($R51,LE_Curves!$G$5:$G$205,1))))))</f>
        <v/>
      </c>
      <c r="X51" s="11">
        <f>IF(Inputs!$D$28=0,0,IF($R51&lt;=Inputs!$C$28,0,IF($R51&gt;=INDEX(LE_Curves!$H$5:$H$205,201),INDEX(LE_Curves!$B$5:$B$205,201),INDEX(LE_Curves!$B$5:$B$205,MATCH($R51,LE_Curves!$H$5:$H$205,1))+($R51-INDEX(LE_Curves!$H$5:$H$205,MATCH($R51,LE_Curves!$H$5:$H$205,1)))*(INDEX(LE_Curves!$B$5:$B$205,MATCH($R51,LE_Curves!$H$5:$H$205,1)+1)-INDEX(LE_Curves!$B$5:$B$205,MATCH($R51,LE_Curves!$H$5:$H$205,1)))/(INDEX(LE_Curves!$H$5:$H$205,MATCH($R51,LE_Curves!$H$5:$H$205,1)+1)-INDEX(LE_Curves!$H$5:$H$205,MATCH($R51,LE_Curves!$H$5:$H$205,1))))))</f>
        <v/>
      </c>
      <c r="Y51" s="11">
        <f>IF(Inputs!$D$29=0,0,IF($R51&lt;=Inputs!$C$29,0,IF($R51&gt;=INDEX(LE_Curves!$I$5:$I$205,201),INDEX(LE_Curves!$B$5:$B$205,201),INDEX(LE_Curves!$B$5:$B$205,MATCH($R51,LE_Curves!$I$5:$I$205,1))+($R51-INDEX(LE_Curves!$I$5:$I$205,MATCH($R51,LE_Curves!$I$5:$I$205,1)))*(INDEX(LE_Curves!$B$5:$B$205,MATCH($R51,LE_Curves!$I$5:$I$205,1)+1)-INDEX(LE_Curves!$B$5:$B$205,MATCH($R51,LE_Curves!$I$5:$I$205,1)))/(INDEX(LE_Curves!$I$5:$I$205,MATCH($R51,LE_Curves!$I$5:$I$205,1)+1)-INDEX(LE_Curves!$I$5:$I$205,MATCH($R51,LE_Curves!$I$5:$I$205,1))))))</f>
        <v/>
      </c>
      <c r="Z51" s="11">
        <f>IF(Inputs!$D$30=0,0,IF($R51&lt;=Inputs!$C$30,0,IF($R51&gt;=INDEX(LE_Curves!$J$5:$J$205,201),INDEX(LE_Curves!$B$5:$B$205,201),INDEX(LE_Curves!$B$5:$B$205,MATCH($R51,LE_Curves!$J$5:$J$205,1))+($R51-INDEX(LE_Curves!$J$5:$J$205,MATCH($R51,LE_Curves!$J$5:$J$205,1)))*(INDEX(LE_Curves!$B$5:$B$205,MATCH($R51,LE_Curves!$J$5:$J$205,1)+1)-INDEX(LE_Curves!$B$5:$B$205,MATCH($R51,LE_Curves!$J$5:$J$205,1)))/(INDEX(LE_Curves!$J$5:$J$205,MATCH($R51,LE_Curves!$J$5:$J$205,1)+1)-INDEX(LE_Curves!$J$5:$J$205,MATCH($R51,LE_Curves!$J$5:$J$205,1))))))</f>
        <v/>
      </c>
      <c r="AA51" s="11">
        <f>IF(Inputs!$D$31=0,0,IF($R51&lt;=Inputs!$C$31,0,IF($R51&gt;=INDEX(LE_Curves!$K$5:$K$205,201),INDEX(LE_Curves!$B$5:$B$205,201),INDEX(LE_Curves!$B$5:$B$205,MATCH($R51,LE_Curves!$K$5:$K$205,1))+($R51-INDEX(LE_Curves!$K$5:$K$205,MATCH($R51,LE_Curves!$K$5:$K$205,1)))*(INDEX(LE_Curves!$B$5:$B$205,MATCH($R51,LE_Curves!$K$5:$K$205,1)+1)-INDEX(LE_Curves!$B$5:$B$205,MATCH($R51,LE_Curves!$K$5:$K$205,1)))/(INDEX(LE_Curves!$K$5:$K$205,MATCH($R51,LE_Curves!$K$5:$K$205,1)+1)-INDEX(LE_Curves!$K$5:$K$205,MATCH($R51,LE_Curves!$K$5:$K$205,1))))))</f>
        <v/>
      </c>
      <c r="AB51" s="11">
        <f>IF(Inputs!$D$32=0,0,IF($R51&lt;=Inputs!$C$32,0,IF($R51&gt;=INDEX(LE_Curves!$L$5:$L$205,201),INDEX(LE_Curves!$B$5:$B$205,201),INDEX(LE_Curves!$B$5:$B$205,MATCH($R51,LE_Curves!$L$5:$L$205,1))+($R51-INDEX(LE_Curves!$L$5:$L$205,MATCH($R51,LE_Curves!$L$5:$L$205,1)))*(INDEX(LE_Curves!$B$5:$B$205,MATCH($R51,LE_Curves!$L$5:$L$205,1)+1)-INDEX(LE_Curves!$B$5:$B$205,MATCH($R51,LE_Curves!$L$5:$L$205,1)))/(INDEX(LE_Curves!$L$5:$L$205,MATCH($R51,LE_Curves!$L$5:$L$205,1)+1)-INDEX(LE_Curves!$L$5:$L$205,MATCH($R51,LE_Curves!$L$5:$L$205,1))))))</f>
        <v/>
      </c>
      <c r="AC51" s="11">
        <f>IF(Inputs!$D$33=0,0,IF($R51&lt;=Inputs!$C$33,0,IF($R51&gt;=INDEX(LE_Curves!$M$5:$M$205,201),INDEX(LE_Curves!$B$5:$B$205,201),INDEX(LE_Curves!$B$5:$B$205,MATCH($R51,LE_Curves!$M$5:$M$205,1))+($R51-INDEX(LE_Curves!$M$5:$M$205,MATCH($R51,LE_Curves!$M$5:$M$205,1)))*(INDEX(LE_Curves!$B$5:$B$205,MATCH($R51,LE_Curves!$M$5:$M$205,1)+1)-INDEX(LE_Curves!$B$5:$B$205,MATCH($R51,LE_Curves!$M$5:$M$205,1)))/(INDEX(LE_Curves!$M$5:$M$205,MATCH($R51,LE_Curves!$M$5:$M$205,1)+1)-INDEX(LE_Curves!$M$5:$M$205,MATCH($R51,LE_Curves!$M$5:$M$205,1))))))</f>
        <v/>
      </c>
      <c r="AD51" s="11">
        <f>IF(Inputs!$D$34=0,0,IF($R51&lt;=Inputs!$C$34,0,IF($R51&gt;=INDEX(LE_Curves!$N$5:$N$205,201),INDEX(LE_Curves!$B$5:$B$205,201),INDEX(LE_Curves!$B$5:$B$205,MATCH($R51,LE_Curves!$N$5:$N$205,1))+($R51-INDEX(LE_Curves!$N$5:$N$205,MATCH($R51,LE_Curves!$N$5:$N$205,1)))*(INDEX(LE_Curves!$B$5:$B$205,MATCH($R51,LE_Curves!$N$5:$N$205,1)+1)-INDEX(LE_Curves!$B$5:$B$205,MATCH($R51,LE_Curves!$N$5:$N$205,1)))/(INDEX(LE_Curves!$N$5:$N$205,MATCH($R51,LE_Curves!$N$5:$N$205,1)+1)-INDEX(LE_Curves!$N$5:$N$205,MATCH($R51,LE_Curves!$N$5:$N$205,1))))))</f>
        <v/>
      </c>
      <c r="AE51" s="37">
        <f>SUM(S51:AD51)</f>
        <v/>
      </c>
    </row>
    <row r="52">
      <c r="A52" s="7" t="n">
        <v>21</v>
      </c>
      <c r="B52" s="37">
        <f>$B$3+($B$4-$B$3)*A52/200</f>
        <v/>
      </c>
      <c r="C52" s="11">
        <f>IF(Inputs!$D$23=0,0,IF($B52&lt;=Inputs!$C$23,0,IF($B52&gt;=INDEX(LE_Curves!$C$5:$C$205,201),INDEX(LE_Curves!$B$5:$B$205,201),INDEX(LE_Curves!$B$5:$B$205,MATCH($B52,LE_Curves!$C$5:$C$205,1))+($B52-INDEX(LE_Curves!$C$5:$C$205,MATCH($B52,LE_Curves!$C$5:$C$205,1)))*(INDEX(LE_Curves!$B$5:$B$205,MATCH($B52,LE_Curves!$C$5:$C$205,1)+1)-INDEX(LE_Curves!$B$5:$B$205,MATCH($B52,LE_Curves!$C$5:$C$205,1)))/(INDEX(LE_Curves!$C$5:$C$205,MATCH($B52,LE_Curves!$C$5:$C$205,1)+1)-INDEX(LE_Curves!$C$5:$C$205,MATCH($B52,LE_Curves!$C$5:$C$205,1))))))</f>
        <v/>
      </c>
      <c r="D52" s="11">
        <f>IF(Inputs!$D$24=0,0,IF($B52&lt;=Inputs!$C$24,0,IF($B52&gt;=INDEX(LE_Curves!$D$5:$D$205,201),INDEX(LE_Curves!$B$5:$B$205,201),INDEX(LE_Curves!$B$5:$B$205,MATCH($B52,LE_Curves!$D$5:$D$205,1))+($B52-INDEX(LE_Curves!$D$5:$D$205,MATCH($B52,LE_Curves!$D$5:$D$205,1)))*(INDEX(LE_Curves!$B$5:$B$205,MATCH($B52,LE_Curves!$D$5:$D$205,1)+1)-INDEX(LE_Curves!$B$5:$B$205,MATCH($B52,LE_Curves!$D$5:$D$205,1)))/(INDEX(LE_Curves!$D$5:$D$205,MATCH($B52,LE_Curves!$D$5:$D$205,1)+1)-INDEX(LE_Curves!$D$5:$D$205,MATCH($B52,LE_Curves!$D$5:$D$205,1))))))</f>
        <v/>
      </c>
      <c r="E52" s="11">
        <f>IF(Inputs!$D$25=0,0,IF($B52&lt;=Inputs!$C$25,0,IF($B52&gt;=INDEX(LE_Curves!$E$5:$E$205,201),INDEX(LE_Curves!$B$5:$B$205,201),INDEX(LE_Curves!$B$5:$B$205,MATCH($B52,LE_Curves!$E$5:$E$205,1))+($B52-INDEX(LE_Curves!$E$5:$E$205,MATCH($B52,LE_Curves!$E$5:$E$205,1)))*(INDEX(LE_Curves!$B$5:$B$205,MATCH($B52,LE_Curves!$E$5:$E$205,1)+1)-INDEX(LE_Curves!$B$5:$B$205,MATCH($B52,LE_Curves!$E$5:$E$205,1)))/(INDEX(LE_Curves!$E$5:$E$205,MATCH($B52,LE_Curves!$E$5:$E$205,1)+1)-INDEX(LE_Curves!$E$5:$E$205,MATCH($B52,LE_Curves!$E$5:$E$205,1))))))</f>
        <v/>
      </c>
      <c r="F52" s="11">
        <f>IF(Inputs!$D$26=0,0,IF($B52&lt;=Inputs!$C$26,0,IF($B52&gt;=INDEX(LE_Curves!$F$5:$F$205,201),INDEX(LE_Curves!$B$5:$B$205,201),INDEX(LE_Curves!$B$5:$B$205,MATCH($B52,LE_Curves!$F$5:$F$205,1))+($B52-INDEX(LE_Curves!$F$5:$F$205,MATCH($B52,LE_Curves!$F$5:$F$205,1)))*(INDEX(LE_Curves!$B$5:$B$205,MATCH($B52,LE_Curves!$F$5:$F$205,1)+1)-INDEX(LE_Curves!$B$5:$B$205,MATCH($B52,LE_Curves!$F$5:$F$205,1)))/(INDEX(LE_Curves!$F$5:$F$205,MATCH($B52,LE_Curves!$F$5:$F$205,1)+1)-INDEX(LE_Curves!$F$5:$F$205,MATCH($B52,LE_Curves!$F$5:$F$205,1))))))</f>
        <v/>
      </c>
      <c r="G52" s="11">
        <f>IF(Inputs!$D$27=0,0,IF($B52&lt;=Inputs!$C$27,0,IF($B52&gt;=INDEX(LE_Curves!$G$5:$G$205,201),INDEX(LE_Curves!$B$5:$B$205,201),INDEX(LE_Curves!$B$5:$B$205,MATCH($B52,LE_Curves!$G$5:$G$205,1))+($B52-INDEX(LE_Curves!$G$5:$G$205,MATCH($B52,LE_Curves!$G$5:$G$205,1)))*(INDEX(LE_Curves!$B$5:$B$205,MATCH($B52,LE_Curves!$G$5:$G$205,1)+1)-INDEX(LE_Curves!$B$5:$B$205,MATCH($B52,LE_Curves!$G$5:$G$205,1)))/(INDEX(LE_Curves!$G$5:$G$205,MATCH($B52,LE_Curves!$G$5:$G$205,1)+1)-INDEX(LE_Curves!$G$5:$G$205,MATCH($B52,LE_Curves!$G$5:$G$205,1))))))</f>
        <v/>
      </c>
      <c r="H52" s="11">
        <f>IF(Inputs!$D$28=0,0,IF($B52&lt;=Inputs!$C$28,0,IF($B52&gt;=INDEX(LE_Curves!$H$5:$H$205,201),INDEX(LE_Curves!$B$5:$B$205,201),INDEX(LE_Curves!$B$5:$B$205,MATCH($B52,LE_Curves!$H$5:$H$205,1))+($B52-INDEX(LE_Curves!$H$5:$H$205,MATCH($B52,LE_Curves!$H$5:$H$205,1)))*(INDEX(LE_Curves!$B$5:$B$205,MATCH($B52,LE_Curves!$H$5:$H$205,1)+1)-INDEX(LE_Curves!$B$5:$B$205,MATCH($B52,LE_Curves!$H$5:$H$205,1)))/(INDEX(LE_Curves!$H$5:$H$205,MATCH($B52,LE_Curves!$H$5:$H$205,1)+1)-INDEX(LE_Curves!$H$5:$H$205,MATCH($B52,LE_Curves!$H$5:$H$205,1))))))</f>
        <v/>
      </c>
      <c r="I52" s="11">
        <f>IF(Inputs!$D$29=0,0,IF($B52&lt;=Inputs!$C$29,0,IF($B52&gt;=INDEX(LE_Curves!$I$5:$I$205,201),INDEX(LE_Curves!$B$5:$B$205,201),INDEX(LE_Curves!$B$5:$B$205,MATCH($B52,LE_Curves!$I$5:$I$205,1))+($B52-INDEX(LE_Curves!$I$5:$I$205,MATCH($B52,LE_Curves!$I$5:$I$205,1)))*(INDEX(LE_Curves!$B$5:$B$205,MATCH($B52,LE_Curves!$I$5:$I$205,1)+1)-INDEX(LE_Curves!$B$5:$B$205,MATCH($B52,LE_Curves!$I$5:$I$205,1)))/(INDEX(LE_Curves!$I$5:$I$205,MATCH($B52,LE_Curves!$I$5:$I$205,1)+1)-INDEX(LE_Curves!$I$5:$I$205,MATCH($B52,LE_Curves!$I$5:$I$205,1))))))</f>
        <v/>
      </c>
      <c r="J52" s="11">
        <f>IF(Inputs!$D$30=0,0,IF($B52&lt;=Inputs!$C$30,0,IF($B52&gt;=INDEX(LE_Curves!$J$5:$J$205,201),INDEX(LE_Curves!$B$5:$B$205,201),INDEX(LE_Curves!$B$5:$B$205,MATCH($B52,LE_Curves!$J$5:$J$205,1))+($B52-INDEX(LE_Curves!$J$5:$J$205,MATCH($B52,LE_Curves!$J$5:$J$205,1)))*(INDEX(LE_Curves!$B$5:$B$205,MATCH($B52,LE_Curves!$J$5:$J$205,1)+1)-INDEX(LE_Curves!$B$5:$B$205,MATCH($B52,LE_Curves!$J$5:$J$205,1)))/(INDEX(LE_Curves!$J$5:$J$205,MATCH($B52,LE_Curves!$J$5:$J$205,1)+1)-INDEX(LE_Curves!$J$5:$J$205,MATCH($B52,LE_Curves!$J$5:$J$205,1))))))</f>
        <v/>
      </c>
      <c r="K52" s="11">
        <f>IF(Inputs!$D$31=0,0,IF($B52&lt;=Inputs!$C$31,0,IF($B52&gt;=INDEX(LE_Curves!$K$5:$K$205,201),INDEX(LE_Curves!$B$5:$B$205,201),INDEX(LE_Curves!$B$5:$B$205,MATCH($B52,LE_Curves!$K$5:$K$205,1))+($B52-INDEX(LE_Curves!$K$5:$K$205,MATCH($B52,LE_Curves!$K$5:$K$205,1)))*(INDEX(LE_Curves!$B$5:$B$205,MATCH($B52,LE_Curves!$K$5:$K$205,1)+1)-INDEX(LE_Curves!$B$5:$B$205,MATCH($B52,LE_Curves!$K$5:$K$205,1)))/(INDEX(LE_Curves!$K$5:$K$205,MATCH($B52,LE_Curves!$K$5:$K$205,1)+1)-INDEX(LE_Curves!$K$5:$K$205,MATCH($B52,LE_Curves!$K$5:$K$205,1))))))</f>
        <v/>
      </c>
      <c r="L52" s="11">
        <f>IF(Inputs!$D$32=0,0,IF($B52&lt;=Inputs!$C$32,0,IF($B52&gt;=INDEX(LE_Curves!$L$5:$L$205,201),INDEX(LE_Curves!$B$5:$B$205,201),INDEX(LE_Curves!$B$5:$B$205,MATCH($B52,LE_Curves!$L$5:$L$205,1))+($B52-INDEX(LE_Curves!$L$5:$L$205,MATCH($B52,LE_Curves!$L$5:$L$205,1)))*(INDEX(LE_Curves!$B$5:$B$205,MATCH($B52,LE_Curves!$L$5:$L$205,1)+1)-INDEX(LE_Curves!$B$5:$B$205,MATCH($B52,LE_Curves!$L$5:$L$205,1)))/(INDEX(LE_Curves!$L$5:$L$205,MATCH($B52,LE_Curves!$L$5:$L$205,1)+1)-INDEX(LE_Curves!$L$5:$L$205,MATCH($B52,LE_Curves!$L$5:$L$205,1))))))</f>
        <v/>
      </c>
      <c r="M52" s="11">
        <f>IF(Inputs!$D$33=0,0,IF($B52&lt;=Inputs!$C$33,0,IF($B52&gt;=INDEX(LE_Curves!$M$5:$M$205,201),INDEX(LE_Curves!$B$5:$B$205,201),INDEX(LE_Curves!$B$5:$B$205,MATCH($B52,LE_Curves!$M$5:$M$205,1))+($B52-INDEX(LE_Curves!$M$5:$M$205,MATCH($B52,LE_Curves!$M$5:$M$205,1)))*(INDEX(LE_Curves!$B$5:$B$205,MATCH($B52,LE_Curves!$M$5:$M$205,1)+1)-INDEX(LE_Curves!$B$5:$B$205,MATCH($B52,LE_Curves!$M$5:$M$205,1)))/(INDEX(LE_Curves!$M$5:$M$205,MATCH($B52,LE_Curves!$M$5:$M$205,1)+1)-INDEX(LE_Curves!$M$5:$M$205,MATCH($B52,LE_Curves!$M$5:$M$205,1))))))</f>
        <v/>
      </c>
      <c r="N52" s="11">
        <f>IF(Inputs!$D$34=0,0,IF($B52&lt;=Inputs!$C$34,0,IF($B52&gt;=INDEX(LE_Curves!$N$5:$N$205,201),INDEX(LE_Curves!$B$5:$B$205,201),INDEX(LE_Curves!$B$5:$B$205,MATCH($B52,LE_Curves!$N$5:$N$205,1))+($B52-INDEX(LE_Curves!$N$5:$N$205,MATCH($B52,LE_Curves!$N$5:$N$205,1)))*(INDEX(LE_Curves!$B$5:$B$205,MATCH($B52,LE_Curves!$N$5:$N$205,1)+1)-INDEX(LE_Curves!$B$5:$B$205,MATCH($B52,LE_Curves!$N$5:$N$205,1)))/(INDEX(LE_Curves!$N$5:$N$205,MATCH($B52,LE_Curves!$N$5:$N$205,1)+1)-INDEX(LE_Curves!$N$5:$N$205,MATCH($B52,LE_Curves!$N$5:$N$205,1))))))</f>
        <v/>
      </c>
      <c r="O52" s="11">
        <f>SUM(C52:N52)</f>
        <v/>
      </c>
      <c r="Q52" s="7" t="n">
        <v>21</v>
      </c>
      <c r="R52" s="23">
        <f>$B$6+($B$7-$B$6)*Q52/200</f>
        <v/>
      </c>
      <c r="S52" s="11">
        <f>IF(Inputs!$D$23=0,0,IF($R52&lt;=Inputs!$C$23,0,IF($R52&gt;=INDEX(LE_Curves!$C$5:$C$205,201),INDEX(LE_Curves!$B$5:$B$205,201),INDEX(LE_Curves!$B$5:$B$205,MATCH($R52,LE_Curves!$C$5:$C$205,1))+($R52-INDEX(LE_Curves!$C$5:$C$205,MATCH($R52,LE_Curves!$C$5:$C$205,1)))*(INDEX(LE_Curves!$B$5:$B$205,MATCH($R52,LE_Curves!$C$5:$C$205,1)+1)-INDEX(LE_Curves!$B$5:$B$205,MATCH($R52,LE_Curves!$C$5:$C$205,1)))/(INDEX(LE_Curves!$C$5:$C$205,MATCH($R52,LE_Curves!$C$5:$C$205,1)+1)-INDEX(LE_Curves!$C$5:$C$205,MATCH($R52,LE_Curves!$C$5:$C$205,1))))))</f>
        <v/>
      </c>
      <c r="T52" s="11">
        <f>IF(Inputs!$D$24=0,0,IF($R52&lt;=Inputs!$C$24,0,IF($R52&gt;=INDEX(LE_Curves!$D$5:$D$205,201),INDEX(LE_Curves!$B$5:$B$205,201),INDEX(LE_Curves!$B$5:$B$205,MATCH($R52,LE_Curves!$D$5:$D$205,1))+($R52-INDEX(LE_Curves!$D$5:$D$205,MATCH($R52,LE_Curves!$D$5:$D$205,1)))*(INDEX(LE_Curves!$B$5:$B$205,MATCH($R52,LE_Curves!$D$5:$D$205,1)+1)-INDEX(LE_Curves!$B$5:$B$205,MATCH($R52,LE_Curves!$D$5:$D$205,1)))/(INDEX(LE_Curves!$D$5:$D$205,MATCH($R52,LE_Curves!$D$5:$D$205,1)+1)-INDEX(LE_Curves!$D$5:$D$205,MATCH($R52,LE_Curves!$D$5:$D$205,1))))))</f>
        <v/>
      </c>
      <c r="U52" s="11">
        <f>IF(Inputs!$D$25=0,0,IF($R52&lt;=Inputs!$C$25,0,IF($R52&gt;=INDEX(LE_Curves!$E$5:$E$205,201),INDEX(LE_Curves!$B$5:$B$205,201),INDEX(LE_Curves!$B$5:$B$205,MATCH($R52,LE_Curves!$E$5:$E$205,1))+($R52-INDEX(LE_Curves!$E$5:$E$205,MATCH($R52,LE_Curves!$E$5:$E$205,1)))*(INDEX(LE_Curves!$B$5:$B$205,MATCH($R52,LE_Curves!$E$5:$E$205,1)+1)-INDEX(LE_Curves!$B$5:$B$205,MATCH($R52,LE_Curves!$E$5:$E$205,1)))/(INDEX(LE_Curves!$E$5:$E$205,MATCH($R52,LE_Curves!$E$5:$E$205,1)+1)-INDEX(LE_Curves!$E$5:$E$205,MATCH($R52,LE_Curves!$E$5:$E$205,1))))))</f>
        <v/>
      </c>
      <c r="V52" s="11">
        <f>IF(Inputs!$D$26=0,0,IF($R52&lt;=Inputs!$C$26,0,IF($R52&gt;=INDEX(LE_Curves!$F$5:$F$205,201),INDEX(LE_Curves!$B$5:$B$205,201),INDEX(LE_Curves!$B$5:$B$205,MATCH($R52,LE_Curves!$F$5:$F$205,1))+($R52-INDEX(LE_Curves!$F$5:$F$205,MATCH($R52,LE_Curves!$F$5:$F$205,1)))*(INDEX(LE_Curves!$B$5:$B$205,MATCH($R52,LE_Curves!$F$5:$F$205,1)+1)-INDEX(LE_Curves!$B$5:$B$205,MATCH($R52,LE_Curves!$F$5:$F$205,1)))/(INDEX(LE_Curves!$F$5:$F$205,MATCH($R52,LE_Curves!$F$5:$F$205,1)+1)-INDEX(LE_Curves!$F$5:$F$205,MATCH($R52,LE_Curves!$F$5:$F$205,1))))))</f>
        <v/>
      </c>
      <c r="W52" s="11">
        <f>IF(Inputs!$D$27=0,0,IF($R52&lt;=Inputs!$C$27,0,IF($R52&gt;=INDEX(LE_Curves!$G$5:$G$205,201),INDEX(LE_Curves!$B$5:$B$205,201),INDEX(LE_Curves!$B$5:$B$205,MATCH($R52,LE_Curves!$G$5:$G$205,1))+($R52-INDEX(LE_Curves!$G$5:$G$205,MATCH($R52,LE_Curves!$G$5:$G$205,1)))*(INDEX(LE_Curves!$B$5:$B$205,MATCH($R52,LE_Curves!$G$5:$G$205,1)+1)-INDEX(LE_Curves!$B$5:$B$205,MATCH($R52,LE_Curves!$G$5:$G$205,1)))/(INDEX(LE_Curves!$G$5:$G$205,MATCH($R52,LE_Curves!$G$5:$G$205,1)+1)-INDEX(LE_Curves!$G$5:$G$205,MATCH($R52,LE_Curves!$G$5:$G$205,1))))))</f>
        <v/>
      </c>
      <c r="X52" s="11">
        <f>IF(Inputs!$D$28=0,0,IF($R52&lt;=Inputs!$C$28,0,IF($R52&gt;=INDEX(LE_Curves!$H$5:$H$205,201),INDEX(LE_Curves!$B$5:$B$205,201),INDEX(LE_Curves!$B$5:$B$205,MATCH($R52,LE_Curves!$H$5:$H$205,1))+($R52-INDEX(LE_Curves!$H$5:$H$205,MATCH($R52,LE_Curves!$H$5:$H$205,1)))*(INDEX(LE_Curves!$B$5:$B$205,MATCH($R52,LE_Curves!$H$5:$H$205,1)+1)-INDEX(LE_Curves!$B$5:$B$205,MATCH($R52,LE_Curves!$H$5:$H$205,1)))/(INDEX(LE_Curves!$H$5:$H$205,MATCH($R52,LE_Curves!$H$5:$H$205,1)+1)-INDEX(LE_Curves!$H$5:$H$205,MATCH($R52,LE_Curves!$H$5:$H$205,1))))))</f>
        <v/>
      </c>
      <c r="Y52" s="11">
        <f>IF(Inputs!$D$29=0,0,IF($R52&lt;=Inputs!$C$29,0,IF($R52&gt;=INDEX(LE_Curves!$I$5:$I$205,201),INDEX(LE_Curves!$B$5:$B$205,201),INDEX(LE_Curves!$B$5:$B$205,MATCH($R52,LE_Curves!$I$5:$I$205,1))+($R52-INDEX(LE_Curves!$I$5:$I$205,MATCH($R52,LE_Curves!$I$5:$I$205,1)))*(INDEX(LE_Curves!$B$5:$B$205,MATCH($R52,LE_Curves!$I$5:$I$205,1)+1)-INDEX(LE_Curves!$B$5:$B$205,MATCH($R52,LE_Curves!$I$5:$I$205,1)))/(INDEX(LE_Curves!$I$5:$I$205,MATCH($R52,LE_Curves!$I$5:$I$205,1)+1)-INDEX(LE_Curves!$I$5:$I$205,MATCH($R52,LE_Curves!$I$5:$I$205,1))))))</f>
        <v/>
      </c>
      <c r="Z52" s="11">
        <f>IF(Inputs!$D$30=0,0,IF($R52&lt;=Inputs!$C$30,0,IF($R52&gt;=INDEX(LE_Curves!$J$5:$J$205,201),INDEX(LE_Curves!$B$5:$B$205,201),INDEX(LE_Curves!$B$5:$B$205,MATCH($R52,LE_Curves!$J$5:$J$205,1))+($R52-INDEX(LE_Curves!$J$5:$J$205,MATCH($R52,LE_Curves!$J$5:$J$205,1)))*(INDEX(LE_Curves!$B$5:$B$205,MATCH($R52,LE_Curves!$J$5:$J$205,1)+1)-INDEX(LE_Curves!$B$5:$B$205,MATCH($R52,LE_Curves!$J$5:$J$205,1)))/(INDEX(LE_Curves!$J$5:$J$205,MATCH($R52,LE_Curves!$J$5:$J$205,1)+1)-INDEX(LE_Curves!$J$5:$J$205,MATCH($R52,LE_Curves!$J$5:$J$205,1))))))</f>
        <v/>
      </c>
      <c r="AA52" s="11">
        <f>IF(Inputs!$D$31=0,0,IF($R52&lt;=Inputs!$C$31,0,IF($R52&gt;=INDEX(LE_Curves!$K$5:$K$205,201),INDEX(LE_Curves!$B$5:$B$205,201),INDEX(LE_Curves!$B$5:$B$205,MATCH($R52,LE_Curves!$K$5:$K$205,1))+($R52-INDEX(LE_Curves!$K$5:$K$205,MATCH($R52,LE_Curves!$K$5:$K$205,1)))*(INDEX(LE_Curves!$B$5:$B$205,MATCH($R52,LE_Curves!$K$5:$K$205,1)+1)-INDEX(LE_Curves!$B$5:$B$205,MATCH($R52,LE_Curves!$K$5:$K$205,1)))/(INDEX(LE_Curves!$K$5:$K$205,MATCH($R52,LE_Curves!$K$5:$K$205,1)+1)-INDEX(LE_Curves!$K$5:$K$205,MATCH($R52,LE_Curves!$K$5:$K$205,1))))))</f>
        <v/>
      </c>
      <c r="AB52" s="11">
        <f>IF(Inputs!$D$32=0,0,IF($R52&lt;=Inputs!$C$32,0,IF($R52&gt;=INDEX(LE_Curves!$L$5:$L$205,201),INDEX(LE_Curves!$B$5:$B$205,201),INDEX(LE_Curves!$B$5:$B$205,MATCH($R52,LE_Curves!$L$5:$L$205,1))+($R52-INDEX(LE_Curves!$L$5:$L$205,MATCH($R52,LE_Curves!$L$5:$L$205,1)))*(INDEX(LE_Curves!$B$5:$B$205,MATCH($R52,LE_Curves!$L$5:$L$205,1)+1)-INDEX(LE_Curves!$B$5:$B$205,MATCH($R52,LE_Curves!$L$5:$L$205,1)))/(INDEX(LE_Curves!$L$5:$L$205,MATCH($R52,LE_Curves!$L$5:$L$205,1)+1)-INDEX(LE_Curves!$L$5:$L$205,MATCH($R52,LE_Curves!$L$5:$L$205,1))))))</f>
        <v/>
      </c>
      <c r="AC52" s="11">
        <f>IF(Inputs!$D$33=0,0,IF($R52&lt;=Inputs!$C$33,0,IF($R52&gt;=INDEX(LE_Curves!$M$5:$M$205,201),INDEX(LE_Curves!$B$5:$B$205,201),INDEX(LE_Curves!$B$5:$B$205,MATCH($R52,LE_Curves!$M$5:$M$205,1))+($R52-INDEX(LE_Curves!$M$5:$M$205,MATCH($R52,LE_Curves!$M$5:$M$205,1)))*(INDEX(LE_Curves!$B$5:$B$205,MATCH($R52,LE_Curves!$M$5:$M$205,1)+1)-INDEX(LE_Curves!$B$5:$B$205,MATCH($R52,LE_Curves!$M$5:$M$205,1)))/(INDEX(LE_Curves!$M$5:$M$205,MATCH($R52,LE_Curves!$M$5:$M$205,1)+1)-INDEX(LE_Curves!$M$5:$M$205,MATCH($R52,LE_Curves!$M$5:$M$205,1))))))</f>
        <v/>
      </c>
      <c r="AD52" s="11">
        <f>IF(Inputs!$D$34=0,0,IF($R52&lt;=Inputs!$C$34,0,IF($R52&gt;=INDEX(LE_Curves!$N$5:$N$205,201),INDEX(LE_Curves!$B$5:$B$205,201),INDEX(LE_Curves!$B$5:$B$205,MATCH($R52,LE_Curves!$N$5:$N$205,1))+($R52-INDEX(LE_Curves!$N$5:$N$205,MATCH($R52,LE_Curves!$N$5:$N$205,1)))*(INDEX(LE_Curves!$B$5:$B$205,MATCH($R52,LE_Curves!$N$5:$N$205,1)+1)-INDEX(LE_Curves!$B$5:$B$205,MATCH($R52,LE_Curves!$N$5:$N$205,1)))/(INDEX(LE_Curves!$N$5:$N$205,MATCH($R52,LE_Curves!$N$5:$N$205,1)+1)-INDEX(LE_Curves!$N$5:$N$205,MATCH($R52,LE_Curves!$N$5:$N$205,1))))))</f>
        <v/>
      </c>
      <c r="AE52" s="37">
        <f>SUM(S52:AD52)</f>
        <v/>
      </c>
    </row>
    <row r="53">
      <c r="A53" s="7" t="n">
        <v>22</v>
      </c>
      <c r="B53" s="37">
        <f>$B$3+($B$4-$B$3)*A53/200</f>
        <v/>
      </c>
      <c r="C53" s="11">
        <f>IF(Inputs!$D$23=0,0,IF($B53&lt;=Inputs!$C$23,0,IF($B53&gt;=INDEX(LE_Curves!$C$5:$C$205,201),INDEX(LE_Curves!$B$5:$B$205,201),INDEX(LE_Curves!$B$5:$B$205,MATCH($B53,LE_Curves!$C$5:$C$205,1))+($B53-INDEX(LE_Curves!$C$5:$C$205,MATCH($B53,LE_Curves!$C$5:$C$205,1)))*(INDEX(LE_Curves!$B$5:$B$205,MATCH($B53,LE_Curves!$C$5:$C$205,1)+1)-INDEX(LE_Curves!$B$5:$B$205,MATCH($B53,LE_Curves!$C$5:$C$205,1)))/(INDEX(LE_Curves!$C$5:$C$205,MATCH($B53,LE_Curves!$C$5:$C$205,1)+1)-INDEX(LE_Curves!$C$5:$C$205,MATCH($B53,LE_Curves!$C$5:$C$205,1))))))</f>
        <v/>
      </c>
      <c r="D53" s="11">
        <f>IF(Inputs!$D$24=0,0,IF($B53&lt;=Inputs!$C$24,0,IF($B53&gt;=INDEX(LE_Curves!$D$5:$D$205,201),INDEX(LE_Curves!$B$5:$B$205,201),INDEX(LE_Curves!$B$5:$B$205,MATCH($B53,LE_Curves!$D$5:$D$205,1))+($B53-INDEX(LE_Curves!$D$5:$D$205,MATCH($B53,LE_Curves!$D$5:$D$205,1)))*(INDEX(LE_Curves!$B$5:$B$205,MATCH($B53,LE_Curves!$D$5:$D$205,1)+1)-INDEX(LE_Curves!$B$5:$B$205,MATCH($B53,LE_Curves!$D$5:$D$205,1)))/(INDEX(LE_Curves!$D$5:$D$205,MATCH($B53,LE_Curves!$D$5:$D$205,1)+1)-INDEX(LE_Curves!$D$5:$D$205,MATCH($B53,LE_Curves!$D$5:$D$205,1))))))</f>
        <v/>
      </c>
      <c r="E53" s="11">
        <f>IF(Inputs!$D$25=0,0,IF($B53&lt;=Inputs!$C$25,0,IF($B53&gt;=INDEX(LE_Curves!$E$5:$E$205,201),INDEX(LE_Curves!$B$5:$B$205,201),INDEX(LE_Curves!$B$5:$B$205,MATCH($B53,LE_Curves!$E$5:$E$205,1))+($B53-INDEX(LE_Curves!$E$5:$E$205,MATCH($B53,LE_Curves!$E$5:$E$205,1)))*(INDEX(LE_Curves!$B$5:$B$205,MATCH($B53,LE_Curves!$E$5:$E$205,1)+1)-INDEX(LE_Curves!$B$5:$B$205,MATCH($B53,LE_Curves!$E$5:$E$205,1)))/(INDEX(LE_Curves!$E$5:$E$205,MATCH($B53,LE_Curves!$E$5:$E$205,1)+1)-INDEX(LE_Curves!$E$5:$E$205,MATCH($B53,LE_Curves!$E$5:$E$205,1))))))</f>
        <v/>
      </c>
      <c r="F53" s="11">
        <f>IF(Inputs!$D$26=0,0,IF($B53&lt;=Inputs!$C$26,0,IF($B53&gt;=INDEX(LE_Curves!$F$5:$F$205,201),INDEX(LE_Curves!$B$5:$B$205,201),INDEX(LE_Curves!$B$5:$B$205,MATCH($B53,LE_Curves!$F$5:$F$205,1))+($B53-INDEX(LE_Curves!$F$5:$F$205,MATCH($B53,LE_Curves!$F$5:$F$205,1)))*(INDEX(LE_Curves!$B$5:$B$205,MATCH($B53,LE_Curves!$F$5:$F$205,1)+1)-INDEX(LE_Curves!$B$5:$B$205,MATCH($B53,LE_Curves!$F$5:$F$205,1)))/(INDEX(LE_Curves!$F$5:$F$205,MATCH($B53,LE_Curves!$F$5:$F$205,1)+1)-INDEX(LE_Curves!$F$5:$F$205,MATCH($B53,LE_Curves!$F$5:$F$205,1))))))</f>
        <v/>
      </c>
      <c r="G53" s="11">
        <f>IF(Inputs!$D$27=0,0,IF($B53&lt;=Inputs!$C$27,0,IF($B53&gt;=INDEX(LE_Curves!$G$5:$G$205,201),INDEX(LE_Curves!$B$5:$B$205,201),INDEX(LE_Curves!$B$5:$B$205,MATCH($B53,LE_Curves!$G$5:$G$205,1))+($B53-INDEX(LE_Curves!$G$5:$G$205,MATCH($B53,LE_Curves!$G$5:$G$205,1)))*(INDEX(LE_Curves!$B$5:$B$205,MATCH($B53,LE_Curves!$G$5:$G$205,1)+1)-INDEX(LE_Curves!$B$5:$B$205,MATCH($B53,LE_Curves!$G$5:$G$205,1)))/(INDEX(LE_Curves!$G$5:$G$205,MATCH($B53,LE_Curves!$G$5:$G$205,1)+1)-INDEX(LE_Curves!$G$5:$G$205,MATCH($B53,LE_Curves!$G$5:$G$205,1))))))</f>
        <v/>
      </c>
      <c r="H53" s="11">
        <f>IF(Inputs!$D$28=0,0,IF($B53&lt;=Inputs!$C$28,0,IF($B53&gt;=INDEX(LE_Curves!$H$5:$H$205,201),INDEX(LE_Curves!$B$5:$B$205,201),INDEX(LE_Curves!$B$5:$B$205,MATCH($B53,LE_Curves!$H$5:$H$205,1))+($B53-INDEX(LE_Curves!$H$5:$H$205,MATCH($B53,LE_Curves!$H$5:$H$205,1)))*(INDEX(LE_Curves!$B$5:$B$205,MATCH($B53,LE_Curves!$H$5:$H$205,1)+1)-INDEX(LE_Curves!$B$5:$B$205,MATCH($B53,LE_Curves!$H$5:$H$205,1)))/(INDEX(LE_Curves!$H$5:$H$205,MATCH($B53,LE_Curves!$H$5:$H$205,1)+1)-INDEX(LE_Curves!$H$5:$H$205,MATCH($B53,LE_Curves!$H$5:$H$205,1))))))</f>
        <v/>
      </c>
      <c r="I53" s="11">
        <f>IF(Inputs!$D$29=0,0,IF($B53&lt;=Inputs!$C$29,0,IF($B53&gt;=INDEX(LE_Curves!$I$5:$I$205,201),INDEX(LE_Curves!$B$5:$B$205,201),INDEX(LE_Curves!$B$5:$B$205,MATCH($B53,LE_Curves!$I$5:$I$205,1))+($B53-INDEX(LE_Curves!$I$5:$I$205,MATCH($B53,LE_Curves!$I$5:$I$205,1)))*(INDEX(LE_Curves!$B$5:$B$205,MATCH($B53,LE_Curves!$I$5:$I$205,1)+1)-INDEX(LE_Curves!$B$5:$B$205,MATCH($B53,LE_Curves!$I$5:$I$205,1)))/(INDEX(LE_Curves!$I$5:$I$205,MATCH($B53,LE_Curves!$I$5:$I$205,1)+1)-INDEX(LE_Curves!$I$5:$I$205,MATCH($B53,LE_Curves!$I$5:$I$205,1))))))</f>
        <v/>
      </c>
      <c r="J53" s="11">
        <f>IF(Inputs!$D$30=0,0,IF($B53&lt;=Inputs!$C$30,0,IF($B53&gt;=INDEX(LE_Curves!$J$5:$J$205,201),INDEX(LE_Curves!$B$5:$B$205,201),INDEX(LE_Curves!$B$5:$B$205,MATCH($B53,LE_Curves!$J$5:$J$205,1))+($B53-INDEX(LE_Curves!$J$5:$J$205,MATCH($B53,LE_Curves!$J$5:$J$205,1)))*(INDEX(LE_Curves!$B$5:$B$205,MATCH($B53,LE_Curves!$J$5:$J$205,1)+1)-INDEX(LE_Curves!$B$5:$B$205,MATCH($B53,LE_Curves!$J$5:$J$205,1)))/(INDEX(LE_Curves!$J$5:$J$205,MATCH($B53,LE_Curves!$J$5:$J$205,1)+1)-INDEX(LE_Curves!$J$5:$J$205,MATCH($B53,LE_Curves!$J$5:$J$205,1))))))</f>
        <v/>
      </c>
      <c r="K53" s="11">
        <f>IF(Inputs!$D$31=0,0,IF($B53&lt;=Inputs!$C$31,0,IF($B53&gt;=INDEX(LE_Curves!$K$5:$K$205,201),INDEX(LE_Curves!$B$5:$B$205,201),INDEX(LE_Curves!$B$5:$B$205,MATCH($B53,LE_Curves!$K$5:$K$205,1))+($B53-INDEX(LE_Curves!$K$5:$K$205,MATCH($B53,LE_Curves!$K$5:$K$205,1)))*(INDEX(LE_Curves!$B$5:$B$205,MATCH($B53,LE_Curves!$K$5:$K$205,1)+1)-INDEX(LE_Curves!$B$5:$B$205,MATCH($B53,LE_Curves!$K$5:$K$205,1)))/(INDEX(LE_Curves!$K$5:$K$205,MATCH($B53,LE_Curves!$K$5:$K$205,1)+1)-INDEX(LE_Curves!$K$5:$K$205,MATCH($B53,LE_Curves!$K$5:$K$205,1))))))</f>
        <v/>
      </c>
      <c r="L53" s="11">
        <f>IF(Inputs!$D$32=0,0,IF($B53&lt;=Inputs!$C$32,0,IF($B53&gt;=INDEX(LE_Curves!$L$5:$L$205,201),INDEX(LE_Curves!$B$5:$B$205,201),INDEX(LE_Curves!$B$5:$B$205,MATCH($B53,LE_Curves!$L$5:$L$205,1))+($B53-INDEX(LE_Curves!$L$5:$L$205,MATCH($B53,LE_Curves!$L$5:$L$205,1)))*(INDEX(LE_Curves!$B$5:$B$205,MATCH($B53,LE_Curves!$L$5:$L$205,1)+1)-INDEX(LE_Curves!$B$5:$B$205,MATCH($B53,LE_Curves!$L$5:$L$205,1)))/(INDEX(LE_Curves!$L$5:$L$205,MATCH($B53,LE_Curves!$L$5:$L$205,1)+1)-INDEX(LE_Curves!$L$5:$L$205,MATCH($B53,LE_Curves!$L$5:$L$205,1))))))</f>
        <v/>
      </c>
      <c r="M53" s="11">
        <f>IF(Inputs!$D$33=0,0,IF($B53&lt;=Inputs!$C$33,0,IF($B53&gt;=INDEX(LE_Curves!$M$5:$M$205,201),INDEX(LE_Curves!$B$5:$B$205,201),INDEX(LE_Curves!$B$5:$B$205,MATCH($B53,LE_Curves!$M$5:$M$205,1))+($B53-INDEX(LE_Curves!$M$5:$M$205,MATCH($B53,LE_Curves!$M$5:$M$205,1)))*(INDEX(LE_Curves!$B$5:$B$205,MATCH($B53,LE_Curves!$M$5:$M$205,1)+1)-INDEX(LE_Curves!$B$5:$B$205,MATCH($B53,LE_Curves!$M$5:$M$205,1)))/(INDEX(LE_Curves!$M$5:$M$205,MATCH($B53,LE_Curves!$M$5:$M$205,1)+1)-INDEX(LE_Curves!$M$5:$M$205,MATCH($B53,LE_Curves!$M$5:$M$205,1))))))</f>
        <v/>
      </c>
      <c r="N53" s="11">
        <f>IF(Inputs!$D$34=0,0,IF($B53&lt;=Inputs!$C$34,0,IF($B53&gt;=INDEX(LE_Curves!$N$5:$N$205,201),INDEX(LE_Curves!$B$5:$B$205,201),INDEX(LE_Curves!$B$5:$B$205,MATCH($B53,LE_Curves!$N$5:$N$205,1))+($B53-INDEX(LE_Curves!$N$5:$N$205,MATCH($B53,LE_Curves!$N$5:$N$205,1)))*(INDEX(LE_Curves!$B$5:$B$205,MATCH($B53,LE_Curves!$N$5:$N$205,1)+1)-INDEX(LE_Curves!$B$5:$B$205,MATCH($B53,LE_Curves!$N$5:$N$205,1)))/(INDEX(LE_Curves!$N$5:$N$205,MATCH($B53,LE_Curves!$N$5:$N$205,1)+1)-INDEX(LE_Curves!$N$5:$N$205,MATCH($B53,LE_Curves!$N$5:$N$205,1))))))</f>
        <v/>
      </c>
      <c r="O53" s="11">
        <f>SUM(C53:N53)</f>
        <v/>
      </c>
      <c r="Q53" s="7" t="n">
        <v>22</v>
      </c>
      <c r="R53" s="23">
        <f>$B$6+($B$7-$B$6)*Q53/200</f>
        <v/>
      </c>
      <c r="S53" s="11">
        <f>IF(Inputs!$D$23=0,0,IF($R53&lt;=Inputs!$C$23,0,IF($R53&gt;=INDEX(LE_Curves!$C$5:$C$205,201),INDEX(LE_Curves!$B$5:$B$205,201),INDEX(LE_Curves!$B$5:$B$205,MATCH($R53,LE_Curves!$C$5:$C$205,1))+($R53-INDEX(LE_Curves!$C$5:$C$205,MATCH($R53,LE_Curves!$C$5:$C$205,1)))*(INDEX(LE_Curves!$B$5:$B$205,MATCH($R53,LE_Curves!$C$5:$C$205,1)+1)-INDEX(LE_Curves!$B$5:$B$205,MATCH($R53,LE_Curves!$C$5:$C$205,1)))/(INDEX(LE_Curves!$C$5:$C$205,MATCH($R53,LE_Curves!$C$5:$C$205,1)+1)-INDEX(LE_Curves!$C$5:$C$205,MATCH($R53,LE_Curves!$C$5:$C$205,1))))))</f>
        <v/>
      </c>
      <c r="T53" s="11">
        <f>IF(Inputs!$D$24=0,0,IF($R53&lt;=Inputs!$C$24,0,IF($R53&gt;=INDEX(LE_Curves!$D$5:$D$205,201),INDEX(LE_Curves!$B$5:$B$205,201),INDEX(LE_Curves!$B$5:$B$205,MATCH($R53,LE_Curves!$D$5:$D$205,1))+($R53-INDEX(LE_Curves!$D$5:$D$205,MATCH($R53,LE_Curves!$D$5:$D$205,1)))*(INDEX(LE_Curves!$B$5:$B$205,MATCH($R53,LE_Curves!$D$5:$D$205,1)+1)-INDEX(LE_Curves!$B$5:$B$205,MATCH($R53,LE_Curves!$D$5:$D$205,1)))/(INDEX(LE_Curves!$D$5:$D$205,MATCH($R53,LE_Curves!$D$5:$D$205,1)+1)-INDEX(LE_Curves!$D$5:$D$205,MATCH($R53,LE_Curves!$D$5:$D$205,1))))))</f>
        <v/>
      </c>
      <c r="U53" s="11">
        <f>IF(Inputs!$D$25=0,0,IF($R53&lt;=Inputs!$C$25,0,IF($R53&gt;=INDEX(LE_Curves!$E$5:$E$205,201),INDEX(LE_Curves!$B$5:$B$205,201),INDEX(LE_Curves!$B$5:$B$205,MATCH($R53,LE_Curves!$E$5:$E$205,1))+($R53-INDEX(LE_Curves!$E$5:$E$205,MATCH($R53,LE_Curves!$E$5:$E$205,1)))*(INDEX(LE_Curves!$B$5:$B$205,MATCH($R53,LE_Curves!$E$5:$E$205,1)+1)-INDEX(LE_Curves!$B$5:$B$205,MATCH($R53,LE_Curves!$E$5:$E$205,1)))/(INDEX(LE_Curves!$E$5:$E$205,MATCH($R53,LE_Curves!$E$5:$E$205,1)+1)-INDEX(LE_Curves!$E$5:$E$205,MATCH($R53,LE_Curves!$E$5:$E$205,1))))))</f>
        <v/>
      </c>
      <c r="V53" s="11">
        <f>IF(Inputs!$D$26=0,0,IF($R53&lt;=Inputs!$C$26,0,IF($R53&gt;=INDEX(LE_Curves!$F$5:$F$205,201),INDEX(LE_Curves!$B$5:$B$205,201),INDEX(LE_Curves!$B$5:$B$205,MATCH($R53,LE_Curves!$F$5:$F$205,1))+($R53-INDEX(LE_Curves!$F$5:$F$205,MATCH($R53,LE_Curves!$F$5:$F$205,1)))*(INDEX(LE_Curves!$B$5:$B$205,MATCH($R53,LE_Curves!$F$5:$F$205,1)+1)-INDEX(LE_Curves!$B$5:$B$205,MATCH($R53,LE_Curves!$F$5:$F$205,1)))/(INDEX(LE_Curves!$F$5:$F$205,MATCH($R53,LE_Curves!$F$5:$F$205,1)+1)-INDEX(LE_Curves!$F$5:$F$205,MATCH($R53,LE_Curves!$F$5:$F$205,1))))))</f>
        <v/>
      </c>
      <c r="W53" s="11">
        <f>IF(Inputs!$D$27=0,0,IF($R53&lt;=Inputs!$C$27,0,IF($R53&gt;=INDEX(LE_Curves!$G$5:$G$205,201),INDEX(LE_Curves!$B$5:$B$205,201),INDEX(LE_Curves!$B$5:$B$205,MATCH($R53,LE_Curves!$G$5:$G$205,1))+($R53-INDEX(LE_Curves!$G$5:$G$205,MATCH($R53,LE_Curves!$G$5:$G$205,1)))*(INDEX(LE_Curves!$B$5:$B$205,MATCH($R53,LE_Curves!$G$5:$G$205,1)+1)-INDEX(LE_Curves!$B$5:$B$205,MATCH($R53,LE_Curves!$G$5:$G$205,1)))/(INDEX(LE_Curves!$G$5:$G$205,MATCH($R53,LE_Curves!$G$5:$G$205,1)+1)-INDEX(LE_Curves!$G$5:$G$205,MATCH($R53,LE_Curves!$G$5:$G$205,1))))))</f>
        <v/>
      </c>
      <c r="X53" s="11">
        <f>IF(Inputs!$D$28=0,0,IF($R53&lt;=Inputs!$C$28,0,IF($R53&gt;=INDEX(LE_Curves!$H$5:$H$205,201),INDEX(LE_Curves!$B$5:$B$205,201),INDEX(LE_Curves!$B$5:$B$205,MATCH($R53,LE_Curves!$H$5:$H$205,1))+($R53-INDEX(LE_Curves!$H$5:$H$205,MATCH($R53,LE_Curves!$H$5:$H$205,1)))*(INDEX(LE_Curves!$B$5:$B$205,MATCH($R53,LE_Curves!$H$5:$H$205,1)+1)-INDEX(LE_Curves!$B$5:$B$205,MATCH($R53,LE_Curves!$H$5:$H$205,1)))/(INDEX(LE_Curves!$H$5:$H$205,MATCH($R53,LE_Curves!$H$5:$H$205,1)+1)-INDEX(LE_Curves!$H$5:$H$205,MATCH($R53,LE_Curves!$H$5:$H$205,1))))))</f>
        <v/>
      </c>
      <c r="Y53" s="11">
        <f>IF(Inputs!$D$29=0,0,IF($R53&lt;=Inputs!$C$29,0,IF($R53&gt;=INDEX(LE_Curves!$I$5:$I$205,201),INDEX(LE_Curves!$B$5:$B$205,201),INDEX(LE_Curves!$B$5:$B$205,MATCH($R53,LE_Curves!$I$5:$I$205,1))+($R53-INDEX(LE_Curves!$I$5:$I$205,MATCH($R53,LE_Curves!$I$5:$I$205,1)))*(INDEX(LE_Curves!$B$5:$B$205,MATCH($R53,LE_Curves!$I$5:$I$205,1)+1)-INDEX(LE_Curves!$B$5:$B$205,MATCH($R53,LE_Curves!$I$5:$I$205,1)))/(INDEX(LE_Curves!$I$5:$I$205,MATCH($R53,LE_Curves!$I$5:$I$205,1)+1)-INDEX(LE_Curves!$I$5:$I$205,MATCH($R53,LE_Curves!$I$5:$I$205,1))))))</f>
        <v/>
      </c>
      <c r="Z53" s="11">
        <f>IF(Inputs!$D$30=0,0,IF($R53&lt;=Inputs!$C$30,0,IF($R53&gt;=INDEX(LE_Curves!$J$5:$J$205,201),INDEX(LE_Curves!$B$5:$B$205,201),INDEX(LE_Curves!$B$5:$B$205,MATCH($R53,LE_Curves!$J$5:$J$205,1))+($R53-INDEX(LE_Curves!$J$5:$J$205,MATCH($R53,LE_Curves!$J$5:$J$205,1)))*(INDEX(LE_Curves!$B$5:$B$205,MATCH($R53,LE_Curves!$J$5:$J$205,1)+1)-INDEX(LE_Curves!$B$5:$B$205,MATCH($R53,LE_Curves!$J$5:$J$205,1)))/(INDEX(LE_Curves!$J$5:$J$205,MATCH($R53,LE_Curves!$J$5:$J$205,1)+1)-INDEX(LE_Curves!$J$5:$J$205,MATCH($R53,LE_Curves!$J$5:$J$205,1))))))</f>
        <v/>
      </c>
      <c r="AA53" s="11">
        <f>IF(Inputs!$D$31=0,0,IF($R53&lt;=Inputs!$C$31,0,IF($R53&gt;=INDEX(LE_Curves!$K$5:$K$205,201),INDEX(LE_Curves!$B$5:$B$205,201),INDEX(LE_Curves!$B$5:$B$205,MATCH($R53,LE_Curves!$K$5:$K$205,1))+($R53-INDEX(LE_Curves!$K$5:$K$205,MATCH($R53,LE_Curves!$K$5:$K$205,1)))*(INDEX(LE_Curves!$B$5:$B$205,MATCH($R53,LE_Curves!$K$5:$K$205,1)+1)-INDEX(LE_Curves!$B$5:$B$205,MATCH($R53,LE_Curves!$K$5:$K$205,1)))/(INDEX(LE_Curves!$K$5:$K$205,MATCH($R53,LE_Curves!$K$5:$K$205,1)+1)-INDEX(LE_Curves!$K$5:$K$205,MATCH($R53,LE_Curves!$K$5:$K$205,1))))))</f>
        <v/>
      </c>
      <c r="AB53" s="11">
        <f>IF(Inputs!$D$32=0,0,IF($R53&lt;=Inputs!$C$32,0,IF($R53&gt;=INDEX(LE_Curves!$L$5:$L$205,201),INDEX(LE_Curves!$B$5:$B$205,201),INDEX(LE_Curves!$B$5:$B$205,MATCH($R53,LE_Curves!$L$5:$L$205,1))+($R53-INDEX(LE_Curves!$L$5:$L$205,MATCH($R53,LE_Curves!$L$5:$L$205,1)))*(INDEX(LE_Curves!$B$5:$B$205,MATCH($R53,LE_Curves!$L$5:$L$205,1)+1)-INDEX(LE_Curves!$B$5:$B$205,MATCH($R53,LE_Curves!$L$5:$L$205,1)))/(INDEX(LE_Curves!$L$5:$L$205,MATCH($R53,LE_Curves!$L$5:$L$205,1)+1)-INDEX(LE_Curves!$L$5:$L$205,MATCH($R53,LE_Curves!$L$5:$L$205,1))))))</f>
        <v/>
      </c>
      <c r="AC53" s="11">
        <f>IF(Inputs!$D$33=0,0,IF($R53&lt;=Inputs!$C$33,0,IF($R53&gt;=INDEX(LE_Curves!$M$5:$M$205,201),INDEX(LE_Curves!$B$5:$B$205,201),INDEX(LE_Curves!$B$5:$B$205,MATCH($R53,LE_Curves!$M$5:$M$205,1))+($R53-INDEX(LE_Curves!$M$5:$M$205,MATCH($R53,LE_Curves!$M$5:$M$205,1)))*(INDEX(LE_Curves!$B$5:$B$205,MATCH($R53,LE_Curves!$M$5:$M$205,1)+1)-INDEX(LE_Curves!$B$5:$B$205,MATCH($R53,LE_Curves!$M$5:$M$205,1)))/(INDEX(LE_Curves!$M$5:$M$205,MATCH($R53,LE_Curves!$M$5:$M$205,1)+1)-INDEX(LE_Curves!$M$5:$M$205,MATCH($R53,LE_Curves!$M$5:$M$205,1))))))</f>
        <v/>
      </c>
      <c r="AD53" s="11">
        <f>IF(Inputs!$D$34=0,0,IF($R53&lt;=Inputs!$C$34,0,IF($R53&gt;=INDEX(LE_Curves!$N$5:$N$205,201),INDEX(LE_Curves!$B$5:$B$205,201),INDEX(LE_Curves!$B$5:$B$205,MATCH($R53,LE_Curves!$N$5:$N$205,1))+($R53-INDEX(LE_Curves!$N$5:$N$205,MATCH($R53,LE_Curves!$N$5:$N$205,1)))*(INDEX(LE_Curves!$B$5:$B$205,MATCH($R53,LE_Curves!$N$5:$N$205,1)+1)-INDEX(LE_Curves!$B$5:$B$205,MATCH($R53,LE_Curves!$N$5:$N$205,1)))/(INDEX(LE_Curves!$N$5:$N$205,MATCH($R53,LE_Curves!$N$5:$N$205,1)+1)-INDEX(LE_Curves!$N$5:$N$205,MATCH($R53,LE_Curves!$N$5:$N$205,1))))))</f>
        <v/>
      </c>
      <c r="AE53" s="37">
        <f>SUM(S53:AD53)</f>
        <v/>
      </c>
    </row>
    <row r="54">
      <c r="A54" s="7" t="n">
        <v>23</v>
      </c>
      <c r="B54" s="37">
        <f>$B$3+($B$4-$B$3)*A54/200</f>
        <v/>
      </c>
      <c r="C54" s="11">
        <f>IF(Inputs!$D$23=0,0,IF($B54&lt;=Inputs!$C$23,0,IF($B54&gt;=INDEX(LE_Curves!$C$5:$C$205,201),INDEX(LE_Curves!$B$5:$B$205,201),INDEX(LE_Curves!$B$5:$B$205,MATCH($B54,LE_Curves!$C$5:$C$205,1))+($B54-INDEX(LE_Curves!$C$5:$C$205,MATCH($B54,LE_Curves!$C$5:$C$205,1)))*(INDEX(LE_Curves!$B$5:$B$205,MATCH($B54,LE_Curves!$C$5:$C$205,1)+1)-INDEX(LE_Curves!$B$5:$B$205,MATCH($B54,LE_Curves!$C$5:$C$205,1)))/(INDEX(LE_Curves!$C$5:$C$205,MATCH($B54,LE_Curves!$C$5:$C$205,1)+1)-INDEX(LE_Curves!$C$5:$C$205,MATCH($B54,LE_Curves!$C$5:$C$205,1))))))</f>
        <v/>
      </c>
      <c r="D54" s="11">
        <f>IF(Inputs!$D$24=0,0,IF($B54&lt;=Inputs!$C$24,0,IF($B54&gt;=INDEX(LE_Curves!$D$5:$D$205,201),INDEX(LE_Curves!$B$5:$B$205,201),INDEX(LE_Curves!$B$5:$B$205,MATCH($B54,LE_Curves!$D$5:$D$205,1))+($B54-INDEX(LE_Curves!$D$5:$D$205,MATCH($B54,LE_Curves!$D$5:$D$205,1)))*(INDEX(LE_Curves!$B$5:$B$205,MATCH($B54,LE_Curves!$D$5:$D$205,1)+1)-INDEX(LE_Curves!$B$5:$B$205,MATCH($B54,LE_Curves!$D$5:$D$205,1)))/(INDEX(LE_Curves!$D$5:$D$205,MATCH($B54,LE_Curves!$D$5:$D$205,1)+1)-INDEX(LE_Curves!$D$5:$D$205,MATCH($B54,LE_Curves!$D$5:$D$205,1))))))</f>
        <v/>
      </c>
      <c r="E54" s="11">
        <f>IF(Inputs!$D$25=0,0,IF($B54&lt;=Inputs!$C$25,0,IF($B54&gt;=INDEX(LE_Curves!$E$5:$E$205,201),INDEX(LE_Curves!$B$5:$B$205,201),INDEX(LE_Curves!$B$5:$B$205,MATCH($B54,LE_Curves!$E$5:$E$205,1))+($B54-INDEX(LE_Curves!$E$5:$E$205,MATCH($B54,LE_Curves!$E$5:$E$205,1)))*(INDEX(LE_Curves!$B$5:$B$205,MATCH($B54,LE_Curves!$E$5:$E$205,1)+1)-INDEX(LE_Curves!$B$5:$B$205,MATCH($B54,LE_Curves!$E$5:$E$205,1)))/(INDEX(LE_Curves!$E$5:$E$205,MATCH($B54,LE_Curves!$E$5:$E$205,1)+1)-INDEX(LE_Curves!$E$5:$E$205,MATCH($B54,LE_Curves!$E$5:$E$205,1))))))</f>
        <v/>
      </c>
      <c r="F54" s="11">
        <f>IF(Inputs!$D$26=0,0,IF($B54&lt;=Inputs!$C$26,0,IF($B54&gt;=INDEX(LE_Curves!$F$5:$F$205,201),INDEX(LE_Curves!$B$5:$B$205,201),INDEX(LE_Curves!$B$5:$B$205,MATCH($B54,LE_Curves!$F$5:$F$205,1))+($B54-INDEX(LE_Curves!$F$5:$F$205,MATCH($B54,LE_Curves!$F$5:$F$205,1)))*(INDEX(LE_Curves!$B$5:$B$205,MATCH($B54,LE_Curves!$F$5:$F$205,1)+1)-INDEX(LE_Curves!$B$5:$B$205,MATCH($B54,LE_Curves!$F$5:$F$205,1)))/(INDEX(LE_Curves!$F$5:$F$205,MATCH($B54,LE_Curves!$F$5:$F$205,1)+1)-INDEX(LE_Curves!$F$5:$F$205,MATCH($B54,LE_Curves!$F$5:$F$205,1))))))</f>
        <v/>
      </c>
      <c r="G54" s="11">
        <f>IF(Inputs!$D$27=0,0,IF($B54&lt;=Inputs!$C$27,0,IF($B54&gt;=INDEX(LE_Curves!$G$5:$G$205,201),INDEX(LE_Curves!$B$5:$B$205,201),INDEX(LE_Curves!$B$5:$B$205,MATCH($B54,LE_Curves!$G$5:$G$205,1))+($B54-INDEX(LE_Curves!$G$5:$G$205,MATCH($B54,LE_Curves!$G$5:$G$205,1)))*(INDEX(LE_Curves!$B$5:$B$205,MATCH($B54,LE_Curves!$G$5:$G$205,1)+1)-INDEX(LE_Curves!$B$5:$B$205,MATCH($B54,LE_Curves!$G$5:$G$205,1)))/(INDEX(LE_Curves!$G$5:$G$205,MATCH($B54,LE_Curves!$G$5:$G$205,1)+1)-INDEX(LE_Curves!$G$5:$G$205,MATCH($B54,LE_Curves!$G$5:$G$205,1))))))</f>
        <v/>
      </c>
      <c r="H54" s="11">
        <f>IF(Inputs!$D$28=0,0,IF($B54&lt;=Inputs!$C$28,0,IF($B54&gt;=INDEX(LE_Curves!$H$5:$H$205,201),INDEX(LE_Curves!$B$5:$B$205,201),INDEX(LE_Curves!$B$5:$B$205,MATCH($B54,LE_Curves!$H$5:$H$205,1))+($B54-INDEX(LE_Curves!$H$5:$H$205,MATCH($B54,LE_Curves!$H$5:$H$205,1)))*(INDEX(LE_Curves!$B$5:$B$205,MATCH($B54,LE_Curves!$H$5:$H$205,1)+1)-INDEX(LE_Curves!$B$5:$B$205,MATCH($B54,LE_Curves!$H$5:$H$205,1)))/(INDEX(LE_Curves!$H$5:$H$205,MATCH($B54,LE_Curves!$H$5:$H$205,1)+1)-INDEX(LE_Curves!$H$5:$H$205,MATCH($B54,LE_Curves!$H$5:$H$205,1))))))</f>
        <v/>
      </c>
      <c r="I54" s="11">
        <f>IF(Inputs!$D$29=0,0,IF($B54&lt;=Inputs!$C$29,0,IF($B54&gt;=INDEX(LE_Curves!$I$5:$I$205,201),INDEX(LE_Curves!$B$5:$B$205,201),INDEX(LE_Curves!$B$5:$B$205,MATCH($B54,LE_Curves!$I$5:$I$205,1))+($B54-INDEX(LE_Curves!$I$5:$I$205,MATCH($B54,LE_Curves!$I$5:$I$205,1)))*(INDEX(LE_Curves!$B$5:$B$205,MATCH($B54,LE_Curves!$I$5:$I$205,1)+1)-INDEX(LE_Curves!$B$5:$B$205,MATCH($B54,LE_Curves!$I$5:$I$205,1)))/(INDEX(LE_Curves!$I$5:$I$205,MATCH($B54,LE_Curves!$I$5:$I$205,1)+1)-INDEX(LE_Curves!$I$5:$I$205,MATCH($B54,LE_Curves!$I$5:$I$205,1))))))</f>
        <v/>
      </c>
      <c r="J54" s="11">
        <f>IF(Inputs!$D$30=0,0,IF($B54&lt;=Inputs!$C$30,0,IF($B54&gt;=INDEX(LE_Curves!$J$5:$J$205,201),INDEX(LE_Curves!$B$5:$B$205,201),INDEX(LE_Curves!$B$5:$B$205,MATCH($B54,LE_Curves!$J$5:$J$205,1))+($B54-INDEX(LE_Curves!$J$5:$J$205,MATCH($B54,LE_Curves!$J$5:$J$205,1)))*(INDEX(LE_Curves!$B$5:$B$205,MATCH($B54,LE_Curves!$J$5:$J$205,1)+1)-INDEX(LE_Curves!$B$5:$B$205,MATCH($B54,LE_Curves!$J$5:$J$205,1)))/(INDEX(LE_Curves!$J$5:$J$205,MATCH($B54,LE_Curves!$J$5:$J$205,1)+1)-INDEX(LE_Curves!$J$5:$J$205,MATCH($B54,LE_Curves!$J$5:$J$205,1))))))</f>
        <v/>
      </c>
      <c r="K54" s="11">
        <f>IF(Inputs!$D$31=0,0,IF($B54&lt;=Inputs!$C$31,0,IF($B54&gt;=INDEX(LE_Curves!$K$5:$K$205,201),INDEX(LE_Curves!$B$5:$B$205,201),INDEX(LE_Curves!$B$5:$B$205,MATCH($B54,LE_Curves!$K$5:$K$205,1))+($B54-INDEX(LE_Curves!$K$5:$K$205,MATCH($B54,LE_Curves!$K$5:$K$205,1)))*(INDEX(LE_Curves!$B$5:$B$205,MATCH($B54,LE_Curves!$K$5:$K$205,1)+1)-INDEX(LE_Curves!$B$5:$B$205,MATCH($B54,LE_Curves!$K$5:$K$205,1)))/(INDEX(LE_Curves!$K$5:$K$205,MATCH($B54,LE_Curves!$K$5:$K$205,1)+1)-INDEX(LE_Curves!$K$5:$K$205,MATCH($B54,LE_Curves!$K$5:$K$205,1))))))</f>
        <v/>
      </c>
      <c r="L54" s="11">
        <f>IF(Inputs!$D$32=0,0,IF($B54&lt;=Inputs!$C$32,0,IF($B54&gt;=INDEX(LE_Curves!$L$5:$L$205,201),INDEX(LE_Curves!$B$5:$B$205,201),INDEX(LE_Curves!$B$5:$B$205,MATCH($B54,LE_Curves!$L$5:$L$205,1))+($B54-INDEX(LE_Curves!$L$5:$L$205,MATCH($B54,LE_Curves!$L$5:$L$205,1)))*(INDEX(LE_Curves!$B$5:$B$205,MATCH($B54,LE_Curves!$L$5:$L$205,1)+1)-INDEX(LE_Curves!$B$5:$B$205,MATCH($B54,LE_Curves!$L$5:$L$205,1)))/(INDEX(LE_Curves!$L$5:$L$205,MATCH($B54,LE_Curves!$L$5:$L$205,1)+1)-INDEX(LE_Curves!$L$5:$L$205,MATCH($B54,LE_Curves!$L$5:$L$205,1))))))</f>
        <v/>
      </c>
      <c r="M54" s="11">
        <f>IF(Inputs!$D$33=0,0,IF($B54&lt;=Inputs!$C$33,0,IF($B54&gt;=INDEX(LE_Curves!$M$5:$M$205,201),INDEX(LE_Curves!$B$5:$B$205,201),INDEX(LE_Curves!$B$5:$B$205,MATCH($B54,LE_Curves!$M$5:$M$205,1))+($B54-INDEX(LE_Curves!$M$5:$M$205,MATCH($B54,LE_Curves!$M$5:$M$205,1)))*(INDEX(LE_Curves!$B$5:$B$205,MATCH($B54,LE_Curves!$M$5:$M$205,1)+1)-INDEX(LE_Curves!$B$5:$B$205,MATCH($B54,LE_Curves!$M$5:$M$205,1)))/(INDEX(LE_Curves!$M$5:$M$205,MATCH($B54,LE_Curves!$M$5:$M$205,1)+1)-INDEX(LE_Curves!$M$5:$M$205,MATCH($B54,LE_Curves!$M$5:$M$205,1))))))</f>
        <v/>
      </c>
      <c r="N54" s="11">
        <f>IF(Inputs!$D$34=0,0,IF($B54&lt;=Inputs!$C$34,0,IF($B54&gt;=INDEX(LE_Curves!$N$5:$N$205,201),INDEX(LE_Curves!$B$5:$B$205,201),INDEX(LE_Curves!$B$5:$B$205,MATCH($B54,LE_Curves!$N$5:$N$205,1))+($B54-INDEX(LE_Curves!$N$5:$N$205,MATCH($B54,LE_Curves!$N$5:$N$205,1)))*(INDEX(LE_Curves!$B$5:$B$205,MATCH($B54,LE_Curves!$N$5:$N$205,1)+1)-INDEX(LE_Curves!$B$5:$B$205,MATCH($B54,LE_Curves!$N$5:$N$205,1)))/(INDEX(LE_Curves!$N$5:$N$205,MATCH($B54,LE_Curves!$N$5:$N$205,1)+1)-INDEX(LE_Curves!$N$5:$N$205,MATCH($B54,LE_Curves!$N$5:$N$205,1))))))</f>
        <v/>
      </c>
      <c r="O54" s="11">
        <f>SUM(C54:N54)</f>
        <v/>
      </c>
      <c r="Q54" s="7" t="n">
        <v>23</v>
      </c>
      <c r="R54" s="23">
        <f>$B$6+($B$7-$B$6)*Q54/200</f>
        <v/>
      </c>
      <c r="S54" s="11">
        <f>IF(Inputs!$D$23=0,0,IF($R54&lt;=Inputs!$C$23,0,IF($R54&gt;=INDEX(LE_Curves!$C$5:$C$205,201),INDEX(LE_Curves!$B$5:$B$205,201),INDEX(LE_Curves!$B$5:$B$205,MATCH($R54,LE_Curves!$C$5:$C$205,1))+($R54-INDEX(LE_Curves!$C$5:$C$205,MATCH($R54,LE_Curves!$C$5:$C$205,1)))*(INDEX(LE_Curves!$B$5:$B$205,MATCH($R54,LE_Curves!$C$5:$C$205,1)+1)-INDEX(LE_Curves!$B$5:$B$205,MATCH($R54,LE_Curves!$C$5:$C$205,1)))/(INDEX(LE_Curves!$C$5:$C$205,MATCH($R54,LE_Curves!$C$5:$C$205,1)+1)-INDEX(LE_Curves!$C$5:$C$205,MATCH($R54,LE_Curves!$C$5:$C$205,1))))))</f>
        <v/>
      </c>
      <c r="T54" s="11">
        <f>IF(Inputs!$D$24=0,0,IF($R54&lt;=Inputs!$C$24,0,IF($R54&gt;=INDEX(LE_Curves!$D$5:$D$205,201),INDEX(LE_Curves!$B$5:$B$205,201),INDEX(LE_Curves!$B$5:$B$205,MATCH($R54,LE_Curves!$D$5:$D$205,1))+($R54-INDEX(LE_Curves!$D$5:$D$205,MATCH($R54,LE_Curves!$D$5:$D$205,1)))*(INDEX(LE_Curves!$B$5:$B$205,MATCH($R54,LE_Curves!$D$5:$D$205,1)+1)-INDEX(LE_Curves!$B$5:$B$205,MATCH($R54,LE_Curves!$D$5:$D$205,1)))/(INDEX(LE_Curves!$D$5:$D$205,MATCH($R54,LE_Curves!$D$5:$D$205,1)+1)-INDEX(LE_Curves!$D$5:$D$205,MATCH($R54,LE_Curves!$D$5:$D$205,1))))))</f>
        <v/>
      </c>
      <c r="U54" s="11">
        <f>IF(Inputs!$D$25=0,0,IF($R54&lt;=Inputs!$C$25,0,IF($R54&gt;=INDEX(LE_Curves!$E$5:$E$205,201),INDEX(LE_Curves!$B$5:$B$205,201),INDEX(LE_Curves!$B$5:$B$205,MATCH($R54,LE_Curves!$E$5:$E$205,1))+($R54-INDEX(LE_Curves!$E$5:$E$205,MATCH($R54,LE_Curves!$E$5:$E$205,1)))*(INDEX(LE_Curves!$B$5:$B$205,MATCH($R54,LE_Curves!$E$5:$E$205,1)+1)-INDEX(LE_Curves!$B$5:$B$205,MATCH($R54,LE_Curves!$E$5:$E$205,1)))/(INDEX(LE_Curves!$E$5:$E$205,MATCH($R54,LE_Curves!$E$5:$E$205,1)+1)-INDEX(LE_Curves!$E$5:$E$205,MATCH($R54,LE_Curves!$E$5:$E$205,1))))))</f>
        <v/>
      </c>
      <c r="V54" s="11">
        <f>IF(Inputs!$D$26=0,0,IF($R54&lt;=Inputs!$C$26,0,IF($R54&gt;=INDEX(LE_Curves!$F$5:$F$205,201),INDEX(LE_Curves!$B$5:$B$205,201),INDEX(LE_Curves!$B$5:$B$205,MATCH($R54,LE_Curves!$F$5:$F$205,1))+($R54-INDEX(LE_Curves!$F$5:$F$205,MATCH($R54,LE_Curves!$F$5:$F$205,1)))*(INDEX(LE_Curves!$B$5:$B$205,MATCH($R54,LE_Curves!$F$5:$F$205,1)+1)-INDEX(LE_Curves!$B$5:$B$205,MATCH($R54,LE_Curves!$F$5:$F$205,1)))/(INDEX(LE_Curves!$F$5:$F$205,MATCH($R54,LE_Curves!$F$5:$F$205,1)+1)-INDEX(LE_Curves!$F$5:$F$205,MATCH($R54,LE_Curves!$F$5:$F$205,1))))))</f>
        <v/>
      </c>
      <c r="W54" s="11">
        <f>IF(Inputs!$D$27=0,0,IF($R54&lt;=Inputs!$C$27,0,IF($R54&gt;=INDEX(LE_Curves!$G$5:$G$205,201),INDEX(LE_Curves!$B$5:$B$205,201),INDEX(LE_Curves!$B$5:$B$205,MATCH($R54,LE_Curves!$G$5:$G$205,1))+($R54-INDEX(LE_Curves!$G$5:$G$205,MATCH($R54,LE_Curves!$G$5:$G$205,1)))*(INDEX(LE_Curves!$B$5:$B$205,MATCH($R54,LE_Curves!$G$5:$G$205,1)+1)-INDEX(LE_Curves!$B$5:$B$205,MATCH($R54,LE_Curves!$G$5:$G$205,1)))/(INDEX(LE_Curves!$G$5:$G$205,MATCH($R54,LE_Curves!$G$5:$G$205,1)+1)-INDEX(LE_Curves!$G$5:$G$205,MATCH($R54,LE_Curves!$G$5:$G$205,1))))))</f>
        <v/>
      </c>
      <c r="X54" s="11">
        <f>IF(Inputs!$D$28=0,0,IF($R54&lt;=Inputs!$C$28,0,IF($R54&gt;=INDEX(LE_Curves!$H$5:$H$205,201),INDEX(LE_Curves!$B$5:$B$205,201),INDEX(LE_Curves!$B$5:$B$205,MATCH($R54,LE_Curves!$H$5:$H$205,1))+($R54-INDEX(LE_Curves!$H$5:$H$205,MATCH($R54,LE_Curves!$H$5:$H$205,1)))*(INDEX(LE_Curves!$B$5:$B$205,MATCH($R54,LE_Curves!$H$5:$H$205,1)+1)-INDEX(LE_Curves!$B$5:$B$205,MATCH($R54,LE_Curves!$H$5:$H$205,1)))/(INDEX(LE_Curves!$H$5:$H$205,MATCH($R54,LE_Curves!$H$5:$H$205,1)+1)-INDEX(LE_Curves!$H$5:$H$205,MATCH($R54,LE_Curves!$H$5:$H$205,1))))))</f>
        <v/>
      </c>
      <c r="Y54" s="11">
        <f>IF(Inputs!$D$29=0,0,IF($R54&lt;=Inputs!$C$29,0,IF($R54&gt;=INDEX(LE_Curves!$I$5:$I$205,201),INDEX(LE_Curves!$B$5:$B$205,201),INDEX(LE_Curves!$B$5:$B$205,MATCH($R54,LE_Curves!$I$5:$I$205,1))+($R54-INDEX(LE_Curves!$I$5:$I$205,MATCH($R54,LE_Curves!$I$5:$I$205,1)))*(INDEX(LE_Curves!$B$5:$B$205,MATCH($R54,LE_Curves!$I$5:$I$205,1)+1)-INDEX(LE_Curves!$B$5:$B$205,MATCH($R54,LE_Curves!$I$5:$I$205,1)))/(INDEX(LE_Curves!$I$5:$I$205,MATCH($R54,LE_Curves!$I$5:$I$205,1)+1)-INDEX(LE_Curves!$I$5:$I$205,MATCH($R54,LE_Curves!$I$5:$I$205,1))))))</f>
        <v/>
      </c>
      <c r="Z54" s="11">
        <f>IF(Inputs!$D$30=0,0,IF($R54&lt;=Inputs!$C$30,0,IF($R54&gt;=INDEX(LE_Curves!$J$5:$J$205,201),INDEX(LE_Curves!$B$5:$B$205,201),INDEX(LE_Curves!$B$5:$B$205,MATCH($R54,LE_Curves!$J$5:$J$205,1))+($R54-INDEX(LE_Curves!$J$5:$J$205,MATCH($R54,LE_Curves!$J$5:$J$205,1)))*(INDEX(LE_Curves!$B$5:$B$205,MATCH($R54,LE_Curves!$J$5:$J$205,1)+1)-INDEX(LE_Curves!$B$5:$B$205,MATCH($R54,LE_Curves!$J$5:$J$205,1)))/(INDEX(LE_Curves!$J$5:$J$205,MATCH($R54,LE_Curves!$J$5:$J$205,1)+1)-INDEX(LE_Curves!$J$5:$J$205,MATCH($R54,LE_Curves!$J$5:$J$205,1))))))</f>
        <v/>
      </c>
      <c r="AA54" s="11">
        <f>IF(Inputs!$D$31=0,0,IF($R54&lt;=Inputs!$C$31,0,IF($R54&gt;=INDEX(LE_Curves!$K$5:$K$205,201),INDEX(LE_Curves!$B$5:$B$205,201),INDEX(LE_Curves!$B$5:$B$205,MATCH($R54,LE_Curves!$K$5:$K$205,1))+($R54-INDEX(LE_Curves!$K$5:$K$205,MATCH($R54,LE_Curves!$K$5:$K$205,1)))*(INDEX(LE_Curves!$B$5:$B$205,MATCH($R54,LE_Curves!$K$5:$K$205,1)+1)-INDEX(LE_Curves!$B$5:$B$205,MATCH($R54,LE_Curves!$K$5:$K$205,1)))/(INDEX(LE_Curves!$K$5:$K$205,MATCH($R54,LE_Curves!$K$5:$K$205,1)+1)-INDEX(LE_Curves!$K$5:$K$205,MATCH($R54,LE_Curves!$K$5:$K$205,1))))))</f>
        <v/>
      </c>
      <c r="AB54" s="11">
        <f>IF(Inputs!$D$32=0,0,IF($R54&lt;=Inputs!$C$32,0,IF($R54&gt;=INDEX(LE_Curves!$L$5:$L$205,201),INDEX(LE_Curves!$B$5:$B$205,201),INDEX(LE_Curves!$B$5:$B$205,MATCH($R54,LE_Curves!$L$5:$L$205,1))+($R54-INDEX(LE_Curves!$L$5:$L$205,MATCH($R54,LE_Curves!$L$5:$L$205,1)))*(INDEX(LE_Curves!$B$5:$B$205,MATCH($R54,LE_Curves!$L$5:$L$205,1)+1)-INDEX(LE_Curves!$B$5:$B$205,MATCH($R54,LE_Curves!$L$5:$L$205,1)))/(INDEX(LE_Curves!$L$5:$L$205,MATCH($R54,LE_Curves!$L$5:$L$205,1)+1)-INDEX(LE_Curves!$L$5:$L$205,MATCH($R54,LE_Curves!$L$5:$L$205,1))))))</f>
        <v/>
      </c>
      <c r="AC54" s="11">
        <f>IF(Inputs!$D$33=0,0,IF($R54&lt;=Inputs!$C$33,0,IF($R54&gt;=INDEX(LE_Curves!$M$5:$M$205,201),INDEX(LE_Curves!$B$5:$B$205,201),INDEX(LE_Curves!$B$5:$B$205,MATCH($R54,LE_Curves!$M$5:$M$205,1))+($R54-INDEX(LE_Curves!$M$5:$M$205,MATCH($R54,LE_Curves!$M$5:$M$205,1)))*(INDEX(LE_Curves!$B$5:$B$205,MATCH($R54,LE_Curves!$M$5:$M$205,1)+1)-INDEX(LE_Curves!$B$5:$B$205,MATCH($R54,LE_Curves!$M$5:$M$205,1)))/(INDEX(LE_Curves!$M$5:$M$205,MATCH($R54,LE_Curves!$M$5:$M$205,1)+1)-INDEX(LE_Curves!$M$5:$M$205,MATCH($R54,LE_Curves!$M$5:$M$205,1))))))</f>
        <v/>
      </c>
      <c r="AD54" s="11">
        <f>IF(Inputs!$D$34=0,0,IF($R54&lt;=Inputs!$C$34,0,IF($R54&gt;=INDEX(LE_Curves!$N$5:$N$205,201),INDEX(LE_Curves!$B$5:$B$205,201),INDEX(LE_Curves!$B$5:$B$205,MATCH($R54,LE_Curves!$N$5:$N$205,1))+($R54-INDEX(LE_Curves!$N$5:$N$205,MATCH($R54,LE_Curves!$N$5:$N$205,1)))*(INDEX(LE_Curves!$B$5:$B$205,MATCH($R54,LE_Curves!$N$5:$N$205,1)+1)-INDEX(LE_Curves!$B$5:$B$205,MATCH($R54,LE_Curves!$N$5:$N$205,1)))/(INDEX(LE_Curves!$N$5:$N$205,MATCH($R54,LE_Curves!$N$5:$N$205,1)+1)-INDEX(LE_Curves!$N$5:$N$205,MATCH($R54,LE_Curves!$N$5:$N$205,1))))))</f>
        <v/>
      </c>
      <c r="AE54" s="37">
        <f>SUM(S54:AD54)</f>
        <v/>
      </c>
    </row>
    <row r="55">
      <c r="A55" s="7" t="n">
        <v>24</v>
      </c>
      <c r="B55" s="37">
        <f>$B$3+($B$4-$B$3)*A55/200</f>
        <v/>
      </c>
      <c r="C55" s="11">
        <f>IF(Inputs!$D$23=0,0,IF($B55&lt;=Inputs!$C$23,0,IF($B55&gt;=INDEX(LE_Curves!$C$5:$C$205,201),INDEX(LE_Curves!$B$5:$B$205,201),INDEX(LE_Curves!$B$5:$B$205,MATCH($B55,LE_Curves!$C$5:$C$205,1))+($B55-INDEX(LE_Curves!$C$5:$C$205,MATCH($B55,LE_Curves!$C$5:$C$205,1)))*(INDEX(LE_Curves!$B$5:$B$205,MATCH($B55,LE_Curves!$C$5:$C$205,1)+1)-INDEX(LE_Curves!$B$5:$B$205,MATCH($B55,LE_Curves!$C$5:$C$205,1)))/(INDEX(LE_Curves!$C$5:$C$205,MATCH($B55,LE_Curves!$C$5:$C$205,1)+1)-INDEX(LE_Curves!$C$5:$C$205,MATCH($B55,LE_Curves!$C$5:$C$205,1))))))</f>
        <v/>
      </c>
      <c r="D55" s="11">
        <f>IF(Inputs!$D$24=0,0,IF($B55&lt;=Inputs!$C$24,0,IF($B55&gt;=INDEX(LE_Curves!$D$5:$D$205,201),INDEX(LE_Curves!$B$5:$B$205,201),INDEX(LE_Curves!$B$5:$B$205,MATCH($B55,LE_Curves!$D$5:$D$205,1))+($B55-INDEX(LE_Curves!$D$5:$D$205,MATCH($B55,LE_Curves!$D$5:$D$205,1)))*(INDEX(LE_Curves!$B$5:$B$205,MATCH($B55,LE_Curves!$D$5:$D$205,1)+1)-INDEX(LE_Curves!$B$5:$B$205,MATCH($B55,LE_Curves!$D$5:$D$205,1)))/(INDEX(LE_Curves!$D$5:$D$205,MATCH($B55,LE_Curves!$D$5:$D$205,1)+1)-INDEX(LE_Curves!$D$5:$D$205,MATCH($B55,LE_Curves!$D$5:$D$205,1))))))</f>
        <v/>
      </c>
      <c r="E55" s="11">
        <f>IF(Inputs!$D$25=0,0,IF($B55&lt;=Inputs!$C$25,0,IF($B55&gt;=INDEX(LE_Curves!$E$5:$E$205,201),INDEX(LE_Curves!$B$5:$B$205,201),INDEX(LE_Curves!$B$5:$B$205,MATCH($B55,LE_Curves!$E$5:$E$205,1))+($B55-INDEX(LE_Curves!$E$5:$E$205,MATCH($B55,LE_Curves!$E$5:$E$205,1)))*(INDEX(LE_Curves!$B$5:$B$205,MATCH($B55,LE_Curves!$E$5:$E$205,1)+1)-INDEX(LE_Curves!$B$5:$B$205,MATCH($B55,LE_Curves!$E$5:$E$205,1)))/(INDEX(LE_Curves!$E$5:$E$205,MATCH($B55,LE_Curves!$E$5:$E$205,1)+1)-INDEX(LE_Curves!$E$5:$E$205,MATCH($B55,LE_Curves!$E$5:$E$205,1))))))</f>
        <v/>
      </c>
      <c r="F55" s="11">
        <f>IF(Inputs!$D$26=0,0,IF($B55&lt;=Inputs!$C$26,0,IF($B55&gt;=INDEX(LE_Curves!$F$5:$F$205,201),INDEX(LE_Curves!$B$5:$B$205,201),INDEX(LE_Curves!$B$5:$B$205,MATCH($B55,LE_Curves!$F$5:$F$205,1))+($B55-INDEX(LE_Curves!$F$5:$F$205,MATCH($B55,LE_Curves!$F$5:$F$205,1)))*(INDEX(LE_Curves!$B$5:$B$205,MATCH($B55,LE_Curves!$F$5:$F$205,1)+1)-INDEX(LE_Curves!$B$5:$B$205,MATCH($B55,LE_Curves!$F$5:$F$205,1)))/(INDEX(LE_Curves!$F$5:$F$205,MATCH($B55,LE_Curves!$F$5:$F$205,1)+1)-INDEX(LE_Curves!$F$5:$F$205,MATCH($B55,LE_Curves!$F$5:$F$205,1))))))</f>
        <v/>
      </c>
      <c r="G55" s="11">
        <f>IF(Inputs!$D$27=0,0,IF($B55&lt;=Inputs!$C$27,0,IF($B55&gt;=INDEX(LE_Curves!$G$5:$G$205,201),INDEX(LE_Curves!$B$5:$B$205,201),INDEX(LE_Curves!$B$5:$B$205,MATCH($B55,LE_Curves!$G$5:$G$205,1))+($B55-INDEX(LE_Curves!$G$5:$G$205,MATCH($B55,LE_Curves!$G$5:$G$205,1)))*(INDEX(LE_Curves!$B$5:$B$205,MATCH($B55,LE_Curves!$G$5:$G$205,1)+1)-INDEX(LE_Curves!$B$5:$B$205,MATCH($B55,LE_Curves!$G$5:$G$205,1)))/(INDEX(LE_Curves!$G$5:$G$205,MATCH($B55,LE_Curves!$G$5:$G$205,1)+1)-INDEX(LE_Curves!$G$5:$G$205,MATCH($B55,LE_Curves!$G$5:$G$205,1))))))</f>
        <v/>
      </c>
      <c r="H55" s="11">
        <f>IF(Inputs!$D$28=0,0,IF($B55&lt;=Inputs!$C$28,0,IF($B55&gt;=INDEX(LE_Curves!$H$5:$H$205,201),INDEX(LE_Curves!$B$5:$B$205,201),INDEX(LE_Curves!$B$5:$B$205,MATCH($B55,LE_Curves!$H$5:$H$205,1))+($B55-INDEX(LE_Curves!$H$5:$H$205,MATCH($B55,LE_Curves!$H$5:$H$205,1)))*(INDEX(LE_Curves!$B$5:$B$205,MATCH($B55,LE_Curves!$H$5:$H$205,1)+1)-INDEX(LE_Curves!$B$5:$B$205,MATCH($B55,LE_Curves!$H$5:$H$205,1)))/(INDEX(LE_Curves!$H$5:$H$205,MATCH($B55,LE_Curves!$H$5:$H$205,1)+1)-INDEX(LE_Curves!$H$5:$H$205,MATCH($B55,LE_Curves!$H$5:$H$205,1))))))</f>
        <v/>
      </c>
      <c r="I55" s="11">
        <f>IF(Inputs!$D$29=0,0,IF($B55&lt;=Inputs!$C$29,0,IF($B55&gt;=INDEX(LE_Curves!$I$5:$I$205,201),INDEX(LE_Curves!$B$5:$B$205,201),INDEX(LE_Curves!$B$5:$B$205,MATCH($B55,LE_Curves!$I$5:$I$205,1))+($B55-INDEX(LE_Curves!$I$5:$I$205,MATCH($B55,LE_Curves!$I$5:$I$205,1)))*(INDEX(LE_Curves!$B$5:$B$205,MATCH($B55,LE_Curves!$I$5:$I$205,1)+1)-INDEX(LE_Curves!$B$5:$B$205,MATCH($B55,LE_Curves!$I$5:$I$205,1)))/(INDEX(LE_Curves!$I$5:$I$205,MATCH($B55,LE_Curves!$I$5:$I$205,1)+1)-INDEX(LE_Curves!$I$5:$I$205,MATCH($B55,LE_Curves!$I$5:$I$205,1))))))</f>
        <v/>
      </c>
      <c r="J55" s="11">
        <f>IF(Inputs!$D$30=0,0,IF($B55&lt;=Inputs!$C$30,0,IF($B55&gt;=INDEX(LE_Curves!$J$5:$J$205,201),INDEX(LE_Curves!$B$5:$B$205,201),INDEX(LE_Curves!$B$5:$B$205,MATCH($B55,LE_Curves!$J$5:$J$205,1))+($B55-INDEX(LE_Curves!$J$5:$J$205,MATCH($B55,LE_Curves!$J$5:$J$205,1)))*(INDEX(LE_Curves!$B$5:$B$205,MATCH($B55,LE_Curves!$J$5:$J$205,1)+1)-INDEX(LE_Curves!$B$5:$B$205,MATCH($B55,LE_Curves!$J$5:$J$205,1)))/(INDEX(LE_Curves!$J$5:$J$205,MATCH($B55,LE_Curves!$J$5:$J$205,1)+1)-INDEX(LE_Curves!$J$5:$J$205,MATCH($B55,LE_Curves!$J$5:$J$205,1))))))</f>
        <v/>
      </c>
      <c r="K55" s="11">
        <f>IF(Inputs!$D$31=0,0,IF($B55&lt;=Inputs!$C$31,0,IF($B55&gt;=INDEX(LE_Curves!$K$5:$K$205,201),INDEX(LE_Curves!$B$5:$B$205,201),INDEX(LE_Curves!$B$5:$B$205,MATCH($B55,LE_Curves!$K$5:$K$205,1))+($B55-INDEX(LE_Curves!$K$5:$K$205,MATCH($B55,LE_Curves!$K$5:$K$205,1)))*(INDEX(LE_Curves!$B$5:$B$205,MATCH($B55,LE_Curves!$K$5:$K$205,1)+1)-INDEX(LE_Curves!$B$5:$B$205,MATCH($B55,LE_Curves!$K$5:$K$205,1)))/(INDEX(LE_Curves!$K$5:$K$205,MATCH($B55,LE_Curves!$K$5:$K$205,1)+1)-INDEX(LE_Curves!$K$5:$K$205,MATCH($B55,LE_Curves!$K$5:$K$205,1))))))</f>
        <v/>
      </c>
      <c r="L55" s="11">
        <f>IF(Inputs!$D$32=0,0,IF($B55&lt;=Inputs!$C$32,0,IF($B55&gt;=INDEX(LE_Curves!$L$5:$L$205,201),INDEX(LE_Curves!$B$5:$B$205,201),INDEX(LE_Curves!$B$5:$B$205,MATCH($B55,LE_Curves!$L$5:$L$205,1))+($B55-INDEX(LE_Curves!$L$5:$L$205,MATCH($B55,LE_Curves!$L$5:$L$205,1)))*(INDEX(LE_Curves!$B$5:$B$205,MATCH($B55,LE_Curves!$L$5:$L$205,1)+1)-INDEX(LE_Curves!$B$5:$B$205,MATCH($B55,LE_Curves!$L$5:$L$205,1)))/(INDEX(LE_Curves!$L$5:$L$205,MATCH($B55,LE_Curves!$L$5:$L$205,1)+1)-INDEX(LE_Curves!$L$5:$L$205,MATCH($B55,LE_Curves!$L$5:$L$205,1))))))</f>
        <v/>
      </c>
      <c r="M55" s="11">
        <f>IF(Inputs!$D$33=0,0,IF($B55&lt;=Inputs!$C$33,0,IF($B55&gt;=INDEX(LE_Curves!$M$5:$M$205,201),INDEX(LE_Curves!$B$5:$B$205,201),INDEX(LE_Curves!$B$5:$B$205,MATCH($B55,LE_Curves!$M$5:$M$205,1))+($B55-INDEX(LE_Curves!$M$5:$M$205,MATCH($B55,LE_Curves!$M$5:$M$205,1)))*(INDEX(LE_Curves!$B$5:$B$205,MATCH($B55,LE_Curves!$M$5:$M$205,1)+1)-INDEX(LE_Curves!$B$5:$B$205,MATCH($B55,LE_Curves!$M$5:$M$205,1)))/(INDEX(LE_Curves!$M$5:$M$205,MATCH($B55,LE_Curves!$M$5:$M$205,1)+1)-INDEX(LE_Curves!$M$5:$M$205,MATCH($B55,LE_Curves!$M$5:$M$205,1))))))</f>
        <v/>
      </c>
      <c r="N55" s="11">
        <f>IF(Inputs!$D$34=0,0,IF($B55&lt;=Inputs!$C$34,0,IF($B55&gt;=INDEX(LE_Curves!$N$5:$N$205,201),INDEX(LE_Curves!$B$5:$B$205,201),INDEX(LE_Curves!$B$5:$B$205,MATCH($B55,LE_Curves!$N$5:$N$205,1))+($B55-INDEX(LE_Curves!$N$5:$N$205,MATCH($B55,LE_Curves!$N$5:$N$205,1)))*(INDEX(LE_Curves!$B$5:$B$205,MATCH($B55,LE_Curves!$N$5:$N$205,1)+1)-INDEX(LE_Curves!$B$5:$B$205,MATCH($B55,LE_Curves!$N$5:$N$205,1)))/(INDEX(LE_Curves!$N$5:$N$205,MATCH($B55,LE_Curves!$N$5:$N$205,1)+1)-INDEX(LE_Curves!$N$5:$N$205,MATCH($B55,LE_Curves!$N$5:$N$205,1))))))</f>
        <v/>
      </c>
      <c r="O55" s="11">
        <f>SUM(C55:N55)</f>
        <v/>
      </c>
      <c r="Q55" s="7" t="n">
        <v>24</v>
      </c>
      <c r="R55" s="23">
        <f>$B$6+($B$7-$B$6)*Q55/200</f>
        <v/>
      </c>
      <c r="S55" s="11">
        <f>IF(Inputs!$D$23=0,0,IF($R55&lt;=Inputs!$C$23,0,IF($R55&gt;=INDEX(LE_Curves!$C$5:$C$205,201),INDEX(LE_Curves!$B$5:$B$205,201),INDEX(LE_Curves!$B$5:$B$205,MATCH($R55,LE_Curves!$C$5:$C$205,1))+($R55-INDEX(LE_Curves!$C$5:$C$205,MATCH($R55,LE_Curves!$C$5:$C$205,1)))*(INDEX(LE_Curves!$B$5:$B$205,MATCH($R55,LE_Curves!$C$5:$C$205,1)+1)-INDEX(LE_Curves!$B$5:$B$205,MATCH($R55,LE_Curves!$C$5:$C$205,1)))/(INDEX(LE_Curves!$C$5:$C$205,MATCH($R55,LE_Curves!$C$5:$C$205,1)+1)-INDEX(LE_Curves!$C$5:$C$205,MATCH($R55,LE_Curves!$C$5:$C$205,1))))))</f>
        <v/>
      </c>
      <c r="T55" s="11">
        <f>IF(Inputs!$D$24=0,0,IF($R55&lt;=Inputs!$C$24,0,IF($R55&gt;=INDEX(LE_Curves!$D$5:$D$205,201),INDEX(LE_Curves!$B$5:$B$205,201),INDEX(LE_Curves!$B$5:$B$205,MATCH($R55,LE_Curves!$D$5:$D$205,1))+($R55-INDEX(LE_Curves!$D$5:$D$205,MATCH($R55,LE_Curves!$D$5:$D$205,1)))*(INDEX(LE_Curves!$B$5:$B$205,MATCH($R55,LE_Curves!$D$5:$D$205,1)+1)-INDEX(LE_Curves!$B$5:$B$205,MATCH($R55,LE_Curves!$D$5:$D$205,1)))/(INDEX(LE_Curves!$D$5:$D$205,MATCH($R55,LE_Curves!$D$5:$D$205,1)+1)-INDEX(LE_Curves!$D$5:$D$205,MATCH($R55,LE_Curves!$D$5:$D$205,1))))))</f>
        <v/>
      </c>
      <c r="U55" s="11">
        <f>IF(Inputs!$D$25=0,0,IF($R55&lt;=Inputs!$C$25,0,IF($R55&gt;=INDEX(LE_Curves!$E$5:$E$205,201),INDEX(LE_Curves!$B$5:$B$205,201),INDEX(LE_Curves!$B$5:$B$205,MATCH($R55,LE_Curves!$E$5:$E$205,1))+($R55-INDEX(LE_Curves!$E$5:$E$205,MATCH($R55,LE_Curves!$E$5:$E$205,1)))*(INDEX(LE_Curves!$B$5:$B$205,MATCH($R55,LE_Curves!$E$5:$E$205,1)+1)-INDEX(LE_Curves!$B$5:$B$205,MATCH($R55,LE_Curves!$E$5:$E$205,1)))/(INDEX(LE_Curves!$E$5:$E$205,MATCH($R55,LE_Curves!$E$5:$E$205,1)+1)-INDEX(LE_Curves!$E$5:$E$205,MATCH($R55,LE_Curves!$E$5:$E$205,1))))))</f>
        <v/>
      </c>
      <c r="V55" s="11">
        <f>IF(Inputs!$D$26=0,0,IF($R55&lt;=Inputs!$C$26,0,IF($R55&gt;=INDEX(LE_Curves!$F$5:$F$205,201),INDEX(LE_Curves!$B$5:$B$205,201),INDEX(LE_Curves!$B$5:$B$205,MATCH($R55,LE_Curves!$F$5:$F$205,1))+($R55-INDEX(LE_Curves!$F$5:$F$205,MATCH($R55,LE_Curves!$F$5:$F$205,1)))*(INDEX(LE_Curves!$B$5:$B$205,MATCH($R55,LE_Curves!$F$5:$F$205,1)+1)-INDEX(LE_Curves!$B$5:$B$205,MATCH($R55,LE_Curves!$F$5:$F$205,1)))/(INDEX(LE_Curves!$F$5:$F$205,MATCH($R55,LE_Curves!$F$5:$F$205,1)+1)-INDEX(LE_Curves!$F$5:$F$205,MATCH($R55,LE_Curves!$F$5:$F$205,1))))))</f>
        <v/>
      </c>
      <c r="W55" s="11">
        <f>IF(Inputs!$D$27=0,0,IF($R55&lt;=Inputs!$C$27,0,IF($R55&gt;=INDEX(LE_Curves!$G$5:$G$205,201),INDEX(LE_Curves!$B$5:$B$205,201),INDEX(LE_Curves!$B$5:$B$205,MATCH($R55,LE_Curves!$G$5:$G$205,1))+($R55-INDEX(LE_Curves!$G$5:$G$205,MATCH($R55,LE_Curves!$G$5:$G$205,1)))*(INDEX(LE_Curves!$B$5:$B$205,MATCH($R55,LE_Curves!$G$5:$G$205,1)+1)-INDEX(LE_Curves!$B$5:$B$205,MATCH($R55,LE_Curves!$G$5:$G$205,1)))/(INDEX(LE_Curves!$G$5:$G$205,MATCH($R55,LE_Curves!$G$5:$G$205,1)+1)-INDEX(LE_Curves!$G$5:$G$205,MATCH($R55,LE_Curves!$G$5:$G$205,1))))))</f>
        <v/>
      </c>
      <c r="X55" s="11">
        <f>IF(Inputs!$D$28=0,0,IF($R55&lt;=Inputs!$C$28,0,IF($R55&gt;=INDEX(LE_Curves!$H$5:$H$205,201),INDEX(LE_Curves!$B$5:$B$205,201),INDEX(LE_Curves!$B$5:$B$205,MATCH($R55,LE_Curves!$H$5:$H$205,1))+($R55-INDEX(LE_Curves!$H$5:$H$205,MATCH($R55,LE_Curves!$H$5:$H$205,1)))*(INDEX(LE_Curves!$B$5:$B$205,MATCH($R55,LE_Curves!$H$5:$H$205,1)+1)-INDEX(LE_Curves!$B$5:$B$205,MATCH($R55,LE_Curves!$H$5:$H$205,1)))/(INDEX(LE_Curves!$H$5:$H$205,MATCH($R55,LE_Curves!$H$5:$H$205,1)+1)-INDEX(LE_Curves!$H$5:$H$205,MATCH($R55,LE_Curves!$H$5:$H$205,1))))))</f>
        <v/>
      </c>
      <c r="Y55" s="11">
        <f>IF(Inputs!$D$29=0,0,IF($R55&lt;=Inputs!$C$29,0,IF($R55&gt;=INDEX(LE_Curves!$I$5:$I$205,201),INDEX(LE_Curves!$B$5:$B$205,201),INDEX(LE_Curves!$B$5:$B$205,MATCH($R55,LE_Curves!$I$5:$I$205,1))+($R55-INDEX(LE_Curves!$I$5:$I$205,MATCH($R55,LE_Curves!$I$5:$I$205,1)))*(INDEX(LE_Curves!$B$5:$B$205,MATCH($R55,LE_Curves!$I$5:$I$205,1)+1)-INDEX(LE_Curves!$B$5:$B$205,MATCH($R55,LE_Curves!$I$5:$I$205,1)))/(INDEX(LE_Curves!$I$5:$I$205,MATCH($R55,LE_Curves!$I$5:$I$205,1)+1)-INDEX(LE_Curves!$I$5:$I$205,MATCH($R55,LE_Curves!$I$5:$I$205,1))))))</f>
        <v/>
      </c>
      <c r="Z55" s="11">
        <f>IF(Inputs!$D$30=0,0,IF($R55&lt;=Inputs!$C$30,0,IF($R55&gt;=INDEX(LE_Curves!$J$5:$J$205,201),INDEX(LE_Curves!$B$5:$B$205,201),INDEX(LE_Curves!$B$5:$B$205,MATCH($R55,LE_Curves!$J$5:$J$205,1))+($R55-INDEX(LE_Curves!$J$5:$J$205,MATCH($R55,LE_Curves!$J$5:$J$205,1)))*(INDEX(LE_Curves!$B$5:$B$205,MATCH($R55,LE_Curves!$J$5:$J$205,1)+1)-INDEX(LE_Curves!$B$5:$B$205,MATCH($R55,LE_Curves!$J$5:$J$205,1)))/(INDEX(LE_Curves!$J$5:$J$205,MATCH($R55,LE_Curves!$J$5:$J$205,1)+1)-INDEX(LE_Curves!$J$5:$J$205,MATCH($R55,LE_Curves!$J$5:$J$205,1))))))</f>
        <v/>
      </c>
      <c r="AA55" s="11">
        <f>IF(Inputs!$D$31=0,0,IF($R55&lt;=Inputs!$C$31,0,IF($R55&gt;=INDEX(LE_Curves!$K$5:$K$205,201),INDEX(LE_Curves!$B$5:$B$205,201),INDEX(LE_Curves!$B$5:$B$205,MATCH($R55,LE_Curves!$K$5:$K$205,1))+($R55-INDEX(LE_Curves!$K$5:$K$205,MATCH($R55,LE_Curves!$K$5:$K$205,1)))*(INDEX(LE_Curves!$B$5:$B$205,MATCH($R55,LE_Curves!$K$5:$K$205,1)+1)-INDEX(LE_Curves!$B$5:$B$205,MATCH($R55,LE_Curves!$K$5:$K$205,1)))/(INDEX(LE_Curves!$K$5:$K$205,MATCH($R55,LE_Curves!$K$5:$K$205,1)+1)-INDEX(LE_Curves!$K$5:$K$205,MATCH($R55,LE_Curves!$K$5:$K$205,1))))))</f>
        <v/>
      </c>
      <c r="AB55" s="11">
        <f>IF(Inputs!$D$32=0,0,IF($R55&lt;=Inputs!$C$32,0,IF($R55&gt;=INDEX(LE_Curves!$L$5:$L$205,201),INDEX(LE_Curves!$B$5:$B$205,201),INDEX(LE_Curves!$B$5:$B$205,MATCH($R55,LE_Curves!$L$5:$L$205,1))+($R55-INDEX(LE_Curves!$L$5:$L$205,MATCH($R55,LE_Curves!$L$5:$L$205,1)))*(INDEX(LE_Curves!$B$5:$B$205,MATCH($R55,LE_Curves!$L$5:$L$205,1)+1)-INDEX(LE_Curves!$B$5:$B$205,MATCH($R55,LE_Curves!$L$5:$L$205,1)))/(INDEX(LE_Curves!$L$5:$L$205,MATCH($R55,LE_Curves!$L$5:$L$205,1)+1)-INDEX(LE_Curves!$L$5:$L$205,MATCH($R55,LE_Curves!$L$5:$L$205,1))))))</f>
        <v/>
      </c>
      <c r="AC55" s="11">
        <f>IF(Inputs!$D$33=0,0,IF($R55&lt;=Inputs!$C$33,0,IF($R55&gt;=INDEX(LE_Curves!$M$5:$M$205,201),INDEX(LE_Curves!$B$5:$B$205,201),INDEX(LE_Curves!$B$5:$B$205,MATCH($R55,LE_Curves!$M$5:$M$205,1))+($R55-INDEX(LE_Curves!$M$5:$M$205,MATCH($R55,LE_Curves!$M$5:$M$205,1)))*(INDEX(LE_Curves!$B$5:$B$205,MATCH($R55,LE_Curves!$M$5:$M$205,1)+1)-INDEX(LE_Curves!$B$5:$B$205,MATCH($R55,LE_Curves!$M$5:$M$205,1)))/(INDEX(LE_Curves!$M$5:$M$205,MATCH($R55,LE_Curves!$M$5:$M$205,1)+1)-INDEX(LE_Curves!$M$5:$M$205,MATCH($R55,LE_Curves!$M$5:$M$205,1))))))</f>
        <v/>
      </c>
      <c r="AD55" s="11">
        <f>IF(Inputs!$D$34=0,0,IF($R55&lt;=Inputs!$C$34,0,IF($R55&gt;=INDEX(LE_Curves!$N$5:$N$205,201),INDEX(LE_Curves!$B$5:$B$205,201),INDEX(LE_Curves!$B$5:$B$205,MATCH($R55,LE_Curves!$N$5:$N$205,1))+($R55-INDEX(LE_Curves!$N$5:$N$205,MATCH($R55,LE_Curves!$N$5:$N$205,1)))*(INDEX(LE_Curves!$B$5:$B$205,MATCH($R55,LE_Curves!$N$5:$N$205,1)+1)-INDEX(LE_Curves!$B$5:$B$205,MATCH($R55,LE_Curves!$N$5:$N$205,1)))/(INDEX(LE_Curves!$N$5:$N$205,MATCH($R55,LE_Curves!$N$5:$N$205,1)+1)-INDEX(LE_Curves!$N$5:$N$205,MATCH($R55,LE_Curves!$N$5:$N$205,1))))))</f>
        <v/>
      </c>
      <c r="AE55" s="37">
        <f>SUM(S55:AD55)</f>
        <v/>
      </c>
    </row>
    <row r="56">
      <c r="A56" s="7" t="n">
        <v>25</v>
      </c>
      <c r="B56" s="37">
        <f>$B$3+($B$4-$B$3)*A56/200</f>
        <v/>
      </c>
      <c r="C56" s="11">
        <f>IF(Inputs!$D$23=0,0,IF($B56&lt;=Inputs!$C$23,0,IF($B56&gt;=INDEX(LE_Curves!$C$5:$C$205,201),INDEX(LE_Curves!$B$5:$B$205,201),INDEX(LE_Curves!$B$5:$B$205,MATCH($B56,LE_Curves!$C$5:$C$205,1))+($B56-INDEX(LE_Curves!$C$5:$C$205,MATCH($B56,LE_Curves!$C$5:$C$205,1)))*(INDEX(LE_Curves!$B$5:$B$205,MATCH($B56,LE_Curves!$C$5:$C$205,1)+1)-INDEX(LE_Curves!$B$5:$B$205,MATCH($B56,LE_Curves!$C$5:$C$205,1)))/(INDEX(LE_Curves!$C$5:$C$205,MATCH($B56,LE_Curves!$C$5:$C$205,1)+1)-INDEX(LE_Curves!$C$5:$C$205,MATCH($B56,LE_Curves!$C$5:$C$205,1))))))</f>
        <v/>
      </c>
      <c r="D56" s="11">
        <f>IF(Inputs!$D$24=0,0,IF($B56&lt;=Inputs!$C$24,0,IF($B56&gt;=INDEX(LE_Curves!$D$5:$D$205,201),INDEX(LE_Curves!$B$5:$B$205,201),INDEX(LE_Curves!$B$5:$B$205,MATCH($B56,LE_Curves!$D$5:$D$205,1))+($B56-INDEX(LE_Curves!$D$5:$D$205,MATCH($B56,LE_Curves!$D$5:$D$205,1)))*(INDEX(LE_Curves!$B$5:$B$205,MATCH($B56,LE_Curves!$D$5:$D$205,1)+1)-INDEX(LE_Curves!$B$5:$B$205,MATCH($B56,LE_Curves!$D$5:$D$205,1)))/(INDEX(LE_Curves!$D$5:$D$205,MATCH($B56,LE_Curves!$D$5:$D$205,1)+1)-INDEX(LE_Curves!$D$5:$D$205,MATCH($B56,LE_Curves!$D$5:$D$205,1))))))</f>
        <v/>
      </c>
      <c r="E56" s="11">
        <f>IF(Inputs!$D$25=0,0,IF($B56&lt;=Inputs!$C$25,0,IF($B56&gt;=INDEX(LE_Curves!$E$5:$E$205,201),INDEX(LE_Curves!$B$5:$B$205,201),INDEX(LE_Curves!$B$5:$B$205,MATCH($B56,LE_Curves!$E$5:$E$205,1))+($B56-INDEX(LE_Curves!$E$5:$E$205,MATCH($B56,LE_Curves!$E$5:$E$205,1)))*(INDEX(LE_Curves!$B$5:$B$205,MATCH($B56,LE_Curves!$E$5:$E$205,1)+1)-INDEX(LE_Curves!$B$5:$B$205,MATCH($B56,LE_Curves!$E$5:$E$205,1)))/(INDEX(LE_Curves!$E$5:$E$205,MATCH($B56,LE_Curves!$E$5:$E$205,1)+1)-INDEX(LE_Curves!$E$5:$E$205,MATCH($B56,LE_Curves!$E$5:$E$205,1))))))</f>
        <v/>
      </c>
      <c r="F56" s="11">
        <f>IF(Inputs!$D$26=0,0,IF($B56&lt;=Inputs!$C$26,0,IF($B56&gt;=INDEX(LE_Curves!$F$5:$F$205,201),INDEX(LE_Curves!$B$5:$B$205,201),INDEX(LE_Curves!$B$5:$B$205,MATCH($B56,LE_Curves!$F$5:$F$205,1))+($B56-INDEX(LE_Curves!$F$5:$F$205,MATCH($B56,LE_Curves!$F$5:$F$205,1)))*(INDEX(LE_Curves!$B$5:$B$205,MATCH($B56,LE_Curves!$F$5:$F$205,1)+1)-INDEX(LE_Curves!$B$5:$B$205,MATCH($B56,LE_Curves!$F$5:$F$205,1)))/(INDEX(LE_Curves!$F$5:$F$205,MATCH($B56,LE_Curves!$F$5:$F$205,1)+1)-INDEX(LE_Curves!$F$5:$F$205,MATCH($B56,LE_Curves!$F$5:$F$205,1))))))</f>
        <v/>
      </c>
      <c r="G56" s="11">
        <f>IF(Inputs!$D$27=0,0,IF($B56&lt;=Inputs!$C$27,0,IF($B56&gt;=INDEX(LE_Curves!$G$5:$G$205,201),INDEX(LE_Curves!$B$5:$B$205,201),INDEX(LE_Curves!$B$5:$B$205,MATCH($B56,LE_Curves!$G$5:$G$205,1))+($B56-INDEX(LE_Curves!$G$5:$G$205,MATCH($B56,LE_Curves!$G$5:$G$205,1)))*(INDEX(LE_Curves!$B$5:$B$205,MATCH($B56,LE_Curves!$G$5:$G$205,1)+1)-INDEX(LE_Curves!$B$5:$B$205,MATCH($B56,LE_Curves!$G$5:$G$205,1)))/(INDEX(LE_Curves!$G$5:$G$205,MATCH($B56,LE_Curves!$G$5:$G$205,1)+1)-INDEX(LE_Curves!$G$5:$G$205,MATCH($B56,LE_Curves!$G$5:$G$205,1))))))</f>
        <v/>
      </c>
      <c r="H56" s="11">
        <f>IF(Inputs!$D$28=0,0,IF($B56&lt;=Inputs!$C$28,0,IF($B56&gt;=INDEX(LE_Curves!$H$5:$H$205,201),INDEX(LE_Curves!$B$5:$B$205,201),INDEX(LE_Curves!$B$5:$B$205,MATCH($B56,LE_Curves!$H$5:$H$205,1))+($B56-INDEX(LE_Curves!$H$5:$H$205,MATCH($B56,LE_Curves!$H$5:$H$205,1)))*(INDEX(LE_Curves!$B$5:$B$205,MATCH($B56,LE_Curves!$H$5:$H$205,1)+1)-INDEX(LE_Curves!$B$5:$B$205,MATCH($B56,LE_Curves!$H$5:$H$205,1)))/(INDEX(LE_Curves!$H$5:$H$205,MATCH($B56,LE_Curves!$H$5:$H$205,1)+1)-INDEX(LE_Curves!$H$5:$H$205,MATCH($B56,LE_Curves!$H$5:$H$205,1))))))</f>
        <v/>
      </c>
      <c r="I56" s="11">
        <f>IF(Inputs!$D$29=0,0,IF($B56&lt;=Inputs!$C$29,0,IF($B56&gt;=INDEX(LE_Curves!$I$5:$I$205,201),INDEX(LE_Curves!$B$5:$B$205,201),INDEX(LE_Curves!$B$5:$B$205,MATCH($B56,LE_Curves!$I$5:$I$205,1))+($B56-INDEX(LE_Curves!$I$5:$I$205,MATCH($B56,LE_Curves!$I$5:$I$205,1)))*(INDEX(LE_Curves!$B$5:$B$205,MATCH($B56,LE_Curves!$I$5:$I$205,1)+1)-INDEX(LE_Curves!$B$5:$B$205,MATCH($B56,LE_Curves!$I$5:$I$205,1)))/(INDEX(LE_Curves!$I$5:$I$205,MATCH($B56,LE_Curves!$I$5:$I$205,1)+1)-INDEX(LE_Curves!$I$5:$I$205,MATCH($B56,LE_Curves!$I$5:$I$205,1))))))</f>
        <v/>
      </c>
      <c r="J56" s="11">
        <f>IF(Inputs!$D$30=0,0,IF($B56&lt;=Inputs!$C$30,0,IF($B56&gt;=INDEX(LE_Curves!$J$5:$J$205,201),INDEX(LE_Curves!$B$5:$B$205,201),INDEX(LE_Curves!$B$5:$B$205,MATCH($B56,LE_Curves!$J$5:$J$205,1))+($B56-INDEX(LE_Curves!$J$5:$J$205,MATCH($B56,LE_Curves!$J$5:$J$205,1)))*(INDEX(LE_Curves!$B$5:$B$205,MATCH($B56,LE_Curves!$J$5:$J$205,1)+1)-INDEX(LE_Curves!$B$5:$B$205,MATCH($B56,LE_Curves!$J$5:$J$205,1)))/(INDEX(LE_Curves!$J$5:$J$205,MATCH($B56,LE_Curves!$J$5:$J$205,1)+1)-INDEX(LE_Curves!$J$5:$J$205,MATCH($B56,LE_Curves!$J$5:$J$205,1))))))</f>
        <v/>
      </c>
      <c r="K56" s="11">
        <f>IF(Inputs!$D$31=0,0,IF($B56&lt;=Inputs!$C$31,0,IF($B56&gt;=INDEX(LE_Curves!$K$5:$K$205,201),INDEX(LE_Curves!$B$5:$B$205,201),INDEX(LE_Curves!$B$5:$B$205,MATCH($B56,LE_Curves!$K$5:$K$205,1))+($B56-INDEX(LE_Curves!$K$5:$K$205,MATCH($B56,LE_Curves!$K$5:$K$205,1)))*(INDEX(LE_Curves!$B$5:$B$205,MATCH($B56,LE_Curves!$K$5:$K$205,1)+1)-INDEX(LE_Curves!$B$5:$B$205,MATCH($B56,LE_Curves!$K$5:$K$205,1)))/(INDEX(LE_Curves!$K$5:$K$205,MATCH($B56,LE_Curves!$K$5:$K$205,1)+1)-INDEX(LE_Curves!$K$5:$K$205,MATCH($B56,LE_Curves!$K$5:$K$205,1))))))</f>
        <v/>
      </c>
      <c r="L56" s="11">
        <f>IF(Inputs!$D$32=0,0,IF($B56&lt;=Inputs!$C$32,0,IF($B56&gt;=INDEX(LE_Curves!$L$5:$L$205,201),INDEX(LE_Curves!$B$5:$B$205,201),INDEX(LE_Curves!$B$5:$B$205,MATCH($B56,LE_Curves!$L$5:$L$205,1))+($B56-INDEX(LE_Curves!$L$5:$L$205,MATCH($B56,LE_Curves!$L$5:$L$205,1)))*(INDEX(LE_Curves!$B$5:$B$205,MATCH($B56,LE_Curves!$L$5:$L$205,1)+1)-INDEX(LE_Curves!$B$5:$B$205,MATCH($B56,LE_Curves!$L$5:$L$205,1)))/(INDEX(LE_Curves!$L$5:$L$205,MATCH($B56,LE_Curves!$L$5:$L$205,1)+1)-INDEX(LE_Curves!$L$5:$L$205,MATCH($B56,LE_Curves!$L$5:$L$205,1))))))</f>
        <v/>
      </c>
      <c r="M56" s="11">
        <f>IF(Inputs!$D$33=0,0,IF($B56&lt;=Inputs!$C$33,0,IF($B56&gt;=INDEX(LE_Curves!$M$5:$M$205,201),INDEX(LE_Curves!$B$5:$B$205,201),INDEX(LE_Curves!$B$5:$B$205,MATCH($B56,LE_Curves!$M$5:$M$205,1))+($B56-INDEX(LE_Curves!$M$5:$M$205,MATCH($B56,LE_Curves!$M$5:$M$205,1)))*(INDEX(LE_Curves!$B$5:$B$205,MATCH($B56,LE_Curves!$M$5:$M$205,1)+1)-INDEX(LE_Curves!$B$5:$B$205,MATCH($B56,LE_Curves!$M$5:$M$205,1)))/(INDEX(LE_Curves!$M$5:$M$205,MATCH($B56,LE_Curves!$M$5:$M$205,1)+1)-INDEX(LE_Curves!$M$5:$M$205,MATCH($B56,LE_Curves!$M$5:$M$205,1))))))</f>
        <v/>
      </c>
      <c r="N56" s="11">
        <f>IF(Inputs!$D$34=0,0,IF($B56&lt;=Inputs!$C$34,0,IF($B56&gt;=INDEX(LE_Curves!$N$5:$N$205,201),INDEX(LE_Curves!$B$5:$B$205,201),INDEX(LE_Curves!$B$5:$B$205,MATCH($B56,LE_Curves!$N$5:$N$205,1))+($B56-INDEX(LE_Curves!$N$5:$N$205,MATCH($B56,LE_Curves!$N$5:$N$205,1)))*(INDEX(LE_Curves!$B$5:$B$205,MATCH($B56,LE_Curves!$N$5:$N$205,1)+1)-INDEX(LE_Curves!$B$5:$B$205,MATCH($B56,LE_Curves!$N$5:$N$205,1)))/(INDEX(LE_Curves!$N$5:$N$205,MATCH($B56,LE_Curves!$N$5:$N$205,1)+1)-INDEX(LE_Curves!$N$5:$N$205,MATCH($B56,LE_Curves!$N$5:$N$205,1))))))</f>
        <v/>
      </c>
      <c r="O56" s="11">
        <f>SUM(C56:N56)</f>
        <v/>
      </c>
      <c r="Q56" s="7" t="n">
        <v>25</v>
      </c>
      <c r="R56" s="23">
        <f>$B$6+($B$7-$B$6)*Q56/200</f>
        <v/>
      </c>
      <c r="S56" s="11">
        <f>IF(Inputs!$D$23=0,0,IF($R56&lt;=Inputs!$C$23,0,IF($R56&gt;=INDEX(LE_Curves!$C$5:$C$205,201),INDEX(LE_Curves!$B$5:$B$205,201),INDEX(LE_Curves!$B$5:$B$205,MATCH($R56,LE_Curves!$C$5:$C$205,1))+($R56-INDEX(LE_Curves!$C$5:$C$205,MATCH($R56,LE_Curves!$C$5:$C$205,1)))*(INDEX(LE_Curves!$B$5:$B$205,MATCH($R56,LE_Curves!$C$5:$C$205,1)+1)-INDEX(LE_Curves!$B$5:$B$205,MATCH($R56,LE_Curves!$C$5:$C$205,1)))/(INDEX(LE_Curves!$C$5:$C$205,MATCH($R56,LE_Curves!$C$5:$C$205,1)+1)-INDEX(LE_Curves!$C$5:$C$205,MATCH($R56,LE_Curves!$C$5:$C$205,1))))))</f>
        <v/>
      </c>
      <c r="T56" s="11">
        <f>IF(Inputs!$D$24=0,0,IF($R56&lt;=Inputs!$C$24,0,IF($R56&gt;=INDEX(LE_Curves!$D$5:$D$205,201),INDEX(LE_Curves!$B$5:$B$205,201),INDEX(LE_Curves!$B$5:$B$205,MATCH($R56,LE_Curves!$D$5:$D$205,1))+($R56-INDEX(LE_Curves!$D$5:$D$205,MATCH($R56,LE_Curves!$D$5:$D$205,1)))*(INDEX(LE_Curves!$B$5:$B$205,MATCH($R56,LE_Curves!$D$5:$D$205,1)+1)-INDEX(LE_Curves!$B$5:$B$205,MATCH($R56,LE_Curves!$D$5:$D$205,1)))/(INDEX(LE_Curves!$D$5:$D$205,MATCH($R56,LE_Curves!$D$5:$D$205,1)+1)-INDEX(LE_Curves!$D$5:$D$205,MATCH($R56,LE_Curves!$D$5:$D$205,1))))))</f>
        <v/>
      </c>
      <c r="U56" s="11">
        <f>IF(Inputs!$D$25=0,0,IF($R56&lt;=Inputs!$C$25,0,IF($R56&gt;=INDEX(LE_Curves!$E$5:$E$205,201),INDEX(LE_Curves!$B$5:$B$205,201),INDEX(LE_Curves!$B$5:$B$205,MATCH($R56,LE_Curves!$E$5:$E$205,1))+($R56-INDEX(LE_Curves!$E$5:$E$205,MATCH($R56,LE_Curves!$E$5:$E$205,1)))*(INDEX(LE_Curves!$B$5:$B$205,MATCH($R56,LE_Curves!$E$5:$E$205,1)+1)-INDEX(LE_Curves!$B$5:$B$205,MATCH($R56,LE_Curves!$E$5:$E$205,1)))/(INDEX(LE_Curves!$E$5:$E$205,MATCH($R56,LE_Curves!$E$5:$E$205,1)+1)-INDEX(LE_Curves!$E$5:$E$205,MATCH($R56,LE_Curves!$E$5:$E$205,1))))))</f>
        <v/>
      </c>
      <c r="V56" s="11">
        <f>IF(Inputs!$D$26=0,0,IF($R56&lt;=Inputs!$C$26,0,IF($R56&gt;=INDEX(LE_Curves!$F$5:$F$205,201),INDEX(LE_Curves!$B$5:$B$205,201),INDEX(LE_Curves!$B$5:$B$205,MATCH($R56,LE_Curves!$F$5:$F$205,1))+($R56-INDEX(LE_Curves!$F$5:$F$205,MATCH($R56,LE_Curves!$F$5:$F$205,1)))*(INDEX(LE_Curves!$B$5:$B$205,MATCH($R56,LE_Curves!$F$5:$F$205,1)+1)-INDEX(LE_Curves!$B$5:$B$205,MATCH($R56,LE_Curves!$F$5:$F$205,1)))/(INDEX(LE_Curves!$F$5:$F$205,MATCH($R56,LE_Curves!$F$5:$F$205,1)+1)-INDEX(LE_Curves!$F$5:$F$205,MATCH($R56,LE_Curves!$F$5:$F$205,1))))))</f>
        <v/>
      </c>
      <c r="W56" s="11">
        <f>IF(Inputs!$D$27=0,0,IF($R56&lt;=Inputs!$C$27,0,IF($R56&gt;=INDEX(LE_Curves!$G$5:$G$205,201),INDEX(LE_Curves!$B$5:$B$205,201),INDEX(LE_Curves!$B$5:$B$205,MATCH($R56,LE_Curves!$G$5:$G$205,1))+($R56-INDEX(LE_Curves!$G$5:$G$205,MATCH($R56,LE_Curves!$G$5:$G$205,1)))*(INDEX(LE_Curves!$B$5:$B$205,MATCH($R56,LE_Curves!$G$5:$G$205,1)+1)-INDEX(LE_Curves!$B$5:$B$205,MATCH($R56,LE_Curves!$G$5:$G$205,1)))/(INDEX(LE_Curves!$G$5:$G$205,MATCH($R56,LE_Curves!$G$5:$G$205,1)+1)-INDEX(LE_Curves!$G$5:$G$205,MATCH($R56,LE_Curves!$G$5:$G$205,1))))))</f>
        <v/>
      </c>
      <c r="X56" s="11">
        <f>IF(Inputs!$D$28=0,0,IF($R56&lt;=Inputs!$C$28,0,IF($R56&gt;=INDEX(LE_Curves!$H$5:$H$205,201),INDEX(LE_Curves!$B$5:$B$205,201),INDEX(LE_Curves!$B$5:$B$205,MATCH($R56,LE_Curves!$H$5:$H$205,1))+($R56-INDEX(LE_Curves!$H$5:$H$205,MATCH($R56,LE_Curves!$H$5:$H$205,1)))*(INDEX(LE_Curves!$B$5:$B$205,MATCH($R56,LE_Curves!$H$5:$H$205,1)+1)-INDEX(LE_Curves!$B$5:$B$205,MATCH($R56,LE_Curves!$H$5:$H$205,1)))/(INDEX(LE_Curves!$H$5:$H$205,MATCH($R56,LE_Curves!$H$5:$H$205,1)+1)-INDEX(LE_Curves!$H$5:$H$205,MATCH($R56,LE_Curves!$H$5:$H$205,1))))))</f>
        <v/>
      </c>
      <c r="Y56" s="11">
        <f>IF(Inputs!$D$29=0,0,IF($R56&lt;=Inputs!$C$29,0,IF($R56&gt;=INDEX(LE_Curves!$I$5:$I$205,201),INDEX(LE_Curves!$B$5:$B$205,201),INDEX(LE_Curves!$B$5:$B$205,MATCH($R56,LE_Curves!$I$5:$I$205,1))+($R56-INDEX(LE_Curves!$I$5:$I$205,MATCH($R56,LE_Curves!$I$5:$I$205,1)))*(INDEX(LE_Curves!$B$5:$B$205,MATCH($R56,LE_Curves!$I$5:$I$205,1)+1)-INDEX(LE_Curves!$B$5:$B$205,MATCH($R56,LE_Curves!$I$5:$I$205,1)))/(INDEX(LE_Curves!$I$5:$I$205,MATCH($R56,LE_Curves!$I$5:$I$205,1)+1)-INDEX(LE_Curves!$I$5:$I$205,MATCH($R56,LE_Curves!$I$5:$I$205,1))))))</f>
        <v/>
      </c>
      <c r="Z56" s="11">
        <f>IF(Inputs!$D$30=0,0,IF($R56&lt;=Inputs!$C$30,0,IF($R56&gt;=INDEX(LE_Curves!$J$5:$J$205,201),INDEX(LE_Curves!$B$5:$B$205,201),INDEX(LE_Curves!$B$5:$B$205,MATCH($R56,LE_Curves!$J$5:$J$205,1))+($R56-INDEX(LE_Curves!$J$5:$J$205,MATCH($R56,LE_Curves!$J$5:$J$205,1)))*(INDEX(LE_Curves!$B$5:$B$205,MATCH($R56,LE_Curves!$J$5:$J$205,1)+1)-INDEX(LE_Curves!$B$5:$B$205,MATCH($R56,LE_Curves!$J$5:$J$205,1)))/(INDEX(LE_Curves!$J$5:$J$205,MATCH($R56,LE_Curves!$J$5:$J$205,1)+1)-INDEX(LE_Curves!$J$5:$J$205,MATCH($R56,LE_Curves!$J$5:$J$205,1))))))</f>
        <v/>
      </c>
      <c r="AA56" s="11">
        <f>IF(Inputs!$D$31=0,0,IF($R56&lt;=Inputs!$C$31,0,IF($R56&gt;=INDEX(LE_Curves!$K$5:$K$205,201),INDEX(LE_Curves!$B$5:$B$205,201),INDEX(LE_Curves!$B$5:$B$205,MATCH($R56,LE_Curves!$K$5:$K$205,1))+($R56-INDEX(LE_Curves!$K$5:$K$205,MATCH($R56,LE_Curves!$K$5:$K$205,1)))*(INDEX(LE_Curves!$B$5:$B$205,MATCH($R56,LE_Curves!$K$5:$K$205,1)+1)-INDEX(LE_Curves!$B$5:$B$205,MATCH($R56,LE_Curves!$K$5:$K$205,1)))/(INDEX(LE_Curves!$K$5:$K$205,MATCH($R56,LE_Curves!$K$5:$K$205,1)+1)-INDEX(LE_Curves!$K$5:$K$205,MATCH($R56,LE_Curves!$K$5:$K$205,1))))))</f>
        <v/>
      </c>
      <c r="AB56" s="11">
        <f>IF(Inputs!$D$32=0,0,IF($R56&lt;=Inputs!$C$32,0,IF($R56&gt;=INDEX(LE_Curves!$L$5:$L$205,201),INDEX(LE_Curves!$B$5:$B$205,201),INDEX(LE_Curves!$B$5:$B$205,MATCH($R56,LE_Curves!$L$5:$L$205,1))+($R56-INDEX(LE_Curves!$L$5:$L$205,MATCH($R56,LE_Curves!$L$5:$L$205,1)))*(INDEX(LE_Curves!$B$5:$B$205,MATCH($R56,LE_Curves!$L$5:$L$205,1)+1)-INDEX(LE_Curves!$B$5:$B$205,MATCH($R56,LE_Curves!$L$5:$L$205,1)))/(INDEX(LE_Curves!$L$5:$L$205,MATCH($R56,LE_Curves!$L$5:$L$205,1)+1)-INDEX(LE_Curves!$L$5:$L$205,MATCH($R56,LE_Curves!$L$5:$L$205,1))))))</f>
        <v/>
      </c>
      <c r="AC56" s="11">
        <f>IF(Inputs!$D$33=0,0,IF($R56&lt;=Inputs!$C$33,0,IF($R56&gt;=INDEX(LE_Curves!$M$5:$M$205,201),INDEX(LE_Curves!$B$5:$B$205,201),INDEX(LE_Curves!$B$5:$B$205,MATCH($R56,LE_Curves!$M$5:$M$205,1))+($R56-INDEX(LE_Curves!$M$5:$M$205,MATCH($R56,LE_Curves!$M$5:$M$205,1)))*(INDEX(LE_Curves!$B$5:$B$205,MATCH($R56,LE_Curves!$M$5:$M$205,1)+1)-INDEX(LE_Curves!$B$5:$B$205,MATCH($R56,LE_Curves!$M$5:$M$205,1)))/(INDEX(LE_Curves!$M$5:$M$205,MATCH($R56,LE_Curves!$M$5:$M$205,1)+1)-INDEX(LE_Curves!$M$5:$M$205,MATCH($R56,LE_Curves!$M$5:$M$205,1))))))</f>
        <v/>
      </c>
      <c r="AD56" s="11">
        <f>IF(Inputs!$D$34=0,0,IF($R56&lt;=Inputs!$C$34,0,IF($R56&gt;=INDEX(LE_Curves!$N$5:$N$205,201),INDEX(LE_Curves!$B$5:$B$205,201),INDEX(LE_Curves!$B$5:$B$205,MATCH($R56,LE_Curves!$N$5:$N$205,1))+($R56-INDEX(LE_Curves!$N$5:$N$205,MATCH($R56,LE_Curves!$N$5:$N$205,1)))*(INDEX(LE_Curves!$B$5:$B$205,MATCH($R56,LE_Curves!$N$5:$N$205,1)+1)-INDEX(LE_Curves!$B$5:$B$205,MATCH($R56,LE_Curves!$N$5:$N$205,1)))/(INDEX(LE_Curves!$N$5:$N$205,MATCH($R56,LE_Curves!$N$5:$N$205,1)+1)-INDEX(LE_Curves!$N$5:$N$205,MATCH($R56,LE_Curves!$N$5:$N$205,1))))))</f>
        <v/>
      </c>
      <c r="AE56" s="37">
        <f>SUM(S56:AD56)</f>
        <v/>
      </c>
    </row>
    <row r="57">
      <c r="A57" s="7" t="n">
        <v>26</v>
      </c>
      <c r="B57" s="37">
        <f>$B$3+($B$4-$B$3)*A57/200</f>
        <v/>
      </c>
      <c r="C57" s="11">
        <f>IF(Inputs!$D$23=0,0,IF($B57&lt;=Inputs!$C$23,0,IF($B57&gt;=INDEX(LE_Curves!$C$5:$C$205,201),INDEX(LE_Curves!$B$5:$B$205,201),INDEX(LE_Curves!$B$5:$B$205,MATCH($B57,LE_Curves!$C$5:$C$205,1))+($B57-INDEX(LE_Curves!$C$5:$C$205,MATCH($B57,LE_Curves!$C$5:$C$205,1)))*(INDEX(LE_Curves!$B$5:$B$205,MATCH($B57,LE_Curves!$C$5:$C$205,1)+1)-INDEX(LE_Curves!$B$5:$B$205,MATCH($B57,LE_Curves!$C$5:$C$205,1)))/(INDEX(LE_Curves!$C$5:$C$205,MATCH($B57,LE_Curves!$C$5:$C$205,1)+1)-INDEX(LE_Curves!$C$5:$C$205,MATCH($B57,LE_Curves!$C$5:$C$205,1))))))</f>
        <v/>
      </c>
      <c r="D57" s="11">
        <f>IF(Inputs!$D$24=0,0,IF($B57&lt;=Inputs!$C$24,0,IF($B57&gt;=INDEX(LE_Curves!$D$5:$D$205,201),INDEX(LE_Curves!$B$5:$B$205,201),INDEX(LE_Curves!$B$5:$B$205,MATCH($B57,LE_Curves!$D$5:$D$205,1))+($B57-INDEX(LE_Curves!$D$5:$D$205,MATCH($B57,LE_Curves!$D$5:$D$205,1)))*(INDEX(LE_Curves!$B$5:$B$205,MATCH($B57,LE_Curves!$D$5:$D$205,1)+1)-INDEX(LE_Curves!$B$5:$B$205,MATCH($B57,LE_Curves!$D$5:$D$205,1)))/(INDEX(LE_Curves!$D$5:$D$205,MATCH($B57,LE_Curves!$D$5:$D$205,1)+1)-INDEX(LE_Curves!$D$5:$D$205,MATCH($B57,LE_Curves!$D$5:$D$205,1))))))</f>
        <v/>
      </c>
      <c r="E57" s="11">
        <f>IF(Inputs!$D$25=0,0,IF($B57&lt;=Inputs!$C$25,0,IF($B57&gt;=INDEX(LE_Curves!$E$5:$E$205,201),INDEX(LE_Curves!$B$5:$B$205,201),INDEX(LE_Curves!$B$5:$B$205,MATCH($B57,LE_Curves!$E$5:$E$205,1))+($B57-INDEX(LE_Curves!$E$5:$E$205,MATCH($B57,LE_Curves!$E$5:$E$205,1)))*(INDEX(LE_Curves!$B$5:$B$205,MATCH($B57,LE_Curves!$E$5:$E$205,1)+1)-INDEX(LE_Curves!$B$5:$B$205,MATCH($B57,LE_Curves!$E$5:$E$205,1)))/(INDEX(LE_Curves!$E$5:$E$205,MATCH($B57,LE_Curves!$E$5:$E$205,1)+1)-INDEX(LE_Curves!$E$5:$E$205,MATCH($B57,LE_Curves!$E$5:$E$205,1))))))</f>
        <v/>
      </c>
      <c r="F57" s="11">
        <f>IF(Inputs!$D$26=0,0,IF($B57&lt;=Inputs!$C$26,0,IF($B57&gt;=INDEX(LE_Curves!$F$5:$F$205,201),INDEX(LE_Curves!$B$5:$B$205,201),INDEX(LE_Curves!$B$5:$B$205,MATCH($B57,LE_Curves!$F$5:$F$205,1))+($B57-INDEX(LE_Curves!$F$5:$F$205,MATCH($B57,LE_Curves!$F$5:$F$205,1)))*(INDEX(LE_Curves!$B$5:$B$205,MATCH($B57,LE_Curves!$F$5:$F$205,1)+1)-INDEX(LE_Curves!$B$5:$B$205,MATCH($B57,LE_Curves!$F$5:$F$205,1)))/(INDEX(LE_Curves!$F$5:$F$205,MATCH($B57,LE_Curves!$F$5:$F$205,1)+1)-INDEX(LE_Curves!$F$5:$F$205,MATCH($B57,LE_Curves!$F$5:$F$205,1))))))</f>
        <v/>
      </c>
      <c r="G57" s="11">
        <f>IF(Inputs!$D$27=0,0,IF($B57&lt;=Inputs!$C$27,0,IF($B57&gt;=INDEX(LE_Curves!$G$5:$G$205,201),INDEX(LE_Curves!$B$5:$B$205,201),INDEX(LE_Curves!$B$5:$B$205,MATCH($B57,LE_Curves!$G$5:$G$205,1))+($B57-INDEX(LE_Curves!$G$5:$G$205,MATCH($B57,LE_Curves!$G$5:$G$205,1)))*(INDEX(LE_Curves!$B$5:$B$205,MATCH($B57,LE_Curves!$G$5:$G$205,1)+1)-INDEX(LE_Curves!$B$5:$B$205,MATCH($B57,LE_Curves!$G$5:$G$205,1)))/(INDEX(LE_Curves!$G$5:$G$205,MATCH($B57,LE_Curves!$G$5:$G$205,1)+1)-INDEX(LE_Curves!$G$5:$G$205,MATCH($B57,LE_Curves!$G$5:$G$205,1))))))</f>
        <v/>
      </c>
      <c r="H57" s="11">
        <f>IF(Inputs!$D$28=0,0,IF($B57&lt;=Inputs!$C$28,0,IF($B57&gt;=INDEX(LE_Curves!$H$5:$H$205,201),INDEX(LE_Curves!$B$5:$B$205,201),INDEX(LE_Curves!$B$5:$B$205,MATCH($B57,LE_Curves!$H$5:$H$205,1))+($B57-INDEX(LE_Curves!$H$5:$H$205,MATCH($B57,LE_Curves!$H$5:$H$205,1)))*(INDEX(LE_Curves!$B$5:$B$205,MATCH($B57,LE_Curves!$H$5:$H$205,1)+1)-INDEX(LE_Curves!$B$5:$B$205,MATCH($B57,LE_Curves!$H$5:$H$205,1)))/(INDEX(LE_Curves!$H$5:$H$205,MATCH($B57,LE_Curves!$H$5:$H$205,1)+1)-INDEX(LE_Curves!$H$5:$H$205,MATCH($B57,LE_Curves!$H$5:$H$205,1))))))</f>
        <v/>
      </c>
      <c r="I57" s="11">
        <f>IF(Inputs!$D$29=0,0,IF($B57&lt;=Inputs!$C$29,0,IF($B57&gt;=INDEX(LE_Curves!$I$5:$I$205,201),INDEX(LE_Curves!$B$5:$B$205,201),INDEX(LE_Curves!$B$5:$B$205,MATCH($B57,LE_Curves!$I$5:$I$205,1))+($B57-INDEX(LE_Curves!$I$5:$I$205,MATCH($B57,LE_Curves!$I$5:$I$205,1)))*(INDEX(LE_Curves!$B$5:$B$205,MATCH($B57,LE_Curves!$I$5:$I$205,1)+1)-INDEX(LE_Curves!$B$5:$B$205,MATCH($B57,LE_Curves!$I$5:$I$205,1)))/(INDEX(LE_Curves!$I$5:$I$205,MATCH($B57,LE_Curves!$I$5:$I$205,1)+1)-INDEX(LE_Curves!$I$5:$I$205,MATCH($B57,LE_Curves!$I$5:$I$205,1))))))</f>
        <v/>
      </c>
      <c r="J57" s="11">
        <f>IF(Inputs!$D$30=0,0,IF($B57&lt;=Inputs!$C$30,0,IF($B57&gt;=INDEX(LE_Curves!$J$5:$J$205,201),INDEX(LE_Curves!$B$5:$B$205,201),INDEX(LE_Curves!$B$5:$B$205,MATCH($B57,LE_Curves!$J$5:$J$205,1))+($B57-INDEX(LE_Curves!$J$5:$J$205,MATCH($B57,LE_Curves!$J$5:$J$205,1)))*(INDEX(LE_Curves!$B$5:$B$205,MATCH($B57,LE_Curves!$J$5:$J$205,1)+1)-INDEX(LE_Curves!$B$5:$B$205,MATCH($B57,LE_Curves!$J$5:$J$205,1)))/(INDEX(LE_Curves!$J$5:$J$205,MATCH($B57,LE_Curves!$J$5:$J$205,1)+1)-INDEX(LE_Curves!$J$5:$J$205,MATCH($B57,LE_Curves!$J$5:$J$205,1))))))</f>
        <v/>
      </c>
      <c r="K57" s="11">
        <f>IF(Inputs!$D$31=0,0,IF($B57&lt;=Inputs!$C$31,0,IF($B57&gt;=INDEX(LE_Curves!$K$5:$K$205,201),INDEX(LE_Curves!$B$5:$B$205,201),INDEX(LE_Curves!$B$5:$B$205,MATCH($B57,LE_Curves!$K$5:$K$205,1))+($B57-INDEX(LE_Curves!$K$5:$K$205,MATCH($B57,LE_Curves!$K$5:$K$205,1)))*(INDEX(LE_Curves!$B$5:$B$205,MATCH($B57,LE_Curves!$K$5:$K$205,1)+1)-INDEX(LE_Curves!$B$5:$B$205,MATCH($B57,LE_Curves!$K$5:$K$205,1)))/(INDEX(LE_Curves!$K$5:$K$205,MATCH($B57,LE_Curves!$K$5:$K$205,1)+1)-INDEX(LE_Curves!$K$5:$K$205,MATCH($B57,LE_Curves!$K$5:$K$205,1))))))</f>
        <v/>
      </c>
      <c r="L57" s="11">
        <f>IF(Inputs!$D$32=0,0,IF($B57&lt;=Inputs!$C$32,0,IF($B57&gt;=INDEX(LE_Curves!$L$5:$L$205,201),INDEX(LE_Curves!$B$5:$B$205,201),INDEX(LE_Curves!$B$5:$B$205,MATCH($B57,LE_Curves!$L$5:$L$205,1))+($B57-INDEX(LE_Curves!$L$5:$L$205,MATCH($B57,LE_Curves!$L$5:$L$205,1)))*(INDEX(LE_Curves!$B$5:$B$205,MATCH($B57,LE_Curves!$L$5:$L$205,1)+1)-INDEX(LE_Curves!$B$5:$B$205,MATCH($B57,LE_Curves!$L$5:$L$205,1)))/(INDEX(LE_Curves!$L$5:$L$205,MATCH($B57,LE_Curves!$L$5:$L$205,1)+1)-INDEX(LE_Curves!$L$5:$L$205,MATCH($B57,LE_Curves!$L$5:$L$205,1))))))</f>
        <v/>
      </c>
      <c r="M57" s="11">
        <f>IF(Inputs!$D$33=0,0,IF($B57&lt;=Inputs!$C$33,0,IF($B57&gt;=INDEX(LE_Curves!$M$5:$M$205,201),INDEX(LE_Curves!$B$5:$B$205,201),INDEX(LE_Curves!$B$5:$B$205,MATCH($B57,LE_Curves!$M$5:$M$205,1))+($B57-INDEX(LE_Curves!$M$5:$M$205,MATCH($B57,LE_Curves!$M$5:$M$205,1)))*(INDEX(LE_Curves!$B$5:$B$205,MATCH($B57,LE_Curves!$M$5:$M$205,1)+1)-INDEX(LE_Curves!$B$5:$B$205,MATCH($B57,LE_Curves!$M$5:$M$205,1)))/(INDEX(LE_Curves!$M$5:$M$205,MATCH($B57,LE_Curves!$M$5:$M$205,1)+1)-INDEX(LE_Curves!$M$5:$M$205,MATCH($B57,LE_Curves!$M$5:$M$205,1))))))</f>
        <v/>
      </c>
      <c r="N57" s="11">
        <f>IF(Inputs!$D$34=0,0,IF($B57&lt;=Inputs!$C$34,0,IF($B57&gt;=INDEX(LE_Curves!$N$5:$N$205,201),INDEX(LE_Curves!$B$5:$B$205,201),INDEX(LE_Curves!$B$5:$B$205,MATCH($B57,LE_Curves!$N$5:$N$205,1))+($B57-INDEX(LE_Curves!$N$5:$N$205,MATCH($B57,LE_Curves!$N$5:$N$205,1)))*(INDEX(LE_Curves!$B$5:$B$205,MATCH($B57,LE_Curves!$N$5:$N$205,1)+1)-INDEX(LE_Curves!$B$5:$B$205,MATCH($B57,LE_Curves!$N$5:$N$205,1)))/(INDEX(LE_Curves!$N$5:$N$205,MATCH($B57,LE_Curves!$N$5:$N$205,1)+1)-INDEX(LE_Curves!$N$5:$N$205,MATCH($B57,LE_Curves!$N$5:$N$205,1))))))</f>
        <v/>
      </c>
      <c r="O57" s="11">
        <f>SUM(C57:N57)</f>
        <v/>
      </c>
      <c r="Q57" s="7" t="n">
        <v>26</v>
      </c>
      <c r="R57" s="23">
        <f>$B$6+($B$7-$B$6)*Q57/200</f>
        <v/>
      </c>
      <c r="S57" s="11">
        <f>IF(Inputs!$D$23=0,0,IF($R57&lt;=Inputs!$C$23,0,IF($R57&gt;=INDEX(LE_Curves!$C$5:$C$205,201),INDEX(LE_Curves!$B$5:$B$205,201),INDEX(LE_Curves!$B$5:$B$205,MATCH($R57,LE_Curves!$C$5:$C$205,1))+($R57-INDEX(LE_Curves!$C$5:$C$205,MATCH($R57,LE_Curves!$C$5:$C$205,1)))*(INDEX(LE_Curves!$B$5:$B$205,MATCH($R57,LE_Curves!$C$5:$C$205,1)+1)-INDEX(LE_Curves!$B$5:$B$205,MATCH($R57,LE_Curves!$C$5:$C$205,1)))/(INDEX(LE_Curves!$C$5:$C$205,MATCH($R57,LE_Curves!$C$5:$C$205,1)+1)-INDEX(LE_Curves!$C$5:$C$205,MATCH($R57,LE_Curves!$C$5:$C$205,1))))))</f>
        <v/>
      </c>
      <c r="T57" s="11">
        <f>IF(Inputs!$D$24=0,0,IF($R57&lt;=Inputs!$C$24,0,IF($R57&gt;=INDEX(LE_Curves!$D$5:$D$205,201),INDEX(LE_Curves!$B$5:$B$205,201),INDEX(LE_Curves!$B$5:$B$205,MATCH($R57,LE_Curves!$D$5:$D$205,1))+($R57-INDEX(LE_Curves!$D$5:$D$205,MATCH($R57,LE_Curves!$D$5:$D$205,1)))*(INDEX(LE_Curves!$B$5:$B$205,MATCH($R57,LE_Curves!$D$5:$D$205,1)+1)-INDEX(LE_Curves!$B$5:$B$205,MATCH($R57,LE_Curves!$D$5:$D$205,1)))/(INDEX(LE_Curves!$D$5:$D$205,MATCH($R57,LE_Curves!$D$5:$D$205,1)+1)-INDEX(LE_Curves!$D$5:$D$205,MATCH($R57,LE_Curves!$D$5:$D$205,1))))))</f>
        <v/>
      </c>
      <c r="U57" s="11">
        <f>IF(Inputs!$D$25=0,0,IF($R57&lt;=Inputs!$C$25,0,IF($R57&gt;=INDEX(LE_Curves!$E$5:$E$205,201),INDEX(LE_Curves!$B$5:$B$205,201),INDEX(LE_Curves!$B$5:$B$205,MATCH($R57,LE_Curves!$E$5:$E$205,1))+($R57-INDEX(LE_Curves!$E$5:$E$205,MATCH($R57,LE_Curves!$E$5:$E$205,1)))*(INDEX(LE_Curves!$B$5:$B$205,MATCH($R57,LE_Curves!$E$5:$E$205,1)+1)-INDEX(LE_Curves!$B$5:$B$205,MATCH($R57,LE_Curves!$E$5:$E$205,1)))/(INDEX(LE_Curves!$E$5:$E$205,MATCH($R57,LE_Curves!$E$5:$E$205,1)+1)-INDEX(LE_Curves!$E$5:$E$205,MATCH($R57,LE_Curves!$E$5:$E$205,1))))))</f>
        <v/>
      </c>
      <c r="V57" s="11">
        <f>IF(Inputs!$D$26=0,0,IF($R57&lt;=Inputs!$C$26,0,IF($R57&gt;=INDEX(LE_Curves!$F$5:$F$205,201),INDEX(LE_Curves!$B$5:$B$205,201),INDEX(LE_Curves!$B$5:$B$205,MATCH($R57,LE_Curves!$F$5:$F$205,1))+($R57-INDEX(LE_Curves!$F$5:$F$205,MATCH($R57,LE_Curves!$F$5:$F$205,1)))*(INDEX(LE_Curves!$B$5:$B$205,MATCH($R57,LE_Curves!$F$5:$F$205,1)+1)-INDEX(LE_Curves!$B$5:$B$205,MATCH($R57,LE_Curves!$F$5:$F$205,1)))/(INDEX(LE_Curves!$F$5:$F$205,MATCH($R57,LE_Curves!$F$5:$F$205,1)+1)-INDEX(LE_Curves!$F$5:$F$205,MATCH($R57,LE_Curves!$F$5:$F$205,1))))))</f>
        <v/>
      </c>
      <c r="W57" s="11">
        <f>IF(Inputs!$D$27=0,0,IF($R57&lt;=Inputs!$C$27,0,IF($R57&gt;=INDEX(LE_Curves!$G$5:$G$205,201),INDEX(LE_Curves!$B$5:$B$205,201),INDEX(LE_Curves!$B$5:$B$205,MATCH($R57,LE_Curves!$G$5:$G$205,1))+($R57-INDEX(LE_Curves!$G$5:$G$205,MATCH($R57,LE_Curves!$G$5:$G$205,1)))*(INDEX(LE_Curves!$B$5:$B$205,MATCH($R57,LE_Curves!$G$5:$G$205,1)+1)-INDEX(LE_Curves!$B$5:$B$205,MATCH($R57,LE_Curves!$G$5:$G$205,1)))/(INDEX(LE_Curves!$G$5:$G$205,MATCH($R57,LE_Curves!$G$5:$G$205,1)+1)-INDEX(LE_Curves!$G$5:$G$205,MATCH($R57,LE_Curves!$G$5:$G$205,1))))))</f>
        <v/>
      </c>
      <c r="X57" s="11">
        <f>IF(Inputs!$D$28=0,0,IF($R57&lt;=Inputs!$C$28,0,IF($R57&gt;=INDEX(LE_Curves!$H$5:$H$205,201),INDEX(LE_Curves!$B$5:$B$205,201),INDEX(LE_Curves!$B$5:$B$205,MATCH($R57,LE_Curves!$H$5:$H$205,1))+($R57-INDEX(LE_Curves!$H$5:$H$205,MATCH($R57,LE_Curves!$H$5:$H$205,1)))*(INDEX(LE_Curves!$B$5:$B$205,MATCH($R57,LE_Curves!$H$5:$H$205,1)+1)-INDEX(LE_Curves!$B$5:$B$205,MATCH($R57,LE_Curves!$H$5:$H$205,1)))/(INDEX(LE_Curves!$H$5:$H$205,MATCH($R57,LE_Curves!$H$5:$H$205,1)+1)-INDEX(LE_Curves!$H$5:$H$205,MATCH($R57,LE_Curves!$H$5:$H$205,1))))))</f>
        <v/>
      </c>
      <c r="Y57" s="11">
        <f>IF(Inputs!$D$29=0,0,IF($R57&lt;=Inputs!$C$29,0,IF($R57&gt;=INDEX(LE_Curves!$I$5:$I$205,201),INDEX(LE_Curves!$B$5:$B$205,201),INDEX(LE_Curves!$B$5:$B$205,MATCH($R57,LE_Curves!$I$5:$I$205,1))+($R57-INDEX(LE_Curves!$I$5:$I$205,MATCH($R57,LE_Curves!$I$5:$I$205,1)))*(INDEX(LE_Curves!$B$5:$B$205,MATCH($R57,LE_Curves!$I$5:$I$205,1)+1)-INDEX(LE_Curves!$B$5:$B$205,MATCH($R57,LE_Curves!$I$5:$I$205,1)))/(INDEX(LE_Curves!$I$5:$I$205,MATCH($R57,LE_Curves!$I$5:$I$205,1)+1)-INDEX(LE_Curves!$I$5:$I$205,MATCH($R57,LE_Curves!$I$5:$I$205,1))))))</f>
        <v/>
      </c>
      <c r="Z57" s="11">
        <f>IF(Inputs!$D$30=0,0,IF($R57&lt;=Inputs!$C$30,0,IF($R57&gt;=INDEX(LE_Curves!$J$5:$J$205,201),INDEX(LE_Curves!$B$5:$B$205,201),INDEX(LE_Curves!$B$5:$B$205,MATCH($R57,LE_Curves!$J$5:$J$205,1))+($R57-INDEX(LE_Curves!$J$5:$J$205,MATCH($R57,LE_Curves!$J$5:$J$205,1)))*(INDEX(LE_Curves!$B$5:$B$205,MATCH($R57,LE_Curves!$J$5:$J$205,1)+1)-INDEX(LE_Curves!$B$5:$B$205,MATCH($R57,LE_Curves!$J$5:$J$205,1)))/(INDEX(LE_Curves!$J$5:$J$205,MATCH($R57,LE_Curves!$J$5:$J$205,1)+1)-INDEX(LE_Curves!$J$5:$J$205,MATCH($R57,LE_Curves!$J$5:$J$205,1))))))</f>
        <v/>
      </c>
      <c r="AA57" s="11">
        <f>IF(Inputs!$D$31=0,0,IF($R57&lt;=Inputs!$C$31,0,IF($R57&gt;=INDEX(LE_Curves!$K$5:$K$205,201),INDEX(LE_Curves!$B$5:$B$205,201),INDEX(LE_Curves!$B$5:$B$205,MATCH($R57,LE_Curves!$K$5:$K$205,1))+($R57-INDEX(LE_Curves!$K$5:$K$205,MATCH($R57,LE_Curves!$K$5:$K$205,1)))*(INDEX(LE_Curves!$B$5:$B$205,MATCH($R57,LE_Curves!$K$5:$K$205,1)+1)-INDEX(LE_Curves!$B$5:$B$205,MATCH($R57,LE_Curves!$K$5:$K$205,1)))/(INDEX(LE_Curves!$K$5:$K$205,MATCH($R57,LE_Curves!$K$5:$K$205,1)+1)-INDEX(LE_Curves!$K$5:$K$205,MATCH($R57,LE_Curves!$K$5:$K$205,1))))))</f>
        <v/>
      </c>
      <c r="AB57" s="11">
        <f>IF(Inputs!$D$32=0,0,IF($R57&lt;=Inputs!$C$32,0,IF($R57&gt;=INDEX(LE_Curves!$L$5:$L$205,201),INDEX(LE_Curves!$B$5:$B$205,201),INDEX(LE_Curves!$B$5:$B$205,MATCH($R57,LE_Curves!$L$5:$L$205,1))+($R57-INDEX(LE_Curves!$L$5:$L$205,MATCH($R57,LE_Curves!$L$5:$L$205,1)))*(INDEX(LE_Curves!$B$5:$B$205,MATCH($R57,LE_Curves!$L$5:$L$205,1)+1)-INDEX(LE_Curves!$B$5:$B$205,MATCH($R57,LE_Curves!$L$5:$L$205,1)))/(INDEX(LE_Curves!$L$5:$L$205,MATCH($R57,LE_Curves!$L$5:$L$205,1)+1)-INDEX(LE_Curves!$L$5:$L$205,MATCH($R57,LE_Curves!$L$5:$L$205,1))))))</f>
        <v/>
      </c>
      <c r="AC57" s="11">
        <f>IF(Inputs!$D$33=0,0,IF($R57&lt;=Inputs!$C$33,0,IF($R57&gt;=INDEX(LE_Curves!$M$5:$M$205,201),INDEX(LE_Curves!$B$5:$B$205,201),INDEX(LE_Curves!$B$5:$B$205,MATCH($R57,LE_Curves!$M$5:$M$205,1))+($R57-INDEX(LE_Curves!$M$5:$M$205,MATCH($R57,LE_Curves!$M$5:$M$205,1)))*(INDEX(LE_Curves!$B$5:$B$205,MATCH($R57,LE_Curves!$M$5:$M$205,1)+1)-INDEX(LE_Curves!$B$5:$B$205,MATCH($R57,LE_Curves!$M$5:$M$205,1)))/(INDEX(LE_Curves!$M$5:$M$205,MATCH($R57,LE_Curves!$M$5:$M$205,1)+1)-INDEX(LE_Curves!$M$5:$M$205,MATCH($R57,LE_Curves!$M$5:$M$205,1))))))</f>
        <v/>
      </c>
      <c r="AD57" s="11">
        <f>IF(Inputs!$D$34=0,0,IF($R57&lt;=Inputs!$C$34,0,IF($R57&gt;=INDEX(LE_Curves!$N$5:$N$205,201),INDEX(LE_Curves!$B$5:$B$205,201),INDEX(LE_Curves!$B$5:$B$205,MATCH($R57,LE_Curves!$N$5:$N$205,1))+($R57-INDEX(LE_Curves!$N$5:$N$205,MATCH($R57,LE_Curves!$N$5:$N$205,1)))*(INDEX(LE_Curves!$B$5:$B$205,MATCH($R57,LE_Curves!$N$5:$N$205,1)+1)-INDEX(LE_Curves!$B$5:$B$205,MATCH($R57,LE_Curves!$N$5:$N$205,1)))/(INDEX(LE_Curves!$N$5:$N$205,MATCH($R57,LE_Curves!$N$5:$N$205,1)+1)-INDEX(LE_Curves!$N$5:$N$205,MATCH($R57,LE_Curves!$N$5:$N$205,1))))))</f>
        <v/>
      </c>
      <c r="AE57" s="37">
        <f>SUM(S57:AD57)</f>
        <v/>
      </c>
    </row>
    <row r="58">
      <c r="A58" s="7" t="n">
        <v>27</v>
      </c>
      <c r="B58" s="37">
        <f>$B$3+($B$4-$B$3)*A58/200</f>
        <v/>
      </c>
      <c r="C58" s="11">
        <f>IF(Inputs!$D$23=0,0,IF($B58&lt;=Inputs!$C$23,0,IF($B58&gt;=INDEX(LE_Curves!$C$5:$C$205,201),INDEX(LE_Curves!$B$5:$B$205,201),INDEX(LE_Curves!$B$5:$B$205,MATCH($B58,LE_Curves!$C$5:$C$205,1))+($B58-INDEX(LE_Curves!$C$5:$C$205,MATCH($B58,LE_Curves!$C$5:$C$205,1)))*(INDEX(LE_Curves!$B$5:$B$205,MATCH($B58,LE_Curves!$C$5:$C$205,1)+1)-INDEX(LE_Curves!$B$5:$B$205,MATCH($B58,LE_Curves!$C$5:$C$205,1)))/(INDEX(LE_Curves!$C$5:$C$205,MATCH($B58,LE_Curves!$C$5:$C$205,1)+1)-INDEX(LE_Curves!$C$5:$C$205,MATCH($B58,LE_Curves!$C$5:$C$205,1))))))</f>
        <v/>
      </c>
      <c r="D58" s="11">
        <f>IF(Inputs!$D$24=0,0,IF($B58&lt;=Inputs!$C$24,0,IF($B58&gt;=INDEX(LE_Curves!$D$5:$D$205,201),INDEX(LE_Curves!$B$5:$B$205,201),INDEX(LE_Curves!$B$5:$B$205,MATCH($B58,LE_Curves!$D$5:$D$205,1))+($B58-INDEX(LE_Curves!$D$5:$D$205,MATCH($B58,LE_Curves!$D$5:$D$205,1)))*(INDEX(LE_Curves!$B$5:$B$205,MATCH($B58,LE_Curves!$D$5:$D$205,1)+1)-INDEX(LE_Curves!$B$5:$B$205,MATCH($B58,LE_Curves!$D$5:$D$205,1)))/(INDEX(LE_Curves!$D$5:$D$205,MATCH($B58,LE_Curves!$D$5:$D$205,1)+1)-INDEX(LE_Curves!$D$5:$D$205,MATCH($B58,LE_Curves!$D$5:$D$205,1))))))</f>
        <v/>
      </c>
      <c r="E58" s="11">
        <f>IF(Inputs!$D$25=0,0,IF($B58&lt;=Inputs!$C$25,0,IF($B58&gt;=INDEX(LE_Curves!$E$5:$E$205,201),INDEX(LE_Curves!$B$5:$B$205,201),INDEX(LE_Curves!$B$5:$B$205,MATCH($B58,LE_Curves!$E$5:$E$205,1))+($B58-INDEX(LE_Curves!$E$5:$E$205,MATCH($B58,LE_Curves!$E$5:$E$205,1)))*(INDEX(LE_Curves!$B$5:$B$205,MATCH($B58,LE_Curves!$E$5:$E$205,1)+1)-INDEX(LE_Curves!$B$5:$B$205,MATCH($B58,LE_Curves!$E$5:$E$205,1)))/(INDEX(LE_Curves!$E$5:$E$205,MATCH($B58,LE_Curves!$E$5:$E$205,1)+1)-INDEX(LE_Curves!$E$5:$E$205,MATCH($B58,LE_Curves!$E$5:$E$205,1))))))</f>
        <v/>
      </c>
      <c r="F58" s="11">
        <f>IF(Inputs!$D$26=0,0,IF($B58&lt;=Inputs!$C$26,0,IF($B58&gt;=INDEX(LE_Curves!$F$5:$F$205,201),INDEX(LE_Curves!$B$5:$B$205,201),INDEX(LE_Curves!$B$5:$B$205,MATCH($B58,LE_Curves!$F$5:$F$205,1))+($B58-INDEX(LE_Curves!$F$5:$F$205,MATCH($B58,LE_Curves!$F$5:$F$205,1)))*(INDEX(LE_Curves!$B$5:$B$205,MATCH($B58,LE_Curves!$F$5:$F$205,1)+1)-INDEX(LE_Curves!$B$5:$B$205,MATCH($B58,LE_Curves!$F$5:$F$205,1)))/(INDEX(LE_Curves!$F$5:$F$205,MATCH($B58,LE_Curves!$F$5:$F$205,1)+1)-INDEX(LE_Curves!$F$5:$F$205,MATCH($B58,LE_Curves!$F$5:$F$205,1))))))</f>
        <v/>
      </c>
      <c r="G58" s="11">
        <f>IF(Inputs!$D$27=0,0,IF($B58&lt;=Inputs!$C$27,0,IF($B58&gt;=INDEX(LE_Curves!$G$5:$G$205,201),INDEX(LE_Curves!$B$5:$B$205,201),INDEX(LE_Curves!$B$5:$B$205,MATCH($B58,LE_Curves!$G$5:$G$205,1))+($B58-INDEX(LE_Curves!$G$5:$G$205,MATCH($B58,LE_Curves!$G$5:$G$205,1)))*(INDEX(LE_Curves!$B$5:$B$205,MATCH($B58,LE_Curves!$G$5:$G$205,1)+1)-INDEX(LE_Curves!$B$5:$B$205,MATCH($B58,LE_Curves!$G$5:$G$205,1)))/(INDEX(LE_Curves!$G$5:$G$205,MATCH($B58,LE_Curves!$G$5:$G$205,1)+1)-INDEX(LE_Curves!$G$5:$G$205,MATCH($B58,LE_Curves!$G$5:$G$205,1))))))</f>
        <v/>
      </c>
      <c r="H58" s="11">
        <f>IF(Inputs!$D$28=0,0,IF($B58&lt;=Inputs!$C$28,0,IF($B58&gt;=INDEX(LE_Curves!$H$5:$H$205,201),INDEX(LE_Curves!$B$5:$B$205,201),INDEX(LE_Curves!$B$5:$B$205,MATCH($B58,LE_Curves!$H$5:$H$205,1))+($B58-INDEX(LE_Curves!$H$5:$H$205,MATCH($B58,LE_Curves!$H$5:$H$205,1)))*(INDEX(LE_Curves!$B$5:$B$205,MATCH($B58,LE_Curves!$H$5:$H$205,1)+1)-INDEX(LE_Curves!$B$5:$B$205,MATCH($B58,LE_Curves!$H$5:$H$205,1)))/(INDEX(LE_Curves!$H$5:$H$205,MATCH($B58,LE_Curves!$H$5:$H$205,1)+1)-INDEX(LE_Curves!$H$5:$H$205,MATCH($B58,LE_Curves!$H$5:$H$205,1))))))</f>
        <v/>
      </c>
      <c r="I58" s="11">
        <f>IF(Inputs!$D$29=0,0,IF($B58&lt;=Inputs!$C$29,0,IF($B58&gt;=INDEX(LE_Curves!$I$5:$I$205,201),INDEX(LE_Curves!$B$5:$B$205,201),INDEX(LE_Curves!$B$5:$B$205,MATCH($B58,LE_Curves!$I$5:$I$205,1))+($B58-INDEX(LE_Curves!$I$5:$I$205,MATCH($B58,LE_Curves!$I$5:$I$205,1)))*(INDEX(LE_Curves!$B$5:$B$205,MATCH($B58,LE_Curves!$I$5:$I$205,1)+1)-INDEX(LE_Curves!$B$5:$B$205,MATCH($B58,LE_Curves!$I$5:$I$205,1)))/(INDEX(LE_Curves!$I$5:$I$205,MATCH($B58,LE_Curves!$I$5:$I$205,1)+1)-INDEX(LE_Curves!$I$5:$I$205,MATCH($B58,LE_Curves!$I$5:$I$205,1))))))</f>
        <v/>
      </c>
      <c r="J58" s="11">
        <f>IF(Inputs!$D$30=0,0,IF($B58&lt;=Inputs!$C$30,0,IF($B58&gt;=INDEX(LE_Curves!$J$5:$J$205,201),INDEX(LE_Curves!$B$5:$B$205,201),INDEX(LE_Curves!$B$5:$B$205,MATCH($B58,LE_Curves!$J$5:$J$205,1))+($B58-INDEX(LE_Curves!$J$5:$J$205,MATCH($B58,LE_Curves!$J$5:$J$205,1)))*(INDEX(LE_Curves!$B$5:$B$205,MATCH($B58,LE_Curves!$J$5:$J$205,1)+1)-INDEX(LE_Curves!$B$5:$B$205,MATCH($B58,LE_Curves!$J$5:$J$205,1)))/(INDEX(LE_Curves!$J$5:$J$205,MATCH($B58,LE_Curves!$J$5:$J$205,1)+1)-INDEX(LE_Curves!$J$5:$J$205,MATCH($B58,LE_Curves!$J$5:$J$205,1))))))</f>
        <v/>
      </c>
      <c r="K58" s="11">
        <f>IF(Inputs!$D$31=0,0,IF($B58&lt;=Inputs!$C$31,0,IF($B58&gt;=INDEX(LE_Curves!$K$5:$K$205,201),INDEX(LE_Curves!$B$5:$B$205,201),INDEX(LE_Curves!$B$5:$B$205,MATCH($B58,LE_Curves!$K$5:$K$205,1))+($B58-INDEX(LE_Curves!$K$5:$K$205,MATCH($B58,LE_Curves!$K$5:$K$205,1)))*(INDEX(LE_Curves!$B$5:$B$205,MATCH($B58,LE_Curves!$K$5:$K$205,1)+1)-INDEX(LE_Curves!$B$5:$B$205,MATCH($B58,LE_Curves!$K$5:$K$205,1)))/(INDEX(LE_Curves!$K$5:$K$205,MATCH($B58,LE_Curves!$K$5:$K$205,1)+1)-INDEX(LE_Curves!$K$5:$K$205,MATCH($B58,LE_Curves!$K$5:$K$205,1))))))</f>
        <v/>
      </c>
      <c r="L58" s="11">
        <f>IF(Inputs!$D$32=0,0,IF($B58&lt;=Inputs!$C$32,0,IF($B58&gt;=INDEX(LE_Curves!$L$5:$L$205,201),INDEX(LE_Curves!$B$5:$B$205,201),INDEX(LE_Curves!$B$5:$B$205,MATCH($B58,LE_Curves!$L$5:$L$205,1))+($B58-INDEX(LE_Curves!$L$5:$L$205,MATCH($B58,LE_Curves!$L$5:$L$205,1)))*(INDEX(LE_Curves!$B$5:$B$205,MATCH($B58,LE_Curves!$L$5:$L$205,1)+1)-INDEX(LE_Curves!$B$5:$B$205,MATCH($B58,LE_Curves!$L$5:$L$205,1)))/(INDEX(LE_Curves!$L$5:$L$205,MATCH($B58,LE_Curves!$L$5:$L$205,1)+1)-INDEX(LE_Curves!$L$5:$L$205,MATCH($B58,LE_Curves!$L$5:$L$205,1))))))</f>
        <v/>
      </c>
      <c r="M58" s="11">
        <f>IF(Inputs!$D$33=0,0,IF($B58&lt;=Inputs!$C$33,0,IF($B58&gt;=INDEX(LE_Curves!$M$5:$M$205,201),INDEX(LE_Curves!$B$5:$B$205,201),INDEX(LE_Curves!$B$5:$B$205,MATCH($B58,LE_Curves!$M$5:$M$205,1))+($B58-INDEX(LE_Curves!$M$5:$M$205,MATCH($B58,LE_Curves!$M$5:$M$205,1)))*(INDEX(LE_Curves!$B$5:$B$205,MATCH($B58,LE_Curves!$M$5:$M$205,1)+1)-INDEX(LE_Curves!$B$5:$B$205,MATCH($B58,LE_Curves!$M$5:$M$205,1)))/(INDEX(LE_Curves!$M$5:$M$205,MATCH($B58,LE_Curves!$M$5:$M$205,1)+1)-INDEX(LE_Curves!$M$5:$M$205,MATCH($B58,LE_Curves!$M$5:$M$205,1))))))</f>
        <v/>
      </c>
      <c r="N58" s="11">
        <f>IF(Inputs!$D$34=0,0,IF($B58&lt;=Inputs!$C$34,0,IF($B58&gt;=INDEX(LE_Curves!$N$5:$N$205,201),INDEX(LE_Curves!$B$5:$B$205,201),INDEX(LE_Curves!$B$5:$B$205,MATCH($B58,LE_Curves!$N$5:$N$205,1))+($B58-INDEX(LE_Curves!$N$5:$N$205,MATCH($B58,LE_Curves!$N$5:$N$205,1)))*(INDEX(LE_Curves!$B$5:$B$205,MATCH($B58,LE_Curves!$N$5:$N$205,1)+1)-INDEX(LE_Curves!$B$5:$B$205,MATCH($B58,LE_Curves!$N$5:$N$205,1)))/(INDEX(LE_Curves!$N$5:$N$205,MATCH($B58,LE_Curves!$N$5:$N$205,1)+1)-INDEX(LE_Curves!$N$5:$N$205,MATCH($B58,LE_Curves!$N$5:$N$205,1))))))</f>
        <v/>
      </c>
      <c r="O58" s="11">
        <f>SUM(C58:N58)</f>
        <v/>
      </c>
      <c r="Q58" s="7" t="n">
        <v>27</v>
      </c>
      <c r="R58" s="23">
        <f>$B$6+($B$7-$B$6)*Q58/200</f>
        <v/>
      </c>
      <c r="S58" s="11">
        <f>IF(Inputs!$D$23=0,0,IF($R58&lt;=Inputs!$C$23,0,IF($R58&gt;=INDEX(LE_Curves!$C$5:$C$205,201),INDEX(LE_Curves!$B$5:$B$205,201),INDEX(LE_Curves!$B$5:$B$205,MATCH($R58,LE_Curves!$C$5:$C$205,1))+($R58-INDEX(LE_Curves!$C$5:$C$205,MATCH($R58,LE_Curves!$C$5:$C$205,1)))*(INDEX(LE_Curves!$B$5:$B$205,MATCH($R58,LE_Curves!$C$5:$C$205,1)+1)-INDEX(LE_Curves!$B$5:$B$205,MATCH($R58,LE_Curves!$C$5:$C$205,1)))/(INDEX(LE_Curves!$C$5:$C$205,MATCH($R58,LE_Curves!$C$5:$C$205,1)+1)-INDEX(LE_Curves!$C$5:$C$205,MATCH($R58,LE_Curves!$C$5:$C$205,1))))))</f>
        <v/>
      </c>
      <c r="T58" s="11">
        <f>IF(Inputs!$D$24=0,0,IF($R58&lt;=Inputs!$C$24,0,IF($R58&gt;=INDEX(LE_Curves!$D$5:$D$205,201),INDEX(LE_Curves!$B$5:$B$205,201),INDEX(LE_Curves!$B$5:$B$205,MATCH($R58,LE_Curves!$D$5:$D$205,1))+($R58-INDEX(LE_Curves!$D$5:$D$205,MATCH($R58,LE_Curves!$D$5:$D$205,1)))*(INDEX(LE_Curves!$B$5:$B$205,MATCH($R58,LE_Curves!$D$5:$D$205,1)+1)-INDEX(LE_Curves!$B$5:$B$205,MATCH($R58,LE_Curves!$D$5:$D$205,1)))/(INDEX(LE_Curves!$D$5:$D$205,MATCH($R58,LE_Curves!$D$5:$D$205,1)+1)-INDEX(LE_Curves!$D$5:$D$205,MATCH($R58,LE_Curves!$D$5:$D$205,1))))))</f>
        <v/>
      </c>
      <c r="U58" s="11">
        <f>IF(Inputs!$D$25=0,0,IF($R58&lt;=Inputs!$C$25,0,IF($R58&gt;=INDEX(LE_Curves!$E$5:$E$205,201),INDEX(LE_Curves!$B$5:$B$205,201),INDEX(LE_Curves!$B$5:$B$205,MATCH($R58,LE_Curves!$E$5:$E$205,1))+($R58-INDEX(LE_Curves!$E$5:$E$205,MATCH($R58,LE_Curves!$E$5:$E$205,1)))*(INDEX(LE_Curves!$B$5:$B$205,MATCH($R58,LE_Curves!$E$5:$E$205,1)+1)-INDEX(LE_Curves!$B$5:$B$205,MATCH($R58,LE_Curves!$E$5:$E$205,1)))/(INDEX(LE_Curves!$E$5:$E$205,MATCH($R58,LE_Curves!$E$5:$E$205,1)+1)-INDEX(LE_Curves!$E$5:$E$205,MATCH($R58,LE_Curves!$E$5:$E$205,1))))))</f>
        <v/>
      </c>
      <c r="V58" s="11">
        <f>IF(Inputs!$D$26=0,0,IF($R58&lt;=Inputs!$C$26,0,IF($R58&gt;=INDEX(LE_Curves!$F$5:$F$205,201),INDEX(LE_Curves!$B$5:$B$205,201),INDEX(LE_Curves!$B$5:$B$205,MATCH($R58,LE_Curves!$F$5:$F$205,1))+($R58-INDEX(LE_Curves!$F$5:$F$205,MATCH($R58,LE_Curves!$F$5:$F$205,1)))*(INDEX(LE_Curves!$B$5:$B$205,MATCH($R58,LE_Curves!$F$5:$F$205,1)+1)-INDEX(LE_Curves!$B$5:$B$205,MATCH($R58,LE_Curves!$F$5:$F$205,1)))/(INDEX(LE_Curves!$F$5:$F$205,MATCH($R58,LE_Curves!$F$5:$F$205,1)+1)-INDEX(LE_Curves!$F$5:$F$205,MATCH($R58,LE_Curves!$F$5:$F$205,1))))))</f>
        <v/>
      </c>
      <c r="W58" s="11">
        <f>IF(Inputs!$D$27=0,0,IF($R58&lt;=Inputs!$C$27,0,IF($R58&gt;=INDEX(LE_Curves!$G$5:$G$205,201),INDEX(LE_Curves!$B$5:$B$205,201),INDEX(LE_Curves!$B$5:$B$205,MATCH($R58,LE_Curves!$G$5:$G$205,1))+($R58-INDEX(LE_Curves!$G$5:$G$205,MATCH($R58,LE_Curves!$G$5:$G$205,1)))*(INDEX(LE_Curves!$B$5:$B$205,MATCH($R58,LE_Curves!$G$5:$G$205,1)+1)-INDEX(LE_Curves!$B$5:$B$205,MATCH($R58,LE_Curves!$G$5:$G$205,1)))/(INDEX(LE_Curves!$G$5:$G$205,MATCH($R58,LE_Curves!$G$5:$G$205,1)+1)-INDEX(LE_Curves!$G$5:$G$205,MATCH($R58,LE_Curves!$G$5:$G$205,1))))))</f>
        <v/>
      </c>
      <c r="X58" s="11">
        <f>IF(Inputs!$D$28=0,0,IF($R58&lt;=Inputs!$C$28,0,IF($R58&gt;=INDEX(LE_Curves!$H$5:$H$205,201),INDEX(LE_Curves!$B$5:$B$205,201),INDEX(LE_Curves!$B$5:$B$205,MATCH($R58,LE_Curves!$H$5:$H$205,1))+($R58-INDEX(LE_Curves!$H$5:$H$205,MATCH($R58,LE_Curves!$H$5:$H$205,1)))*(INDEX(LE_Curves!$B$5:$B$205,MATCH($R58,LE_Curves!$H$5:$H$205,1)+1)-INDEX(LE_Curves!$B$5:$B$205,MATCH($R58,LE_Curves!$H$5:$H$205,1)))/(INDEX(LE_Curves!$H$5:$H$205,MATCH($R58,LE_Curves!$H$5:$H$205,1)+1)-INDEX(LE_Curves!$H$5:$H$205,MATCH($R58,LE_Curves!$H$5:$H$205,1))))))</f>
        <v/>
      </c>
      <c r="Y58" s="11">
        <f>IF(Inputs!$D$29=0,0,IF($R58&lt;=Inputs!$C$29,0,IF($R58&gt;=INDEX(LE_Curves!$I$5:$I$205,201),INDEX(LE_Curves!$B$5:$B$205,201),INDEX(LE_Curves!$B$5:$B$205,MATCH($R58,LE_Curves!$I$5:$I$205,1))+($R58-INDEX(LE_Curves!$I$5:$I$205,MATCH($R58,LE_Curves!$I$5:$I$205,1)))*(INDEX(LE_Curves!$B$5:$B$205,MATCH($R58,LE_Curves!$I$5:$I$205,1)+1)-INDEX(LE_Curves!$B$5:$B$205,MATCH($R58,LE_Curves!$I$5:$I$205,1)))/(INDEX(LE_Curves!$I$5:$I$205,MATCH($R58,LE_Curves!$I$5:$I$205,1)+1)-INDEX(LE_Curves!$I$5:$I$205,MATCH($R58,LE_Curves!$I$5:$I$205,1))))))</f>
        <v/>
      </c>
      <c r="Z58" s="11">
        <f>IF(Inputs!$D$30=0,0,IF($R58&lt;=Inputs!$C$30,0,IF($R58&gt;=INDEX(LE_Curves!$J$5:$J$205,201),INDEX(LE_Curves!$B$5:$B$205,201),INDEX(LE_Curves!$B$5:$B$205,MATCH($R58,LE_Curves!$J$5:$J$205,1))+($R58-INDEX(LE_Curves!$J$5:$J$205,MATCH($R58,LE_Curves!$J$5:$J$205,1)))*(INDEX(LE_Curves!$B$5:$B$205,MATCH($R58,LE_Curves!$J$5:$J$205,1)+1)-INDEX(LE_Curves!$B$5:$B$205,MATCH($R58,LE_Curves!$J$5:$J$205,1)))/(INDEX(LE_Curves!$J$5:$J$205,MATCH($R58,LE_Curves!$J$5:$J$205,1)+1)-INDEX(LE_Curves!$J$5:$J$205,MATCH($R58,LE_Curves!$J$5:$J$205,1))))))</f>
        <v/>
      </c>
      <c r="AA58" s="11">
        <f>IF(Inputs!$D$31=0,0,IF($R58&lt;=Inputs!$C$31,0,IF($R58&gt;=INDEX(LE_Curves!$K$5:$K$205,201),INDEX(LE_Curves!$B$5:$B$205,201),INDEX(LE_Curves!$B$5:$B$205,MATCH($R58,LE_Curves!$K$5:$K$205,1))+($R58-INDEX(LE_Curves!$K$5:$K$205,MATCH($R58,LE_Curves!$K$5:$K$205,1)))*(INDEX(LE_Curves!$B$5:$B$205,MATCH($R58,LE_Curves!$K$5:$K$205,1)+1)-INDEX(LE_Curves!$B$5:$B$205,MATCH($R58,LE_Curves!$K$5:$K$205,1)))/(INDEX(LE_Curves!$K$5:$K$205,MATCH($R58,LE_Curves!$K$5:$K$205,1)+1)-INDEX(LE_Curves!$K$5:$K$205,MATCH($R58,LE_Curves!$K$5:$K$205,1))))))</f>
        <v/>
      </c>
      <c r="AB58" s="11">
        <f>IF(Inputs!$D$32=0,0,IF($R58&lt;=Inputs!$C$32,0,IF($R58&gt;=INDEX(LE_Curves!$L$5:$L$205,201),INDEX(LE_Curves!$B$5:$B$205,201),INDEX(LE_Curves!$B$5:$B$205,MATCH($R58,LE_Curves!$L$5:$L$205,1))+($R58-INDEX(LE_Curves!$L$5:$L$205,MATCH($R58,LE_Curves!$L$5:$L$205,1)))*(INDEX(LE_Curves!$B$5:$B$205,MATCH($R58,LE_Curves!$L$5:$L$205,1)+1)-INDEX(LE_Curves!$B$5:$B$205,MATCH($R58,LE_Curves!$L$5:$L$205,1)))/(INDEX(LE_Curves!$L$5:$L$205,MATCH($R58,LE_Curves!$L$5:$L$205,1)+1)-INDEX(LE_Curves!$L$5:$L$205,MATCH($R58,LE_Curves!$L$5:$L$205,1))))))</f>
        <v/>
      </c>
      <c r="AC58" s="11">
        <f>IF(Inputs!$D$33=0,0,IF($R58&lt;=Inputs!$C$33,0,IF($R58&gt;=INDEX(LE_Curves!$M$5:$M$205,201),INDEX(LE_Curves!$B$5:$B$205,201),INDEX(LE_Curves!$B$5:$B$205,MATCH($R58,LE_Curves!$M$5:$M$205,1))+($R58-INDEX(LE_Curves!$M$5:$M$205,MATCH($R58,LE_Curves!$M$5:$M$205,1)))*(INDEX(LE_Curves!$B$5:$B$205,MATCH($R58,LE_Curves!$M$5:$M$205,1)+1)-INDEX(LE_Curves!$B$5:$B$205,MATCH($R58,LE_Curves!$M$5:$M$205,1)))/(INDEX(LE_Curves!$M$5:$M$205,MATCH($R58,LE_Curves!$M$5:$M$205,1)+1)-INDEX(LE_Curves!$M$5:$M$205,MATCH($R58,LE_Curves!$M$5:$M$205,1))))))</f>
        <v/>
      </c>
      <c r="AD58" s="11">
        <f>IF(Inputs!$D$34=0,0,IF($R58&lt;=Inputs!$C$34,0,IF($R58&gt;=INDEX(LE_Curves!$N$5:$N$205,201),INDEX(LE_Curves!$B$5:$B$205,201),INDEX(LE_Curves!$B$5:$B$205,MATCH($R58,LE_Curves!$N$5:$N$205,1))+($R58-INDEX(LE_Curves!$N$5:$N$205,MATCH($R58,LE_Curves!$N$5:$N$205,1)))*(INDEX(LE_Curves!$B$5:$B$205,MATCH($R58,LE_Curves!$N$5:$N$205,1)+1)-INDEX(LE_Curves!$B$5:$B$205,MATCH($R58,LE_Curves!$N$5:$N$205,1)))/(INDEX(LE_Curves!$N$5:$N$205,MATCH($R58,LE_Curves!$N$5:$N$205,1)+1)-INDEX(LE_Curves!$N$5:$N$205,MATCH($R58,LE_Curves!$N$5:$N$205,1))))))</f>
        <v/>
      </c>
      <c r="AE58" s="37">
        <f>SUM(S58:AD58)</f>
        <v/>
      </c>
    </row>
    <row r="59">
      <c r="A59" s="7" t="n">
        <v>28</v>
      </c>
      <c r="B59" s="37">
        <f>$B$3+($B$4-$B$3)*A59/200</f>
        <v/>
      </c>
      <c r="C59" s="11">
        <f>IF(Inputs!$D$23=0,0,IF($B59&lt;=Inputs!$C$23,0,IF($B59&gt;=INDEX(LE_Curves!$C$5:$C$205,201),INDEX(LE_Curves!$B$5:$B$205,201),INDEX(LE_Curves!$B$5:$B$205,MATCH($B59,LE_Curves!$C$5:$C$205,1))+($B59-INDEX(LE_Curves!$C$5:$C$205,MATCH($B59,LE_Curves!$C$5:$C$205,1)))*(INDEX(LE_Curves!$B$5:$B$205,MATCH($B59,LE_Curves!$C$5:$C$205,1)+1)-INDEX(LE_Curves!$B$5:$B$205,MATCH($B59,LE_Curves!$C$5:$C$205,1)))/(INDEX(LE_Curves!$C$5:$C$205,MATCH($B59,LE_Curves!$C$5:$C$205,1)+1)-INDEX(LE_Curves!$C$5:$C$205,MATCH($B59,LE_Curves!$C$5:$C$205,1))))))</f>
        <v/>
      </c>
      <c r="D59" s="11">
        <f>IF(Inputs!$D$24=0,0,IF($B59&lt;=Inputs!$C$24,0,IF($B59&gt;=INDEX(LE_Curves!$D$5:$D$205,201),INDEX(LE_Curves!$B$5:$B$205,201),INDEX(LE_Curves!$B$5:$B$205,MATCH($B59,LE_Curves!$D$5:$D$205,1))+($B59-INDEX(LE_Curves!$D$5:$D$205,MATCH($B59,LE_Curves!$D$5:$D$205,1)))*(INDEX(LE_Curves!$B$5:$B$205,MATCH($B59,LE_Curves!$D$5:$D$205,1)+1)-INDEX(LE_Curves!$B$5:$B$205,MATCH($B59,LE_Curves!$D$5:$D$205,1)))/(INDEX(LE_Curves!$D$5:$D$205,MATCH($B59,LE_Curves!$D$5:$D$205,1)+1)-INDEX(LE_Curves!$D$5:$D$205,MATCH($B59,LE_Curves!$D$5:$D$205,1))))))</f>
        <v/>
      </c>
      <c r="E59" s="11">
        <f>IF(Inputs!$D$25=0,0,IF($B59&lt;=Inputs!$C$25,0,IF($B59&gt;=INDEX(LE_Curves!$E$5:$E$205,201),INDEX(LE_Curves!$B$5:$B$205,201),INDEX(LE_Curves!$B$5:$B$205,MATCH($B59,LE_Curves!$E$5:$E$205,1))+($B59-INDEX(LE_Curves!$E$5:$E$205,MATCH($B59,LE_Curves!$E$5:$E$205,1)))*(INDEX(LE_Curves!$B$5:$B$205,MATCH($B59,LE_Curves!$E$5:$E$205,1)+1)-INDEX(LE_Curves!$B$5:$B$205,MATCH($B59,LE_Curves!$E$5:$E$205,1)))/(INDEX(LE_Curves!$E$5:$E$205,MATCH($B59,LE_Curves!$E$5:$E$205,1)+1)-INDEX(LE_Curves!$E$5:$E$205,MATCH($B59,LE_Curves!$E$5:$E$205,1))))))</f>
        <v/>
      </c>
      <c r="F59" s="11">
        <f>IF(Inputs!$D$26=0,0,IF($B59&lt;=Inputs!$C$26,0,IF($B59&gt;=INDEX(LE_Curves!$F$5:$F$205,201),INDEX(LE_Curves!$B$5:$B$205,201),INDEX(LE_Curves!$B$5:$B$205,MATCH($B59,LE_Curves!$F$5:$F$205,1))+($B59-INDEX(LE_Curves!$F$5:$F$205,MATCH($B59,LE_Curves!$F$5:$F$205,1)))*(INDEX(LE_Curves!$B$5:$B$205,MATCH($B59,LE_Curves!$F$5:$F$205,1)+1)-INDEX(LE_Curves!$B$5:$B$205,MATCH($B59,LE_Curves!$F$5:$F$205,1)))/(INDEX(LE_Curves!$F$5:$F$205,MATCH($B59,LE_Curves!$F$5:$F$205,1)+1)-INDEX(LE_Curves!$F$5:$F$205,MATCH($B59,LE_Curves!$F$5:$F$205,1))))))</f>
        <v/>
      </c>
      <c r="G59" s="11">
        <f>IF(Inputs!$D$27=0,0,IF($B59&lt;=Inputs!$C$27,0,IF($B59&gt;=INDEX(LE_Curves!$G$5:$G$205,201),INDEX(LE_Curves!$B$5:$B$205,201),INDEX(LE_Curves!$B$5:$B$205,MATCH($B59,LE_Curves!$G$5:$G$205,1))+($B59-INDEX(LE_Curves!$G$5:$G$205,MATCH($B59,LE_Curves!$G$5:$G$205,1)))*(INDEX(LE_Curves!$B$5:$B$205,MATCH($B59,LE_Curves!$G$5:$G$205,1)+1)-INDEX(LE_Curves!$B$5:$B$205,MATCH($B59,LE_Curves!$G$5:$G$205,1)))/(INDEX(LE_Curves!$G$5:$G$205,MATCH($B59,LE_Curves!$G$5:$G$205,1)+1)-INDEX(LE_Curves!$G$5:$G$205,MATCH($B59,LE_Curves!$G$5:$G$205,1))))))</f>
        <v/>
      </c>
      <c r="H59" s="11">
        <f>IF(Inputs!$D$28=0,0,IF($B59&lt;=Inputs!$C$28,0,IF($B59&gt;=INDEX(LE_Curves!$H$5:$H$205,201),INDEX(LE_Curves!$B$5:$B$205,201),INDEX(LE_Curves!$B$5:$B$205,MATCH($B59,LE_Curves!$H$5:$H$205,1))+($B59-INDEX(LE_Curves!$H$5:$H$205,MATCH($B59,LE_Curves!$H$5:$H$205,1)))*(INDEX(LE_Curves!$B$5:$B$205,MATCH($B59,LE_Curves!$H$5:$H$205,1)+1)-INDEX(LE_Curves!$B$5:$B$205,MATCH($B59,LE_Curves!$H$5:$H$205,1)))/(INDEX(LE_Curves!$H$5:$H$205,MATCH($B59,LE_Curves!$H$5:$H$205,1)+1)-INDEX(LE_Curves!$H$5:$H$205,MATCH($B59,LE_Curves!$H$5:$H$205,1))))))</f>
        <v/>
      </c>
      <c r="I59" s="11">
        <f>IF(Inputs!$D$29=0,0,IF($B59&lt;=Inputs!$C$29,0,IF($B59&gt;=INDEX(LE_Curves!$I$5:$I$205,201),INDEX(LE_Curves!$B$5:$B$205,201),INDEX(LE_Curves!$B$5:$B$205,MATCH($B59,LE_Curves!$I$5:$I$205,1))+($B59-INDEX(LE_Curves!$I$5:$I$205,MATCH($B59,LE_Curves!$I$5:$I$205,1)))*(INDEX(LE_Curves!$B$5:$B$205,MATCH($B59,LE_Curves!$I$5:$I$205,1)+1)-INDEX(LE_Curves!$B$5:$B$205,MATCH($B59,LE_Curves!$I$5:$I$205,1)))/(INDEX(LE_Curves!$I$5:$I$205,MATCH($B59,LE_Curves!$I$5:$I$205,1)+1)-INDEX(LE_Curves!$I$5:$I$205,MATCH($B59,LE_Curves!$I$5:$I$205,1))))))</f>
        <v/>
      </c>
      <c r="J59" s="11">
        <f>IF(Inputs!$D$30=0,0,IF($B59&lt;=Inputs!$C$30,0,IF($B59&gt;=INDEX(LE_Curves!$J$5:$J$205,201),INDEX(LE_Curves!$B$5:$B$205,201),INDEX(LE_Curves!$B$5:$B$205,MATCH($B59,LE_Curves!$J$5:$J$205,1))+($B59-INDEX(LE_Curves!$J$5:$J$205,MATCH($B59,LE_Curves!$J$5:$J$205,1)))*(INDEX(LE_Curves!$B$5:$B$205,MATCH($B59,LE_Curves!$J$5:$J$205,1)+1)-INDEX(LE_Curves!$B$5:$B$205,MATCH($B59,LE_Curves!$J$5:$J$205,1)))/(INDEX(LE_Curves!$J$5:$J$205,MATCH($B59,LE_Curves!$J$5:$J$205,1)+1)-INDEX(LE_Curves!$J$5:$J$205,MATCH($B59,LE_Curves!$J$5:$J$205,1))))))</f>
        <v/>
      </c>
      <c r="K59" s="11">
        <f>IF(Inputs!$D$31=0,0,IF($B59&lt;=Inputs!$C$31,0,IF($B59&gt;=INDEX(LE_Curves!$K$5:$K$205,201),INDEX(LE_Curves!$B$5:$B$205,201),INDEX(LE_Curves!$B$5:$B$205,MATCH($B59,LE_Curves!$K$5:$K$205,1))+($B59-INDEX(LE_Curves!$K$5:$K$205,MATCH($B59,LE_Curves!$K$5:$K$205,1)))*(INDEX(LE_Curves!$B$5:$B$205,MATCH($B59,LE_Curves!$K$5:$K$205,1)+1)-INDEX(LE_Curves!$B$5:$B$205,MATCH($B59,LE_Curves!$K$5:$K$205,1)))/(INDEX(LE_Curves!$K$5:$K$205,MATCH($B59,LE_Curves!$K$5:$K$205,1)+1)-INDEX(LE_Curves!$K$5:$K$205,MATCH($B59,LE_Curves!$K$5:$K$205,1))))))</f>
        <v/>
      </c>
      <c r="L59" s="11">
        <f>IF(Inputs!$D$32=0,0,IF($B59&lt;=Inputs!$C$32,0,IF($B59&gt;=INDEX(LE_Curves!$L$5:$L$205,201),INDEX(LE_Curves!$B$5:$B$205,201),INDEX(LE_Curves!$B$5:$B$205,MATCH($B59,LE_Curves!$L$5:$L$205,1))+($B59-INDEX(LE_Curves!$L$5:$L$205,MATCH($B59,LE_Curves!$L$5:$L$205,1)))*(INDEX(LE_Curves!$B$5:$B$205,MATCH($B59,LE_Curves!$L$5:$L$205,1)+1)-INDEX(LE_Curves!$B$5:$B$205,MATCH($B59,LE_Curves!$L$5:$L$205,1)))/(INDEX(LE_Curves!$L$5:$L$205,MATCH($B59,LE_Curves!$L$5:$L$205,1)+1)-INDEX(LE_Curves!$L$5:$L$205,MATCH($B59,LE_Curves!$L$5:$L$205,1))))))</f>
        <v/>
      </c>
      <c r="M59" s="11">
        <f>IF(Inputs!$D$33=0,0,IF($B59&lt;=Inputs!$C$33,0,IF($B59&gt;=INDEX(LE_Curves!$M$5:$M$205,201),INDEX(LE_Curves!$B$5:$B$205,201),INDEX(LE_Curves!$B$5:$B$205,MATCH($B59,LE_Curves!$M$5:$M$205,1))+($B59-INDEX(LE_Curves!$M$5:$M$205,MATCH($B59,LE_Curves!$M$5:$M$205,1)))*(INDEX(LE_Curves!$B$5:$B$205,MATCH($B59,LE_Curves!$M$5:$M$205,1)+1)-INDEX(LE_Curves!$B$5:$B$205,MATCH($B59,LE_Curves!$M$5:$M$205,1)))/(INDEX(LE_Curves!$M$5:$M$205,MATCH($B59,LE_Curves!$M$5:$M$205,1)+1)-INDEX(LE_Curves!$M$5:$M$205,MATCH($B59,LE_Curves!$M$5:$M$205,1))))))</f>
        <v/>
      </c>
      <c r="N59" s="11">
        <f>IF(Inputs!$D$34=0,0,IF($B59&lt;=Inputs!$C$34,0,IF($B59&gt;=INDEX(LE_Curves!$N$5:$N$205,201),INDEX(LE_Curves!$B$5:$B$205,201),INDEX(LE_Curves!$B$5:$B$205,MATCH($B59,LE_Curves!$N$5:$N$205,1))+($B59-INDEX(LE_Curves!$N$5:$N$205,MATCH($B59,LE_Curves!$N$5:$N$205,1)))*(INDEX(LE_Curves!$B$5:$B$205,MATCH($B59,LE_Curves!$N$5:$N$205,1)+1)-INDEX(LE_Curves!$B$5:$B$205,MATCH($B59,LE_Curves!$N$5:$N$205,1)))/(INDEX(LE_Curves!$N$5:$N$205,MATCH($B59,LE_Curves!$N$5:$N$205,1)+1)-INDEX(LE_Curves!$N$5:$N$205,MATCH($B59,LE_Curves!$N$5:$N$205,1))))))</f>
        <v/>
      </c>
      <c r="O59" s="11">
        <f>SUM(C59:N59)</f>
        <v/>
      </c>
      <c r="Q59" s="7" t="n">
        <v>28</v>
      </c>
      <c r="R59" s="23">
        <f>$B$6+($B$7-$B$6)*Q59/200</f>
        <v/>
      </c>
      <c r="S59" s="11">
        <f>IF(Inputs!$D$23=0,0,IF($R59&lt;=Inputs!$C$23,0,IF($R59&gt;=INDEX(LE_Curves!$C$5:$C$205,201),INDEX(LE_Curves!$B$5:$B$205,201),INDEX(LE_Curves!$B$5:$B$205,MATCH($R59,LE_Curves!$C$5:$C$205,1))+($R59-INDEX(LE_Curves!$C$5:$C$205,MATCH($R59,LE_Curves!$C$5:$C$205,1)))*(INDEX(LE_Curves!$B$5:$B$205,MATCH($R59,LE_Curves!$C$5:$C$205,1)+1)-INDEX(LE_Curves!$B$5:$B$205,MATCH($R59,LE_Curves!$C$5:$C$205,1)))/(INDEX(LE_Curves!$C$5:$C$205,MATCH($R59,LE_Curves!$C$5:$C$205,1)+1)-INDEX(LE_Curves!$C$5:$C$205,MATCH($R59,LE_Curves!$C$5:$C$205,1))))))</f>
        <v/>
      </c>
      <c r="T59" s="11">
        <f>IF(Inputs!$D$24=0,0,IF($R59&lt;=Inputs!$C$24,0,IF($R59&gt;=INDEX(LE_Curves!$D$5:$D$205,201),INDEX(LE_Curves!$B$5:$B$205,201),INDEX(LE_Curves!$B$5:$B$205,MATCH($R59,LE_Curves!$D$5:$D$205,1))+($R59-INDEX(LE_Curves!$D$5:$D$205,MATCH($R59,LE_Curves!$D$5:$D$205,1)))*(INDEX(LE_Curves!$B$5:$B$205,MATCH($R59,LE_Curves!$D$5:$D$205,1)+1)-INDEX(LE_Curves!$B$5:$B$205,MATCH($R59,LE_Curves!$D$5:$D$205,1)))/(INDEX(LE_Curves!$D$5:$D$205,MATCH($R59,LE_Curves!$D$5:$D$205,1)+1)-INDEX(LE_Curves!$D$5:$D$205,MATCH($R59,LE_Curves!$D$5:$D$205,1))))))</f>
        <v/>
      </c>
      <c r="U59" s="11">
        <f>IF(Inputs!$D$25=0,0,IF($R59&lt;=Inputs!$C$25,0,IF($R59&gt;=INDEX(LE_Curves!$E$5:$E$205,201),INDEX(LE_Curves!$B$5:$B$205,201),INDEX(LE_Curves!$B$5:$B$205,MATCH($R59,LE_Curves!$E$5:$E$205,1))+($R59-INDEX(LE_Curves!$E$5:$E$205,MATCH($R59,LE_Curves!$E$5:$E$205,1)))*(INDEX(LE_Curves!$B$5:$B$205,MATCH($R59,LE_Curves!$E$5:$E$205,1)+1)-INDEX(LE_Curves!$B$5:$B$205,MATCH($R59,LE_Curves!$E$5:$E$205,1)))/(INDEX(LE_Curves!$E$5:$E$205,MATCH($R59,LE_Curves!$E$5:$E$205,1)+1)-INDEX(LE_Curves!$E$5:$E$205,MATCH($R59,LE_Curves!$E$5:$E$205,1))))))</f>
        <v/>
      </c>
      <c r="V59" s="11">
        <f>IF(Inputs!$D$26=0,0,IF($R59&lt;=Inputs!$C$26,0,IF($R59&gt;=INDEX(LE_Curves!$F$5:$F$205,201),INDEX(LE_Curves!$B$5:$B$205,201),INDEX(LE_Curves!$B$5:$B$205,MATCH($R59,LE_Curves!$F$5:$F$205,1))+($R59-INDEX(LE_Curves!$F$5:$F$205,MATCH($R59,LE_Curves!$F$5:$F$205,1)))*(INDEX(LE_Curves!$B$5:$B$205,MATCH($R59,LE_Curves!$F$5:$F$205,1)+1)-INDEX(LE_Curves!$B$5:$B$205,MATCH($R59,LE_Curves!$F$5:$F$205,1)))/(INDEX(LE_Curves!$F$5:$F$205,MATCH($R59,LE_Curves!$F$5:$F$205,1)+1)-INDEX(LE_Curves!$F$5:$F$205,MATCH($R59,LE_Curves!$F$5:$F$205,1))))))</f>
        <v/>
      </c>
      <c r="W59" s="11">
        <f>IF(Inputs!$D$27=0,0,IF($R59&lt;=Inputs!$C$27,0,IF($R59&gt;=INDEX(LE_Curves!$G$5:$G$205,201),INDEX(LE_Curves!$B$5:$B$205,201),INDEX(LE_Curves!$B$5:$B$205,MATCH($R59,LE_Curves!$G$5:$G$205,1))+($R59-INDEX(LE_Curves!$G$5:$G$205,MATCH($R59,LE_Curves!$G$5:$G$205,1)))*(INDEX(LE_Curves!$B$5:$B$205,MATCH($R59,LE_Curves!$G$5:$G$205,1)+1)-INDEX(LE_Curves!$B$5:$B$205,MATCH($R59,LE_Curves!$G$5:$G$205,1)))/(INDEX(LE_Curves!$G$5:$G$205,MATCH($R59,LE_Curves!$G$5:$G$205,1)+1)-INDEX(LE_Curves!$G$5:$G$205,MATCH($R59,LE_Curves!$G$5:$G$205,1))))))</f>
        <v/>
      </c>
      <c r="X59" s="11">
        <f>IF(Inputs!$D$28=0,0,IF($R59&lt;=Inputs!$C$28,0,IF($R59&gt;=INDEX(LE_Curves!$H$5:$H$205,201),INDEX(LE_Curves!$B$5:$B$205,201),INDEX(LE_Curves!$B$5:$B$205,MATCH($R59,LE_Curves!$H$5:$H$205,1))+($R59-INDEX(LE_Curves!$H$5:$H$205,MATCH($R59,LE_Curves!$H$5:$H$205,1)))*(INDEX(LE_Curves!$B$5:$B$205,MATCH($R59,LE_Curves!$H$5:$H$205,1)+1)-INDEX(LE_Curves!$B$5:$B$205,MATCH($R59,LE_Curves!$H$5:$H$205,1)))/(INDEX(LE_Curves!$H$5:$H$205,MATCH($R59,LE_Curves!$H$5:$H$205,1)+1)-INDEX(LE_Curves!$H$5:$H$205,MATCH($R59,LE_Curves!$H$5:$H$205,1))))))</f>
        <v/>
      </c>
      <c r="Y59" s="11">
        <f>IF(Inputs!$D$29=0,0,IF($R59&lt;=Inputs!$C$29,0,IF($R59&gt;=INDEX(LE_Curves!$I$5:$I$205,201),INDEX(LE_Curves!$B$5:$B$205,201),INDEX(LE_Curves!$B$5:$B$205,MATCH($R59,LE_Curves!$I$5:$I$205,1))+($R59-INDEX(LE_Curves!$I$5:$I$205,MATCH($R59,LE_Curves!$I$5:$I$205,1)))*(INDEX(LE_Curves!$B$5:$B$205,MATCH($R59,LE_Curves!$I$5:$I$205,1)+1)-INDEX(LE_Curves!$B$5:$B$205,MATCH($R59,LE_Curves!$I$5:$I$205,1)))/(INDEX(LE_Curves!$I$5:$I$205,MATCH($R59,LE_Curves!$I$5:$I$205,1)+1)-INDEX(LE_Curves!$I$5:$I$205,MATCH($R59,LE_Curves!$I$5:$I$205,1))))))</f>
        <v/>
      </c>
      <c r="Z59" s="11">
        <f>IF(Inputs!$D$30=0,0,IF($R59&lt;=Inputs!$C$30,0,IF($R59&gt;=INDEX(LE_Curves!$J$5:$J$205,201),INDEX(LE_Curves!$B$5:$B$205,201),INDEX(LE_Curves!$B$5:$B$205,MATCH($R59,LE_Curves!$J$5:$J$205,1))+($R59-INDEX(LE_Curves!$J$5:$J$205,MATCH($R59,LE_Curves!$J$5:$J$205,1)))*(INDEX(LE_Curves!$B$5:$B$205,MATCH($R59,LE_Curves!$J$5:$J$205,1)+1)-INDEX(LE_Curves!$B$5:$B$205,MATCH($R59,LE_Curves!$J$5:$J$205,1)))/(INDEX(LE_Curves!$J$5:$J$205,MATCH($R59,LE_Curves!$J$5:$J$205,1)+1)-INDEX(LE_Curves!$J$5:$J$205,MATCH($R59,LE_Curves!$J$5:$J$205,1))))))</f>
        <v/>
      </c>
      <c r="AA59" s="11">
        <f>IF(Inputs!$D$31=0,0,IF($R59&lt;=Inputs!$C$31,0,IF($R59&gt;=INDEX(LE_Curves!$K$5:$K$205,201),INDEX(LE_Curves!$B$5:$B$205,201),INDEX(LE_Curves!$B$5:$B$205,MATCH($R59,LE_Curves!$K$5:$K$205,1))+($R59-INDEX(LE_Curves!$K$5:$K$205,MATCH($R59,LE_Curves!$K$5:$K$205,1)))*(INDEX(LE_Curves!$B$5:$B$205,MATCH($R59,LE_Curves!$K$5:$K$205,1)+1)-INDEX(LE_Curves!$B$5:$B$205,MATCH($R59,LE_Curves!$K$5:$K$205,1)))/(INDEX(LE_Curves!$K$5:$K$205,MATCH($R59,LE_Curves!$K$5:$K$205,1)+1)-INDEX(LE_Curves!$K$5:$K$205,MATCH($R59,LE_Curves!$K$5:$K$205,1))))))</f>
        <v/>
      </c>
      <c r="AB59" s="11">
        <f>IF(Inputs!$D$32=0,0,IF($R59&lt;=Inputs!$C$32,0,IF($R59&gt;=INDEX(LE_Curves!$L$5:$L$205,201),INDEX(LE_Curves!$B$5:$B$205,201),INDEX(LE_Curves!$B$5:$B$205,MATCH($R59,LE_Curves!$L$5:$L$205,1))+($R59-INDEX(LE_Curves!$L$5:$L$205,MATCH($R59,LE_Curves!$L$5:$L$205,1)))*(INDEX(LE_Curves!$B$5:$B$205,MATCH($R59,LE_Curves!$L$5:$L$205,1)+1)-INDEX(LE_Curves!$B$5:$B$205,MATCH($R59,LE_Curves!$L$5:$L$205,1)))/(INDEX(LE_Curves!$L$5:$L$205,MATCH($R59,LE_Curves!$L$5:$L$205,1)+1)-INDEX(LE_Curves!$L$5:$L$205,MATCH($R59,LE_Curves!$L$5:$L$205,1))))))</f>
        <v/>
      </c>
      <c r="AC59" s="11">
        <f>IF(Inputs!$D$33=0,0,IF($R59&lt;=Inputs!$C$33,0,IF($R59&gt;=INDEX(LE_Curves!$M$5:$M$205,201),INDEX(LE_Curves!$B$5:$B$205,201),INDEX(LE_Curves!$B$5:$B$205,MATCH($R59,LE_Curves!$M$5:$M$205,1))+($R59-INDEX(LE_Curves!$M$5:$M$205,MATCH($R59,LE_Curves!$M$5:$M$205,1)))*(INDEX(LE_Curves!$B$5:$B$205,MATCH($R59,LE_Curves!$M$5:$M$205,1)+1)-INDEX(LE_Curves!$B$5:$B$205,MATCH($R59,LE_Curves!$M$5:$M$205,1)))/(INDEX(LE_Curves!$M$5:$M$205,MATCH($R59,LE_Curves!$M$5:$M$205,1)+1)-INDEX(LE_Curves!$M$5:$M$205,MATCH($R59,LE_Curves!$M$5:$M$205,1))))))</f>
        <v/>
      </c>
      <c r="AD59" s="11">
        <f>IF(Inputs!$D$34=0,0,IF($R59&lt;=Inputs!$C$34,0,IF($R59&gt;=INDEX(LE_Curves!$N$5:$N$205,201),INDEX(LE_Curves!$B$5:$B$205,201),INDEX(LE_Curves!$B$5:$B$205,MATCH($R59,LE_Curves!$N$5:$N$205,1))+($R59-INDEX(LE_Curves!$N$5:$N$205,MATCH($R59,LE_Curves!$N$5:$N$205,1)))*(INDEX(LE_Curves!$B$5:$B$205,MATCH($R59,LE_Curves!$N$5:$N$205,1)+1)-INDEX(LE_Curves!$B$5:$B$205,MATCH($R59,LE_Curves!$N$5:$N$205,1)))/(INDEX(LE_Curves!$N$5:$N$205,MATCH($R59,LE_Curves!$N$5:$N$205,1)+1)-INDEX(LE_Curves!$N$5:$N$205,MATCH($R59,LE_Curves!$N$5:$N$205,1))))))</f>
        <v/>
      </c>
      <c r="AE59" s="37">
        <f>SUM(S59:AD59)</f>
        <v/>
      </c>
    </row>
    <row r="60">
      <c r="A60" s="7" t="n">
        <v>29</v>
      </c>
      <c r="B60" s="37">
        <f>$B$3+($B$4-$B$3)*A60/200</f>
        <v/>
      </c>
      <c r="C60" s="11">
        <f>IF(Inputs!$D$23=0,0,IF($B60&lt;=Inputs!$C$23,0,IF($B60&gt;=INDEX(LE_Curves!$C$5:$C$205,201),INDEX(LE_Curves!$B$5:$B$205,201),INDEX(LE_Curves!$B$5:$B$205,MATCH($B60,LE_Curves!$C$5:$C$205,1))+($B60-INDEX(LE_Curves!$C$5:$C$205,MATCH($B60,LE_Curves!$C$5:$C$205,1)))*(INDEX(LE_Curves!$B$5:$B$205,MATCH($B60,LE_Curves!$C$5:$C$205,1)+1)-INDEX(LE_Curves!$B$5:$B$205,MATCH($B60,LE_Curves!$C$5:$C$205,1)))/(INDEX(LE_Curves!$C$5:$C$205,MATCH($B60,LE_Curves!$C$5:$C$205,1)+1)-INDEX(LE_Curves!$C$5:$C$205,MATCH($B60,LE_Curves!$C$5:$C$205,1))))))</f>
        <v/>
      </c>
      <c r="D60" s="11">
        <f>IF(Inputs!$D$24=0,0,IF($B60&lt;=Inputs!$C$24,0,IF($B60&gt;=INDEX(LE_Curves!$D$5:$D$205,201),INDEX(LE_Curves!$B$5:$B$205,201),INDEX(LE_Curves!$B$5:$B$205,MATCH($B60,LE_Curves!$D$5:$D$205,1))+($B60-INDEX(LE_Curves!$D$5:$D$205,MATCH($B60,LE_Curves!$D$5:$D$205,1)))*(INDEX(LE_Curves!$B$5:$B$205,MATCH($B60,LE_Curves!$D$5:$D$205,1)+1)-INDEX(LE_Curves!$B$5:$B$205,MATCH($B60,LE_Curves!$D$5:$D$205,1)))/(INDEX(LE_Curves!$D$5:$D$205,MATCH($B60,LE_Curves!$D$5:$D$205,1)+1)-INDEX(LE_Curves!$D$5:$D$205,MATCH($B60,LE_Curves!$D$5:$D$205,1))))))</f>
        <v/>
      </c>
      <c r="E60" s="11">
        <f>IF(Inputs!$D$25=0,0,IF($B60&lt;=Inputs!$C$25,0,IF($B60&gt;=INDEX(LE_Curves!$E$5:$E$205,201),INDEX(LE_Curves!$B$5:$B$205,201),INDEX(LE_Curves!$B$5:$B$205,MATCH($B60,LE_Curves!$E$5:$E$205,1))+($B60-INDEX(LE_Curves!$E$5:$E$205,MATCH($B60,LE_Curves!$E$5:$E$205,1)))*(INDEX(LE_Curves!$B$5:$B$205,MATCH($B60,LE_Curves!$E$5:$E$205,1)+1)-INDEX(LE_Curves!$B$5:$B$205,MATCH($B60,LE_Curves!$E$5:$E$205,1)))/(INDEX(LE_Curves!$E$5:$E$205,MATCH($B60,LE_Curves!$E$5:$E$205,1)+1)-INDEX(LE_Curves!$E$5:$E$205,MATCH($B60,LE_Curves!$E$5:$E$205,1))))))</f>
        <v/>
      </c>
      <c r="F60" s="11">
        <f>IF(Inputs!$D$26=0,0,IF($B60&lt;=Inputs!$C$26,0,IF($B60&gt;=INDEX(LE_Curves!$F$5:$F$205,201),INDEX(LE_Curves!$B$5:$B$205,201),INDEX(LE_Curves!$B$5:$B$205,MATCH($B60,LE_Curves!$F$5:$F$205,1))+($B60-INDEX(LE_Curves!$F$5:$F$205,MATCH($B60,LE_Curves!$F$5:$F$205,1)))*(INDEX(LE_Curves!$B$5:$B$205,MATCH($B60,LE_Curves!$F$5:$F$205,1)+1)-INDEX(LE_Curves!$B$5:$B$205,MATCH($B60,LE_Curves!$F$5:$F$205,1)))/(INDEX(LE_Curves!$F$5:$F$205,MATCH($B60,LE_Curves!$F$5:$F$205,1)+1)-INDEX(LE_Curves!$F$5:$F$205,MATCH($B60,LE_Curves!$F$5:$F$205,1))))))</f>
        <v/>
      </c>
      <c r="G60" s="11">
        <f>IF(Inputs!$D$27=0,0,IF($B60&lt;=Inputs!$C$27,0,IF($B60&gt;=INDEX(LE_Curves!$G$5:$G$205,201),INDEX(LE_Curves!$B$5:$B$205,201),INDEX(LE_Curves!$B$5:$B$205,MATCH($B60,LE_Curves!$G$5:$G$205,1))+($B60-INDEX(LE_Curves!$G$5:$G$205,MATCH($B60,LE_Curves!$G$5:$G$205,1)))*(INDEX(LE_Curves!$B$5:$B$205,MATCH($B60,LE_Curves!$G$5:$G$205,1)+1)-INDEX(LE_Curves!$B$5:$B$205,MATCH($B60,LE_Curves!$G$5:$G$205,1)))/(INDEX(LE_Curves!$G$5:$G$205,MATCH($B60,LE_Curves!$G$5:$G$205,1)+1)-INDEX(LE_Curves!$G$5:$G$205,MATCH($B60,LE_Curves!$G$5:$G$205,1))))))</f>
        <v/>
      </c>
      <c r="H60" s="11">
        <f>IF(Inputs!$D$28=0,0,IF($B60&lt;=Inputs!$C$28,0,IF($B60&gt;=INDEX(LE_Curves!$H$5:$H$205,201),INDEX(LE_Curves!$B$5:$B$205,201),INDEX(LE_Curves!$B$5:$B$205,MATCH($B60,LE_Curves!$H$5:$H$205,1))+($B60-INDEX(LE_Curves!$H$5:$H$205,MATCH($B60,LE_Curves!$H$5:$H$205,1)))*(INDEX(LE_Curves!$B$5:$B$205,MATCH($B60,LE_Curves!$H$5:$H$205,1)+1)-INDEX(LE_Curves!$B$5:$B$205,MATCH($B60,LE_Curves!$H$5:$H$205,1)))/(INDEX(LE_Curves!$H$5:$H$205,MATCH($B60,LE_Curves!$H$5:$H$205,1)+1)-INDEX(LE_Curves!$H$5:$H$205,MATCH($B60,LE_Curves!$H$5:$H$205,1))))))</f>
        <v/>
      </c>
      <c r="I60" s="11">
        <f>IF(Inputs!$D$29=0,0,IF($B60&lt;=Inputs!$C$29,0,IF($B60&gt;=INDEX(LE_Curves!$I$5:$I$205,201),INDEX(LE_Curves!$B$5:$B$205,201),INDEX(LE_Curves!$B$5:$B$205,MATCH($B60,LE_Curves!$I$5:$I$205,1))+($B60-INDEX(LE_Curves!$I$5:$I$205,MATCH($B60,LE_Curves!$I$5:$I$205,1)))*(INDEX(LE_Curves!$B$5:$B$205,MATCH($B60,LE_Curves!$I$5:$I$205,1)+1)-INDEX(LE_Curves!$B$5:$B$205,MATCH($B60,LE_Curves!$I$5:$I$205,1)))/(INDEX(LE_Curves!$I$5:$I$205,MATCH($B60,LE_Curves!$I$5:$I$205,1)+1)-INDEX(LE_Curves!$I$5:$I$205,MATCH($B60,LE_Curves!$I$5:$I$205,1))))))</f>
        <v/>
      </c>
      <c r="J60" s="11">
        <f>IF(Inputs!$D$30=0,0,IF($B60&lt;=Inputs!$C$30,0,IF($B60&gt;=INDEX(LE_Curves!$J$5:$J$205,201),INDEX(LE_Curves!$B$5:$B$205,201),INDEX(LE_Curves!$B$5:$B$205,MATCH($B60,LE_Curves!$J$5:$J$205,1))+($B60-INDEX(LE_Curves!$J$5:$J$205,MATCH($B60,LE_Curves!$J$5:$J$205,1)))*(INDEX(LE_Curves!$B$5:$B$205,MATCH($B60,LE_Curves!$J$5:$J$205,1)+1)-INDEX(LE_Curves!$B$5:$B$205,MATCH($B60,LE_Curves!$J$5:$J$205,1)))/(INDEX(LE_Curves!$J$5:$J$205,MATCH($B60,LE_Curves!$J$5:$J$205,1)+1)-INDEX(LE_Curves!$J$5:$J$205,MATCH($B60,LE_Curves!$J$5:$J$205,1))))))</f>
        <v/>
      </c>
      <c r="K60" s="11">
        <f>IF(Inputs!$D$31=0,0,IF($B60&lt;=Inputs!$C$31,0,IF($B60&gt;=INDEX(LE_Curves!$K$5:$K$205,201),INDEX(LE_Curves!$B$5:$B$205,201),INDEX(LE_Curves!$B$5:$B$205,MATCH($B60,LE_Curves!$K$5:$K$205,1))+($B60-INDEX(LE_Curves!$K$5:$K$205,MATCH($B60,LE_Curves!$K$5:$K$205,1)))*(INDEX(LE_Curves!$B$5:$B$205,MATCH($B60,LE_Curves!$K$5:$K$205,1)+1)-INDEX(LE_Curves!$B$5:$B$205,MATCH($B60,LE_Curves!$K$5:$K$205,1)))/(INDEX(LE_Curves!$K$5:$K$205,MATCH($B60,LE_Curves!$K$5:$K$205,1)+1)-INDEX(LE_Curves!$K$5:$K$205,MATCH($B60,LE_Curves!$K$5:$K$205,1))))))</f>
        <v/>
      </c>
      <c r="L60" s="11">
        <f>IF(Inputs!$D$32=0,0,IF($B60&lt;=Inputs!$C$32,0,IF($B60&gt;=INDEX(LE_Curves!$L$5:$L$205,201),INDEX(LE_Curves!$B$5:$B$205,201),INDEX(LE_Curves!$B$5:$B$205,MATCH($B60,LE_Curves!$L$5:$L$205,1))+($B60-INDEX(LE_Curves!$L$5:$L$205,MATCH($B60,LE_Curves!$L$5:$L$205,1)))*(INDEX(LE_Curves!$B$5:$B$205,MATCH($B60,LE_Curves!$L$5:$L$205,1)+1)-INDEX(LE_Curves!$B$5:$B$205,MATCH($B60,LE_Curves!$L$5:$L$205,1)))/(INDEX(LE_Curves!$L$5:$L$205,MATCH($B60,LE_Curves!$L$5:$L$205,1)+1)-INDEX(LE_Curves!$L$5:$L$205,MATCH($B60,LE_Curves!$L$5:$L$205,1))))))</f>
        <v/>
      </c>
      <c r="M60" s="11">
        <f>IF(Inputs!$D$33=0,0,IF($B60&lt;=Inputs!$C$33,0,IF($B60&gt;=INDEX(LE_Curves!$M$5:$M$205,201),INDEX(LE_Curves!$B$5:$B$205,201),INDEX(LE_Curves!$B$5:$B$205,MATCH($B60,LE_Curves!$M$5:$M$205,1))+($B60-INDEX(LE_Curves!$M$5:$M$205,MATCH($B60,LE_Curves!$M$5:$M$205,1)))*(INDEX(LE_Curves!$B$5:$B$205,MATCH($B60,LE_Curves!$M$5:$M$205,1)+1)-INDEX(LE_Curves!$B$5:$B$205,MATCH($B60,LE_Curves!$M$5:$M$205,1)))/(INDEX(LE_Curves!$M$5:$M$205,MATCH($B60,LE_Curves!$M$5:$M$205,1)+1)-INDEX(LE_Curves!$M$5:$M$205,MATCH($B60,LE_Curves!$M$5:$M$205,1))))))</f>
        <v/>
      </c>
      <c r="N60" s="11">
        <f>IF(Inputs!$D$34=0,0,IF($B60&lt;=Inputs!$C$34,0,IF($B60&gt;=INDEX(LE_Curves!$N$5:$N$205,201),INDEX(LE_Curves!$B$5:$B$205,201),INDEX(LE_Curves!$B$5:$B$205,MATCH($B60,LE_Curves!$N$5:$N$205,1))+($B60-INDEX(LE_Curves!$N$5:$N$205,MATCH($B60,LE_Curves!$N$5:$N$205,1)))*(INDEX(LE_Curves!$B$5:$B$205,MATCH($B60,LE_Curves!$N$5:$N$205,1)+1)-INDEX(LE_Curves!$B$5:$B$205,MATCH($B60,LE_Curves!$N$5:$N$205,1)))/(INDEX(LE_Curves!$N$5:$N$205,MATCH($B60,LE_Curves!$N$5:$N$205,1)+1)-INDEX(LE_Curves!$N$5:$N$205,MATCH($B60,LE_Curves!$N$5:$N$205,1))))))</f>
        <v/>
      </c>
      <c r="O60" s="11">
        <f>SUM(C60:N60)</f>
        <v/>
      </c>
      <c r="Q60" s="7" t="n">
        <v>29</v>
      </c>
      <c r="R60" s="23">
        <f>$B$6+($B$7-$B$6)*Q60/200</f>
        <v/>
      </c>
      <c r="S60" s="11">
        <f>IF(Inputs!$D$23=0,0,IF($R60&lt;=Inputs!$C$23,0,IF($R60&gt;=INDEX(LE_Curves!$C$5:$C$205,201),INDEX(LE_Curves!$B$5:$B$205,201),INDEX(LE_Curves!$B$5:$B$205,MATCH($R60,LE_Curves!$C$5:$C$205,1))+($R60-INDEX(LE_Curves!$C$5:$C$205,MATCH($R60,LE_Curves!$C$5:$C$205,1)))*(INDEX(LE_Curves!$B$5:$B$205,MATCH($R60,LE_Curves!$C$5:$C$205,1)+1)-INDEX(LE_Curves!$B$5:$B$205,MATCH($R60,LE_Curves!$C$5:$C$205,1)))/(INDEX(LE_Curves!$C$5:$C$205,MATCH($R60,LE_Curves!$C$5:$C$205,1)+1)-INDEX(LE_Curves!$C$5:$C$205,MATCH($R60,LE_Curves!$C$5:$C$205,1))))))</f>
        <v/>
      </c>
      <c r="T60" s="11">
        <f>IF(Inputs!$D$24=0,0,IF($R60&lt;=Inputs!$C$24,0,IF($R60&gt;=INDEX(LE_Curves!$D$5:$D$205,201),INDEX(LE_Curves!$B$5:$B$205,201),INDEX(LE_Curves!$B$5:$B$205,MATCH($R60,LE_Curves!$D$5:$D$205,1))+($R60-INDEX(LE_Curves!$D$5:$D$205,MATCH($R60,LE_Curves!$D$5:$D$205,1)))*(INDEX(LE_Curves!$B$5:$B$205,MATCH($R60,LE_Curves!$D$5:$D$205,1)+1)-INDEX(LE_Curves!$B$5:$B$205,MATCH($R60,LE_Curves!$D$5:$D$205,1)))/(INDEX(LE_Curves!$D$5:$D$205,MATCH($R60,LE_Curves!$D$5:$D$205,1)+1)-INDEX(LE_Curves!$D$5:$D$205,MATCH($R60,LE_Curves!$D$5:$D$205,1))))))</f>
        <v/>
      </c>
      <c r="U60" s="11">
        <f>IF(Inputs!$D$25=0,0,IF($R60&lt;=Inputs!$C$25,0,IF($R60&gt;=INDEX(LE_Curves!$E$5:$E$205,201),INDEX(LE_Curves!$B$5:$B$205,201),INDEX(LE_Curves!$B$5:$B$205,MATCH($R60,LE_Curves!$E$5:$E$205,1))+($R60-INDEX(LE_Curves!$E$5:$E$205,MATCH($R60,LE_Curves!$E$5:$E$205,1)))*(INDEX(LE_Curves!$B$5:$B$205,MATCH($R60,LE_Curves!$E$5:$E$205,1)+1)-INDEX(LE_Curves!$B$5:$B$205,MATCH($R60,LE_Curves!$E$5:$E$205,1)))/(INDEX(LE_Curves!$E$5:$E$205,MATCH($R60,LE_Curves!$E$5:$E$205,1)+1)-INDEX(LE_Curves!$E$5:$E$205,MATCH($R60,LE_Curves!$E$5:$E$205,1))))))</f>
        <v/>
      </c>
      <c r="V60" s="11">
        <f>IF(Inputs!$D$26=0,0,IF($R60&lt;=Inputs!$C$26,0,IF($R60&gt;=INDEX(LE_Curves!$F$5:$F$205,201),INDEX(LE_Curves!$B$5:$B$205,201),INDEX(LE_Curves!$B$5:$B$205,MATCH($R60,LE_Curves!$F$5:$F$205,1))+($R60-INDEX(LE_Curves!$F$5:$F$205,MATCH($R60,LE_Curves!$F$5:$F$205,1)))*(INDEX(LE_Curves!$B$5:$B$205,MATCH($R60,LE_Curves!$F$5:$F$205,1)+1)-INDEX(LE_Curves!$B$5:$B$205,MATCH($R60,LE_Curves!$F$5:$F$205,1)))/(INDEX(LE_Curves!$F$5:$F$205,MATCH($R60,LE_Curves!$F$5:$F$205,1)+1)-INDEX(LE_Curves!$F$5:$F$205,MATCH($R60,LE_Curves!$F$5:$F$205,1))))))</f>
        <v/>
      </c>
      <c r="W60" s="11">
        <f>IF(Inputs!$D$27=0,0,IF($R60&lt;=Inputs!$C$27,0,IF($R60&gt;=INDEX(LE_Curves!$G$5:$G$205,201),INDEX(LE_Curves!$B$5:$B$205,201),INDEX(LE_Curves!$B$5:$B$205,MATCH($R60,LE_Curves!$G$5:$G$205,1))+($R60-INDEX(LE_Curves!$G$5:$G$205,MATCH($R60,LE_Curves!$G$5:$G$205,1)))*(INDEX(LE_Curves!$B$5:$B$205,MATCH($R60,LE_Curves!$G$5:$G$205,1)+1)-INDEX(LE_Curves!$B$5:$B$205,MATCH($R60,LE_Curves!$G$5:$G$205,1)))/(INDEX(LE_Curves!$G$5:$G$205,MATCH($R60,LE_Curves!$G$5:$G$205,1)+1)-INDEX(LE_Curves!$G$5:$G$205,MATCH($R60,LE_Curves!$G$5:$G$205,1))))))</f>
        <v/>
      </c>
      <c r="X60" s="11">
        <f>IF(Inputs!$D$28=0,0,IF($R60&lt;=Inputs!$C$28,0,IF($R60&gt;=INDEX(LE_Curves!$H$5:$H$205,201),INDEX(LE_Curves!$B$5:$B$205,201),INDEX(LE_Curves!$B$5:$B$205,MATCH($R60,LE_Curves!$H$5:$H$205,1))+($R60-INDEX(LE_Curves!$H$5:$H$205,MATCH($R60,LE_Curves!$H$5:$H$205,1)))*(INDEX(LE_Curves!$B$5:$B$205,MATCH($R60,LE_Curves!$H$5:$H$205,1)+1)-INDEX(LE_Curves!$B$5:$B$205,MATCH($R60,LE_Curves!$H$5:$H$205,1)))/(INDEX(LE_Curves!$H$5:$H$205,MATCH($R60,LE_Curves!$H$5:$H$205,1)+1)-INDEX(LE_Curves!$H$5:$H$205,MATCH($R60,LE_Curves!$H$5:$H$205,1))))))</f>
        <v/>
      </c>
      <c r="Y60" s="11">
        <f>IF(Inputs!$D$29=0,0,IF($R60&lt;=Inputs!$C$29,0,IF($R60&gt;=INDEX(LE_Curves!$I$5:$I$205,201),INDEX(LE_Curves!$B$5:$B$205,201),INDEX(LE_Curves!$B$5:$B$205,MATCH($R60,LE_Curves!$I$5:$I$205,1))+($R60-INDEX(LE_Curves!$I$5:$I$205,MATCH($R60,LE_Curves!$I$5:$I$205,1)))*(INDEX(LE_Curves!$B$5:$B$205,MATCH($R60,LE_Curves!$I$5:$I$205,1)+1)-INDEX(LE_Curves!$B$5:$B$205,MATCH($R60,LE_Curves!$I$5:$I$205,1)))/(INDEX(LE_Curves!$I$5:$I$205,MATCH($R60,LE_Curves!$I$5:$I$205,1)+1)-INDEX(LE_Curves!$I$5:$I$205,MATCH($R60,LE_Curves!$I$5:$I$205,1))))))</f>
        <v/>
      </c>
      <c r="Z60" s="11">
        <f>IF(Inputs!$D$30=0,0,IF($R60&lt;=Inputs!$C$30,0,IF($R60&gt;=INDEX(LE_Curves!$J$5:$J$205,201),INDEX(LE_Curves!$B$5:$B$205,201),INDEX(LE_Curves!$B$5:$B$205,MATCH($R60,LE_Curves!$J$5:$J$205,1))+($R60-INDEX(LE_Curves!$J$5:$J$205,MATCH($R60,LE_Curves!$J$5:$J$205,1)))*(INDEX(LE_Curves!$B$5:$B$205,MATCH($R60,LE_Curves!$J$5:$J$205,1)+1)-INDEX(LE_Curves!$B$5:$B$205,MATCH($R60,LE_Curves!$J$5:$J$205,1)))/(INDEX(LE_Curves!$J$5:$J$205,MATCH($R60,LE_Curves!$J$5:$J$205,1)+1)-INDEX(LE_Curves!$J$5:$J$205,MATCH($R60,LE_Curves!$J$5:$J$205,1))))))</f>
        <v/>
      </c>
      <c r="AA60" s="11">
        <f>IF(Inputs!$D$31=0,0,IF($R60&lt;=Inputs!$C$31,0,IF($R60&gt;=INDEX(LE_Curves!$K$5:$K$205,201),INDEX(LE_Curves!$B$5:$B$205,201),INDEX(LE_Curves!$B$5:$B$205,MATCH($R60,LE_Curves!$K$5:$K$205,1))+($R60-INDEX(LE_Curves!$K$5:$K$205,MATCH($R60,LE_Curves!$K$5:$K$205,1)))*(INDEX(LE_Curves!$B$5:$B$205,MATCH($R60,LE_Curves!$K$5:$K$205,1)+1)-INDEX(LE_Curves!$B$5:$B$205,MATCH($R60,LE_Curves!$K$5:$K$205,1)))/(INDEX(LE_Curves!$K$5:$K$205,MATCH($R60,LE_Curves!$K$5:$K$205,1)+1)-INDEX(LE_Curves!$K$5:$K$205,MATCH($R60,LE_Curves!$K$5:$K$205,1))))))</f>
        <v/>
      </c>
      <c r="AB60" s="11">
        <f>IF(Inputs!$D$32=0,0,IF($R60&lt;=Inputs!$C$32,0,IF($R60&gt;=INDEX(LE_Curves!$L$5:$L$205,201),INDEX(LE_Curves!$B$5:$B$205,201),INDEX(LE_Curves!$B$5:$B$205,MATCH($R60,LE_Curves!$L$5:$L$205,1))+($R60-INDEX(LE_Curves!$L$5:$L$205,MATCH($R60,LE_Curves!$L$5:$L$205,1)))*(INDEX(LE_Curves!$B$5:$B$205,MATCH($R60,LE_Curves!$L$5:$L$205,1)+1)-INDEX(LE_Curves!$B$5:$B$205,MATCH($R60,LE_Curves!$L$5:$L$205,1)))/(INDEX(LE_Curves!$L$5:$L$205,MATCH($R60,LE_Curves!$L$5:$L$205,1)+1)-INDEX(LE_Curves!$L$5:$L$205,MATCH($R60,LE_Curves!$L$5:$L$205,1))))))</f>
        <v/>
      </c>
      <c r="AC60" s="11">
        <f>IF(Inputs!$D$33=0,0,IF($R60&lt;=Inputs!$C$33,0,IF($R60&gt;=INDEX(LE_Curves!$M$5:$M$205,201),INDEX(LE_Curves!$B$5:$B$205,201),INDEX(LE_Curves!$B$5:$B$205,MATCH($R60,LE_Curves!$M$5:$M$205,1))+($R60-INDEX(LE_Curves!$M$5:$M$205,MATCH($R60,LE_Curves!$M$5:$M$205,1)))*(INDEX(LE_Curves!$B$5:$B$205,MATCH($R60,LE_Curves!$M$5:$M$205,1)+1)-INDEX(LE_Curves!$B$5:$B$205,MATCH($R60,LE_Curves!$M$5:$M$205,1)))/(INDEX(LE_Curves!$M$5:$M$205,MATCH($R60,LE_Curves!$M$5:$M$205,1)+1)-INDEX(LE_Curves!$M$5:$M$205,MATCH($R60,LE_Curves!$M$5:$M$205,1))))))</f>
        <v/>
      </c>
      <c r="AD60" s="11">
        <f>IF(Inputs!$D$34=0,0,IF($R60&lt;=Inputs!$C$34,0,IF($R60&gt;=INDEX(LE_Curves!$N$5:$N$205,201),INDEX(LE_Curves!$B$5:$B$205,201),INDEX(LE_Curves!$B$5:$B$205,MATCH($R60,LE_Curves!$N$5:$N$205,1))+($R60-INDEX(LE_Curves!$N$5:$N$205,MATCH($R60,LE_Curves!$N$5:$N$205,1)))*(INDEX(LE_Curves!$B$5:$B$205,MATCH($R60,LE_Curves!$N$5:$N$205,1)+1)-INDEX(LE_Curves!$B$5:$B$205,MATCH($R60,LE_Curves!$N$5:$N$205,1)))/(INDEX(LE_Curves!$N$5:$N$205,MATCH($R60,LE_Curves!$N$5:$N$205,1)+1)-INDEX(LE_Curves!$N$5:$N$205,MATCH($R60,LE_Curves!$N$5:$N$205,1))))))</f>
        <v/>
      </c>
      <c r="AE60" s="37">
        <f>SUM(S60:AD60)</f>
        <v/>
      </c>
    </row>
    <row r="61">
      <c r="A61" s="7" t="n">
        <v>30</v>
      </c>
      <c r="B61" s="37">
        <f>$B$3+($B$4-$B$3)*A61/200</f>
        <v/>
      </c>
      <c r="C61" s="11">
        <f>IF(Inputs!$D$23=0,0,IF($B61&lt;=Inputs!$C$23,0,IF($B61&gt;=INDEX(LE_Curves!$C$5:$C$205,201),INDEX(LE_Curves!$B$5:$B$205,201),INDEX(LE_Curves!$B$5:$B$205,MATCH($B61,LE_Curves!$C$5:$C$205,1))+($B61-INDEX(LE_Curves!$C$5:$C$205,MATCH($B61,LE_Curves!$C$5:$C$205,1)))*(INDEX(LE_Curves!$B$5:$B$205,MATCH($B61,LE_Curves!$C$5:$C$205,1)+1)-INDEX(LE_Curves!$B$5:$B$205,MATCH($B61,LE_Curves!$C$5:$C$205,1)))/(INDEX(LE_Curves!$C$5:$C$205,MATCH($B61,LE_Curves!$C$5:$C$205,1)+1)-INDEX(LE_Curves!$C$5:$C$205,MATCH($B61,LE_Curves!$C$5:$C$205,1))))))</f>
        <v/>
      </c>
      <c r="D61" s="11">
        <f>IF(Inputs!$D$24=0,0,IF($B61&lt;=Inputs!$C$24,0,IF($B61&gt;=INDEX(LE_Curves!$D$5:$D$205,201),INDEX(LE_Curves!$B$5:$B$205,201),INDEX(LE_Curves!$B$5:$B$205,MATCH($B61,LE_Curves!$D$5:$D$205,1))+($B61-INDEX(LE_Curves!$D$5:$D$205,MATCH($B61,LE_Curves!$D$5:$D$205,1)))*(INDEX(LE_Curves!$B$5:$B$205,MATCH($B61,LE_Curves!$D$5:$D$205,1)+1)-INDEX(LE_Curves!$B$5:$B$205,MATCH($B61,LE_Curves!$D$5:$D$205,1)))/(INDEX(LE_Curves!$D$5:$D$205,MATCH($B61,LE_Curves!$D$5:$D$205,1)+1)-INDEX(LE_Curves!$D$5:$D$205,MATCH($B61,LE_Curves!$D$5:$D$205,1))))))</f>
        <v/>
      </c>
      <c r="E61" s="11">
        <f>IF(Inputs!$D$25=0,0,IF($B61&lt;=Inputs!$C$25,0,IF($B61&gt;=INDEX(LE_Curves!$E$5:$E$205,201),INDEX(LE_Curves!$B$5:$B$205,201),INDEX(LE_Curves!$B$5:$B$205,MATCH($B61,LE_Curves!$E$5:$E$205,1))+($B61-INDEX(LE_Curves!$E$5:$E$205,MATCH($B61,LE_Curves!$E$5:$E$205,1)))*(INDEX(LE_Curves!$B$5:$B$205,MATCH($B61,LE_Curves!$E$5:$E$205,1)+1)-INDEX(LE_Curves!$B$5:$B$205,MATCH($B61,LE_Curves!$E$5:$E$205,1)))/(INDEX(LE_Curves!$E$5:$E$205,MATCH($B61,LE_Curves!$E$5:$E$205,1)+1)-INDEX(LE_Curves!$E$5:$E$205,MATCH($B61,LE_Curves!$E$5:$E$205,1))))))</f>
        <v/>
      </c>
      <c r="F61" s="11">
        <f>IF(Inputs!$D$26=0,0,IF($B61&lt;=Inputs!$C$26,0,IF($B61&gt;=INDEX(LE_Curves!$F$5:$F$205,201),INDEX(LE_Curves!$B$5:$B$205,201),INDEX(LE_Curves!$B$5:$B$205,MATCH($B61,LE_Curves!$F$5:$F$205,1))+($B61-INDEX(LE_Curves!$F$5:$F$205,MATCH($B61,LE_Curves!$F$5:$F$205,1)))*(INDEX(LE_Curves!$B$5:$B$205,MATCH($B61,LE_Curves!$F$5:$F$205,1)+1)-INDEX(LE_Curves!$B$5:$B$205,MATCH($B61,LE_Curves!$F$5:$F$205,1)))/(INDEX(LE_Curves!$F$5:$F$205,MATCH($B61,LE_Curves!$F$5:$F$205,1)+1)-INDEX(LE_Curves!$F$5:$F$205,MATCH($B61,LE_Curves!$F$5:$F$205,1))))))</f>
        <v/>
      </c>
      <c r="G61" s="11">
        <f>IF(Inputs!$D$27=0,0,IF($B61&lt;=Inputs!$C$27,0,IF($B61&gt;=INDEX(LE_Curves!$G$5:$G$205,201),INDEX(LE_Curves!$B$5:$B$205,201),INDEX(LE_Curves!$B$5:$B$205,MATCH($B61,LE_Curves!$G$5:$G$205,1))+($B61-INDEX(LE_Curves!$G$5:$G$205,MATCH($B61,LE_Curves!$G$5:$G$205,1)))*(INDEX(LE_Curves!$B$5:$B$205,MATCH($B61,LE_Curves!$G$5:$G$205,1)+1)-INDEX(LE_Curves!$B$5:$B$205,MATCH($B61,LE_Curves!$G$5:$G$205,1)))/(INDEX(LE_Curves!$G$5:$G$205,MATCH($B61,LE_Curves!$G$5:$G$205,1)+1)-INDEX(LE_Curves!$G$5:$G$205,MATCH($B61,LE_Curves!$G$5:$G$205,1))))))</f>
        <v/>
      </c>
      <c r="H61" s="11">
        <f>IF(Inputs!$D$28=0,0,IF($B61&lt;=Inputs!$C$28,0,IF($B61&gt;=INDEX(LE_Curves!$H$5:$H$205,201),INDEX(LE_Curves!$B$5:$B$205,201),INDEX(LE_Curves!$B$5:$B$205,MATCH($B61,LE_Curves!$H$5:$H$205,1))+($B61-INDEX(LE_Curves!$H$5:$H$205,MATCH($B61,LE_Curves!$H$5:$H$205,1)))*(INDEX(LE_Curves!$B$5:$B$205,MATCH($B61,LE_Curves!$H$5:$H$205,1)+1)-INDEX(LE_Curves!$B$5:$B$205,MATCH($B61,LE_Curves!$H$5:$H$205,1)))/(INDEX(LE_Curves!$H$5:$H$205,MATCH($B61,LE_Curves!$H$5:$H$205,1)+1)-INDEX(LE_Curves!$H$5:$H$205,MATCH($B61,LE_Curves!$H$5:$H$205,1))))))</f>
        <v/>
      </c>
      <c r="I61" s="11">
        <f>IF(Inputs!$D$29=0,0,IF($B61&lt;=Inputs!$C$29,0,IF($B61&gt;=INDEX(LE_Curves!$I$5:$I$205,201),INDEX(LE_Curves!$B$5:$B$205,201),INDEX(LE_Curves!$B$5:$B$205,MATCH($B61,LE_Curves!$I$5:$I$205,1))+($B61-INDEX(LE_Curves!$I$5:$I$205,MATCH($B61,LE_Curves!$I$5:$I$205,1)))*(INDEX(LE_Curves!$B$5:$B$205,MATCH($B61,LE_Curves!$I$5:$I$205,1)+1)-INDEX(LE_Curves!$B$5:$B$205,MATCH($B61,LE_Curves!$I$5:$I$205,1)))/(INDEX(LE_Curves!$I$5:$I$205,MATCH($B61,LE_Curves!$I$5:$I$205,1)+1)-INDEX(LE_Curves!$I$5:$I$205,MATCH($B61,LE_Curves!$I$5:$I$205,1))))))</f>
        <v/>
      </c>
      <c r="J61" s="11">
        <f>IF(Inputs!$D$30=0,0,IF($B61&lt;=Inputs!$C$30,0,IF($B61&gt;=INDEX(LE_Curves!$J$5:$J$205,201),INDEX(LE_Curves!$B$5:$B$205,201),INDEX(LE_Curves!$B$5:$B$205,MATCH($B61,LE_Curves!$J$5:$J$205,1))+($B61-INDEX(LE_Curves!$J$5:$J$205,MATCH($B61,LE_Curves!$J$5:$J$205,1)))*(INDEX(LE_Curves!$B$5:$B$205,MATCH($B61,LE_Curves!$J$5:$J$205,1)+1)-INDEX(LE_Curves!$B$5:$B$205,MATCH($B61,LE_Curves!$J$5:$J$205,1)))/(INDEX(LE_Curves!$J$5:$J$205,MATCH($B61,LE_Curves!$J$5:$J$205,1)+1)-INDEX(LE_Curves!$J$5:$J$205,MATCH($B61,LE_Curves!$J$5:$J$205,1))))))</f>
        <v/>
      </c>
      <c r="K61" s="11">
        <f>IF(Inputs!$D$31=0,0,IF($B61&lt;=Inputs!$C$31,0,IF($B61&gt;=INDEX(LE_Curves!$K$5:$K$205,201),INDEX(LE_Curves!$B$5:$B$205,201),INDEX(LE_Curves!$B$5:$B$205,MATCH($B61,LE_Curves!$K$5:$K$205,1))+($B61-INDEX(LE_Curves!$K$5:$K$205,MATCH($B61,LE_Curves!$K$5:$K$205,1)))*(INDEX(LE_Curves!$B$5:$B$205,MATCH($B61,LE_Curves!$K$5:$K$205,1)+1)-INDEX(LE_Curves!$B$5:$B$205,MATCH($B61,LE_Curves!$K$5:$K$205,1)))/(INDEX(LE_Curves!$K$5:$K$205,MATCH($B61,LE_Curves!$K$5:$K$205,1)+1)-INDEX(LE_Curves!$K$5:$K$205,MATCH($B61,LE_Curves!$K$5:$K$205,1))))))</f>
        <v/>
      </c>
      <c r="L61" s="11">
        <f>IF(Inputs!$D$32=0,0,IF($B61&lt;=Inputs!$C$32,0,IF($B61&gt;=INDEX(LE_Curves!$L$5:$L$205,201),INDEX(LE_Curves!$B$5:$B$205,201),INDEX(LE_Curves!$B$5:$B$205,MATCH($B61,LE_Curves!$L$5:$L$205,1))+($B61-INDEX(LE_Curves!$L$5:$L$205,MATCH($B61,LE_Curves!$L$5:$L$205,1)))*(INDEX(LE_Curves!$B$5:$B$205,MATCH($B61,LE_Curves!$L$5:$L$205,1)+1)-INDEX(LE_Curves!$B$5:$B$205,MATCH($B61,LE_Curves!$L$5:$L$205,1)))/(INDEX(LE_Curves!$L$5:$L$205,MATCH($B61,LE_Curves!$L$5:$L$205,1)+1)-INDEX(LE_Curves!$L$5:$L$205,MATCH($B61,LE_Curves!$L$5:$L$205,1))))))</f>
        <v/>
      </c>
      <c r="M61" s="11">
        <f>IF(Inputs!$D$33=0,0,IF($B61&lt;=Inputs!$C$33,0,IF($B61&gt;=INDEX(LE_Curves!$M$5:$M$205,201),INDEX(LE_Curves!$B$5:$B$205,201),INDEX(LE_Curves!$B$5:$B$205,MATCH($B61,LE_Curves!$M$5:$M$205,1))+($B61-INDEX(LE_Curves!$M$5:$M$205,MATCH($B61,LE_Curves!$M$5:$M$205,1)))*(INDEX(LE_Curves!$B$5:$B$205,MATCH($B61,LE_Curves!$M$5:$M$205,1)+1)-INDEX(LE_Curves!$B$5:$B$205,MATCH($B61,LE_Curves!$M$5:$M$205,1)))/(INDEX(LE_Curves!$M$5:$M$205,MATCH($B61,LE_Curves!$M$5:$M$205,1)+1)-INDEX(LE_Curves!$M$5:$M$205,MATCH($B61,LE_Curves!$M$5:$M$205,1))))))</f>
        <v/>
      </c>
      <c r="N61" s="11">
        <f>IF(Inputs!$D$34=0,0,IF($B61&lt;=Inputs!$C$34,0,IF($B61&gt;=INDEX(LE_Curves!$N$5:$N$205,201),INDEX(LE_Curves!$B$5:$B$205,201),INDEX(LE_Curves!$B$5:$B$205,MATCH($B61,LE_Curves!$N$5:$N$205,1))+($B61-INDEX(LE_Curves!$N$5:$N$205,MATCH($B61,LE_Curves!$N$5:$N$205,1)))*(INDEX(LE_Curves!$B$5:$B$205,MATCH($B61,LE_Curves!$N$5:$N$205,1)+1)-INDEX(LE_Curves!$B$5:$B$205,MATCH($B61,LE_Curves!$N$5:$N$205,1)))/(INDEX(LE_Curves!$N$5:$N$205,MATCH($B61,LE_Curves!$N$5:$N$205,1)+1)-INDEX(LE_Curves!$N$5:$N$205,MATCH($B61,LE_Curves!$N$5:$N$205,1))))))</f>
        <v/>
      </c>
      <c r="O61" s="11">
        <f>SUM(C61:N61)</f>
        <v/>
      </c>
      <c r="Q61" s="7" t="n">
        <v>30</v>
      </c>
      <c r="R61" s="23">
        <f>$B$6+($B$7-$B$6)*Q61/200</f>
        <v/>
      </c>
      <c r="S61" s="11">
        <f>IF(Inputs!$D$23=0,0,IF($R61&lt;=Inputs!$C$23,0,IF($R61&gt;=INDEX(LE_Curves!$C$5:$C$205,201),INDEX(LE_Curves!$B$5:$B$205,201),INDEX(LE_Curves!$B$5:$B$205,MATCH($R61,LE_Curves!$C$5:$C$205,1))+($R61-INDEX(LE_Curves!$C$5:$C$205,MATCH($R61,LE_Curves!$C$5:$C$205,1)))*(INDEX(LE_Curves!$B$5:$B$205,MATCH($R61,LE_Curves!$C$5:$C$205,1)+1)-INDEX(LE_Curves!$B$5:$B$205,MATCH($R61,LE_Curves!$C$5:$C$205,1)))/(INDEX(LE_Curves!$C$5:$C$205,MATCH($R61,LE_Curves!$C$5:$C$205,1)+1)-INDEX(LE_Curves!$C$5:$C$205,MATCH($R61,LE_Curves!$C$5:$C$205,1))))))</f>
        <v/>
      </c>
      <c r="T61" s="11">
        <f>IF(Inputs!$D$24=0,0,IF($R61&lt;=Inputs!$C$24,0,IF($R61&gt;=INDEX(LE_Curves!$D$5:$D$205,201),INDEX(LE_Curves!$B$5:$B$205,201),INDEX(LE_Curves!$B$5:$B$205,MATCH($R61,LE_Curves!$D$5:$D$205,1))+($R61-INDEX(LE_Curves!$D$5:$D$205,MATCH($R61,LE_Curves!$D$5:$D$205,1)))*(INDEX(LE_Curves!$B$5:$B$205,MATCH($R61,LE_Curves!$D$5:$D$205,1)+1)-INDEX(LE_Curves!$B$5:$B$205,MATCH($R61,LE_Curves!$D$5:$D$205,1)))/(INDEX(LE_Curves!$D$5:$D$205,MATCH($R61,LE_Curves!$D$5:$D$205,1)+1)-INDEX(LE_Curves!$D$5:$D$205,MATCH($R61,LE_Curves!$D$5:$D$205,1))))))</f>
        <v/>
      </c>
      <c r="U61" s="11">
        <f>IF(Inputs!$D$25=0,0,IF($R61&lt;=Inputs!$C$25,0,IF($R61&gt;=INDEX(LE_Curves!$E$5:$E$205,201),INDEX(LE_Curves!$B$5:$B$205,201),INDEX(LE_Curves!$B$5:$B$205,MATCH($R61,LE_Curves!$E$5:$E$205,1))+($R61-INDEX(LE_Curves!$E$5:$E$205,MATCH($R61,LE_Curves!$E$5:$E$205,1)))*(INDEX(LE_Curves!$B$5:$B$205,MATCH($R61,LE_Curves!$E$5:$E$205,1)+1)-INDEX(LE_Curves!$B$5:$B$205,MATCH($R61,LE_Curves!$E$5:$E$205,1)))/(INDEX(LE_Curves!$E$5:$E$205,MATCH($R61,LE_Curves!$E$5:$E$205,1)+1)-INDEX(LE_Curves!$E$5:$E$205,MATCH($R61,LE_Curves!$E$5:$E$205,1))))))</f>
        <v/>
      </c>
      <c r="V61" s="11">
        <f>IF(Inputs!$D$26=0,0,IF($R61&lt;=Inputs!$C$26,0,IF($R61&gt;=INDEX(LE_Curves!$F$5:$F$205,201),INDEX(LE_Curves!$B$5:$B$205,201),INDEX(LE_Curves!$B$5:$B$205,MATCH($R61,LE_Curves!$F$5:$F$205,1))+($R61-INDEX(LE_Curves!$F$5:$F$205,MATCH($R61,LE_Curves!$F$5:$F$205,1)))*(INDEX(LE_Curves!$B$5:$B$205,MATCH($R61,LE_Curves!$F$5:$F$205,1)+1)-INDEX(LE_Curves!$B$5:$B$205,MATCH($R61,LE_Curves!$F$5:$F$205,1)))/(INDEX(LE_Curves!$F$5:$F$205,MATCH($R61,LE_Curves!$F$5:$F$205,1)+1)-INDEX(LE_Curves!$F$5:$F$205,MATCH($R61,LE_Curves!$F$5:$F$205,1))))))</f>
        <v/>
      </c>
      <c r="W61" s="11">
        <f>IF(Inputs!$D$27=0,0,IF($R61&lt;=Inputs!$C$27,0,IF($R61&gt;=INDEX(LE_Curves!$G$5:$G$205,201),INDEX(LE_Curves!$B$5:$B$205,201),INDEX(LE_Curves!$B$5:$B$205,MATCH($R61,LE_Curves!$G$5:$G$205,1))+($R61-INDEX(LE_Curves!$G$5:$G$205,MATCH($R61,LE_Curves!$G$5:$G$205,1)))*(INDEX(LE_Curves!$B$5:$B$205,MATCH($R61,LE_Curves!$G$5:$G$205,1)+1)-INDEX(LE_Curves!$B$5:$B$205,MATCH($R61,LE_Curves!$G$5:$G$205,1)))/(INDEX(LE_Curves!$G$5:$G$205,MATCH($R61,LE_Curves!$G$5:$G$205,1)+1)-INDEX(LE_Curves!$G$5:$G$205,MATCH($R61,LE_Curves!$G$5:$G$205,1))))))</f>
        <v/>
      </c>
      <c r="X61" s="11">
        <f>IF(Inputs!$D$28=0,0,IF($R61&lt;=Inputs!$C$28,0,IF($R61&gt;=INDEX(LE_Curves!$H$5:$H$205,201),INDEX(LE_Curves!$B$5:$B$205,201),INDEX(LE_Curves!$B$5:$B$205,MATCH($R61,LE_Curves!$H$5:$H$205,1))+($R61-INDEX(LE_Curves!$H$5:$H$205,MATCH($R61,LE_Curves!$H$5:$H$205,1)))*(INDEX(LE_Curves!$B$5:$B$205,MATCH($R61,LE_Curves!$H$5:$H$205,1)+1)-INDEX(LE_Curves!$B$5:$B$205,MATCH($R61,LE_Curves!$H$5:$H$205,1)))/(INDEX(LE_Curves!$H$5:$H$205,MATCH($R61,LE_Curves!$H$5:$H$205,1)+1)-INDEX(LE_Curves!$H$5:$H$205,MATCH($R61,LE_Curves!$H$5:$H$205,1))))))</f>
        <v/>
      </c>
      <c r="Y61" s="11">
        <f>IF(Inputs!$D$29=0,0,IF($R61&lt;=Inputs!$C$29,0,IF($R61&gt;=INDEX(LE_Curves!$I$5:$I$205,201),INDEX(LE_Curves!$B$5:$B$205,201),INDEX(LE_Curves!$B$5:$B$205,MATCH($R61,LE_Curves!$I$5:$I$205,1))+($R61-INDEX(LE_Curves!$I$5:$I$205,MATCH($R61,LE_Curves!$I$5:$I$205,1)))*(INDEX(LE_Curves!$B$5:$B$205,MATCH($R61,LE_Curves!$I$5:$I$205,1)+1)-INDEX(LE_Curves!$B$5:$B$205,MATCH($R61,LE_Curves!$I$5:$I$205,1)))/(INDEX(LE_Curves!$I$5:$I$205,MATCH($R61,LE_Curves!$I$5:$I$205,1)+1)-INDEX(LE_Curves!$I$5:$I$205,MATCH($R61,LE_Curves!$I$5:$I$205,1))))))</f>
        <v/>
      </c>
      <c r="Z61" s="11">
        <f>IF(Inputs!$D$30=0,0,IF($R61&lt;=Inputs!$C$30,0,IF($R61&gt;=INDEX(LE_Curves!$J$5:$J$205,201),INDEX(LE_Curves!$B$5:$B$205,201),INDEX(LE_Curves!$B$5:$B$205,MATCH($R61,LE_Curves!$J$5:$J$205,1))+($R61-INDEX(LE_Curves!$J$5:$J$205,MATCH($R61,LE_Curves!$J$5:$J$205,1)))*(INDEX(LE_Curves!$B$5:$B$205,MATCH($R61,LE_Curves!$J$5:$J$205,1)+1)-INDEX(LE_Curves!$B$5:$B$205,MATCH($R61,LE_Curves!$J$5:$J$205,1)))/(INDEX(LE_Curves!$J$5:$J$205,MATCH($R61,LE_Curves!$J$5:$J$205,1)+1)-INDEX(LE_Curves!$J$5:$J$205,MATCH($R61,LE_Curves!$J$5:$J$205,1))))))</f>
        <v/>
      </c>
      <c r="AA61" s="11">
        <f>IF(Inputs!$D$31=0,0,IF($R61&lt;=Inputs!$C$31,0,IF($R61&gt;=INDEX(LE_Curves!$K$5:$K$205,201),INDEX(LE_Curves!$B$5:$B$205,201),INDEX(LE_Curves!$B$5:$B$205,MATCH($R61,LE_Curves!$K$5:$K$205,1))+($R61-INDEX(LE_Curves!$K$5:$K$205,MATCH($R61,LE_Curves!$K$5:$K$205,1)))*(INDEX(LE_Curves!$B$5:$B$205,MATCH($R61,LE_Curves!$K$5:$K$205,1)+1)-INDEX(LE_Curves!$B$5:$B$205,MATCH($R61,LE_Curves!$K$5:$K$205,1)))/(INDEX(LE_Curves!$K$5:$K$205,MATCH($R61,LE_Curves!$K$5:$K$205,1)+1)-INDEX(LE_Curves!$K$5:$K$205,MATCH($R61,LE_Curves!$K$5:$K$205,1))))))</f>
        <v/>
      </c>
      <c r="AB61" s="11">
        <f>IF(Inputs!$D$32=0,0,IF($R61&lt;=Inputs!$C$32,0,IF($R61&gt;=INDEX(LE_Curves!$L$5:$L$205,201),INDEX(LE_Curves!$B$5:$B$205,201),INDEX(LE_Curves!$B$5:$B$205,MATCH($R61,LE_Curves!$L$5:$L$205,1))+($R61-INDEX(LE_Curves!$L$5:$L$205,MATCH($R61,LE_Curves!$L$5:$L$205,1)))*(INDEX(LE_Curves!$B$5:$B$205,MATCH($R61,LE_Curves!$L$5:$L$205,1)+1)-INDEX(LE_Curves!$B$5:$B$205,MATCH($R61,LE_Curves!$L$5:$L$205,1)))/(INDEX(LE_Curves!$L$5:$L$205,MATCH($R61,LE_Curves!$L$5:$L$205,1)+1)-INDEX(LE_Curves!$L$5:$L$205,MATCH($R61,LE_Curves!$L$5:$L$205,1))))))</f>
        <v/>
      </c>
      <c r="AC61" s="11">
        <f>IF(Inputs!$D$33=0,0,IF($R61&lt;=Inputs!$C$33,0,IF($R61&gt;=INDEX(LE_Curves!$M$5:$M$205,201),INDEX(LE_Curves!$B$5:$B$205,201),INDEX(LE_Curves!$B$5:$B$205,MATCH($R61,LE_Curves!$M$5:$M$205,1))+($R61-INDEX(LE_Curves!$M$5:$M$205,MATCH($R61,LE_Curves!$M$5:$M$205,1)))*(INDEX(LE_Curves!$B$5:$B$205,MATCH($R61,LE_Curves!$M$5:$M$205,1)+1)-INDEX(LE_Curves!$B$5:$B$205,MATCH($R61,LE_Curves!$M$5:$M$205,1)))/(INDEX(LE_Curves!$M$5:$M$205,MATCH($R61,LE_Curves!$M$5:$M$205,1)+1)-INDEX(LE_Curves!$M$5:$M$205,MATCH($R61,LE_Curves!$M$5:$M$205,1))))))</f>
        <v/>
      </c>
      <c r="AD61" s="11">
        <f>IF(Inputs!$D$34=0,0,IF($R61&lt;=Inputs!$C$34,0,IF($R61&gt;=INDEX(LE_Curves!$N$5:$N$205,201),INDEX(LE_Curves!$B$5:$B$205,201),INDEX(LE_Curves!$B$5:$B$205,MATCH($R61,LE_Curves!$N$5:$N$205,1))+($R61-INDEX(LE_Curves!$N$5:$N$205,MATCH($R61,LE_Curves!$N$5:$N$205,1)))*(INDEX(LE_Curves!$B$5:$B$205,MATCH($R61,LE_Curves!$N$5:$N$205,1)+1)-INDEX(LE_Curves!$B$5:$B$205,MATCH($R61,LE_Curves!$N$5:$N$205,1)))/(INDEX(LE_Curves!$N$5:$N$205,MATCH($R61,LE_Curves!$N$5:$N$205,1)+1)-INDEX(LE_Curves!$N$5:$N$205,MATCH($R61,LE_Curves!$N$5:$N$205,1))))))</f>
        <v/>
      </c>
      <c r="AE61" s="37">
        <f>SUM(S61:AD61)</f>
        <v/>
      </c>
    </row>
    <row r="62">
      <c r="A62" s="7" t="n">
        <v>31</v>
      </c>
      <c r="B62" s="37">
        <f>$B$3+($B$4-$B$3)*A62/200</f>
        <v/>
      </c>
      <c r="C62" s="11">
        <f>IF(Inputs!$D$23=0,0,IF($B62&lt;=Inputs!$C$23,0,IF($B62&gt;=INDEX(LE_Curves!$C$5:$C$205,201),INDEX(LE_Curves!$B$5:$B$205,201),INDEX(LE_Curves!$B$5:$B$205,MATCH($B62,LE_Curves!$C$5:$C$205,1))+($B62-INDEX(LE_Curves!$C$5:$C$205,MATCH($B62,LE_Curves!$C$5:$C$205,1)))*(INDEX(LE_Curves!$B$5:$B$205,MATCH($B62,LE_Curves!$C$5:$C$205,1)+1)-INDEX(LE_Curves!$B$5:$B$205,MATCH($B62,LE_Curves!$C$5:$C$205,1)))/(INDEX(LE_Curves!$C$5:$C$205,MATCH($B62,LE_Curves!$C$5:$C$205,1)+1)-INDEX(LE_Curves!$C$5:$C$205,MATCH($B62,LE_Curves!$C$5:$C$205,1))))))</f>
        <v/>
      </c>
      <c r="D62" s="11">
        <f>IF(Inputs!$D$24=0,0,IF($B62&lt;=Inputs!$C$24,0,IF($B62&gt;=INDEX(LE_Curves!$D$5:$D$205,201),INDEX(LE_Curves!$B$5:$B$205,201),INDEX(LE_Curves!$B$5:$B$205,MATCH($B62,LE_Curves!$D$5:$D$205,1))+($B62-INDEX(LE_Curves!$D$5:$D$205,MATCH($B62,LE_Curves!$D$5:$D$205,1)))*(INDEX(LE_Curves!$B$5:$B$205,MATCH($B62,LE_Curves!$D$5:$D$205,1)+1)-INDEX(LE_Curves!$B$5:$B$205,MATCH($B62,LE_Curves!$D$5:$D$205,1)))/(INDEX(LE_Curves!$D$5:$D$205,MATCH($B62,LE_Curves!$D$5:$D$205,1)+1)-INDEX(LE_Curves!$D$5:$D$205,MATCH($B62,LE_Curves!$D$5:$D$205,1))))))</f>
        <v/>
      </c>
      <c r="E62" s="11">
        <f>IF(Inputs!$D$25=0,0,IF($B62&lt;=Inputs!$C$25,0,IF($B62&gt;=INDEX(LE_Curves!$E$5:$E$205,201),INDEX(LE_Curves!$B$5:$B$205,201),INDEX(LE_Curves!$B$5:$B$205,MATCH($B62,LE_Curves!$E$5:$E$205,1))+($B62-INDEX(LE_Curves!$E$5:$E$205,MATCH($B62,LE_Curves!$E$5:$E$205,1)))*(INDEX(LE_Curves!$B$5:$B$205,MATCH($B62,LE_Curves!$E$5:$E$205,1)+1)-INDEX(LE_Curves!$B$5:$B$205,MATCH($B62,LE_Curves!$E$5:$E$205,1)))/(INDEX(LE_Curves!$E$5:$E$205,MATCH($B62,LE_Curves!$E$5:$E$205,1)+1)-INDEX(LE_Curves!$E$5:$E$205,MATCH($B62,LE_Curves!$E$5:$E$205,1))))))</f>
        <v/>
      </c>
      <c r="F62" s="11">
        <f>IF(Inputs!$D$26=0,0,IF($B62&lt;=Inputs!$C$26,0,IF($B62&gt;=INDEX(LE_Curves!$F$5:$F$205,201),INDEX(LE_Curves!$B$5:$B$205,201),INDEX(LE_Curves!$B$5:$B$205,MATCH($B62,LE_Curves!$F$5:$F$205,1))+($B62-INDEX(LE_Curves!$F$5:$F$205,MATCH($B62,LE_Curves!$F$5:$F$205,1)))*(INDEX(LE_Curves!$B$5:$B$205,MATCH($B62,LE_Curves!$F$5:$F$205,1)+1)-INDEX(LE_Curves!$B$5:$B$205,MATCH($B62,LE_Curves!$F$5:$F$205,1)))/(INDEX(LE_Curves!$F$5:$F$205,MATCH($B62,LE_Curves!$F$5:$F$205,1)+1)-INDEX(LE_Curves!$F$5:$F$205,MATCH($B62,LE_Curves!$F$5:$F$205,1))))))</f>
        <v/>
      </c>
      <c r="G62" s="11">
        <f>IF(Inputs!$D$27=0,0,IF($B62&lt;=Inputs!$C$27,0,IF($B62&gt;=INDEX(LE_Curves!$G$5:$G$205,201),INDEX(LE_Curves!$B$5:$B$205,201),INDEX(LE_Curves!$B$5:$B$205,MATCH($B62,LE_Curves!$G$5:$G$205,1))+($B62-INDEX(LE_Curves!$G$5:$G$205,MATCH($B62,LE_Curves!$G$5:$G$205,1)))*(INDEX(LE_Curves!$B$5:$B$205,MATCH($B62,LE_Curves!$G$5:$G$205,1)+1)-INDEX(LE_Curves!$B$5:$B$205,MATCH($B62,LE_Curves!$G$5:$G$205,1)))/(INDEX(LE_Curves!$G$5:$G$205,MATCH($B62,LE_Curves!$G$5:$G$205,1)+1)-INDEX(LE_Curves!$G$5:$G$205,MATCH($B62,LE_Curves!$G$5:$G$205,1))))))</f>
        <v/>
      </c>
      <c r="H62" s="11">
        <f>IF(Inputs!$D$28=0,0,IF($B62&lt;=Inputs!$C$28,0,IF($B62&gt;=INDEX(LE_Curves!$H$5:$H$205,201),INDEX(LE_Curves!$B$5:$B$205,201),INDEX(LE_Curves!$B$5:$B$205,MATCH($B62,LE_Curves!$H$5:$H$205,1))+($B62-INDEX(LE_Curves!$H$5:$H$205,MATCH($B62,LE_Curves!$H$5:$H$205,1)))*(INDEX(LE_Curves!$B$5:$B$205,MATCH($B62,LE_Curves!$H$5:$H$205,1)+1)-INDEX(LE_Curves!$B$5:$B$205,MATCH($B62,LE_Curves!$H$5:$H$205,1)))/(INDEX(LE_Curves!$H$5:$H$205,MATCH($B62,LE_Curves!$H$5:$H$205,1)+1)-INDEX(LE_Curves!$H$5:$H$205,MATCH($B62,LE_Curves!$H$5:$H$205,1))))))</f>
        <v/>
      </c>
      <c r="I62" s="11">
        <f>IF(Inputs!$D$29=0,0,IF($B62&lt;=Inputs!$C$29,0,IF($B62&gt;=INDEX(LE_Curves!$I$5:$I$205,201),INDEX(LE_Curves!$B$5:$B$205,201),INDEX(LE_Curves!$B$5:$B$205,MATCH($B62,LE_Curves!$I$5:$I$205,1))+($B62-INDEX(LE_Curves!$I$5:$I$205,MATCH($B62,LE_Curves!$I$5:$I$205,1)))*(INDEX(LE_Curves!$B$5:$B$205,MATCH($B62,LE_Curves!$I$5:$I$205,1)+1)-INDEX(LE_Curves!$B$5:$B$205,MATCH($B62,LE_Curves!$I$5:$I$205,1)))/(INDEX(LE_Curves!$I$5:$I$205,MATCH($B62,LE_Curves!$I$5:$I$205,1)+1)-INDEX(LE_Curves!$I$5:$I$205,MATCH($B62,LE_Curves!$I$5:$I$205,1))))))</f>
        <v/>
      </c>
      <c r="J62" s="11">
        <f>IF(Inputs!$D$30=0,0,IF($B62&lt;=Inputs!$C$30,0,IF($B62&gt;=INDEX(LE_Curves!$J$5:$J$205,201),INDEX(LE_Curves!$B$5:$B$205,201),INDEX(LE_Curves!$B$5:$B$205,MATCH($B62,LE_Curves!$J$5:$J$205,1))+($B62-INDEX(LE_Curves!$J$5:$J$205,MATCH($B62,LE_Curves!$J$5:$J$205,1)))*(INDEX(LE_Curves!$B$5:$B$205,MATCH($B62,LE_Curves!$J$5:$J$205,1)+1)-INDEX(LE_Curves!$B$5:$B$205,MATCH($B62,LE_Curves!$J$5:$J$205,1)))/(INDEX(LE_Curves!$J$5:$J$205,MATCH($B62,LE_Curves!$J$5:$J$205,1)+1)-INDEX(LE_Curves!$J$5:$J$205,MATCH($B62,LE_Curves!$J$5:$J$205,1))))))</f>
        <v/>
      </c>
      <c r="K62" s="11">
        <f>IF(Inputs!$D$31=0,0,IF($B62&lt;=Inputs!$C$31,0,IF($B62&gt;=INDEX(LE_Curves!$K$5:$K$205,201),INDEX(LE_Curves!$B$5:$B$205,201),INDEX(LE_Curves!$B$5:$B$205,MATCH($B62,LE_Curves!$K$5:$K$205,1))+($B62-INDEX(LE_Curves!$K$5:$K$205,MATCH($B62,LE_Curves!$K$5:$K$205,1)))*(INDEX(LE_Curves!$B$5:$B$205,MATCH($B62,LE_Curves!$K$5:$K$205,1)+1)-INDEX(LE_Curves!$B$5:$B$205,MATCH($B62,LE_Curves!$K$5:$K$205,1)))/(INDEX(LE_Curves!$K$5:$K$205,MATCH($B62,LE_Curves!$K$5:$K$205,1)+1)-INDEX(LE_Curves!$K$5:$K$205,MATCH($B62,LE_Curves!$K$5:$K$205,1))))))</f>
        <v/>
      </c>
      <c r="L62" s="11">
        <f>IF(Inputs!$D$32=0,0,IF($B62&lt;=Inputs!$C$32,0,IF($B62&gt;=INDEX(LE_Curves!$L$5:$L$205,201),INDEX(LE_Curves!$B$5:$B$205,201),INDEX(LE_Curves!$B$5:$B$205,MATCH($B62,LE_Curves!$L$5:$L$205,1))+($B62-INDEX(LE_Curves!$L$5:$L$205,MATCH($B62,LE_Curves!$L$5:$L$205,1)))*(INDEX(LE_Curves!$B$5:$B$205,MATCH($B62,LE_Curves!$L$5:$L$205,1)+1)-INDEX(LE_Curves!$B$5:$B$205,MATCH($B62,LE_Curves!$L$5:$L$205,1)))/(INDEX(LE_Curves!$L$5:$L$205,MATCH($B62,LE_Curves!$L$5:$L$205,1)+1)-INDEX(LE_Curves!$L$5:$L$205,MATCH($B62,LE_Curves!$L$5:$L$205,1))))))</f>
        <v/>
      </c>
      <c r="M62" s="11">
        <f>IF(Inputs!$D$33=0,0,IF($B62&lt;=Inputs!$C$33,0,IF($B62&gt;=INDEX(LE_Curves!$M$5:$M$205,201),INDEX(LE_Curves!$B$5:$B$205,201),INDEX(LE_Curves!$B$5:$B$205,MATCH($B62,LE_Curves!$M$5:$M$205,1))+($B62-INDEX(LE_Curves!$M$5:$M$205,MATCH($B62,LE_Curves!$M$5:$M$205,1)))*(INDEX(LE_Curves!$B$5:$B$205,MATCH($B62,LE_Curves!$M$5:$M$205,1)+1)-INDEX(LE_Curves!$B$5:$B$205,MATCH($B62,LE_Curves!$M$5:$M$205,1)))/(INDEX(LE_Curves!$M$5:$M$205,MATCH($B62,LE_Curves!$M$5:$M$205,1)+1)-INDEX(LE_Curves!$M$5:$M$205,MATCH($B62,LE_Curves!$M$5:$M$205,1))))))</f>
        <v/>
      </c>
      <c r="N62" s="11">
        <f>IF(Inputs!$D$34=0,0,IF($B62&lt;=Inputs!$C$34,0,IF($B62&gt;=INDEX(LE_Curves!$N$5:$N$205,201),INDEX(LE_Curves!$B$5:$B$205,201),INDEX(LE_Curves!$B$5:$B$205,MATCH($B62,LE_Curves!$N$5:$N$205,1))+($B62-INDEX(LE_Curves!$N$5:$N$205,MATCH($B62,LE_Curves!$N$5:$N$205,1)))*(INDEX(LE_Curves!$B$5:$B$205,MATCH($B62,LE_Curves!$N$5:$N$205,1)+1)-INDEX(LE_Curves!$B$5:$B$205,MATCH($B62,LE_Curves!$N$5:$N$205,1)))/(INDEX(LE_Curves!$N$5:$N$205,MATCH($B62,LE_Curves!$N$5:$N$205,1)+1)-INDEX(LE_Curves!$N$5:$N$205,MATCH($B62,LE_Curves!$N$5:$N$205,1))))))</f>
        <v/>
      </c>
      <c r="O62" s="11">
        <f>SUM(C62:N62)</f>
        <v/>
      </c>
      <c r="Q62" s="7" t="n">
        <v>31</v>
      </c>
      <c r="R62" s="23">
        <f>$B$6+($B$7-$B$6)*Q62/200</f>
        <v/>
      </c>
      <c r="S62" s="11">
        <f>IF(Inputs!$D$23=0,0,IF($R62&lt;=Inputs!$C$23,0,IF($R62&gt;=INDEX(LE_Curves!$C$5:$C$205,201),INDEX(LE_Curves!$B$5:$B$205,201),INDEX(LE_Curves!$B$5:$B$205,MATCH($R62,LE_Curves!$C$5:$C$205,1))+($R62-INDEX(LE_Curves!$C$5:$C$205,MATCH($R62,LE_Curves!$C$5:$C$205,1)))*(INDEX(LE_Curves!$B$5:$B$205,MATCH($R62,LE_Curves!$C$5:$C$205,1)+1)-INDEX(LE_Curves!$B$5:$B$205,MATCH($R62,LE_Curves!$C$5:$C$205,1)))/(INDEX(LE_Curves!$C$5:$C$205,MATCH($R62,LE_Curves!$C$5:$C$205,1)+1)-INDEX(LE_Curves!$C$5:$C$205,MATCH($R62,LE_Curves!$C$5:$C$205,1))))))</f>
        <v/>
      </c>
      <c r="T62" s="11">
        <f>IF(Inputs!$D$24=0,0,IF($R62&lt;=Inputs!$C$24,0,IF($R62&gt;=INDEX(LE_Curves!$D$5:$D$205,201),INDEX(LE_Curves!$B$5:$B$205,201),INDEX(LE_Curves!$B$5:$B$205,MATCH($R62,LE_Curves!$D$5:$D$205,1))+($R62-INDEX(LE_Curves!$D$5:$D$205,MATCH($R62,LE_Curves!$D$5:$D$205,1)))*(INDEX(LE_Curves!$B$5:$B$205,MATCH($R62,LE_Curves!$D$5:$D$205,1)+1)-INDEX(LE_Curves!$B$5:$B$205,MATCH($R62,LE_Curves!$D$5:$D$205,1)))/(INDEX(LE_Curves!$D$5:$D$205,MATCH($R62,LE_Curves!$D$5:$D$205,1)+1)-INDEX(LE_Curves!$D$5:$D$205,MATCH($R62,LE_Curves!$D$5:$D$205,1))))))</f>
        <v/>
      </c>
      <c r="U62" s="11">
        <f>IF(Inputs!$D$25=0,0,IF($R62&lt;=Inputs!$C$25,0,IF($R62&gt;=INDEX(LE_Curves!$E$5:$E$205,201),INDEX(LE_Curves!$B$5:$B$205,201),INDEX(LE_Curves!$B$5:$B$205,MATCH($R62,LE_Curves!$E$5:$E$205,1))+($R62-INDEX(LE_Curves!$E$5:$E$205,MATCH($R62,LE_Curves!$E$5:$E$205,1)))*(INDEX(LE_Curves!$B$5:$B$205,MATCH($R62,LE_Curves!$E$5:$E$205,1)+1)-INDEX(LE_Curves!$B$5:$B$205,MATCH($R62,LE_Curves!$E$5:$E$205,1)))/(INDEX(LE_Curves!$E$5:$E$205,MATCH($R62,LE_Curves!$E$5:$E$205,1)+1)-INDEX(LE_Curves!$E$5:$E$205,MATCH($R62,LE_Curves!$E$5:$E$205,1))))))</f>
        <v/>
      </c>
      <c r="V62" s="11">
        <f>IF(Inputs!$D$26=0,0,IF($R62&lt;=Inputs!$C$26,0,IF($R62&gt;=INDEX(LE_Curves!$F$5:$F$205,201),INDEX(LE_Curves!$B$5:$B$205,201),INDEX(LE_Curves!$B$5:$B$205,MATCH($R62,LE_Curves!$F$5:$F$205,1))+($R62-INDEX(LE_Curves!$F$5:$F$205,MATCH($R62,LE_Curves!$F$5:$F$205,1)))*(INDEX(LE_Curves!$B$5:$B$205,MATCH($R62,LE_Curves!$F$5:$F$205,1)+1)-INDEX(LE_Curves!$B$5:$B$205,MATCH($R62,LE_Curves!$F$5:$F$205,1)))/(INDEX(LE_Curves!$F$5:$F$205,MATCH($R62,LE_Curves!$F$5:$F$205,1)+1)-INDEX(LE_Curves!$F$5:$F$205,MATCH($R62,LE_Curves!$F$5:$F$205,1))))))</f>
        <v/>
      </c>
      <c r="W62" s="11">
        <f>IF(Inputs!$D$27=0,0,IF($R62&lt;=Inputs!$C$27,0,IF($R62&gt;=INDEX(LE_Curves!$G$5:$G$205,201),INDEX(LE_Curves!$B$5:$B$205,201),INDEX(LE_Curves!$B$5:$B$205,MATCH($R62,LE_Curves!$G$5:$G$205,1))+($R62-INDEX(LE_Curves!$G$5:$G$205,MATCH($R62,LE_Curves!$G$5:$G$205,1)))*(INDEX(LE_Curves!$B$5:$B$205,MATCH($R62,LE_Curves!$G$5:$G$205,1)+1)-INDEX(LE_Curves!$B$5:$B$205,MATCH($R62,LE_Curves!$G$5:$G$205,1)))/(INDEX(LE_Curves!$G$5:$G$205,MATCH($R62,LE_Curves!$G$5:$G$205,1)+1)-INDEX(LE_Curves!$G$5:$G$205,MATCH($R62,LE_Curves!$G$5:$G$205,1))))))</f>
        <v/>
      </c>
      <c r="X62" s="11">
        <f>IF(Inputs!$D$28=0,0,IF($R62&lt;=Inputs!$C$28,0,IF($R62&gt;=INDEX(LE_Curves!$H$5:$H$205,201),INDEX(LE_Curves!$B$5:$B$205,201),INDEX(LE_Curves!$B$5:$B$205,MATCH($R62,LE_Curves!$H$5:$H$205,1))+($R62-INDEX(LE_Curves!$H$5:$H$205,MATCH($R62,LE_Curves!$H$5:$H$205,1)))*(INDEX(LE_Curves!$B$5:$B$205,MATCH($R62,LE_Curves!$H$5:$H$205,1)+1)-INDEX(LE_Curves!$B$5:$B$205,MATCH($R62,LE_Curves!$H$5:$H$205,1)))/(INDEX(LE_Curves!$H$5:$H$205,MATCH($R62,LE_Curves!$H$5:$H$205,1)+1)-INDEX(LE_Curves!$H$5:$H$205,MATCH($R62,LE_Curves!$H$5:$H$205,1))))))</f>
        <v/>
      </c>
      <c r="Y62" s="11">
        <f>IF(Inputs!$D$29=0,0,IF($R62&lt;=Inputs!$C$29,0,IF($R62&gt;=INDEX(LE_Curves!$I$5:$I$205,201),INDEX(LE_Curves!$B$5:$B$205,201),INDEX(LE_Curves!$B$5:$B$205,MATCH($R62,LE_Curves!$I$5:$I$205,1))+($R62-INDEX(LE_Curves!$I$5:$I$205,MATCH($R62,LE_Curves!$I$5:$I$205,1)))*(INDEX(LE_Curves!$B$5:$B$205,MATCH($R62,LE_Curves!$I$5:$I$205,1)+1)-INDEX(LE_Curves!$B$5:$B$205,MATCH($R62,LE_Curves!$I$5:$I$205,1)))/(INDEX(LE_Curves!$I$5:$I$205,MATCH($R62,LE_Curves!$I$5:$I$205,1)+1)-INDEX(LE_Curves!$I$5:$I$205,MATCH($R62,LE_Curves!$I$5:$I$205,1))))))</f>
        <v/>
      </c>
      <c r="Z62" s="11">
        <f>IF(Inputs!$D$30=0,0,IF($R62&lt;=Inputs!$C$30,0,IF($R62&gt;=INDEX(LE_Curves!$J$5:$J$205,201),INDEX(LE_Curves!$B$5:$B$205,201),INDEX(LE_Curves!$B$5:$B$205,MATCH($R62,LE_Curves!$J$5:$J$205,1))+($R62-INDEX(LE_Curves!$J$5:$J$205,MATCH($R62,LE_Curves!$J$5:$J$205,1)))*(INDEX(LE_Curves!$B$5:$B$205,MATCH($R62,LE_Curves!$J$5:$J$205,1)+1)-INDEX(LE_Curves!$B$5:$B$205,MATCH($R62,LE_Curves!$J$5:$J$205,1)))/(INDEX(LE_Curves!$J$5:$J$205,MATCH($R62,LE_Curves!$J$5:$J$205,1)+1)-INDEX(LE_Curves!$J$5:$J$205,MATCH($R62,LE_Curves!$J$5:$J$205,1))))))</f>
        <v/>
      </c>
      <c r="AA62" s="11">
        <f>IF(Inputs!$D$31=0,0,IF($R62&lt;=Inputs!$C$31,0,IF($R62&gt;=INDEX(LE_Curves!$K$5:$K$205,201),INDEX(LE_Curves!$B$5:$B$205,201),INDEX(LE_Curves!$B$5:$B$205,MATCH($R62,LE_Curves!$K$5:$K$205,1))+($R62-INDEX(LE_Curves!$K$5:$K$205,MATCH($R62,LE_Curves!$K$5:$K$205,1)))*(INDEX(LE_Curves!$B$5:$B$205,MATCH($R62,LE_Curves!$K$5:$K$205,1)+1)-INDEX(LE_Curves!$B$5:$B$205,MATCH($R62,LE_Curves!$K$5:$K$205,1)))/(INDEX(LE_Curves!$K$5:$K$205,MATCH($R62,LE_Curves!$K$5:$K$205,1)+1)-INDEX(LE_Curves!$K$5:$K$205,MATCH($R62,LE_Curves!$K$5:$K$205,1))))))</f>
        <v/>
      </c>
      <c r="AB62" s="11">
        <f>IF(Inputs!$D$32=0,0,IF($R62&lt;=Inputs!$C$32,0,IF($R62&gt;=INDEX(LE_Curves!$L$5:$L$205,201),INDEX(LE_Curves!$B$5:$B$205,201),INDEX(LE_Curves!$B$5:$B$205,MATCH($R62,LE_Curves!$L$5:$L$205,1))+($R62-INDEX(LE_Curves!$L$5:$L$205,MATCH($R62,LE_Curves!$L$5:$L$205,1)))*(INDEX(LE_Curves!$B$5:$B$205,MATCH($R62,LE_Curves!$L$5:$L$205,1)+1)-INDEX(LE_Curves!$B$5:$B$205,MATCH($R62,LE_Curves!$L$5:$L$205,1)))/(INDEX(LE_Curves!$L$5:$L$205,MATCH($R62,LE_Curves!$L$5:$L$205,1)+1)-INDEX(LE_Curves!$L$5:$L$205,MATCH($R62,LE_Curves!$L$5:$L$205,1))))))</f>
        <v/>
      </c>
      <c r="AC62" s="11">
        <f>IF(Inputs!$D$33=0,0,IF($R62&lt;=Inputs!$C$33,0,IF($R62&gt;=INDEX(LE_Curves!$M$5:$M$205,201),INDEX(LE_Curves!$B$5:$B$205,201),INDEX(LE_Curves!$B$5:$B$205,MATCH($R62,LE_Curves!$M$5:$M$205,1))+($R62-INDEX(LE_Curves!$M$5:$M$205,MATCH($R62,LE_Curves!$M$5:$M$205,1)))*(INDEX(LE_Curves!$B$5:$B$205,MATCH($R62,LE_Curves!$M$5:$M$205,1)+1)-INDEX(LE_Curves!$B$5:$B$205,MATCH($R62,LE_Curves!$M$5:$M$205,1)))/(INDEX(LE_Curves!$M$5:$M$205,MATCH($R62,LE_Curves!$M$5:$M$205,1)+1)-INDEX(LE_Curves!$M$5:$M$205,MATCH($R62,LE_Curves!$M$5:$M$205,1))))))</f>
        <v/>
      </c>
      <c r="AD62" s="11">
        <f>IF(Inputs!$D$34=0,0,IF($R62&lt;=Inputs!$C$34,0,IF($R62&gt;=INDEX(LE_Curves!$N$5:$N$205,201),INDEX(LE_Curves!$B$5:$B$205,201),INDEX(LE_Curves!$B$5:$B$205,MATCH($R62,LE_Curves!$N$5:$N$205,1))+($R62-INDEX(LE_Curves!$N$5:$N$205,MATCH($R62,LE_Curves!$N$5:$N$205,1)))*(INDEX(LE_Curves!$B$5:$B$205,MATCH($R62,LE_Curves!$N$5:$N$205,1)+1)-INDEX(LE_Curves!$B$5:$B$205,MATCH($R62,LE_Curves!$N$5:$N$205,1)))/(INDEX(LE_Curves!$N$5:$N$205,MATCH($R62,LE_Curves!$N$5:$N$205,1)+1)-INDEX(LE_Curves!$N$5:$N$205,MATCH($R62,LE_Curves!$N$5:$N$205,1))))))</f>
        <v/>
      </c>
      <c r="AE62" s="37">
        <f>SUM(S62:AD62)</f>
        <v/>
      </c>
    </row>
    <row r="63">
      <c r="A63" s="7" t="n">
        <v>32</v>
      </c>
      <c r="B63" s="37">
        <f>$B$3+($B$4-$B$3)*A63/200</f>
        <v/>
      </c>
      <c r="C63" s="11">
        <f>IF(Inputs!$D$23=0,0,IF($B63&lt;=Inputs!$C$23,0,IF($B63&gt;=INDEX(LE_Curves!$C$5:$C$205,201),INDEX(LE_Curves!$B$5:$B$205,201),INDEX(LE_Curves!$B$5:$B$205,MATCH($B63,LE_Curves!$C$5:$C$205,1))+($B63-INDEX(LE_Curves!$C$5:$C$205,MATCH($B63,LE_Curves!$C$5:$C$205,1)))*(INDEX(LE_Curves!$B$5:$B$205,MATCH($B63,LE_Curves!$C$5:$C$205,1)+1)-INDEX(LE_Curves!$B$5:$B$205,MATCH($B63,LE_Curves!$C$5:$C$205,1)))/(INDEX(LE_Curves!$C$5:$C$205,MATCH($B63,LE_Curves!$C$5:$C$205,1)+1)-INDEX(LE_Curves!$C$5:$C$205,MATCH($B63,LE_Curves!$C$5:$C$205,1))))))</f>
        <v/>
      </c>
      <c r="D63" s="11">
        <f>IF(Inputs!$D$24=0,0,IF($B63&lt;=Inputs!$C$24,0,IF($B63&gt;=INDEX(LE_Curves!$D$5:$D$205,201),INDEX(LE_Curves!$B$5:$B$205,201),INDEX(LE_Curves!$B$5:$B$205,MATCH($B63,LE_Curves!$D$5:$D$205,1))+($B63-INDEX(LE_Curves!$D$5:$D$205,MATCH($B63,LE_Curves!$D$5:$D$205,1)))*(INDEX(LE_Curves!$B$5:$B$205,MATCH($B63,LE_Curves!$D$5:$D$205,1)+1)-INDEX(LE_Curves!$B$5:$B$205,MATCH($B63,LE_Curves!$D$5:$D$205,1)))/(INDEX(LE_Curves!$D$5:$D$205,MATCH($B63,LE_Curves!$D$5:$D$205,1)+1)-INDEX(LE_Curves!$D$5:$D$205,MATCH($B63,LE_Curves!$D$5:$D$205,1))))))</f>
        <v/>
      </c>
      <c r="E63" s="11">
        <f>IF(Inputs!$D$25=0,0,IF($B63&lt;=Inputs!$C$25,0,IF($B63&gt;=INDEX(LE_Curves!$E$5:$E$205,201),INDEX(LE_Curves!$B$5:$B$205,201),INDEX(LE_Curves!$B$5:$B$205,MATCH($B63,LE_Curves!$E$5:$E$205,1))+($B63-INDEX(LE_Curves!$E$5:$E$205,MATCH($B63,LE_Curves!$E$5:$E$205,1)))*(INDEX(LE_Curves!$B$5:$B$205,MATCH($B63,LE_Curves!$E$5:$E$205,1)+1)-INDEX(LE_Curves!$B$5:$B$205,MATCH($B63,LE_Curves!$E$5:$E$205,1)))/(INDEX(LE_Curves!$E$5:$E$205,MATCH($B63,LE_Curves!$E$5:$E$205,1)+1)-INDEX(LE_Curves!$E$5:$E$205,MATCH($B63,LE_Curves!$E$5:$E$205,1))))))</f>
        <v/>
      </c>
      <c r="F63" s="11">
        <f>IF(Inputs!$D$26=0,0,IF($B63&lt;=Inputs!$C$26,0,IF($B63&gt;=INDEX(LE_Curves!$F$5:$F$205,201),INDEX(LE_Curves!$B$5:$B$205,201),INDEX(LE_Curves!$B$5:$B$205,MATCH($B63,LE_Curves!$F$5:$F$205,1))+($B63-INDEX(LE_Curves!$F$5:$F$205,MATCH($B63,LE_Curves!$F$5:$F$205,1)))*(INDEX(LE_Curves!$B$5:$B$205,MATCH($B63,LE_Curves!$F$5:$F$205,1)+1)-INDEX(LE_Curves!$B$5:$B$205,MATCH($B63,LE_Curves!$F$5:$F$205,1)))/(INDEX(LE_Curves!$F$5:$F$205,MATCH($B63,LE_Curves!$F$5:$F$205,1)+1)-INDEX(LE_Curves!$F$5:$F$205,MATCH($B63,LE_Curves!$F$5:$F$205,1))))))</f>
        <v/>
      </c>
      <c r="G63" s="11">
        <f>IF(Inputs!$D$27=0,0,IF($B63&lt;=Inputs!$C$27,0,IF($B63&gt;=INDEX(LE_Curves!$G$5:$G$205,201),INDEX(LE_Curves!$B$5:$B$205,201),INDEX(LE_Curves!$B$5:$B$205,MATCH($B63,LE_Curves!$G$5:$G$205,1))+($B63-INDEX(LE_Curves!$G$5:$G$205,MATCH($B63,LE_Curves!$G$5:$G$205,1)))*(INDEX(LE_Curves!$B$5:$B$205,MATCH($B63,LE_Curves!$G$5:$G$205,1)+1)-INDEX(LE_Curves!$B$5:$B$205,MATCH($B63,LE_Curves!$G$5:$G$205,1)))/(INDEX(LE_Curves!$G$5:$G$205,MATCH($B63,LE_Curves!$G$5:$G$205,1)+1)-INDEX(LE_Curves!$G$5:$G$205,MATCH($B63,LE_Curves!$G$5:$G$205,1))))))</f>
        <v/>
      </c>
      <c r="H63" s="11">
        <f>IF(Inputs!$D$28=0,0,IF($B63&lt;=Inputs!$C$28,0,IF($B63&gt;=INDEX(LE_Curves!$H$5:$H$205,201),INDEX(LE_Curves!$B$5:$B$205,201),INDEX(LE_Curves!$B$5:$B$205,MATCH($B63,LE_Curves!$H$5:$H$205,1))+($B63-INDEX(LE_Curves!$H$5:$H$205,MATCH($B63,LE_Curves!$H$5:$H$205,1)))*(INDEX(LE_Curves!$B$5:$B$205,MATCH($B63,LE_Curves!$H$5:$H$205,1)+1)-INDEX(LE_Curves!$B$5:$B$205,MATCH($B63,LE_Curves!$H$5:$H$205,1)))/(INDEX(LE_Curves!$H$5:$H$205,MATCH($B63,LE_Curves!$H$5:$H$205,1)+1)-INDEX(LE_Curves!$H$5:$H$205,MATCH($B63,LE_Curves!$H$5:$H$205,1))))))</f>
        <v/>
      </c>
      <c r="I63" s="11">
        <f>IF(Inputs!$D$29=0,0,IF($B63&lt;=Inputs!$C$29,0,IF($B63&gt;=INDEX(LE_Curves!$I$5:$I$205,201),INDEX(LE_Curves!$B$5:$B$205,201),INDEX(LE_Curves!$B$5:$B$205,MATCH($B63,LE_Curves!$I$5:$I$205,1))+($B63-INDEX(LE_Curves!$I$5:$I$205,MATCH($B63,LE_Curves!$I$5:$I$205,1)))*(INDEX(LE_Curves!$B$5:$B$205,MATCH($B63,LE_Curves!$I$5:$I$205,1)+1)-INDEX(LE_Curves!$B$5:$B$205,MATCH($B63,LE_Curves!$I$5:$I$205,1)))/(INDEX(LE_Curves!$I$5:$I$205,MATCH($B63,LE_Curves!$I$5:$I$205,1)+1)-INDEX(LE_Curves!$I$5:$I$205,MATCH($B63,LE_Curves!$I$5:$I$205,1))))))</f>
        <v/>
      </c>
      <c r="J63" s="11">
        <f>IF(Inputs!$D$30=0,0,IF($B63&lt;=Inputs!$C$30,0,IF($B63&gt;=INDEX(LE_Curves!$J$5:$J$205,201),INDEX(LE_Curves!$B$5:$B$205,201),INDEX(LE_Curves!$B$5:$B$205,MATCH($B63,LE_Curves!$J$5:$J$205,1))+($B63-INDEX(LE_Curves!$J$5:$J$205,MATCH($B63,LE_Curves!$J$5:$J$205,1)))*(INDEX(LE_Curves!$B$5:$B$205,MATCH($B63,LE_Curves!$J$5:$J$205,1)+1)-INDEX(LE_Curves!$B$5:$B$205,MATCH($B63,LE_Curves!$J$5:$J$205,1)))/(INDEX(LE_Curves!$J$5:$J$205,MATCH($B63,LE_Curves!$J$5:$J$205,1)+1)-INDEX(LE_Curves!$J$5:$J$205,MATCH($B63,LE_Curves!$J$5:$J$205,1))))))</f>
        <v/>
      </c>
      <c r="K63" s="11">
        <f>IF(Inputs!$D$31=0,0,IF($B63&lt;=Inputs!$C$31,0,IF($B63&gt;=INDEX(LE_Curves!$K$5:$K$205,201),INDEX(LE_Curves!$B$5:$B$205,201),INDEX(LE_Curves!$B$5:$B$205,MATCH($B63,LE_Curves!$K$5:$K$205,1))+($B63-INDEX(LE_Curves!$K$5:$K$205,MATCH($B63,LE_Curves!$K$5:$K$205,1)))*(INDEX(LE_Curves!$B$5:$B$205,MATCH($B63,LE_Curves!$K$5:$K$205,1)+1)-INDEX(LE_Curves!$B$5:$B$205,MATCH($B63,LE_Curves!$K$5:$K$205,1)))/(INDEX(LE_Curves!$K$5:$K$205,MATCH($B63,LE_Curves!$K$5:$K$205,1)+1)-INDEX(LE_Curves!$K$5:$K$205,MATCH($B63,LE_Curves!$K$5:$K$205,1))))))</f>
        <v/>
      </c>
      <c r="L63" s="11">
        <f>IF(Inputs!$D$32=0,0,IF($B63&lt;=Inputs!$C$32,0,IF($B63&gt;=INDEX(LE_Curves!$L$5:$L$205,201),INDEX(LE_Curves!$B$5:$B$205,201),INDEX(LE_Curves!$B$5:$B$205,MATCH($B63,LE_Curves!$L$5:$L$205,1))+($B63-INDEX(LE_Curves!$L$5:$L$205,MATCH($B63,LE_Curves!$L$5:$L$205,1)))*(INDEX(LE_Curves!$B$5:$B$205,MATCH($B63,LE_Curves!$L$5:$L$205,1)+1)-INDEX(LE_Curves!$B$5:$B$205,MATCH($B63,LE_Curves!$L$5:$L$205,1)))/(INDEX(LE_Curves!$L$5:$L$205,MATCH($B63,LE_Curves!$L$5:$L$205,1)+1)-INDEX(LE_Curves!$L$5:$L$205,MATCH($B63,LE_Curves!$L$5:$L$205,1))))))</f>
        <v/>
      </c>
      <c r="M63" s="11">
        <f>IF(Inputs!$D$33=0,0,IF($B63&lt;=Inputs!$C$33,0,IF($B63&gt;=INDEX(LE_Curves!$M$5:$M$205,201),INDEX(LE_Curves!$B$5:$B$205,201),INDEX(LE_Curves!$B$5:$B$205,MATCH($B63,LE_Curves!$M$5:$M$205,1))+($B63-INDEX(LE_Curves!$M$5:$M$205,MATCH($B63,LE_Curves!$M$5:$M$205,1)))*(INDEX(LE_Curves!$B$5:$B$205,MATCH($B63,LE_Curves!$M$5:$M$205,1)+1)-INDEX(LE_Curves!$B$5:$B$205,MATCH($B63,LE_Curves!$M$5:$M$205,1)))/(INDEX(LE_Curves!$M$5:$M$205,MATCH($B63,LE_Curves!$M$5:$M$205,1)+1)-INDEX(LE_Curves!$M$5:$M$205,MATCH($B63,LE_Curves!$M$5:$M$205,1))))))</f>
        <v/>
      </c>
      <c r="N63" s="11">
        <f>IF(Inputs!$D$34=0,0,IF($B63&lt;=Inputs!$C$34,0,IF($B63&gt;=INDEX(LE_Curves!$N$5:$N$205,201),INDEX(LE_Curves!$B$5:$B$205,201),INDEX(LE_Curves!$B$5:$B$205,MATCH($B63,LE_Curves!$N$5:$N$205,1))+($B63-INDEX(LE_Curves!$N$5:$N$205,MATCH($B63,LE_Curves!$N$5:$N$205,1)))*(INDEX(LE_Curves!$B$5:$B$205,MATCH($B63,LE_Curves!$N$5:$N$205,1)+1)-INDEX(LE_Curves!$B$5:$B$205,MATCH($B63,LE_Curves!$N$5:$N$205,1)))/(INDEX(LE_Curves!$N$5:$N$205,MATCH($B63,LE_Curves!$N$5:$N$205,1)+1)-INDEX(LE_Curves!$N$5:$N$205,MATCH($B63,LE_Curves!$N$5:$N$205,1))))))</f>
        <v/>
      </c>
      <c r="O63" s="11">
        <f>SUM(C63:N63)</f>
        <v/>
      </c>
      <c r="Q63" s="7" t="n">
        <v>32</v>
      </c>
      <c r="R63" s="23">
        <f>$B$6+($B$7-$B$6)*Q63/200</f>
        <v/>
      </c>
      <c r="S63" s="11">
        <f>IF(Inputs!$D$23=0,0,IF($R63&lt;=Inputs!$C$23,0,IF($R63&gt;=INDEX(LE_Curves!$C$5:$C$205,201),INDEX(LE_Curves!$B$5:$B$205,201),INDEX(LE_Curves!$B$5:$B$205,MATCH($R63,LE_Curves!$C$5:$C$205,1))+($R63-INDEX(LE_Curves!$C$5:$C$205,MATCH($R63,LE_Curves!$C$5:$C$205,1)))*(INDEX(LE_Curves!$B$5:$B$205,MATCH($R63,LE_Curves!$C$5:$C$205,1)+1)-INDEX(LE_Curves!$B$5:$B$205,MATCH($R63,LE_Curves!$C$5:$C$205,1)))/(INDEX(LE_Curves!$C$5:$C$205,MATCH($R63,LE_Curves!$C$5:$C$205,1)+1)-INDEX(LE_Curves!$C$5:$C$205,MATCH($R63,LE_Curves!$C$5:$C$205,1))))))</f>
        <v/>
      </c>
      <c r="T63" s="11">
        <f>IF(Inputs!$D$24=0,0,IF($R63&lt;=Inputs!$C$24,0,IF($R63&gt;=INDEX(LE_Curves!$D$5:$D$205,201),INDEX(LE_Curves!$B$5:$B$205,201),INDEX(LE_Curves!$B$5:$B$205,MATCH($R63,LE_Curves!$D$5:$D$205,1))+($R63-INDEX(LE_Curves!$D$5:$D$205,MATCH($R63,LE_Curves!$D$5:$D$205,1)))*(INDEX(LE_Curves!$B$5:$B$205,MATCH($R63,LE_Curves!$D$5:$D$205,1)+1)-INDEX(LE_Curves!$B$5:$B$205,MATCH($R63,LE_Curves!$D$5:$D$205,1)))/(INDEX(LE_Curves!$D$5:$D$205,MATCH($R63,LE_Curves!$D$5:$D$205,1)+1)-INDEX(LE_Curves!$D$5:$D$205,MATCH($R63,LE_Curves!$D$5:$D$205,1))))))</f>
        <v/>
      </c>
      <c r="U63" s="11">
        <f>IF(Inputs!$D$25=0,0,IF($R63&lt;=Inputs!$C$25,0,IF($R63&gt;=INDEX(LE_Curves!$E$5:$E$205,201),INDEX(LE_Curves!$B$5:$B$205,201),INDEX(LE_Curves!$B$5:$B$205,MATCH($R63,LE_Curves!$E$5:$E$205,1))+($R63-INDEX(LE_Curves!$E$5:$E$205,MATCH($R63,LE_Curves!$E$5:$E$205,1)))*(INDEX(LE_Curves!$B$5:$B$205,MATCH($R63,LE_Curves!$E$5:$E$205,1)+1)-INDEX(LE_Curves!$B$5:$B$205,MATCH($R63,LE_Curves!$E$5:$E$205,1)))/(INDEX(LE_Curves!$E$5:$E$205,MATCH($R63,LE_Curves!$E$5:$E$205,1)+1)-INDEX(LE_Curves!$E$5:$E$205,MATCH($R63,LE_Curves!$E$5:$E$205,1))))))</f>
        <v/>
      </c>
      <c r="V63" s="11">
        <f>IF(Inputs!$D$26=0,0,IF($R63&lt;=Inputs!$C$26,0,IF($R63&gt;=INDEX(LE_Curves!$F$5:$F$205,201),INDEX(LE_Curves!$B$5:$B$205,201),INDEX(LE_Curves!$B$5:$B$205,MATCH($R63,LE_Curves!$F$5:$F$205,1))+($R63-INDEX(LE_Curves!$F$5:$F$205,MATCH($R63,LE_Curves!$F$5:$F$205,1)))*(INDEX(LE_Curves!$B$5:$B$205,MATCH($R63,LE_Curves!$F$5:$F$205,1)+1)-INDEX(LE_Curves!$B$5:$B$205,MATCH($R63,LE_Curves!$F$5:$F$205,1)))/(INDEX(LE_Curves!$F$5:$F$205,MATCH($R63,LE_Curves!$F$5:$F$205,1)+1)-INDEX(LE_Curves!$F$5:$F$205,MATCH($R63,LE_Curves!$F$5:$F$205,1))))))</f>
        <v/>
      </c>
      <c r="W63" s="11">
        <f>IF(Inputs!$D$27=0,0,IF($R63&lt;=Inputs!$C$27,0,IF($R63&gt;=INDEX(LE_Curves!$G$5:$G$205,201),INDEX(LE_Curves!$B$5:$B$205,201),INDEX(LE_Curves!$B$5:$B$205,MATCH($R63,LE_Curves!$G$5:$G$205,1))+($R63-INDEX(LE_Curves!$G$5:$G$205,MATCH($R63,LE_Curves!$G$5:$G$205,1)))*(INDEX(LE_Curves!$B$5:$B$205,MATCH($R63,LE_Curves!$G$5:$G$205,1)+1)-INDEX(LE_Curves!$B$5:$B$205,MATCH($R63,LE_Curves!$G$5:$G$205,1)))/(INDEX(LE_Curves!$G$5:$G$205,MATCH($R63,LE_Curves!$G$5:$G$205,1)+1)-INDEX(LE_Curves!$G$5:$G$205,MATCH($R63,LE_Curves!$G$5:$G$205,1))))))</f>
        <v/>
      </c>
      <c r="X63" s="11">
        <f>IF(Inputs!$D$28=0,0,IF($R63&lt;=Inputs!$C$28,0,IF($R63&gt;=INDEX(LE_Curves!$H$5:$H$205,201),INDEX(LE_Curves!$B$5:$B$205,201),INDEX(LE_Curves!$B$5:$B$205,MATCH($R63,LE_Curves!$H$5:$H$205,1))+($R63-INDEX(LE_Curves!$H$5:$H$205,MATCH($R63,LE_Curves!$H$5:$H$205,1)))*(INDEX(LE_Curves!$B$5:$B$205,MATCH($R63,LE_Curves!$H$5:$H$205,1)+1)-INDEX(LE_Curves!$B$5:$B$205,MATCH($R63,LE_Curves!$H$5:$H$205,1)))/(INDEX(LE_Curves!$H$5:$H$205,MATCH($R63,LE_Curves!$H$5:$H$205,1)+1)-INDEX(LE_Curves!$H$5:$H$205,MATCH($R63,LE_Curves!$H$5:$H$205,1))))))</f>
        <v/>
      </c>
      <c r="Y63" s="11">
        <f>IF(Inputs!$D$29=0,0,IF($R63&lt;=Inputs!$C$29,0,IF($R63&gt;=INDEX(LE_Curves!$I$5:$I$205,201),INDEX(LE_Curves!$B$5:$B$205,201),INDEX(LE_Curves!$B$5:$B$205,MATCH($R63,LE_Curves!$I$5:$I$205,1))+($R63-INDEX(LE_Curves!$I$5:$I$205,MATCH($R63,LE_Curves!$I$5:$I$205,1)))*(INDEX(LE_Curves!$B$5:$B$205,MATCH($R63,LE_Curves!$I$5:$I$205,1)+1)-INDEX(LE_Curves!$B$5:$B$205,MATCH($R63,LE_Curves!$I$5:$I$205,1)))/(INDEX(LE_Curves!$I$5:$I$205,MATCH($R63,LE_Curves!$I$5:$I$205,1)+1)-INDEX(LE_Curves!$I$5:$I$205,MATCH($R63,LE_Curves!$I$5:$I$205,1))))))</f>
        <v/>
      </c>
      <c r="Z63" s="11">
        <f>IF(Inputs!$D$30=0,0,IF($R63&lt;=Inputs!$C$30,0,IF($R63&gt;=INDEX(LE_Curves!$J$5:$J$205,201),INDEX(LE_Curves!$B$5:$B$205,201),INDEX(LE_Curves!$B$5:$B$205,MATCH($R63,LE_Curves!$J$5:$J$205,1))+($R63-INDEX(LE_Curves!$J$5:$J$205,MATCH($R63,LE_Curves!$J$5:$J$205,1)))*(INDEX(LE_Curves!$B$5:$B$205,MATCH($R63,LE_Curves!$J$5:$J$205,1)+1)-INDEX(LE_Curves!$B$5:$B$205,MATCH($R63,LE_Curves!$J$5:$J$205,1)))/(INDEX(LE_Curves!$J$5:$J$205,MATCH($R63,LE_Curves!$J$5:$J$205,1)+1)-INDEX(LE_Curves!$J$5:$J$205,MATCH($R63,LE_Curves!$J$5:$J$205,1))))))</f>
        <v/>
      </c>
      <c r="AA63" s="11">
        <f>IF(Inputs!$D$31=0,0,IF($R63&lt;=Inputs!$C$31,0,IF($R63&gt;=INDEX(LE_Curves!$K$5:$K$205,201),INDEX(LE_Curves!$B$5:$B$205,201),INDEX(LE_Curves!$B$5:$B$205,MATCH($R63,LE_Curves!$K$5:$K$205,1))+($R63-INDEX(LE_Curves!$K$5:$K$205,MATCH($R63,LE_Curves!$K$5:$K$205,1)))*(INDEX(LE_Curves!$B$5:$B$205,MATCH($R63,LE_Curves!$K$5:$K$205,1)+1)-INDEX(LE_Curves!$B$5:$B$205,MATCH($R63,LE_Curves!$K$5:$K$205,1)))/(INDEX(LE_Curves!$K$5:$K$205,MATCH($R63,LE_Curves!$K$5:$K$205,1)+1)-INDEX(LE_Curves!$K$5:$K$205,MATCH($R63,LE_Curves!$K$5:$K$205,1))))))</f>
        <v/>
      </c>
      <c r="AB63" s="11">
        <f>IF(Inputs!$D$32=0,0,IF($R63&lt;=Inputs!$C$32,0,IF($R63&gt;=INDEX(LE_Curves!$L$5:$L$205,201),INDEX(LE_Curves!$B$5:$B$205,201),INDEX(LE_Curves!$B$5:$B$205,MATCH($R63,LE_Curves!$L$5:$L$205,1))+($R63-INDEX(LE_Curves!$L$5:$L$205,MATCH($R63,LE_Curves!$L$5:$L$205,1)))*(INDEX(LE_Curves!$B$5:$B$205,MATCH($R63,LE_Curves!$L$5:$L$205,1)+1)-INDEX(LE_Curves!$B$5:$B$205,MATCH($R63,LE_Curves!$L$5:$L$205,1)))/(INDEX(LE_Curves!$L$5:$L$205,MATCH($R63,LE_Curves!$L$5:$L$205,1)+1)-INDEX(LE_Curves!$L$5:$L$205,MATCH($R63,LE_Curves!$L$5:$L$205,1))))))</f>
        <v/>
      </c>
      <c r="AC63" s="11">
        <f>IF(Inputs!$D$33=0,0,IF($R63&lt;=Inputs!$C$33,0,IF($R63&gt;=INDEX(LE_Curves!$M$5:$M$205,201),INDEX(LE_Curves!$B$5:$B$205,201),INDEX(LE_Curves!$B$5:$B$205,MATCH($R63,LE_Curves!$M$5:$M$205,1))+($R63-INDEX(LE_Curves!$M$5:$M$205,MATCH($R63,LE_Curves!$M$5:$M$205,1)))*(INDEX(LE_Curves!$B$5:$B$205,MATCH($R63,LE_Curves!$M$5:$M$205,1)+1)-INDEX(LE_Curves!$B$5:$B$205,MATCH($R63,LE_Curves!$M$5:$M$205,1)))/(INDEX(LE_Curves!$M$5:$M$205,MATCH($R63,LE_Curves!$M$5:$M$205,1)+1)-INDEX(LE_Curves!$M$5:$M$205,MATCH($R63,LE_Curves!$M$5:$M$205,1))))))</f>
        <v/>
      </c>
      <c r="AD63" s="11">
        <f>IF(Inputs!$D$34=0,0,IF($R63&lt;=Inputs!$C$34,0,IF($R63&gt;=INDEX(LE_Curves!$N$5:$N$205,201),INDEX(LE_Curves!$B$5:$B$205,201),INDEX(LE_Curves!$B$5:$B$205,MATCH($R63,LE_Curves!$N$5:$N$205,1))+($R63-INDEX(LE_Curves!$N$5:$N$205,MATCH($R63,LE_Curves!$N$5:$N$205,1)))*(INDEX(LE_Curves!$B$5:$B$205,MATCH($R63,LE_Curves!$N$5:$N$205,1)+1)-INDEX(LE_Curves!$B$5:$B$205,MATCH($R63,LE_Curves!$N$5:$N$205,1)))/(INDEX(LE_Curves!$N$5:$N$205,MATCH($R63,LE_Curves!$N$5:$N$205,1)+1)-INDEX(LE_Curves!$N$5:$N$205,MATCH($R63,LE_Curves!$N$5:$N$205,1))))))</f>
        <v/>
      </c>
      <c r="AE63" s="37">
        <f>SUM(S63:AD63)</f>
        <v/>
      </c>
    </row>
    <row r="64">
      <c r="A64" s="7" t="n">
        <v>33</v>
      </c>
      <c r="B64" s="37">
        <f>$B$3+($B$4-$B$3)*A64/200</f>
        <v/>
      </c>
      <c r="C64" s="11">
        <f>IF(Inputs!$D$23=0,0,IF($B64&lt;=Inputs!$C$23,0,IF($B64&gt;=INDEX(LE_Curves!$C$5:$C$205,201),INDEX(LE_Curves!$B$5:$B$205,201),INDEX(LE_Curves!$B$5:$B$205,MATCH($B64,LE_Curves!$C$5:$C$205,1))+($B64-INDEX(LE_Curves!$C$5:$C$205,MATCH($B64,LE_Curves!$C$5:$C$205,1)))*(INDEX(LE_Curves!$B$5:$B$205,MATCH($B64,LE_Curves!$C$5:$C$205,1)+1)-INDEX(LE_Curves!$B$5:$B$205,MATCH($B64,LE_Curves!$C$5:$C$205,1)))/(INDEX(LE_Curves!$C$5:$C$205,MATCH($B64,LE_Curves!$C$5:$C$205,1)+1)-INDEX(LE_Curves!$C$5:$C$205,MATCH($B64,LE_Curves!$C$5:$C$205,1))))))</f>
        <v/>
      </c>
      <c r="D64" s="11">
        <f>IF(Inputs!$D$24=0,0,IF($B64&lt;=Inputs!$C$24,0,IF($B64&gt;=INDEX(LE_Curves!$D$5:$D$205,201),INDEX(LE_Curves!$B$5:$B$205,201),INDEX(LE_Curves!$B$5:$B$205,MATCH($B64,LE_Curves!$D$5:$D$205,1))+($B64-INDEX(LE_Curves!$D$5:$D$205,MATCH($B64,LE_Curves!$D$5:$D$205,1)))*(INDEX(LE_Curves!$B$5:$B$205,MATCH($B64,LE_Curves!$D$5:$D$205,1)+1)-INDEX(LE_Curves!$B$5:$B$205,MATCH($B64,LE_Curves!$D$5:$D$205,1)))/(INDEX(LE_Curves!$D$5:$D$205,MATCH($B64,LE_Curves!$D$5:$D$205,1)+1)-INDEX(LE_Curves!$D$5:$D$205,MATCH($B64,LE_Curves!$D$5:$D$205,1))))))</f>
        <v/>
      </c>
      <c r="E64" s="11">
        <f>IF(Inputs!$D$25=0,0,IF($B64&lt;=Inputs!$C$25,0,IF($B64&gt;=INDEX(LE_Curves!$E$5:$E$205,201),INDEX(LE_Curves!$B$5:$B$205,201),INDEX(LE_Curves!$B$5:$B$205,MATCH($B64,LE_Curves!$E$5:$E$205,1))+($B64-INDEX(LE_Curves!$E$5:$E$205,MATCH($B64,LE_Curves!$E$5:$E$205,1)))*(INDEX(LE_Curves!$B$5:$B$205,MATCH($B64,LE_Curves!$E$5:$E$205,1)+1)-INDEX(LE_Curves!$B$5:$B$205,MATCH($B64,LE_Curves!$E$5:$E$205,1)))/(INDEX(LE_Curves!$E$5:$E$205,MATCH($B64,LE_Curves!$E$5:$E$205,1)+1)-INDEX(LE_Curves!$E$5:$E$205,MATCH($B64,LE_Curves!$E$5:$E$205,1))))))</f>
        <v/>
      </c>
      <c r="F64" s="11">
        <f>IF(Inputs!$D$26=0,0,IF($B64&lt;=Inputs!$C$26,0,IF($B64&gt;=INDEX(LE_Curves!$F$5:$F$205,201),INDEX(LE_Curves!$B$5:$B$205,201),INDEX(LE_Curves!$B$5:$B$205,MATCH($B64,LE_Curves!$F$5:$F$205,1))+($B64-INDEX(LE_Curves!$F$5:$F$205,MATCH($B64,LE_Curves!$F$5:$F$205,1)))*(INDEX(LE_Curves!$B$5:$B$205,MATCH($B64,LE_Curves!$F$5:$F$205,1)+1)-INDEX(LE_Curves!$B$5:$B$205,MATCH($B64,LE_Curves!$F$5:$F$205,1)))/(INDEX(LE_Curves!$F$5:$F$205,MATCH($B64,LE_Curves!$F$5:$F$205,1)+1)-INDEX(LE_Curves!$F$5:$F$205,MATCH($B64,LE_Curves!$F$5:$F$205,1))))))</f>
        <v/>
      </c>
      <c r="G64" s="11">
        <f>IF(Inputs!$D$27=0,0,IF($B64&lt;=Inputs!$C$27,0,IF($B64&gt;=INDEX(LE_Curves!$G$5:$G$205,201),INDEX(LE_Curves!$B$5:$B$205,201),INDEX(LE_Curves!$B$5:$B$205,MATCH($B64,LE_Curves!$G$5:$G$205,1))+($B64-INDEX(LE_Curves!$G$5:$G$205,MATCH($B64,LE_Curves!$G$5:$G$205,1)))*(INDEX(LE_Curves!$B$5:$B$205,MATCH($B64,LE_Curves!$G$5:$G$205,1)+1)-INDEX(LE_Curves!$B$5:$B$205,MATCH($B64,LE_Curves!$G$5:$G$205,1)))/(INDEX(LE_Curves!$G$5:$G$205,MATCH($B64,LE_Curves!$G$5:$G$205,1)+1)-INDEX(LE_Curves!$G$5:$G$205,MATCH($B64,LE_Curves!$G$5:$G$205,1))))))</f>
        <v/>
      </c>
      <c r="H64" s="11">
        <f>IF(Inputs!$D$28=0,0,IF($B64&lt;=Inputs!$C$28,0,IF($B64&gt;=INDEX(LE_Curves!$H$5:$H$205,201),INDEX(LE_Curves!$B$5:$B$205,201),INDEX(LE_Curves!$B$5:$B$205,MATCH($B64,LE_Curves!$H$5:$H$205,1))+($B64-INDEX(LE_Curves!$H$5:$H$205,MATCH($B64,LE_Curves!$H$5:$H$205,1)))*(INDEX(LE_Curves!$B$5:$B$205,MATCH($B64,LE_Curves!$H$5:$H$205,1)+1)-INDEX(LE_Curves!$B$5:$B$205,MATCH($B64,LE_Curves!$H$5:$H$205,1)))/(INDEX(LE_Curves!$H$5:$H$205,MATCH($B64,LE_Curves!$H$5:$H$205,1)+1)-INDEX(LE_Curves!$H$5:$H$205,MATCH($B64,LE_Curves!$H$5:$H$205,1))))))</f>
        <v/>
      </c>
      <c r="I64" s="11">
        <f>IF(Inputs!$D$29=0,0,IF($B64&lt;=Inputs!$C$29,0,IF($B64&gt;=INDEX(LE_Curves!$I$5:$I$205,201),INDEX(LE_Curves!$B$5:$B$205,201),INDEX(LE_Curves!$B$5:$B$205,MATCH($B64,LE_Curves!$I$5:$I$205,1))+($B64-INDEX(LE_Curves!$I$5:$I$205,MATCH($B64,LE_Curves!$I$5:$I$205,1)))*(INDEX(LE_Curves!$B$5:$B$205,MATCH($B64,LE_Curves!$I$5:$I$205,1)+1)-INDEX(LE_Curves!$B$5:$B$205,MATCH($B64,LE_Curves!$I$5:$I$205,1)))/(INDEX(LE_Curves!$I$5:$I$205,MATCH($B64,LE_Curves!$I$5:$I$205,1)+1)-INDEX(LE_Curves!$I$5:$I$205,MATCH($B64,LE_Curves!$I$5:$I$205,1))))))</f>
        <v/>
      </c>
      <c r="J64" s="11">
        <f>IF(Inputs!$D$30=0,0,IF($B64&lt;=Inputs!$C$30,0,IF($B64&gt;=INDEX(LE_Curves!$J$5:$J$205,201),INDEX(LE_Curves!$B$5:$B$205,201),INDEX(LE_Curves!$B$5:$B$205,MATCH($B64,LE_Curves!$J$5:$J$205,1))+($B64-INDEX(LE_Curves!$J$5:$J$205,MATCH($B64,LE_Curves!$J$5:$J$205,1)))*(INDEX(LE_Curves!$B$5:$B$205,MATCH($B64,LE_Curves!$J$5:$J$205,1)+1)-INDEX(LE_Curves!$B$5:$B$205,MATCH($B64,LE_Curves!$J$5:$J$205,1)))/(INDEX(LE_Curves!$J$5:$J$205,MATCH($B64,LE_Curves!$J$5:$J$205,1)+1)-INDEX(LE_Curves!$J$5:$J$205,MATCH($B64,LE_Curves!$J$5:$J$205,1))))))</f>
        <v/>
      </c>
      <c r="K64" s="11">
        <f>IF(Inputs!$D$31=0,0,IF($B64&lt;=Inputs!$C$31,0,IF($B64&gt;=INDEX(LE_Curves!$K$5:$K$205,201),INDEX(LE_Curves!$B$5:$B$205,201),INDEX(LE_Curves!$B$5:$B$205,MATCH($B64,LE_Curves!$K$5:$K$205,1))+($B64-INDEX(LE_Curves!$K$5:$K$205,MATCH($B64,LE_Curves!$K$5:$K$205,1)))*(INDEX(LE_Curves!$B$5:$B$205,MATCH($B64,LE_Curves!$K$5:$K$205,1)+1)-INDEX(LE_Curves!$B$5:$B$205,MATCH($B64,LE_Curves!$K$5:$K$205,1)))/(INDEX(LE_Curves!$K$5:$K$205,MATCH($B64,LE_Curves!$K$5:$K$205,1)+1)-INDEX(LE_Curves!$K$5:$K$205,MATCH($B64,LE_Curves!$K$5:$K$205,1))))))</f>
        <v/>
      </c>
      <c r="L64" s="11">
        <f>IF(Inputs!$D$32=0,0,IF($B64&lt;=Inputs!$C$32,0,IF($B64&gt;=INDEX(LE_Curves!$L$5:$L$205,201),INDEX(LE_Curves!$B$5:$B$205,201),INDEX(LE_Curves!$B$5:$B$205,MATCH($B64,LE_Curves!$L$5:$L$205,1))+($B64-INDEX(LE_Curves!$L$5:$L$205,MATCH($B64,LE_Curves!$L$5:$L$205,1)))*(INDEX(LE_Curves!$B$5:$B$205,MATCH($B64,LE_Curves!$L$5:$L$205,1)+1)-INDEX(LE_Curves!$B$5:$B$205,MATCH($B64,LE_Curves!$L$5:$L$205,1)))/(INDEX(LE_Curves!$L$5:$L$205,MATCH($B64,LE_Curves!$L$5:$L$205,1)+1)-INDEX(LE_Curves!$L$5:$L$205,MATCH($B64,LE_Curves!$L$5:$L$205,1))))))</f>
        <v/>
      </c>
      <c r="M64" s="11">
        <f>IF(Inputs!$D$33=0,0,IF($B64&lt;=Inputs!$C$33,0,IF($B64&gt;=INDEX(LE_Curves!$M$5:$M$205,201),INDEX(LE_Curves!$B$5:$B$205,201),INDEX(LE_Curves!$B$5:$B$205,MATCH($B64,LE_Curves!$M$5:$M$205,1))+($B64-INDEX(LE_Curves!$M$5:$M$205,MATCH($B64,LE_Curves!$M$5:$M$205,1)))*(INDEX(LE_Curves!$B$5:$B$205,MATCH($B64,LE_Curves!$M$5:$M$205,1)+1)-INDEX(LE_Curves!$B$5:$B$205,MATCH($B64,LE_Curves!$M$5:$M$205,1)))/(INDEX(LE_Curves!$M$5:$M$205,MATCH($B64,LE_Curves!$M$5:$M$205,1)+1)-INDEX(LE_Curves!$M$5:$M$205,MATCH($B64,LE_Curves!$M$5:$M$205,1))))))</f>
        <v/>
      </c>
      <c r="N64" s="11">
        <f>IF(Inputs!$D$34=0,0,IF($B64&lt;=Inputs!$C$34,0,IF($B64&gt;=INDEX(LE_Curves!$N$5:$N$205,201),INDEX(LE_Curves!$B$5:$B$205,201),INDEX(LE_Curves!$B$5:$B$205,MATCH($B64,LE_Curves!$N$5:$N$205,1))+($B64-INDEX(LE_Curves!$N$5:$N$205,MATCH($B64,LE_Curves!$N$5:$N$205,1)))*(INDEX(LE_Curves!$B$5:$B$205,MATCH($B64,LE_Curves!$N$5:$N$205,1)+1)-INDEX(LE_Curves!$B$5:$B$205,MATCH($B64,LE_Curves!$N$5:$N$205,1)))/(INDEX(LE_Curves!$N$5:$N$205,MATCH($B64,LE_Curves!$N$5:$N$205,1)+1)-INDEX(LE_Curves!$N$5:$N$205,MATCH($B64,LE_Curves!$N$5:$N$205,1))))))</f>
        <v/>
      </c>
      <c r="O64" s="11">
        <f>SUM(C64:N64)</f>
        <v/>
      </c>
      <c r="Q64" s="7" t="n">
        <v>33</v>
      </c>
      <c r="R64" s="23">
        <f>$B$6+($B$7-$B$6)*Q64/200</f>
        <v/>
      </c>
      <c r="S64" s="11">
        <f>IF(Inputs!$D$23=0,0,IF($R64&lt;=Inputs!$C$23,0,IF($R64&gt;=INDEX(LE_Curves!$C$5:$C$205,201),INDEX(LE_Curves!$B$5:$B$205,201),INDEX(LE_Curves!$B$5:$B$205,MATCH($R64,LE_Curves!$C$5:$C$205,1))+($R64-INDEX(LE_Curves!$C$5:$C$205,MATCH($R64,LE_Curves!$C$5:$C$205,1)))*(INDEX(LE_Curves!$B$5:$B$205,MATCH($R64,LE_Curves!$C$5:$C$205,1)+1)-INDEX(LE_Curves!$B$5:$B$205,MATCH($R64,LE_Curves!$C$5:$C$205,1)))/(INDEX(LE_Curves!$C$5:$C$205,MATCH($R64,LE_Curves!$C$5:$C$205,1)+1)-INDEX(LE_Curves!$C$5:$C$205,MATCH($R64,LE_Curves!$C$5:$C$205,1))))))</f>
        <v/>
      </c>
      <c r="T64" s="11">
        <f>IF(Inputs!$D$24=0,0,IF($R64&lt;=Inputs!$C$24,0,IF($R64&gt;=INDEX(LE_Curves!$D$5:$D$205,201),INDEX(LE_Curves!$B$5:$B$205,201),INDEX(LE_Curves!$B$5:$B$205,MATCH($R64,LE_Curves!$D$5:$D$205,1))+($R64-INDEX(LE_Curves!$D$5:$D$205,MATCH($R64,LE_Curves!$D$5:$D$205,1)))*(INDEX(LE_Curves!$B$5:$B$205,MATCH($R64,LE_Curves!$D$5:$D$205,1)+1)-INDEX(LE_Curves!$B$5:$B$205,MATCH($R64,LE_Curves!$D$5:$D$205,1)))/(INDEX(LE_Curves!$D$5:$D$205,MATCH($R64,LE_Curves!$D$5:$D$205,1)+1)-INDEX(LE_Curves!$D$5:$D$205,MATCH($R64,LE_Curves!$D$5:$D$205,1))))))</f>
        <v/>
      </c>
      <c r="U64" s="11">
        <f>IF(Inputs!$D$25=0,0,IF($R64&lt;=Inputs!$C$25,0,IF($R64&gt;=INDEX(LE_Curves!$E$5:$E$205,201),INDEX(LE_Curves!$B$5:$B$205,201),INDEX(LE_Curves!$B$5:$B$205,MATCH($R64,LE_Curves!$E$5:$E$205,1))+($R64-INDEX(LE_Curves!$E$5:$E$205,MATCH($R64,LE_Curves!$E$5:$E$205,1)))*(INDEX(LE_Curves!$B$5:$B$205,MATCH($R64,LE_Curves!$E$5:$E$205,1)+1)-INDEX(LE_Curves!$B$5:$B$205,MATCH($R64,LE_Curves!$E$5:$E$205,1)))/(INDEX(LE_Curves!$E$5:$E$205,MATCH($R64,LE_Curves!$E$5:$E$205,1)+1)-INDEX(LE_Curves!$E$5:$E$205,MATCH($R64,LE_Curves!$E$5:$E$205,1))))))</f>
        <v/>
      </c>
      <c r="V64" s="11">
        <f>IF(Inputs!$D$26=0,0,IF($R64&lt;=Inputs!$C$26,0,IF($R64&gt;=INDEX(LE_Curves!$F$5:$F$205,201),INDEX(LE_Curves!$B$5:$B$205,201),INDEX(LE_Curves!$B$5:$B$205,MATCH($R64,LE_Curves!$F$5:$F$205,1))+($R64-INDEX(LE_Curves!$F$5:$F$205,MATCH($R64,LE_Curves!$F$5:$F$205,1)))*(INDEX(LE_Curves!$B$5:$B$205,MATCH($R64,LE_Curves!$F$5:$F$205,1)+1)-INDEX(LE_Curves!$B$5:$B$205,MATCH($R64,LE_Curves!$F$5:$F$205,1)))/(INDEX(LE_Curves!$F$5:$F$205,MATCH($R64,LE_Curves!$F$5:$F$205,1)+1)-INDEX(LE_Curves!$F$5:$F$205,MATCH($R64,LE_Curves!$F$5:$F$205,1))))))</f>
        <v/>
      </c>
      <c r="W64" s="11">
        <f>IF(Inputs!$D$27=0,0,IF($R64&lt;=Inputs!$C$27,0,IF($R64&gt;=INDEX(LE_Curves!$G$5:$G$205,201),INDEX(LE_Curves!$B$5:$B$205,201),INDEX(LE_Curves!$B$5:$B$205,MATCH($R64,LE_Curves!$G$5:$G$205,1))+($R64-INDEX(LE_Curves!$G$5:$G$205,MATCH($R64,LE_Curves!$G$5:$G$205,1)))*(INDEX(LE_Curves!$B$5:$B$205,MATCH($R64,LE_Curves!$G$5:$G$205,1)+1)-INDEX(LE_Curves!$B$5:$B$205,MATCH($R64,LE_Curves!$G$5:$G$205,1)))/(INDEX(LE_Curves!$G$5:$G$205,MATCH($R64,LE_Curves!$G$5:$G$205,1)+1)-INDEX(LE_Curves!$G$5:$G$205,MATCH($R64,LE_Curves!$G$5:$G$205,1))))))</f>
        <v/>
      </c>
      <c r="X64" s="11">
        <f>IF(Inputs!$D$28=0,0,IF($R64&lt;=Inputs!$C$28,0,IF($R64&gt;=INDEX(LE_Curves!$H$5:$H$205,201),INDEX(LE_Curves!$B$5:$B$205,201),INDEX(LE_Curves!$B$5:$B$205,MATCH($R64,LE_Curves!$H$5:$H$205,1))+($R64-INDEX(LE_Curves!$H$5:$H$205,MATCH($R64,LE_Curves!$H$5:$H$205,1)))*(INDEX(LE_Curves!$B$5:$B$205,MATCH($R64,LE_Curves!$H$5:$H$205,1)+1)-INDEX(LE_Curves!$B$5:$B$205,MATCH($R64,LE_Curves!$H$5:$H$205,1)))/(INDEX(LE_Curves!$H$5:$H$205,MATCH($R64,LE_Curves!$H$5:$H$205,1)+1)-INDEX(LE_Curves!$H$5:$H$205,MATCH($R64,LE_Curves!$H$5:$H$205,1))))))</f>
        <v/>
      </c>
      <c r="Y64" s="11">
        <f>IF(Inputs!$D$29=0,0,IF($R64&lt;=Inputs!$C$29,0,IF($R64&gt;=INDEX(LE_Curves!$I$5:$I$205,201),INDEX(LE_Curves!$B$5:$B$205,201),INDEX(LE_Curves!$B$5:$B$205,MATCH($R64,LE_Curves!$I$5:$I$205,1))+($R64-INDEX(LE_Curves!$I$5:$I$205,MATCH($R64,LE_Curves!$I$5:$I$205,1)))*(INDEX(LE_Curves!$B$5:$B$205,MATCH($R64,LE_Curves!$I$5:$I$205,1)+1)-INDEX(LE_Curves!$B$5:$B$205,MATCH($R64,LE_Curves!$I$5:$I$205,1)))/(INDEX(LE_Curves!$I$5:$I$205,MATCH($R64,LE_Curves!$I$5:$I$205,1)+1)-INDEX(LE_Curves!$I$5:$I$205,MATCH($R64,LE_Curves!$I$5:$I$205,1))))))</f>
        <v/>
      </c>
      <c r="Z64" s="11">
        <f>IF(Inputs!$D$30=0,0,IF($R64&lt;=Inputs!$C$30,0,IF($R64&gt;=INDEX(LE_Curves!$J$5:$J$205,201),INDEX(LE_Curves!$B$5:$B$205,201),INDEX(LE_Curves!$B$5:$B$205,MATCH($R64,LE_Curves!$J$5:$J$205,1))+($R64-INDEX(LE_Curves!$J$5:$J$205,MATCH($R64,LE_Curves!$J$5:$J$205,1)))*(INDEX(LE_Curves!$B$5:$B$205,MATCH($R64,LE_Curves!$J$5:$J$205,1)+1)-INDEX(LE_Curves!$B$5:$B$205,MATCH($R64,LE_Curves!$J$5:$J$205,1)))/(INDEX(LE_Curves!$J$5:$J$205,MATCH($R64,LE_Curves!$J$5:$J$205,1)+1)-INDEX(LE_Curves!$J$5:$J$205,MATCH($R64,LE_Curves!$J$5:$J$205,1))))))</f>
        <v/>
      </c>
      <c r="AA64" s="11">
        <f>IF(Inputs!$D$31=0,0,IF($R64&lt;=Inputs!$C$31,0,IF($R64&gt;=INDEX(LE_Curves!$K$5:$K$205,201),INDEX(LE_Curves!$B$5:$B$205,201),INDEX(LE_Curves!$B$5:$B$205,MATCH($R64,LE_Curves!$K$5:$K$205,1))+($R64-INDEX(LE_Curves!$K$5:$K$205,MATCH($R64,LE_Curves!$K$5:$K$205,1)))*(INDEX(LE_Curves!$B$5:$B$205,MATCH($R64,LE_Curves!$K$5:$K$205,1)+1)-INDEX(LE_Curves!$B$5:$B$205,MATCH($R64,LE_Curves!$K$5:$K$205,1)))/(INDEX(LE_Curves!$K$5:$K$205,MATCH($R64,LE_Curves!$K$5:$K$205,1)+1)-INDEX(LE_Curves!$K$5:$K$205,MATCH($R64,LE_Curves!$K$5:$K$205,1))))))</f>
        <v/>
      </c>
      <c r="AB64" s="11">
        <f>IF(Inputs!$D$32=0,0,IF($R64&lt;=Inputs!$C$32,0,IF($R64&gt;=INDEX(LE_Curves!$L$5:$L$205,201),INDEX(LE_Curves!$B$5:$B$205,201),INDEX(LE_Curves!$B$5:$B$205,MATCH($R64,LE_Curves!$L$5:$L$205,1))+($R64-INDEX(LE_Curves!$L$5:$L$205,MATCH($R64,LE_Curves!$L$5:$L$205,1)))*(INDEX(LE_Curves!$B$5:$B$205,MATCH($R64,LE_Curves!$L$5:$L$205,1)+1)-INDEX(LE_Curves!$B$5:$B$205,MATCH($R64,LE_Curves!$L$5:$L$205,1)))/(INDEX(LE_Curves!$L$5:$L$205,MATCH($R64,LE_Curves!$L$5:$L$205,1)+1)-INDEX(LE_Curves!$L$5:$L$205,MATCH($R64,LE_Curves!$L$5:$L$205,1))))))</f>
        <v/>
      </c>
      <c r="AC64" s="11">
        <f>IF(Inputs!$D$33=0,0,IF($R64&lt;=Inputs!$C$33,0,IF($R64&gt;=INDEX(LE_Curves!$M$5:$M$205,201),INDEX(LE_Curves!$B$5:$B$205,201),INDEX(LE_Curves!$B$5:$B$205,MATCH($R64,LE_Curves!$M$5:$M$205,1))+($R64-INDEX(LE_Curves!$M$5:$M$205,MATCH($R64,LE_Curves!$M$5:$M$205,1)))*(INDEX(LE_Curves!$B$5:$B$205,MATCH($R64,LE_Curves!$M$5:$M$205,1)+1)-INDEX(LE_Curves!$B$5:$B$205,MATCH($R64,LE_Curves!$M$5:$M$205,1)))/(INDEX(LE_Curves!$M$5:$M$205,MATCH($R64,LE_Curves!$M$5:$M$205,1)+1)-INDEX(LE_Curves!$M$5:$M$205,MATCH($R64,LE_Curves!$M$5:$M$205,1))))))</f>
        <v/>
      </c>
      <c r="AD64" s="11">
        <f>IF(Inputs!$D$34=0,0,IF($R64&lt;=Inputs!$C$34,0,IF($R64&gt;=INDEX(LE_Curves!$N$5:$N$205,201),INDEX(LE_Curves!$B$5:$B$205,201),INDEX(LE_Curves!$B$5:$B$205,MATCH($R64,LE_Curves!$N$5:$N$205,1))+($R64-INDEX(LE_Curves!$N$5:$N$205,MATCH($R64,LE_Curves!$N$5:$N$205,1)))*(INDEX(LE_Curves!$B$5:$B$205,MATCH($R64,LE_Curves!$N$5:$N$205,1)+1)-INDEX(LE_Curves!$B$5:$B$205,MATCH($R64,LE_Curves!$N$5:$N$205,1)))/(INDEX(LE_Curves!$N$5:$N$205,MATCH($R64,LE_Curves!$N$5:$N$205,1)+1)-INDEX(LE_Curves!$N$5:$N$205,MATCH($R64,LE_Curves!$N$5:$N$205,1))))))</f>
        <v/>
      </c>
      <c r="AE64" s="37">
        <f>SUM(S64:AD64)</f>
        <v/>
      </c>
    </row>
    <row r="65">
      <c r="A65" s="7" t="n">
        <v>34</v>
      </c>
      <c r="B65" s="37">
        <f>$B$3+($B$4-$B$3)*A65/200</f>
        <v/>
      </c>
      <c r="C65" s="11">
        <f>IF(Inputs!$D$23=0,0,IF($B65&lt;=Inputs!$C$23,0,IF($B65&gt;=INDEX(LE_Curves!$C$5:$C$205,201),INDEX(LE_Curves!$B$5:$B$205,201),INDEX(LE_Curves!$B$5:$B$205,MATCH($B65,LE_Curves!$C$5:$C$205,1))+($B65-INDEX(LE_Curves!$C$5:$C$205,MATCH($B65,LE_Curves!$C$5:$C$205,1)))*(INDEX(LE_Curves!$B$5:$B$205,MATCH($B65,LE_Curves!$C$5:$C$205,1)+1)-INDEX(LE_Curves!$B$5:$B$205,MATCH($B65,LE_Curves!$C$5:$C$205,1)))/(INDEX(LE_Curves!$C$5:$C$205,MATCH($B65,LE_Curves!$C$5:$C$205,1)+1)-INDEX(LE_Curves!$C$5:$C$205,MATCH($B65,LE_Curves!$C$5:$C$205,1))))))</f>
        <v/>
      </c>
      <c r="D65" s="11">
        <f>IF(Inputs!$D$24=0,0,IF($B65&lt;=Inputs!$C$24,0,IF($B65&gt;=INDEX(LE_Curves!$D$5:$D$205,201),INDEX(LE_Curves!$B$5:$B$205,201),INDEX(LE_Curves!$B$5:$B$205,MATCH($B65,LE_Curves!$D$5:$D$205,1))+($B65-INDEX(LE_Curves!$D$5:$D$205,MATCH($B65,LE_Curves!$D$5:$D$205,1)))*(INDEX(LE_Curves!$B$5:$B$205,MATCH($B65,LE_Curves!$D$5:$D$205,1)+1)-INDEX(LE_Curves!$B$5:$B$205,MATCH($B65,LE_Curves!$D$5:$D$205,1)))/(INDEX(LE_Curves!$D$5:$D$205,MATCH($B65,LE_Curves!$D$5:$D$205,1)+1)-INDEX(LE_Curves!$D$5:$D$205,MATCH($B65,LE_Curves!$D$5:$D$205,1))))))</f>
        <v/>
      </c>
      <c r="E65" s="11">
        <f>IF(Inputs!$D$25=0,0,IF($B65&lt;=Inputs!$C$25,0,IF($B65&gt;=INDEX(LE_Curves!$E$5:$E$205,201),INDEX(LE_Curves!$B$5:$B$205,201),INDEX(LE_Curves!$B$5:$B$205,MATCH($B65,LE_Curves!$E$5:$E$205,1))+($B65-INDEX(LE_Curves!$E$5:$E$205,MATCH($B65,LE_Curves!$E$5:$E$205,1)))*(INDEX(LE_Curves!$B$5:$B$205,MATCH($B65,LE_Curves!$E$5:$E$205,1)+1)-INDEX(LE_Curves!$B$5:$B$205,MATCH($B65,LE_Curves!$E$5:$E$205,1)))/(INDEX(LE_Curves!$E$5:$E$205,MATCH($B65,LE_Curves!$E$5:$E$205,1)+1)-INDEX(LE_Curves!$E$5:$E$205,MATCH($B65,LE_Curves!$E$5:$E$205,1))))))</f>
        <v/>
      </c>
      <c r="F65" s="11">
        <f>IF(Inputs!$D$26=0,0,IF($B65&lt;=Inputs!$C$26,0,IF($B65&gt;=INDEX(LE_Curves!$F$5:$F$205,201),INDEX(LE_Curves!$B$5:$B$205,201),INDEX(LE_Curves!$B$5:$B$205,MATCH($B65,LE_Curves!$F$5:$F$205,1))+($B65-INDEX(LE_Curves!$F$5:$F$205,MATCH($B65,LE_Curves!$F$5:$F$205,1)))*(INDEX(LE_Curves!$B$5:$B$205,MATCH($B65,LE_Curves!$F$5:$F$205,1)+1)-INDEX(LE_Curves!$B$5:$B$205,MATCH($B65,LE_Curves!$F$5:$F$205,1)))/(INDEX(LE_Curves!$F$5:$F$205,MATCH($B65,LE_Curves!$F$5:$F$205,1)+1)-INDEX(LE_Curves!$F$5:$F$205,MATCH($B65,LE_Curves!$F$5:$F$205,1))))))</f>
        <v/>
      </c>
      <c r="G65" s="11">
        <f>IF(Inputs!$D$27=0,0,IF($B65&lt;=Inputs!$C$27,0,IF($B65&gt;=INDEX(LE_Curves!$G$5:$G$205,201),INDEX(LE_Curves!$B$5:$B$205,201),INDEX(LE_Curves!$B$5:$B$205,MATCH($B65,LE_Curves!$G$5:$G$205,1))+($B65-INDEX(LE_Curves!$G$5:$G$205,MATCH($B65,LE_Curves!$G$5:$G$205,1)))*(INDEX(LE_Curves!$B$5:$B$205,MATCH($B65,LE_Curves!$G$5:$G$205,1)+1)-INDEX(LE_Curves!$B$5:$B$205,MATCH($B65,LE_Curves!$G$5:$G$205,1)))/(INDEX(LE_Curves!$G$5:$G$205,MATCH($B65,LE_Curves!$G$5:$G$205,1)+1)-INDEX(LE_Curves!$G$5:$G$205,MATCH($B65,LE_Curves!$G$5:$G$205,1))))))</f>
        <v/>
      </c>
      <c r="H65" s="11">
        <f>IF(Inputs!$D$28=0,0,IF($B65&lt;=Inputs!$C$28,0,IF($B65&gt;=INDEX(LE_Curves!$H$5:$H$205,201),INDEX(LE_Curves!$B$5:$B$205,201),INDEX(LE_Curves!$B$5:$B$205,MATCH($B65,LE_Curves!$H$5:$H$205,1))+($B65-INDEX(LE_Curves!$H$5:$H$205,MATCH($B65,LE_Curves!$H$5:$H$205,1)))*(INDEX(LE_Curves!$B$5:$B$205,MATCH($B65,LE_Curves!$H$5:$H$205,1)+1)-INDEX(LE_Curves!$B$5:$B$205,MATCH($B65,LE_Curves!$H$5:$H$205,1)))/(INDEX(LE_Curves!$H$5:$H$205,MATCH($B65,LE_Curves!$H$5:$H$205,1)+1)-INDEX(LE_Curves!$H$5:$H$205,MATCH($B65,LE_Curves!$H$5:$H$205,1))))))</f>
        <v/>
      </c>
      <c r="I65" s="11">
        <f>IF(Inputs!$D$29=0,0,IF($B65&lt;=Inputs!$C$29,0,IF($B65&gt;=INDEX(LE_Curves!$I$5:$I$205,201),INDEX(LE_Curves!$B$5:$B$205,201),INDEX(LE_Curves!$B$5:$B$205,MATCH($B65,LE_Curves!$I$5:$I$205,1))+($B65-INDEX(LE_Curves!$I$5:$I$205,MATCH($B65,LE_Curves!$I$5:$I$205,1)))*(INDEX(LE_Curves!$B$5:$B$205,MATCH($B65,LE_Curves!$I$5:$I$205,1)+1)-INDEX(LE_Curves!$B$5:$B$205,MATCH($B65,LE_Curves!$I$5:$I$205,1)))/(INDEX(LE_Curves!$I$5:$I$205,MATCH($B65,LE_Curves!$I$5:$I$205,1)+1)-INDEX(LE_Curves!$I$5:$I$205,MATCH($B65,LE_Curves!$I$5:$I$205,1))))))</f>
        <v/>
      </c>
      <c r="J65" s="11">
        <f>IF(Inputs!$D$30=0,0,IF($B65&lt;=Inputs!$C$30,0,IF($B65&gt;=INDEX(LE_Curves!$J$5:$J$205,201),INDEX(LE_Curves!$B$5:$B$205,201),INDEX(LE_Curves!$B$5:$B$205,MATCH($B65,LE_Curves!$J$5:$J$205,1))+($B65-INDEX(LE_Curves!$J$5:$J$205,MATCH($B65,LE_Curves!$J$5:$J$205,1)))*(INDEX(LE_Curves!$B$5:$B$205,MATCH($B65,LE_Curves!$J$5:$J$205,1)+1)-INDEX(LE_Curves!$B$5:$B$205,MATCH($B65,LE_Curves!$J$5:$J$205,1)))/(INDEX(LE_Curves!$J$5:$J$205,MATCH($B65,LE_Curves!$J$5:$J$205,1)+1)-INDEX(LE_Curves!$J$5:$J$205,MATCH($B65,LE_Curves!$J$5:$J$205,1))))))</f>
        <v/>
      </c>
      <c r="K65" s="11">
        <f>IF(Inputs!$D$31=0,0,IF($B65&lt;=Inputs!$C$31,0,IF($B65&gt;=INDEX(LE_Curves!$K$5:$K$205,201),INDEX(LE_Curves!$B$5:$B$205,201),INDEX(LE_Curves!$B$5:$B$205,MATCH($B65,LE_Curves!$K$5:$K$205,1))+($B65-INDEX(LE_Curves!$K$5:$K$205,MATCH($B65,LE_Curves!$K$5:$K$205,1)))*(INDEX(LE_Curves!$B$5:$B$205,MATCH($B65,LE_Curves!$K$5:$K$205,1)+1)-INDEX(LE_Curves!$B$5:$B$205,MATCH($B65,LE_Curves!$K$5:$K$205,1)))/(INDEX(LE_Curves!$K$5:$K$205,MATCH($B65,LE_Curves!$K$5:$K$205,1)+1)-INDEX(LE_Curves!$K$5:$K$205,MATCH($B65,LE_Curves!$K$5:$K$205,1))))))</f>
        <v/>
      </c>
      <c r="L65" s="11">
        <f>IF(Inputs!$D$32=0,0,IF($B65&lt;=Inputs!$C$32,0,IF($B65&gt;=INDEX(LE_Curves!$L$5:$L$205,201),INDEX(LE_Curves!$B$5:$B$205,201),INDEX(LE_Curves!$B$5:$B$205,MATCH($B65,LE_Curves!$L$5:$L$205,1))+($B65-INDEX(LE_Curves!$L$5:$L$205,MATCH($B65,LE_Curves!$L$5:$L$205,1)))*(INDEX(LE_Curves!$B$5:$B$205,MATCH($B65,LE_Curves!$L$5:$L$205,1)+1)-INDEX(LE_Curves!$B$5:$B$205,MATCH($B65,LE_Curves!$L$5:$L$205,1)))/(INDEX(LE_Curves!$L$5:$L$205,MATCH($B65,LE_Curves!$L$5:$L$205,1)+1)-INDEX(LE_Curves!$L$5:$L$205,MATCH($B65,LE_Curves!$L$5:$L$205,1))))))</f>
        <v/>
      </c>
      <c r="M65" s="11">
        <f>IF(Inputs!$D$33=0,0,IF($B65&lt;=Inputs!$C$33,0,IF($B65&gt;=INDEX(LE_Curves!$M$5:$M$205,201),INDEX(LE_Curves!$B$5:$B$205,201),INDEX(LE_Curves!$B$5:$B$205,MATCH($B65,LE_Curves!$M$5:$M$205,1))+($B65-INDEX(LE_Curves!$M$5:$M$205,MATCH($B65,LE_Curves!$M$5:$M$205,1)))*(INDEX(LE_Curves!$B$5:$B$205,MATCH($B65,LE_Curves!$M$5:$M$205,1)+1)-INDEX(LE_Curves!$B$5:$B$205,MATCH($B65,LE_Curves!$M$5:$M$205,1)))/(INDEX(LE_Curves!$M$5:$M$205,MATCH($B65,LE_Curves!$M$5:$M$205,1)+1)-INDEX(LE_Curves!$M$5:$M$205,MATCH($B65,LE_Curves!$M$5:$M$205,1))))))</f>
        <v/>
      </c>
      <c r="N65" s="11">
        <f>IF(Inputs!$D$34=0,0,IF($B65&lt;=Inputs!$C$34,0,IF($B65&gt;=INDEX(LE_Curves!$N$5:$N$205,201),INDEX(LE_Curves!$B$5:$B$205,201),INDEX(LE_Curves!$B$5:$B$205,MATCH($B65,LE_Curves!$N$5:$N$205,1))+($B65-INDEX(LE_Curves!$N$5:$N$205,MATCH($B65,LE_Curves!$N$5:$N$205,1)))*(INDEX(LE_Curves!$B$5:$B$205,MATCH($B65,LE_Curves!$N$5:$N$205,1)+1)-INDEX(LE_Curves!$B$5:$B$205,MATCH($B65,LE_Curves!$N$5:$N$205,1)))/(INDEX(LE_Curves!$N$5:$N$205,MATCH($B65,LE_Curves!$N$5:$N$205,1)+1)-INDEX(LE_Curves!$N$5:$N$205,MATCH($B65,LE_Curves!$N$5:$N$205,1))))))</f>
        <v/>
      </c>
      <c r="O65" s="11">
        <f>SUM(C65:N65)</f>
        <v/>
      </c>
      <c r="Q65" s="7" t="n">
        <v>34</v>
      </c>
      <c r="R65" s="23">
        <f>$B$6+($B$7-$B$6)*Q65/200</f>
        <v/>
      </c>
      <c r="S65" s="11">
        <f>IF(Inputs!$D$23=0,0,IF($R65&lt;=Inputs!$C$23,0,IF($R65&gt;=INDEX(LE_Curves!$C$5:$C$205,201),INDEX(LE_Curves!$B$5:$B$205,201),INDEX(LE_Curves!$B$5:$B$205,MATCH($R65,LE_Curves!$C$5:$C$205,1))+($R65-INDEX(LE_Curves!$C$5:$C$205,MATCH($R65,LE_Curves!$C$5:$C$205,1)))*(INDEX(LE_Curves!$B$5:$B$205,MATCH($R65,LE_Curves!$C$5:$C$205,1)+1)-INDEX(LE_Curves!$B$5:$B$205,MATCH($R65,LE_Curves!$C$5:$C$205,1)))/(INDEX(LE_Curves!$C$5:$C$205,MATCH($R65,LE_Curves!$C$5:$C$205,1)+1)-INDEX(LE_Curves!$C$5:$C$205,MATCH($R65,LE_Curves!$C$5:$C$205,1))))))</f>
        <v/>
      </c>
      <c r="T65" s="11">
        <f>IF(Inputs!$D$24=0,0,IF($R65&lt;=Inputs!$C$24,0,IF($R65&gt;=INDEX(LE_Curves!$D$5:$D$205,201),INDEX(LE_Curves!$B$5:$B$205,201),INDEX(LE_Curves!$B$5:$B$205,MATCH($R65,LE_Curves!$D$5:$D$205,1))+($R65-INDEX(LE_Curves!$D$5:$D$205,MATCH($R65,LE_Curves!$D$5:$D$205,1)))*(INDEX(LE_Curves!$B$5:$B$205,MATCH($R65,LE_Curves!$D$5:$D$205,1)+1)-INDEX(LE_Curves!$B$5:$B$205,MATCH($R65,LE_Curves!$D$5:$D$205,1)))/(INDEX(LE_Curves!$D$5:$D$205,MATCH($R65,LE_Curves!$D$5:$D$205,1)+1)-INDEX(LE_Curves!$D$5:$D$205,MATCH($R65,LE_Curves!$D$5:$D$205,1))))))</f>
        <v/>
      </c>
      <c r="U65" s="11">
        <f>IF(Inputs!$D$25=0,0,IF($R65&lt;=Inputs!$C$25,0,IF($R65&gt;=INDEX(LE_Curves!$E$5:$E$205,201),INDEX(LE_Curves!$B$5:$B$205,201),INDEX(LE_Curves!$B$5:$B$205,MATCH($R65,LE_Curves!$E$5:$E$205,1))+($R65-INDEX(LE_Curves!$E$5:$E$205,MATCH($R65,LE_Curves!$E$5:$E$205,1)))*(INDEX(LE_Curves!$B$5:$B$205,MATCH($R65,LE_Curves!$E$5:$E$205,1)+1)-INDEX(LE_Curves!$B$5:$B$205,MATCH($R65,LE_Curves!$E$5:$E$205,1)))/(INDEX(LE_Curves!$E$5:$E$205,MATCH($R65,LE_Curves!$E$5:$E$205,1)+1)-INDEX(LE_Curves!$E$5:$E$205,MATCH($R65,LE_Curves!$E$5:$E$205,1))))))</f>
        <v/>
      </c>
      <c r="V65" s="11">
        <f>IF(Inputs!$D$26=0,0,IF($R65&lt;=Inputs!$C$26,0,IF($R65&gt;=INDEX(LE_Curves!$F$5:$F$205,201),INDEX(LE_Curves!$B$5:$B$205,201),INDEX(LE_Curves!$B$5:$B$205,MATCH($R65,LE_Curves!$F$5:$F$205,1))+($R65-INDEX(LE_Curves!$F$5:$F$205,MATCH($R65,LE_Curves!$F$5:$F$205,1)))*(INDEX(LE_Curves!$B$5:$B$205,MATCH($R65,LE_Curves!$F$5:$F$205,1)+1)-INDEX(LE_Curves!$B$5:$B$205,MATCH($R65,LE_Curves!$F$5:$F$205,1)))/(INDEX(LE_Curves!$F$5:$F$205,MATCH($R65,LE_Curves!$F$5:$F$205,1)+1)-INDEX(LE_Curves!$F$5:$F$205,MATCH($R65,LE_Curves!$F$5:$F$205,1))))))</f>
        <v/>
      </c>
      <c r="W65" s="11">
        <f>IF(Inputs!$D$27=0,0,IF($R65&lt;=Inputs!$C$27,0,IF($R65&gt;=INDEX(LE_Curves!$G$5:$G$205,201),INDEX(LE_Curves!$B$5:$B$205,201),INDEX(LE_Curves!$B$5:$B$205,MATCH($R65,LE_Curves!$G$5:$G$205,1))+($R65-INDEX(LE_Curves!$G$5:$G$205,MATCH($R65,LE_Curves!$G$5:$G$205,1)))*(INDEX(LE_Curves!$B$5:$B$205,MATCH($R65,LE_Curves!$G$5:$G$205,1)+1)-INDEX(LE_Curves!$B$5:$B$205,MATCH($R65,LE_Curves!$G$5:$G$205,1)))/(INDEX(LE_Curves!$G$5:$G$205,MATCH($R65,LE_Curves!$G$5:$G$205,1)+1)-INDEX(LE_Curves!$G$5:$G$205,MATCH($R65,LE_Curves!$G$5:$G$205,1))))))</f>
        <v/>
      </c>
      <c r="X65" s="11">
        <f>IF(Inputs!$D$28=0,0,IF($R65&lt;=Inputs!$C$28,0,IF($R65&gt;=INDEX(LE_Curves!$H$5:$H$205,201),INDEX(LE_Curves!$B$5:$B$205,201),INDEX(LE_Curves!$B$5:$B$205,MATCH($R65,LE_Curves!$H$5:$H$205,1))+($R65-INDEX(LE_Curves!$H$5:$H$205,MATCH($R65,LE_Curves!$H$5:$H$205,1)))*(INDEX(LE_Curves!$B$5:$B$205,MATCH($R65,LE_Curves!$H$5:$H$205,1)+1)-INDEX(LE_Curves!$B$5:$B$205,MATCH($R65,LE_Curves!$H$5:$H$205,1)))/(INDEX(LE_Curves!$H$5:$H$205,MATCH($R65,LE_Curves!$H$5:$H$205,1)+1)-INDEX(LE_Curves!$H$5:$H$205,MATCH($R65,LE_Curves!$H$5:$H$205,1))))))</f>
        <v/>
      </c>
      <c r="Y65" s="11">
        <f>IF(Inputs!$D$29=0,0,IF($R65&lt;=Inputs!$C$29,0,IF($R65&gt;=INDEX(LE_Curves!$I$5:$I$205,201),INDEX(LE_Curves!$B$5:$B$205,201),INDEX(LE_Curves!$B$5:$B$205,MATCH($R65,LE_Curves!$I$5:$I$205,1))+($R65-INDEX(LE_Curves!$I$5:$I$205,MATCH($R65,LE_Curves!$I$5:$I$205,1)))*(INDEX(LE_Curves!$B$5:$B$205,MATCH($R65,LE_Curves!$I$5:$I$205,1)+1)-INDEX(LE_Curves!$B$5:$B$205,MATCH($R65,LE_Curves!$I$5:$I$205,1)))/(INDEX(LE_Curves!$I$5:$I$205,MATCH($R65,LE_Curves!$I$5:$I$205,1)+1)-INDEX(LE_Curves!$I$5:$I$205,MATCH($R65,LE_Curves!$I$5:$I$205,1))))))</f>
        <v/>
      </c>
      <c r="Z65" s="11">
        <f>IF(Inputs!$D$30=0,0,IF($R65&lt;=Inputs!$C$30,0,IF($R65&gt;=INDEX(LE_Curves!$J$5:$J$205,201),INDEX(LE_Curves!$B$5:$B$205,201),INDEX(LE_Curves!$B$5:$B$205,MATCH($R65,LE_Curves!$J$5:$J$205,1))+($R65-INDEX(LE_Curves!$J$5:$J$205,MATCH($R65,LE_Curves!$J$5:$J$205,1)))*(INDEX(LE_Curves!$B$5:$B$205,MATCH($R65,LE_Curves!$J$5:$J$205,1)+1)-INDEX(LE_Curves!$B$5:$B$205,MATCH($R65,LE_Curves!$J$5:$J$205,1)))/(INDEX(LE_Curves!$J$5:$J$205,MATCH($R65,LE_Curves!$J$5:$J$205,1)+1)-INDEX(LE_Curves!$J$5:$J$205,MATCH($R65,LE_Curves!$J$5:$J$205,1))))))</f>
        <v/>
      </c>
      <c r="AA65" s="11">
        <f>IF(Inputs!$D$31=0,0,IF($R65&lt;=Inputs!$C$31,0,IF($R65&gt;=INDEX(LE_Curves!$K$5:$K$205,201),INDEX(LE_Curves!$B$5:$B$205,201),INDEX(LE_Curves!$B$5:$B$205,MATCH($R65,LE_Curves!$K$5:$K$205,1))+($R65-INDEX(LE_Curves!$K$5:$K$205,MATCH($R65,LE_Curves!$K$5:$K$205,1)))*(INDEX(LE_Curves!$B$5:$B$205,MATCH($R65,LE_Curves!$K$5:$K$205,1)+1)-INDEX(LE_Curves!$B$5:$B$205,MATCH($R65,LE_Curves!$K$5:$K$205,1)))/(INDEX(LE_Curves!$K$5:$K$205,MATCH($R65,LE_Curves!$K$5:$K$205,1)+1)-INDEX(LE_Curves!$K$5:$K$205,MATCH($R65,LE_Curves!$K$5:$K$205,1))))))</f>
        <v/>
      </c>
      <c r="AB65" s="11">
        <f>IF(Inputs!$D$32=0,0,IF($R65&lt;=Inputs!$C$32,0,IF($R65&gt;=INDEX(LE_Curves!$L$5:$L$205,201),INDEX(LE_Curves!$B$5:$B$205,201),INDEX(LE_Curves!$B$5:$B$205,MATCH($R65,LE_Curves!$L$5:$L$205,1))+($R65-INDEX(LE_Curves!$L$5:$L$205,MATCH($R65,LE_Curves!$L$5:$L$205,1)))*(INDEX(LE_Curves!$B$5:$B$205,MATCH($R65,LE_Curves!$L$5:$L$205,1)+1)-INDEX(LE_Curves!$B$5:$B$205,MATCH($R65,LE_Curves!$L$5:$L$205,1)))/(INDEX(LE_Curves!$L$5:$L$205,MATCH($R65,LE_Curves!$L$5:$L$205,1)+1)-INDEX(LE_Curves!$L$5:$L$205,MATCH($R65,LE_Curves!$L$5:$L$205,1))))))</f>
        <v/>
      </c>
      <c r="AC65" s="11">
        <f>IF(Inputs!$D$33=0,0,IF($R65&lt;=Inputs!$C$33,0,IF($R65&gt;=INDEX(LE_Curves!$M$5:$M$205,201),INDEX(LE_Curves!$B$5:$B$205,201),INDEX(LE_Curves!$B$5:$B$205,MATCH($R65,LE_Curves!$M$5:$M$205,1))+($R65-INDEX(LE_Curves!$M$5:$M$205,MATCH($R65,LE_Curves!$M$5:$M$205,1)))*(INDEX(LE_Curves!$B$5:$B$205,MATCH($R65,LE_Curves!$M$5:$M$205,1)+1)-INDEX(LE_Curves!$B$5:$B$205,MATCH($R65,LE_Curves!$M$5:$M$205,1)))/(INDEX(LE_Curves!$M$5:$M$205,MATCH($R65,LE_Curves!$M$5:$M$205,1)+1)-INDEX(LE_Curves!$M$5:$M$205,MATCH($R65,LE_Curves!$M$5:$M$205,1))))))</f>
        <v/>
      </c>
      <c r="AD65" s="11">
        <f>IF(Inputs!$D$34=0,0,IF($R65&lt;=Inputs!$C$34,0,IF($R65&gt;=INDEX(LE_Curves!$N$5:$N$205,201),INDEX(LE_Curves!$B$5:$B$205,201),INDEX(LE_Curves!$B$5:$B$205,MATCH($R65,LE_Curves!$N$5:$N$205,1))+($R65-INDEX(LE_Curves!$N$5:$N$205,MATCH($R65,LE_Curves!$N$5:$N$205,1)))*(INDEX(LE_Curves!$B$5:$B$205,MATCH($R65,LE_Curves!$N$5:$N$205,1)+1)-INDEX(LE_Curves!$B$5:$B$205,MATCH($R65,LE_Curves!$N$5:$N$205,1)))/(INDEX(LE_Curves!$N$5:$N$205,MATCH($R65,LE_Curves!$N$5:$N$205,1)+1)-INDEX(LE_Curves!$N$5:$N$205,MATCH($R65,LE_Curves!$N$5:$N$205,1))))))</f>
        <v/>
      </c>
      <c r="AE65" s="37">
        <f>SUM(S65:AD65)</f>
        <v/>
      </c>
    </row>
    <row r="66">
      <c r="A66" s="7" t="n">
        <v>35</v>
      </c>
      <c r="B66" s="37">
        <f>$B$3+($B$4-$B$3)*A66/200</f>
        <v/>
      </c>
      <c r="C66" s="11">
        <f>IF(Inputs!$D$23=0,0,IF($B66&lt;=Inputs!$C$23,0,IF($B66&gt;=INDEX(LE_Curves!$C$5:$C$205,201),INDEX(LE_Curves!$B$5:$B$205,201),INDEX(LE_Curves!$B$5:$B$205,MATCH($B66,LE_Curves!$C$5:$C$205,1))+($B66-INDEX(LE_Curves!$C$5:$C$205,MATCH($B66,LE_Curves!$C$5:$C$205,1)))*(INDEX(LE_Curves!$B$5:$B$205,MATCH($B66,LE_Curves!$C$5:$C$205,1)+1)-INDEX(LE_Curves!$B$5:$B$205,MATCH($B66,LE_Curves!$C$5:$C$205,1)))/(INDEX(LE_Curves!$C$5:$C$205,MATCH($B66,LE_Curves!$C$5:$C$205,1)+1)-INDEX(LE_Curves!$C$5:$C$205,MATCH($B66,LE_Curves!$C$5:$C$205,1))))))</f>
        <v/>
      </c>
      <c r="D66" s="11">
        <f>IF(Inputs!$D$24=0,0,IF($B66&lt;=Inputs!$C$24,0,IF($B66&gt;=INDEX(LE_Curves!$D$5:$D$205,201),INDEX(LE_Curves!$B$5:$B$205,201),INDEX(LE_Curves!$B$5:$B$205,MATCH($B66,LE_Curves!$D$5:$D$205,1))+($B66-INDEX(LE_Curves!$D$5:$D$205,MATCH($B66,LE_Curves!$D$5:$D$205,1)))*(INDEX(LE_Curves!$B$5:$B$205,MATCH($B66,LE_Curves!$D$5:$D$205,1)+1)-INDEX(LE_Curves!$B$5:$B$205,MATCH($B66,LE_Curves!$D$5:$D$205,1)))/(INDEX(LE_Curves!$D$5:$D$205,MATCH($B66,LE_Curves!$D$5:$D$205,1)+1)-INDEX(LE_Curves!$D$5:$D$205,MATCH($B66,LE_Curves!$D$5:$D$205,1))))))</f>
        <v/>
      </c>
      <c r="E66" s="11">
        <f>IF(Inputs!$D$25=0,0,IF($B66&lt;=Inputs!$C$25,0,IF($B66&gt;=INDEX(LE_Curves!$E$5:$E$205,201),INDEX(LE_Curves!$B$5:$B$205,201),INDEX(LE_Curves!$B$5:$B$205,MATCH($B66,LE_Curves!$E$5:$E$205,1))+($B66-INDEX(LE_Curves!$E$5:$E$205,MATCH($B66,LE_Curves!$E$5:$E$205,1)))*(INDEX(LE_Curves!$B$5:$B$205,MATCH($B66,LE_Curves!$E$5:$E$205,1)+1)-INDEX(LE_Curves!$B$5:$B$205,MATCH($B66,LE_Curves!$E$5:$E$205,1)))/(INDEX(LE_Curves!$E$5:$E$205,MATCH($B66,LE_Curves!$E$5:$E$205,1)+1)-INDEX(LE_Curves!$E$5:$E$205,MATCH($B66,LE_Curves!$E$5:$E$205,1))))))</f>
        <v/>
      </c>
      <c r="F66" s="11">
        <f>IF(Inputs!$D$26=0,0,IF($B66&lt;=Inputs!$C$26,0,IF($B66&gt;=INDEX(LE_Curves!$F$5:$F$205,201),INDEX(LE_Curves!$B$5:$B$205,201),INDEX(LE_Curves!$B$5:$B$205,MATCH($B66,LE_Curves!$F$5:$F$205,1))+($B66-INDEX(LE_Curves!$F$5:$F$205,MATCH($B66,LE_Curves!$F$5:$F$205,1)))*(INDEX(LE_Curves!$B$5:$B$205,MATCH($B66,LE_Curves!$F$5:$F$205,1)+1)-INDEX(LE_Curves!$B$5:$B$205,MATCH($B66,LE_Curves!$F$5:$F$205,1)))/(INDEX(LE_Curves!$F$5:$F$205,MATCH($B66,LE_Curves!$F$5:$F$205,1)+1)-INDEX(LE_Curves!$F$5:$F$205,MATCH($B66,LE_Curves!$F$5:$F$205,1))))))</f>
        <v/>
      </c>
      <c r="G66" s="11">
        <f>IF(Inputs!$D$27=0,0,IF($B66&lt;=Inputs!$C$27,0,IF($B66&gt;=INDEX(LE_Curves!$G$5:$G$205,201),INDEX(LE_Curves!$B$5:$B$205,201),INDEX(LE_Curves!$B$5:$B$205,MATCH($B66,LE_Curves!$G$5:$G$205,1))+($B66-INDEX(LE_Curves!$G$5:$G$205,MATCH($B66,LE_Curves!$G$5:$G$205,1)))*(INDEX(LE_Curves!$B$5:$B$205,MATCH($B66,LE_Curves!$G$5:$G$205,1)+1)-INDEX(LE_Curves!$B$5:$B$205,MATCH($B66,LE_Curves!$G$5:$G$205,1)))/(INDEX(LE_Curves!$G$5:$G$205,MATCH($B66,LE_Curves!$G$5:$G$205,1)+1)-INDEX(LE_Curves!$G$5:$G$205,MATCH($B66,LE_Curves!$G$5:$G$205,1))))))</f>
        <v/>
      </c>
      <c r="H66" s="11">
        <f>IF(Inputs!$D$28=0,0,IF($B66&lt;=Inputs!$C$28,0,IF($B66&gt;=INDEX(LE_Curves!$H$5:$H$205,201),INDEX(LE_Curves!$B$5:$B$205,201),INDEX(LE_Curves!$B$5:$B$205,MATCH($B66,LE_Curves!$H$5:$H$205,1))+($B66-INDEX(LE_Curves!$H$5:$H$205,MATCH($B66,LE_Curves!$H$5:$H$205,1)))*(INDEX(LE_Curves!$B$5:$B$205,MATCH($B66,LE_Curves!$H$5:$H$205,1)+1)-INDEX(LE_Curves!$B$5:$B$205,MATCH($B66,LE_Curves!$H$5:$H$205,1)))/(INDEX(LE_Curves!$H$5:$H$205,MATCH($B66,LE_Curves!$H$5:$H$205,1)+1)-INDEX(LE_Curves!$H$5:$H$205,MATCH($B66,LE_Curves!$H$5:$H$205,1))))))</f>
        <v/>
      </c>
      <c r="I66" s="11">
        <f>IF(Inputs!$D$29=0,0,IF($B66&lt;=Inputs!$C$29,0,IF($B66&gt;=INDEX(LE_Curves!$I$5:$I$205,201),INDEX(LE_Curves!$B$5:$B$205,201),INDEX(LE_Curves!$B$5:$B$205,MATCH($B66,LE_Curves!$I$5:$I$205,1))+($B66-INDEX(LE_Curves!$I$5:$I$205,MATCH($B66,LE_Curves!$I$5:$I$205,1)))*(INDEX(LE_Curves!$B$5:$B$205,MATCH($B66,LE_Curves!$I$5:$I$205,1)+1)-INDEX(LE_Curves!$B$5:$B$205,MATCH($B66,LE_Curves!$I$5:$I$205,1)))/(INDEX(LE_Curves!$I$5:$I$205,MATCH($B66,LE_Curves!$I$5:$I$205,1)+1)-INDEX(LE_Curves!$I$5:$I$205,MATCH($B66,LE_Curves!$I$5:$I$205,1))))))</f>
        <v/>
      </c>
      <c r="J66" s="11">
        <f>IF(Inputs!$D$30=0,0,IF($B66&lt;=Inputs!$C$30,0,IF($B66&gt;=INDEX(LE_Curves!$J$5:$J$205,201),INDEX(LE_Curves!$B$5:$B$205,201),INDEX(LE_Curves!$B$5:$B$205,MATCH($B66,LE_Curves!$J$5:$J$205,1))+($B66-INDEX(LE_Curves!$J$5:$J$205,MATCH($B66,LE_Curves!$J$5:$J$205,1)))*(INDEX(LE_Curves!$B$5:$B$205,MATCH($B66,LE_Curves!$J$5:$J$205,1)+1)-INDEX(LE_Curves!$B$5:$B$205,MATCH($B66,LE_Curves!$J$5:$J$205,1)))/(INDEX(LE_Curves!$J$5:$J$205,MATCH($B66,LE_Curves!$J$5:$J$205,1)+1)-INDEX(LE_Curves!$J$5:$J$205,MATCH($B66,LE_Curves!$J$5:$J$205,1))))))</f>
        <v/>
      </c>
      <c r="K66" s="11">
        <f>IF(Inputs!$D$31=0,0,IF($B66&lt;=Inputs!$C$31,0,IF($B66&gt;=INDEX(LE_Curves!$K$5:$K$205,201),INDEX(LE_Curves!$B$5:$B$205,201),INDEX(LE_Curves!$B$5:$B$205,MATCH($B66,LE_Curves!$K$5:$K$205,1))+($B66-INDEX(LE_Curves!$K$5:$K$205,MATCH($B66,LE_Curves!$K$5:$K$205,1)))*(INDEX(LE_Curves!$B$5:$B$205,MATCH($B66,LE_Curves!$K$5:$K$205,1)+1)-INDEX(LE_Curves!$B$5:$B$205,MATCH($B66,LE_Curves!$K$5:$K$205,1)))/(INDEX(LE_Curves!$K$5:$K$205,MATCH($B66,LE_Curves!$K$5:$K$205,1)+1)-INDEX(LE_Curves!$K$5:$K$205,MATCH($B66,LE_Curves!$K$5:$K$205,1))))))</f>
        <v/>
      </c>
      <c r="L66" s="11">
        <f>IF(Inputs!$D$32=0,0,IF($B66&lt;=Inputs!$C$32,0,IF($B66&gt;=INDEX(LE_Curves!$L$5:$L$205,201),INDEX(LE_Curves!$B$5:$B$205,201),INDEX(LE_Curves!$B$5:$B$205,MATCH($B66,LE_Curves!$L$5:$L$205,1))+($B66-INDEX(LE_Curves!$L$5:$L$205,MATCH($B66,LE_Curves!$L$5:$L$205,1)))*(INDEX(LE_Curves!$B$5:$B$205,MATCH($B66,LE_Curves!$L$5:$L$205,1)+1)-INDEX(LE_Curves!$B$5:$B$205,MATCH($B66,LE_Curves!$L$5:$L$205,1)))/(INDEX(LE_Curves!$L$5:$L$205,MATCH($B66,LE_Curves!$L$5:$L$205,1)+1)-INDEX(LE_Curves!$L$5:$L$205,MATCH($B66,LE_Curves!$L$5:$L$205,1))))))</f>
        <v/>
      </c>
      <c r="M66" s="11">
        <f>IF(Inputs!$D$33=0,0,IF($B66&lt;=Inputs!$C$33,0,IF($B66&gt;=INDEX(LE_Curves!$M$5:$M$205,201),INDEX(LE_Curves!$B$5:$B$205,201),INDEX(LE_Curves!$B$5:$B$205,MATCH($B66,LE_Curves!$M$5:$M$205,1))+($B66-INDEX(LE_Curves!$M$5:$M$205,MATCH($B66,LE_Curves!$M$5:$M$205,1)))*(INDEX(LE_Curves!$B$5:$B$205,MATCH($B66,LE_Curves!$M$5:$M$205,1)+1)-INDEX(LE_Curves!$B$5:$B$205,MATCH($B66,LE_Curves!$M$5:$M$205,1)))/(INDEX(LE_Curves!$M$5:$M$205,MATCH($B66,LE_Curves!$M$5:$M$205,1)+1)-INDEX(LE_Curves!$M$5:$M$205,MATCH($B66,LE_Curves!$M$5:$M$205,1))))))</f>
        <v/>
      </c>
      <c r="N66" s="11">
        <f>IF(Inputs!$D$34=0,0,IF($B66&lt;=Inputs!$C$34,0,IF($B66&gt;=INDEX(LE_Curves!$N$5:$N$205,201),INDEX(LE_Curves!$B$5:$B$205,201),INDEX(LE_Curves!$B$5:$B$205,MATCH($B66,LE_Curves!$N$5:$N$205,1))+($B66-INDEX(LE_Curves!$N$5:$N$205,MATCH($B66,LE_Curves!$N$5:$N$205,1)))*(INDEX(LE_Curves!$B$5:$B$205,MATCH($B66,LE_Curves!$N$5:$N$205,1)+1)-INDEX(LE_Curves!$B$5:$B$205,MATCH($B66,LE_Curves!$N$5:$N$205,1)))/(INDEX(LE_Curves!$N$5:$N$205,MATCH($B66,LE_Curves!$N$5:$N$205,1)+1)-INDEX(LE_Curves!$N$5:$N$205,MATCH($B66,LE_Curves!$N$5:$N$205,1))))))</f>
        <v/>
      </c>
      <c r="O66" s="11">
        <f>SUM(C66:N66)</f>
        <v/>
      </c>
      <c r="Q66" s="7" t="n">
        <v>35</v>
      </c>
      <c r="R66" s="23">
        <f>$B$6+($B$7-$B$6)*Q66/200</f>
        <v/>
      </c>
      <c r="S66" s="11">
        <f>IF(Inputs!$D$23=0,0,IF($R66&lt;=Inputs!$C$23,0,IF($R66&gt;=INDEX(LE_Curves!$C$5:$C$205,201),INDEX(LE_Curves!$B$5:$B$205,201),INDEX(LE_Curves!$B$5:$B$205,MATCH($R66,LE_Curves!$C$5:$C$205,1))+($R66-INDEX(LE_Curves!$C$5:$C$205,MATCH($R66,LE_Curves!$C$5:$C$205,1)))*(INDEX(LE_Curves!$B$5:$B$205,MATCH($R66,LE_Curves!$C$5:$C$205,1)+1)-INDEX(LE_Curves!$B$5:$B$205,MATCH($R66,LE_Curves!$C$5:$C$205,1)))/(INDEX(LE_Curves!$C$5:$C$205,MATCH($R66,LE_Curves!$C$5:$C$205,1)+1)-INDEX(LE_Curves!$C$5:$C$205,MATCH($R66,LE_Curves!$C$5:$C$205,1))))))</f>
        <v/>
      </c>
      <c r="T66" s="11">
        <f>IF(Inputs!$D$24=0,0,IF($R66&lt;=Inputs!$C$24,0,IF($R66&gt;=INDEX(LE_Curves!$D$5:$D$205,201),INDEX(LE_Curves!$B$5:$B$205,201),INDEX(LE_Curves!$B$5:$B$205,MATCH($R66,LE_Curves!$D$5:$D$205,1))+($R66-INDEX(LE_Curves!$D$5:$D$205,MATCH($R66,LE_Curves!$D$5:$D$205,1)))*(INDEX(LE_Curves!$B$5:$B$205,MATCH($R66,LE_Curves!$D$5:$D$205,1)+1)-INDEX(LE_Curves!$B$5:$B$205,MATCH($R66,LE_Curves!$D$5:$D$205,1)))/(INDEX(LE_Curves!$D$5:$D$205,MATCH($R66,LE_Curves!$D$5:$D$205,1)+1)-INDEX(LE_Curves!$D$5:$D$205,MATCH($R66,LE_Curves!$D$5:$D$205,1))))))</f>
        <v/>
      </c>
      <c r="U66" s="11">
        <f>IF(Inputs!$D$25=0,0,IF($R66&lt;=Inputs!$C$25,0,IF($R66&gt;=INDEX(LE_Curves!$E$5:$E$205,201),INDEX(LE_Curves!$B$5:$B$205,201),INDEX(LE_Curves!$B$5:$B$205,MATCH($R66,LE_Curves!$E$5:$E$205,1))+($R66-INDEX(LE_Curves!$E$5:$E$205,MATCH($R66,LE_Curves!$E$5:$E$205,1)))*(INDEX(LE_Curves!$B$5:$B$205,MATCH($R66,LE_Curves!$E$5:$E$205,1)+1)-INDEX(LE_Curves!$B$5:$B$205,MATCH($R66,LE_Curves!$E$5:$E$205,1)))/(INDEX(LE_Curves!$E$5:$E$205,MATCH($R66,LE_Curves!$E$5:$E$205,1)+1)-INDEX(LE_Curves!$E$5:$E$205,MATCH($R66,LE_Curves!$E$5:$E$205,1))))))</f>
        <v/>
      </c>
      <c r="V66" s="11">
        <f>IF(Inputs!$D$26=0,0,IF($R66&lt;=Inputs!$C$26,0,IF($R66&gt;=INDEX(LE_Curves!$F$5:$F$205,201),INDEX(LE_Curves!$B$5:$B$205,201),INDEX(LE_Curves!$B$5:$B$205,MATCH($R66,LE_Curves!$F$5:$F$205,1))+($R66-INDEX(LE_Curves!$F$5:$F$205,MATCH($R66,LE_Curves!$F$5:$F$205,1)))*(INDEX(LE_Curves!$B$5:$B$205,MATCH($R66,LE_Curves!$F$5:$F$205,1)+1)-INDEX(LE_Curves!$B$5:$B$205,MATCH($R66,LE_Curves!$F$5:$F$205,1)))/(INDEX(LE_Curves!$F$5:$F$205,MATCH($R66,LE_Curves!$F$5:$F$205,1)+1)-INDEX(LE_Curves!$F$5:$F$205,MATCH($R66,LE_Curves!$F$5:$F$205,1))))))</f>
        <v/>
      </c>
      <c r="W66" s="11">
        <f>IF(Inputs!$D$27=0,0,IF($R66&lt;=Inputs!$C$27,0,IF($R66&gt;=INDEX(LE_Curves!$G$5:$G$205,201),INDEX(LE_Curves!$B$5:$B$205,201),INDEX(LE_Curves!$B$5:$B$205,MATCH($R66,LE_Curves!$G$5:$G$205,1))+($R66-INDEX(LE_Curves!$G$5:$G$205,MATCH($R66,LE_Curves!$G$5:$G$205,1)))*(INDEX(LE_Curves!$B$5:$B$205,MATCH($R66,LE_Curves!$G$5:$G$205,1)+1)-INDEX(LE_Curves!$B$5:$B$205,MATCH($R66,LE_Curves!$G$5:$G$205,1)))/(INDEX(LE_Curves!$G$5:$G$205,MATCH($R66,LE_Curves!$G$5:$G$205,1)+1)-INDEX(LE_Curves!$G$5:$G$205,MATCH($R66,LE_Curves!$G$5:$G$205,1))))))</f>
        <v/>
      </c>
      <c r="X66" s="11">
        <f>IF(Inputs!$D$28=0,0,IF($R66&lt;=Inputs!$C$28,0,IF($R66&gt;=INDEX(LE_Curves!$H$5:$H$205,201),INDEX(LE_Curves!$B$5:$B$205,201),INDEX(LE_Curves!$B$5:$B$205,MATCH($R66,LE_Curves!$H$5:$H$205,1))+($R66-INDEX(LE_Curves!$H$5:$H$205,MATCH($R66,LE_Curves!$H$5:$H$205,1)))*(INDEX(LE_Curves!$B$5:$B$205,MATCH($R66,LE_Curves!$H$5:$H$205,1)+1)-INDEX(LE_Curves!$B$5:$B$205,MATCH($R66,LE_Curves!$H$5:$H$205,1)))/(INDEX(LE_Curves!$H$5:$H$205,MATCH($R66,LE_Curves!$H$5:$H$205,1)+1)-INDEX(LE_Curves!$H$5:$H$205,MATCH($R66,LE_Curves!$H$5:$H$205,1))))))</f>
        <v/>
      </c>
      <c r="Y66" s="11">
        <f>IF(Inputs!$D$29=0,0,IF($R66&lt;=Inputs!$C$29,0,IF($R66&gt;=INDEX(LE_Curves!$I$5:$I$205,201),INDEX(LE_Curves!$B$5:$B$205,201),INDEX(LE_Curves!$B$5:$B$205,MATCH($R66,LE_Curves!$I$5:$I$205,1))+($R66-INDEX(LE_Curves!$I$5:$I$205,MATCH($R66,LE_Curves!$I$5:$I$205,1)))*(INDEX(LE_Curves!$B$5:$B$205,MATCH($R66,LE_Curves!$I$5:$I$205,1)+1)-INDEX(LE_Curves!$B$5:$B$205,MATCH($R66,LE_Curves!$I$5:$I$205,1)))/(INDEX(LE_Curves!$I$5:$I$205,MATCH($R66,LE_Curves!$I$5:$I$205,1)+1)-INDEX(LE_Curves!$I$5:$I$205,MATCH($R66,LE_Curves!$I$5:$I$205,1))))))</f>
        <v/>
      </c>
      <c r="Z66" s="11">
        <f>IF(Inputs!$D$30=0,0,IF($R66&lt;=Inputs!$C$30,0,IF($R66&gt;=INDEX(LE_Curves!$J$5:$J$205,201),INDEX(LE_Curves!$B$5:$B$205,201),INDEX(LE_Curves!$B$5:$B$205,MATCH($R66,LE_Curves!$J$5:$J$205,1))+($R66-INDEX(LE_Curves!$J$5:$J$205,MATCH($R66,LE_Curves!$J$5:$J$205,1)))*(INDEX(LE_Curves!$B$5:$B$205,MATCH($R66,LE_Curves!$J$5:$J$205,1)+1)-INDEX(LE_Curves!$B$5:$B$205,MATCH($R66,LE_Curves!$J$5:$J$205,1)))/(INDEX(LE_Curves!$J$5:$J$205,MATCH($R66,LE_Curves!$J$5:$J$205,1)+1)-INDEX(LE_Curves!$J$5:$J$205,MATCH($R66,LE_Curves!$J$5:$J$205,1))))))</f>
        <v/>
      </c>
      <c r="AA66" s="11">
        <f>IF(Inputs!$D$31=0,0,IF($R66&lt;=Inputs!$C$31,0,IF($R66&gt;=INDEX(LE_Curves!$K$5:$K$205,201),INDEX(LE_Curves!$B$5:$B$205,201),INDEX(LE_Curves!$B$5:$B$205,MATCH($R66,LE_Curves!$K$5:$K$205,1))+($R66-INDEX(LE_Curves!$K$5:$K$205,MATCH($R66,LE_Curves!$K$5:$K$205,1)))*(INDEX(LE_Curves!$B$5:$B$205,MATCH($R66,LE_Curves!$K$5:$K$205,1)+1)-INDEX(LE_Curves!$B$5:$B$205,MATCH($R66,LE_Curves!$K$5:$K$205,1)))/(INDEX(LE_Curves!$K$5:$K$205,MATCH($R66,LE_Curves!$K$5:$K$205,1)+1)-INDEX(LE_Curves!$K$5:$K$205,MATCH($R66,LE_Curves!$K$5:$K$205,1))))))</f>
        <v/>
      </c>
      <c r="AB66" s="11">
        <f>IF(Inputs!$D$32=0,0,IF($R66&lt;=Inputs!$C$32,0,IF($R66&gt;=INDEX(LE_Curves!$L$5:$L$205,201),INDEX(LE_Curves!$B$5:$B$205,201),INDEX(LE_Curves!$B$5:$B$205,MATCH($R66,LE_Curves!$L$5:$L$205,1))+($R66-INDEX(LE_Curves!$L$5:$L$205,MATCH($R66,LE_Curves!$L$5:$L$205,1)))*(INDEX(LE_Curves!$B$5:$B$205,MATCH($R66,LE_Curves!$L$5:$L$205,1)+1)-INDEX(LE_Curves!$B$5:$B$205,MATCH($R66,LE_Curves!$L$5:$L$205,1)))/(INDEX(LE_Curves!$L$5:$L$205,MATCH($R66,LE_Curves!$L$5:$L$205,1)+1)-INDEX(LE_Curves!$L$5:$L$205,MATCH($R66,LE_Curves!$L$5:$L$205,1))))))</f>
        <v/>
      </c>
      <c r="AC66" s="11">
        <f>IF(Inputs!$D$33=0,0,IF($R66&lt;=Inputs!$C$33,0,IF($R66&gt;=INDEX(LE_Curves!$M$5:$M$205,201),INDEX(LE_Curves!$B$5:$B$205,201),INDEX(LE_Curves!$B$5:$B$205,MATCH($R66,LE_Curves!$M$5:$M$205,1))+($R66-INDEX(LE_Curves!$M$5:$M$205,MATCH($R66,LE_Curves!$M$5:$M$205,1)))*(INDEX(LE_Curves!$B$5:$B$205,MATCH($R66,LE_Curves!$M$5:$M$205,1)+1)-INDEX(LE_Curves!$B$5:$B$205,MATCH($R66,LE_Curves!$M$5:$M$205,1)))/(INDEX(LE_Curves!$M$5:$M$205,MATCH($R66,LE_Curves!$M$5:$M$205,1)+1)-INDEX(LE_Curves!$M$5:$M$205,MATCH($R66,LE_Curves!$M$5:$M$205,1))))))</f>
        <v/>
      </c>
      <c r="AD66" s="11">
        <f>IF(Inputs!$D$34=0,0,IF($R66&lt;=Inputs!$C$34,0,IF($R66&gt;=INDEX(LE_Curves!$N$5:$N$205,201),INDEX(LE_Curves!$B$5:$B$205,201),INDEX(LE_Curves!$B$5:$B$205,MATCH($R66,LE_Curves!$N$5:$N$205,1))+($R66-INDEX(LE_Curves!$N$5:$N$205,MATCH($R66,LE_Curves!$N$5:$N$205,1)))*(INDEX(LE_Curves!$B$5:$B$205,MATCH($R66,LE_Curves!$N$5:$N$205,1)+1)-INDEX(LE_Curves!$B$5:$B$205,MATCH($R66,LE_Curves!$N$5:$N$205,1)))/(INDEX(LE_Curves!$N$5:$N$205,MATCH($R66,LE_Curves!$N$5:$N$205,1)+1)-INDEX(LE_Curves!$N$5:$N$205,MATCH($R66,LE_Curves!$N$5:$N$205,1))))))</f>
        <v/>
      </c>
      <c r="AE66" s="37">
        <f>SUM(S66:AD66)</f>
        <v/>
      </c>
    </row>
    <row r="67">
      <c r="A67" s="7" t="n">
        <v>36</v>
      </c>
      <c r="B67" s="37">
        <f>$B$3+($B$4-$B$3)*A67/200</f>
        <v/>
      </c>
      <c r="C67" s="11">
        <f>IF(Inputs!$D$23=0,0,IF($B67&lt;=Inputs!$C$23,0,IF($B67&gt;=INDEX(LE_Curves!$C$5:$C$205,201),INDEX(LE_Curves!$B$5:$B$205,201),INDEX(LE_Curves!$B$5:$B$205,MATCH($B67,LE_Curves!$C$5:$C$205,1))+($B67-INDEX(LE_Curves!$C$5:$C$205,MATCH($B67,LE_Curves!$C$5:$C$205,1)))*(INDEX(LE_Curves!$B$5:$B$205,MATCH($B67,LE_Curves!$C$5:$C$205,1)+1)-INDEX(LE_Curves!$B$5:$B$205,MATCH($B67,LE_Curves!$C$5:$C$205,1)))/(INDEX(LE_Curves!$C$5:$C$205,MATCH($B67,LE_Curves!$C$5:$C$205,1)+1)-INDEX(LE_Curves!$C$5:$C$205,MATCH($B67,LE_Curves!$C$5:$C$205,1))))))</f>
        <v/>
      </c>
      <c r="D67" s="11">
        <f>IF(Inputs!$D$24=0,0,IF($B67&lt;=Inputs!$C$24,0,IF($B67&gt;=INDEX(LE_Curves!$D$5:$D$205,201),INDEX(LE_Curves!$B$5:$B$205,201),INDEX(LE_Curves!$B$5:$B$205,MATCH($B67,LE_Curves!$D$5:$D$205,1))+($B67-INDEX(LE_Curves!$D$5:$D$205,MATCH($B67,LE_Curves!$D$5:$D$205,1)))*(INDEX(LE_Curves!$B$5:$B$205,MATCH($B67,LE_Curves!$D$5:$D$205,1)+1)-INDEX(LE_Curves!$B$5:$B$205,MATCH($B67,LE_Curves!$D$5:$D$205,1)))/(INDEX(LE_Curves!$D$5:$D$205,MATCH($B67,LE_Curves!$D$5:$D$205,1)+1)-INDEX(LE_Curves!$D$5:$D$205,MATCH($B67,LE_Curves!$D$5:$D$205,1))))))</f>
        <v/>
      </c>
      <c r="E67" s="11">
        <f>IF(Inputs!$D$25=0,0,IF($B67&lt;=Inputs!$C$25,0,IF($B67&gt;=INDEX(LE_Curves!$E$5:$E$205,201),INDEX(LE_Curves!$B$5:$B$205,201),INDEX(LE_Curves!$B$5:$B$205,MATCH($B67,LE_Curves!$E$5:$E$205,1))+($B67-INDEX(LE_Curves!$E$5:$E$205,MATCH($B67,LE_Curves!$E$5:$E$205,1)))*(INDEX(LE_Curves!$B$5:$B$205,MATCH($B67,LE_Curves!$E$5:$E$205,1)+1)-INDEX(LE_Curves!$B$5:$B$205,MATCH($B67,LE_Curves!$E$5:$E$205,1)))/(INDEX(LE_Curves!$E$5:$E$205,MATCH($B67,LE_Curves!$E$5:$E$205,1)+1)-INDEX(LE_Curves!$E$5:$E$205,MATCH($B67,LE_Curves!$E$5:$E$205,1))))))</f>
        <v/>
      </c>
      <c r="F67" s="11">
        <f>IF(Inputs!$D$26=0,0,IF($B67&lt;=Inputs!$C$26,0,IF($B67&gt;=INDEX(LE_Curves!$F$5:$F$205,201),INDEX(LE_Curves!$B$5:$B$205,201),INDEX(LE_Curves!$B$5:$B$205,MATCH($B67,LE_Curves!$F$5:$F$205,1))+($B67-INDEX(LE_Curves!$F$5:$F$205,MATCH($B67,LE_Curves!$F$5:$F$205,1)))*(INDEX(LE_Curves!$B$5:$B$205,MATCH($B67,LE_Curves!$F$5:$F$205,1)+1)-INDEX(LE_Curves!$B$5:$B$205,MATCH($B67,LE_Curves!$F$5:$F$205,1)))/(INDEX(LE_Curves!$F$5:$F$205,MATCH($B67,LE_Curves!$F$5:$F$205,1)+1)-INDEX(LE_Curves!$F$5:$F$205,MATCH($B67,LE_Curves!$F$5:$F$205,1))))))</f>
        <v/>
      </c>
      <c r="G67" s="11">
        <f>IF(Inputs!$D$27=0,0,IF($B67&lt;=Inputs!$C$27,0,IF($B67&gt;=INDEX(LE_Curves!$G$5:$G$205,201),INDEX(LE_Curves!$B$5:$B$205,201),INDEX(LE_Curves!$B$5:$B$205,MATCH($B67,LE_Curves!$G$5:$G$205,1))+($B67-INDEX(LE_Curves!$G$5:$G$205,MATCH($B67,LE_Curves!$G$5:$G$205,1)))*(INDEX(LE_Curves!$B$5:$B$205,MATCH($B67,LE_Curves!$G$5:$G$205,1)+1)-INDEX(LE_Curves!$B$5:$B$205,MATCH($B67,LE_Curves!$G$5:$G$205,1)))/(INDEX(LE_Curves!$G$5:$G$205,MATCH($B67,LE_Curves!$G$5:$G$205,1)+1)-INDEX(LE_Curves!$G$5:$G$205,MATCH($B67,LE_Curves!$G$5:$G$205,1))))))</f>
        <v/>
      </c>
      <c r="H67" s="11">
        <f>IF(Inputs!$D$28=0,0,IF($B67&lt;=Inputs!$C$28,0,IF($B67&gt;=INDEX(LE_Curves!$H$5:$H$205,201),INDEX(LE_Curves!$B$5:$B$205,201),INDEX(LE_Curves!$B$5:$B$205,MATCH($B67,LE_Curves!$H$5:$H$205,1))+($B67-INDEX(LE_Curves!$H$5:$H$205,MATCH($B67,LE_Curves!$H$5:$H$205,1)))*(INDEX(LE_Curves!$B$5:$B$205,MATCH($B67,LE_Curves!$H$5:$H$205,1)+1)-INDEX(LE_Curves!$B$5:$B$205,MATCH($B67,LE_Curves!$H$5:$H$205,1)))/(INDEX(LE_Curves!$H$5:$H$205,MATCH($B67,LE_Curves!$H$5:$H$205,1)+1)-INDEX(LE_Curves!$H$5:$H$205,MATCH($B67,LE_Curves!$H$5:$H$205,1))))))</f>
        <v/>
      </c>
      <c r="I67" s="11">
        <f>IF(Inputs!$D$29=0,0,IF($B67&lt;=Inputs!$C$29,0,IF($B67&gt;=INDEX(LE_Curves!$I$5:$I$205,201),INDEX(LE_Curves!$B$5:$B$205,201),INDEX(LE_Curves!$B$5:$B$205,MATCH($B67,LE_Curves!$I$5:$I$205,1))+($B67-INDEX(LE_Curves!$I$5:$I$205,MATCH($B67,LE_Curves!$I$5:$I$205,1)))*(INDEX(LE_Curves!$B$5:$B$205,MATCH($B67,LE_Curves!$I$5:$I$205,1)+1)-INDEX(LE_Curves!$B$5:$B$205,MATCH($B67,LE_Curves!$I$5:$I$205,1)))/(INDEX(LE_Curves!$I$5:$I$205,MATCH($B67,LE_Curves!$I$5:$I$205,1)+1)-INDEX(LE_Curves!$I$5:$I$205,MATCH($B67,LE_Curves!$I$5:$I$205,1))))))</f>
        <v/>
      </c>
      <c r="J67" s="11">
        <f>IF(Inputs!$D$30=0,0,IF($B67&lt;=Inputs!$C$30,0,IF($B67&gt;=INDEX(LE_Curves!$J$5:$J$205,201),INDEX(LE_Curves!$B$5:$B$205,201),INDEX(LE_Curves!$B$5:$B$205,MATCH($B67,LE_Curves!$J$5:$J$205,1))+($B67-INDEX(LE_Curves!$J$5:$J$205,MATCH($B67,LE_Curves!$J$5:$J$205,1)))*(INDEX(LE_Curves!$B$5:$B$205,MATCH($B67,LE_Curves!$J$5:$J$205,1)+1)-INDEX(LE_Curves!$B$5:$B$205,MATCH($B67,LE_Curves!$J$5:$J$205,1)))/(INDEX(LE_Curves!$J$5:$J$205,MATCH($B67,LE_Curves!$J$5:$J$205,1)+1)-INDEX(LE_Curves!$J$5:$J$205,MATCH($B67,LE_Curves!$J$5:$J$205,1))))))</f>
        <v/>
      </c>
      <c r="K67" s="11">
        <f>IF(Inputs!$D$31=0,0,IF($B67&lt;=Inputs!$C$31,0,IF($B67&gt;=INDEX(LE_Curves!$K$5:$K$205,201),INDEX(LE_Curves!$B$5:$B$205,201),INDEX(LE_Curves!$B$5:$B$205,MATCH($B67,LE_Curves!$K$5:$K$205,1))+($B67-INDEX(LE_Curves!$K$5:$K$205,MATCH($B67,LE_Curves!$K$5:$K$205,1)))*(INDEX(LE_Curves!$B$5:$B$205,MATCH($B67,LE_Curves!$K$5:$K$205,1)+1)-INDEX(LE_Curves!$B$5:$B$205,MATCH($B67,LE_Curves!$K$5:$K$205,1)))/(INDEX(LE_Curves!$K$5:$K$205,MATCH($B67,LE_Curves!$K$5:$K$205,1)+1)-INDEX(LE_Curves!$K$5:$K$205,MATCH($B67,LE_Curves!$K$5:$K$205,1))))))</f>
        <v/>
      </c>
      <c r="L67" s="11">
        <f>IF(Inputs!$D$32=0,0,IF($B67&lt;=Inputs!$C$32,0,IF($B67&gt;=INDEX(LE_Curves!$L$5:$L$205,201),INDEX(LE_Curves!$B$5:$B$205,201),INDEX(LE_Curves!$B$5:$B$205,MATCH($B67,LE_Curves!$L$5:$L$205,1))+($B67-INDEX(LE_Curves!$L$5:$L$205,MATCH($B67,LE_Curves!$L$5:$L$205,1)))*(INDEX(LE_Curves!$B$5:$B$205,MATCH($B67,LE_Curves!$L$5:$L$205,1)+1)-INDEX(LE_Curves!$B$5:$B$205,MATCH($B67,LE_Curves!$L$5:$L$205,1)))/(INDEX(LE_Curves!$L$5:$L$205,MATCH($B67,LE_Curves!$L$5:$L$205,1)+1)-INDEX(LE_Curves!$L$5:$L$205,MATCH($B67,LE_Curves!$L$5:$L$205,1))))))</f>
        <v/>
      </c>
      <c r="M67" s="11">
        <f>IF(Inputs!$D$33=0,0,IF($B67&lt;=Inputs!$C$33,0,IF($B67&gt;=INDEX(LE_Curves!$M$5:$M$205,201),INDEX(LE_Curves!$B$5:$B$205,201),INDEX(LE_Curves!$B$5:$B$205,MATCH($B67,LE_Curves!$M$5:$M$205,1))+($B67-INDEX(LE_Curves!$M$5:$M$205,MATCH($B67,LE_Curves!$M$5:$M$205,1)))*(INDEX(LE_Curves!$B$5:$B$205,MATCH($B67,LE_Curves!$M$5:$M$205,1)+1)-INDEX(LE_Curves!$B$5:$B$205,MATCH($B67,LE_Curves!$M$5:$M$205,1)))/(INDEX(LE_Curves!$M$5:$M$205,MATCH($B67,LE_Curves!$M$5:$M$205,1)+1)-INDEX(LE_Curves!$M$5:$M$205,MATCH($B67,LE_Curves!$M$5:$M$205,1))))))</f>
        <v/>
      </c>
      <c r="N67" s="11">
        <f>IF(Inputs!$D$34=0,0,IF($B67&lt;=Inputs!$C$34,0,IF($B67&gt;=INDEX(LE_Curves!$N$5:$N$205,201),INDEX(LE_Curves!$B$5:$B$205,201),INDEX(LE_Curves!$B$5:$B$205,MATCH($B67,LE_Curves!$N$5:$N$205,1))+($B67-INDEX(LE_Curves!$N$5:$N$205,MATCH($B67,LE_Curves!$N$5:$N$205,1)))*(INDEX(LE_Curves!$B$5:$B$205,MATCH($B67,LE_Curves!$N$5:$N$205,1)+1)-INDEX(LE_Curves!$B$5:$B$205,MATCH($B67,LE_Curves!$N$5:$N$205,1)))/(INDEX(LE_Curves!$N$5:$N$205,MATCH($B67,LE_Curves!$N$5:$N$205,1)+1)-INDEX(LE_Curves!$N$5:$N$205,MATCH($B67,LE_Curves!$N$5:$N$205,1))))))</f>
        <v/>
      </c>
      <c r="O67" s="11">
        <f>SUM(C67:N67)</f>
        <v/>
      </c>
      <c r="Q67" s="7" t="n">
        <v>36</v>
      </c>
      <c r="R67" s="23">
        <f>$B$6+($B$7-$B$6)*Q67/200</f>
        <v/>
      </c>
      <c r="S67" s="11">
        <f>IF(Inputs!$D$23=0,0,IF($R67&lt;=Inputs!$C$23,0,IF($R67&gt;=INDEX(LE_Curves!$C$5:$C$205,201),INDEX(LE_Curves!$B$5:$B$205,201),INDEX(LE_Curves!$B$5:$B$205,MATCH($R67,LE_Curves!$C$5:$C$205,1))+($R67-INDEX(LE_Curves!$C$5:$C$205,MATCH($R67,LE_Curves!$C$5:$C$205,1)))*(INDEX(LE_Curves!$B$5:$B$205,MATCH($R67,LE_Curves!$C$5:$C$205,1)+1)-INDEX(LE_Curves!$B$5:$B$205,MATCH($R67,LE_Curves!$C$5:$C$205,1)))/(INDEX(LE_Curves!$C$5:$C$205,MATCH($R67,LE_Curves!$C$5:$C$205,1)+1)-INDEX(LE_Curves!$C$5:$C$205,MATCH($R67,LE_Curves!$C$5:$C$205,1))))))</f>
        <v/>
      </c>
      <c r="T67" s="11">
        <f>IF(Inputs!$D$24=0,0,IF($R67&lt;=Inputs!$C$24,0,IF($R67&gt;=INDEX(LE_Curves!$D$5:$D$205,201),INDEX(LE_Curves!$B$5:$B$205,201),INDEX(LE_Curves!$B$5:$B$205,MATCH($R67,LE_Curves!$D$5:$D$205,1))+($R67-INDEX(LE_Curves!$D$5:$D$205,MATCH($R67,LE_Curves!$D$5:$D$205,1)))*(INDEX(LE_Curves!$B$5:$B$205,MATCH($R67,LE_Curves!$D$5:$D$205,1)+1)-INDEX(LE_Curves!$B$5:$B$205,MATCH($R67,LE_Curves!$D$5:$D$205,1)))/(INDEX(LE_Curves!$D$5:$D$205,MATCH($R67,LE_Curves!$D$5:$D$205,1)+1)-INDEX(LE_Curves!$D$5:$D$205,MATCH($R67,LE_Curves!$D$5:$D$205,1))))))</f>
        <v/>
      </c>
      <c r="U67" s="11">
        <f>IF(Inputs!$D$25=0,0,IF($R67&lt;=Inputs!$C$25,0,IF($R67&gt;=INDEX(LE_Curves!$E$5:$E$205,201),INDEX(LE_Curves!$B$5:$B$205,201),INDEX(LE_Curves!$B$5:$B$205,MATCH($R67,LE_Curves!$E$5:$E$205,1))+($R67-INDEX(LE_Curves!$E$5:$E$205,MATCH($R67,LE_Curves!$E$5:$E$205,1)))*(INDEX(LE_Curves!$B$5:$B$205,MATCH($R67,LE_Curves!$E$5:$E$205,1)+1)-INDEX(LE_Curves!$B$5:$B$205,MATCH($R67,LE_Curves!$E$5:$E$205,1)))/(INDEX(LE_Curves!$E$5:$E$205,MATCH($R67,LE_Curves!$E$5:$E$205,1)+1)-INDEX(LE_Curves!$E$5:$E$205,MATCH($R67,LE_Curves!$E$5:$E$205,1))))))</f>
        <v/>
      </c>
      <c r="V67" s="11">
        <f>IF(Inputs!$D$26=0,0,IF($R67&lt;=Inputs!$C$26,0,IF($R67&gt;=INDEX(LE_Curves!$F$5:$F$205,201),INDEX(LE_Curves!$B$5:$B$205,201),INDEX(LE_Curves!$B$5:$B$205,MATCH($R67,LE_Curves!$F$5:$F$205,1))+($R67-INDEX(LE_Curves!$F$5:$F$205,MATCH($R67,LE_Curves!$F$5:$F$205,1)))*(INDEX(LE_Curves!$B$5:$B$205,MATCH($R67,LE_Curves!$F$5:$F$205,1)+1)-INDEX(LE_Curves!$B$5:$B$205,MATCH($R67,LE_Curves!$F$5:$F$205,1)))/(INDEX(LE_Curves!$F$5:$F$205,MATCH($R67,LE_Curves!$F$5:$F$205,1)+1)-INDEX(LE_Curves!$F$5:$F$205,MATCH($R67,LE_Curves!$F$5:$F$205,1))))))</f>
        <v/>
      </c>
      <c r="W67" s="11">
        <f>IF(Inputs!$D$27=0,0,IF($R67&lt;=Inputs!$C$27,0,IF($R67&gt;=INDEX(LE_Curves!$G$5:$G$205,201),INDEX(LE_Curves!$B$5:$B$205,201),INDEX(LE_Curves!$B$5:$B$205,MATCH($R67,LE_Curves!$G$5:$G$205,1))+($R67-INDEX(LE_Curves!$G$5:$G$205,MATCH($R67,LE_Curves!$G$5:$G$205,1)))*(INDEX(LE_Curves!$B$5:$B$205,MATCH($R67,LE_Curves!$G$5:$G$205,1)+1)-INDEX(LE_Curves!$B$5:$B$205,MATCH($R67,LE_Curves!$G$5:$G$205,1)))/(INDEX(LE_Curves!$G$5:$G$205,MATCH($R67,LE_Curves!$G$5:$G$205,1)+1)-INDEX(LE_Curves!$G$5:$G$205,MATCH($R67,LE_Curves!$G$5:$G$205,1))))))</f>
        <v/>
      </c>
      <c r="X67" s="11">
        <f>IF(Inputs!$D$28=0,0,IF($R67&lt;=Inputs!$C$28,0,IF($R67&gt;=INDEX(LE_Curves!$H$5:$H$205,201),INDEX(LE_Curves!$B$5:$B$205,201),INDEX(LE_Curves!$B$5:$B$205,MATCH($R67,LE_Curves!$H$5:$H$205,1))+($R67-INDEX(LE_Curves!$H$5:$H$205,MATCH($R67,LE_Curves!$H$5:$H$205,1)))*(INDEX(LE_Curves!$B$5:$B$205,MATCH($R67,LE_Curves!$H$5:$H$205,1)+1)-INDEX(LE_Curves!$B$5:$B$205,MATCH($R67,LE_Curves!$H$5:$H$205,1)))/(INDEX(LE_Curves!$H$5:$H$205,MATCH($R67,LE_Curves!$H$5:$H$205,1)+1)-INDEX(LE_Curves!$H$5:$H$205,MATCH($R67,LE_Curves!$H$5:$H$205,1))))))</f>
        <v/>
      </c>
      <c r="Y67" s="11">
        <f>IF(Inputs!$D$29=0,0,IF($R67&lt;=Inputs!$C$29,0,IF($R67&gt;=INDEX(LE_Curves!$I$5:$I$205,201),INDEX(LE_Curves!$B$5:$B$205,201),INDEX(LE_Curves!$B$5:$B$205,MATCH($R67,LE_Curves!$I$5:$I$205,1))+($R67-INDEX(LE_Curves!$I$5:$I$205,MATCH($R67,LE_Curves!$I$5:$I$205,1)))*(INDEX(LE_Curves!$B$5:$B$205,MATCH($R67,LE_Curves!$I$5:$I$205,1)+1)-INDEX(LE_Curves!$B$5:$B$205,MATCH($R67,LE_Curves!$I$5:$I$205,1)))/(INDEX(LE_Curves!$I$5:$I$205,MATCH($R67,LE_Curves!$I$5:$I$205,1)+1)-INDEX(LE_Curves!$I$5:$I$205,MATCH($R67,LE_Curves!$I$5:$I$205,1))))))</f>
        <v/>
      </c>
      <c r="Z67" s="11">
        <f>IF(Inputs!$D$30=0,0,IF($R67&lt;=Inputs!$C$30,0,IF($R67&gt;=INDEX(LE_Curves!$J$5:$J$205,201),INDEX(LE_Curves!$B$5:$B$205,201),INDEX(LE_Curves!$B$5:$B$205,MATCH($R67,LE_Curves!$J$5:$J$205,1))+($R67-INDEX(LE_Curves!$J$5:$J$205,MATCH($R67,LE_Curves!$J$5:$J$205,1)))*(INDEX(LE_Curves!$B$5:$B$205,MATCH($R67,LE_Curves!$J$5:$J$205,1)+1)-INDEX(LE_Curves!$B$5:$B$205,MATCH($R67,LE_Curves!$J$5:$J$205,1)))/(INDEX(LE_Curves!$J$5:$J$205,MATCH($R67,LE_Curves!$J$5:$J$205,1)+1)-INDEX(LE_Curves!$J$5:$J$205,MATCH($R67,LE_Curves!$J$5:$J$205,1))))))</f>
        <v/>
      </c>
      <c r="AA67" s="11">
        <f>IF(Inputs!$D$31=0,0,IF($R67&lt;=Inputs!$C$31,0,IF($R67&gt;=INDEX(LE_Curves!$K$5:$K$205,201),INDEX(LE_Curves!$B$5:$B$205,201),INDEX(LE_Curves!$B$5:$B$205,MATCH($R67,LE_Curves!$K$5:$K$205,1))+($R67-INDEX(LE_Curves!$K$5:$K$205,MATCH($R67,LE_Curves!$K$5:$K$205,1)))*(INDEX(LE_Curves!$B$5:$B$205,MATCH($R67,LE_Curves!$K$5:$K$205,1)+1)-INDEX(LE_Curves!$B$5:$B$205,MATCH($R67,LE_Curves!$K$5:$K$205,1)))/(INDEX(LE_Curves!$K$5:$K$205,MATCH($R67,LE_Curves!$K$5:$K$205,1)+1)-INDEX(LE_Curves!$K$5:$K$205,MATCH($R67,LE_Curves!$K$5:$K$205,1))))))</f>
        <v/>
      </c>
      <c r="AB67" s="11">
        <f>IF(Inputs!$D$32=0,0,IF($R67&lt;=Inputs!$C$32,0,IF($R67&gt;=INDEX(LE_Curves!$L$5:$L$205,201),INDEX(LE_Curves!$B$5:$B$205,201),INDEX(LE_Curves!$B$5:$B$205,MATCH($R67,LE_Curves!$L$5:$L$205,1))+($R67-INDEX(LE_Curves!$L$5:$L$205,MATCH($R67,LE_Curves!$L$5:$L$205,1)))*(INDEX(LE_Curves!$B$5:$B$205,MATCH($R67,LE_Curves!$L$5:$L$205,1)+1)-INDEX(LE_Curves!$B$5:$B$205,MATCH($R67,LE_Curves!$L$5:$L$205,1)))/(INDEX(LE_Curves!$L$5:$L$205,MATCH($R67,LE_Curves!$L$5:$L$205,1)+1)-INDEX(LE_Curves!$L$5:$L$205,MATCH($R67,LE_Curves!$L$5:$L$205,1))))))</f>
        <v/>
      </c>
      <c r="AC67" s="11">
        <f>IF(Inputs!$D$33=0,0,IF($R67&lt;=Inputs!$C$33,0,IF($R67&gt;=INDEX(LE_Curves!$M$5:$M$205,201),INDEX(LE_Curves!$B$5:$B$205,201),INDEX(LE_Curves!$B$5:$B$205,MATCH($R67,LE_Curves!$M$5:$M$205,1))+($R67-INDEX(LE_Curves!$M$5:$M$205,MATCH($R67,LE_Curves!$M$5:$M$205,1)))*(INDEX(LE_Curves!$B$5:$B$205,MATCH($R67,LE_Curves!$M$5:$M$205,1)+1)-INDEX(LE_Curves!$B$5:$B$205,MATCH($R67,LE_Curves!$M$5:$M$205,1)))/(INDEX(LE_Curves!$M$5:$M$205,MATCH($R67,LE_Curves!$M$5:$M$205,1)+1)-INDEX(LE_Curves!$M$5:$M$205,MATCH($R67,LE_Curves!$M$5:$M$205,1))))))</f>
        <v/>
      </c>
      <c r="AD67" s="11">
        <f>IF(Inputs!$D$34=0,0,IF($R67&lt;=Inputs!$C$34,0,IF($R67&gt;=INDEX(LE_Curves!$N$5:$N$205,201),INDEX(LE_Curves!$B$5:$B$205,201),INDEX(LE_Curves!$B$5:$B$205,MATCH($R67,LE_Curves!$N$5:$N$205,1))+($R67-INDEX(LE_Curves!$N$5:$N$205,MATCH($R67,LE_Curves!$N$5:$N$205,1)))*(INDEX(LE_Curves!$B$5:$B$205,MATCH($R67,LE_Curves!$N$5:$N$205,1)+1)-INDEX(LE_Curves!$B$5:$B$205,MATCH($R67,LE_Curves!$N$5:$N$205,1)))/(INDEX(LE_Curves!$N$5:$N$205,MATCH($R67,LE_Curves!$N$5:$N$205,1)+1)-INDEX(LE_Curves!$N$5:$N$205,MATCH($R67,LE_Curves!$N$5:$N$205,1))))))</f>
        <v/>
      </c>
      <c r="AE67" s="37">
        <f>SUM(S67:AD67)</f>
        <v/>
      </c>
    </row>
    <row r="68">
      <c r="A68" s="7" t="n">
        <v>37</v>
      </c>
      <c r="B68" s="37">
        <f>$B$3+($B$4-$B$3)*A68/200</f>
        <v/>
      </c>
      <c r="C68" s="11">
        <f>IF(Inputs!$D$23=0,0,IF($B68&lt;=Inputs!$C$23,0,IF($B68&gt;=INDEX(LE_Curves!$C$5:$C$205,201),INDEX(LE_Curves!$B$5:$B$205,201),INDEX(LE_Curves!$B$5:$B$205,MATCH($B68,LE_Curves!$C$5:$C$205,1))+($B68-INDEX(LE_Curves!$C$5:$C$205,MATCH($B68,LE_Curves!$C$5:$C$205,1)))*(INDEX(LE_Curves!$B$5:$B$205,MATCH($B68,LE_Curves!$C$5:$C$205,1)+1)-INDEX(LE_Curves!$B$5:$B$205,MATCH($B68,LE_Curves!$C$5:$C$205,1)))/(INDEX(LE_Curves!$C$5:$C$205,MATCH($B68,LE_Curves!$C$5:$C$205,1)+1)-INDEX(LE_Curves!$C$5:$C$205,MATCH($B68,LE_Curves!$C$5:$C$205,1))))))</f>
        <v/>
      </c>
      <c r="D68" s="11">
        <f>IF(Inputs!$D$24=0,0,IF($B68&lt;=Inputs!$C$24,0,IF($B68&gt;=INDEX(LE_Curves!$D$5:$D$205,201),INDEX(LE_Curves!$B$5:$B$205,201),INDEX(LE_Curves!$B$5:$B$205,MATCH($B68,LE_Curves!$D$5:$D$205,1))+($B68-INDEX(LE_Curves!$D$5:$D$205,MATCH($B68,LE_Curves!$D$5:$D$205,1)))*(INDEX(LE_Curves!$B$5:$B$205,MATCH($B68,LE_Curves!$D$5:$D$205,1)+1)-INDEX(LE_Curves!$B$5:$B$205,MATCH($B68,LE_Curves!$D$5:$D$205,1)))/(INDEX(LE_Curves!$D$5:$D$205,MATCH($B68,LE_Curves!$D$5:$D$205,1)+1)-INDEX(LE_Curves!$D$5:$D$205,MATCH($B68,LE_Curves!$D$5:$D$205,1))))))</f>
        <v/>
      </c>
      <c r="E68" s="11">
        <f>IF(Inputs!$D$25=0,0,IF($B68&lt;=Inputs!$C$25,0,IF($B68&gt;=INDEX(LE_Curves!$E$5:$E$205,201),INDEX(LE_Curves!$B$5:$B$205,201),INDEX(LE_Curves!$B$5:$B$205,MATCH($B68,LE_Curves!$E$5:$E$205,1))+($B68-INDEX(LE_Curves!$E$5:$E$205,MATCH($B68,LE_Curves!$E$5:$E$205,1)))*(INDEX(LE_Curves!$B$5:$B$205,MATCH($B68,LE_Curves!$E$5:$E$205,1)+1)-INDEX(LE_Curves!$B$5:$B$205,MATCH($B68,LE_Curves!$E$5:$E$205,1)))/(INDEX(LE_Curves!$E$5:$E$205,MATCH($B68,LE_Curves!$E$5:$E$205,1)+1)-INDEX(LE_Curves!$E$5:$E$205,MATCH($B68,LE_Curves!$E$5:$E$205,1))))))</f>
        <v/>
      </c>
      <c r="F68" s="11">
        <f>IF(Inputs!$D$26=0,0,IF($B68&lt;=Inputs!$C$26,0,IF($B68&gt;=INDEX(LE_Curves!$F$5:$F$205,201),INDEX(LE_Curves!$B$5:$B$205,201),INDEX(LE_Curves!$B$5:$B$205,MATCH($B68,LE_Curves!$F$5:$F$205,1))+($B68-INDEX(LE_Curves!$F$5:$F$205,MATCH($B68,LE_Curves!$F$5:$F$205,1)))*(INDEX(LE_Curves!$B$5:$B$205,MATCH($B68,LE_Curves!$F$5:$F$205,1)+1)-INDEX(LE_Curves!$B$5:$B$205,MATCH($B68,LE_Curves!$F$5:$F$205,1)))/(INDEX(LE_Curves!$F$5:$F$205,MATCH($B68,LE_Curves!$F$5:$F$205,1)+1)-INDEX(LE_Curves!$F$5:$F$205,MATCH($B68,LE_Curves!$F$5:$F$205,1))))))</f>
        <v/>
      </c>
      <c r="G68" s="11">
        <f>IF(Inputs!$D$27=0,0,IF($B68&lt;=Inputs!$C$27,0,IF($B68&gt;=INDEX(LE_Curves!$G$5:$G$205,201),INDEX(LE_Curves!$B$5:$B$205,201),INDEX(LE_Curves!$B$5:$B$205,MATCH($B68,LE_Curves!$G$5:$G$205,1))+($B68-INDEX(LE_Curves!$G$5:$G$205,MATCH($B68,LE_Curves!$G$5:$G$205,1)))*(INDEX(LE_Curves!$B$5:$B$205,MATCH($B68,LE_Curves!$G$5:$G$205,1)+1)-INDEX(LE_Curves!$B$5:$B$205,MATCH($B68,LE_Curves!$G$5:$G$205,1)))/(INDEX(LE_Curves!$G$5:$G$205,MATCH($B68,LE_Curves!$G$5:$G$205,1)+1)-INDEX(LE_Curves!$G$5:$G$205,MATCH($B68,LE_Curves!$G$5:$G$205,1))))))</f>
        <v/>
      </c>
      <c r="H68" s="11">
        <f>IF(Inputs!$D$28=0,0,IF($B68&lt;=Inputs!$C$28,0,IF($B68&gt;=INDEX(LE_Curves!$H$5:$H$205,201),INDEX(LE_Curves!$B$5:$B$205,201),INDEX(LE_Curves!$B$5:$B$205,MATCH($B68,LE_Curves!$H$5:$H$205,1))+($B68-INDEX(LE_Curves!$H$5:$H$205,MATCH($B68,LE_Curves!$H$5:$H$205,1)))*(INDEX(LE_Curves!$B$5:$B$205,MATCH($B68,LE_Curves!$H$5:$H$205,1)+1)-INDEX(LE_Curves!$B$5:$B$205,MATCH($B68,LE_Curves!$H$5:$H$205,1)))/(INDEX(LE_Curves!$H$5:$H$205,MATCH($B68,LE_Curves!$H$5:$H$205,1)+1)-INDEX(LE_Curves!$H$5:$H$205,MATCH($B68,LE_Curves!$H$5:$H$205,1))))))</f>
        <v/>
      </c>
      <c r="I68" s="11">
        <f>IF(Inputs!$D$29=0,0,IF($B68&lt;=Inputs!$C$29,0,IF($B68&gt;=INDEX(LE_Curves!$I$5:$I$205,201),INDEX(LE_Curves!$B$5:$B$205,201),INDEX(LE_Curves!$B$5:$B$205,MATCH($B68,LE_Curves!$I$5:$I$205,1))+($B68-INDEX(LE_Curves!$I$5:$I$205,MATCH($B68,LE_Curves!$I$5:$I$205,1)))*(INDEX(LE_Curves!$B$5:$B$205,MATCH($B68,LE_Curves!$I$5:$I$205,1)+1)-INDEX(LE_Curves!$B$5:$B$205,MATCH($B68,LE_Curves!$I$5:$I$205,1)))/(INDEX(LE_Curves!$I$5:$I$205,MATCH($B68,LE_Curves!$I$5:$I$205,1)+1)-INDEX(LE_Curves!$I$5:$I$205,MATCH($B68,LE_Curves!$I$5:$I$205,1))))))</f>
        <v/>
      </c>
      <c r="J68" s="11">
        <f>IF(Inputs!$D$30=0,0,IF($B68&lt;=Inputs!$C$30,0,IF($B68&gt;=INDEX(LE_Curves!$J$5:$J$205,201),INDEX(LE_Curves!$B$5:$B$205,201),INDEX(LE_Curves!$B$5:$B$205,MATCH($B68,LE_Curves!$J$5:$J$205,1))+($B68-INDEX(LE_Curves!$J$5:$J$205,MATCH($B68,LE_Curves!$J$5:$J$205,1)))*(INDEX(LE_Curves!$B$5:$B$205,MATCH($B68,LE_Curves!$J$5:$J$205,1)+1)-INDEX(LE_Curves!$B$5:$B$205,MATCH($B68,LE_Curves!$J$5:$J$205,1)))/(INDEX(LE_Curves!$J$5:$J$205,MATCH($B68,LE_Curves!$J$5:$J$205,1)+1)-INDEX(LE_Curves!$J$5:$J$205,MATCH($B68,LE_Curves!$J$5:$J$205,1))))))</f>
        <v/>
      </c>
      <c r="K68" s="11">
        <f>IF(Inputs!$D$31=0,0,IF($B68&lt;=Inputs!$C$31,0,IF($B68&gt;=INDEX(LE_Curves!$K$5:$K$205,201),INDEX(LE_Curves!$B$5:$B$205,201),INDEX(LE_Curves!$B$5:$B$205,MATCH($B68,LE_Curves!$K$5:$K$205,1))+($B68-INDEX(LE_Curves!$K$5:$K$205,MATCH($B68,LE_Curves!$K$5:$K$205,1)))*(INDEX(LE_Curves!$B$5:$B$205,MATCH($B68,LE_Curves!$K$5:$K$205,1)+1)-INDEX(LE_Curves!$B$5:$B$205,MATCH($B68,LE_Curves!$K$5:$K$205,1)))/(INDEX(LE_Curves!$K$5:$K$205,MATCH($B68,LE_Curves!$K$5:$K$205,1)+1)-INDEX(LE_Curves!$K$5:$K$205,MATCH($B68,LE_Curves!$K$5:$K$205,1))))))</f>
        <v/>
      </c>
      <c r="L68" s="11">
        <f>IF(Inputs!$D$32=0,0,IF($B68&lt;=Inputs!$C$32,0,IF($B68&gt;=INDEX(LE_Curves!$L$5:$L$205,201),INDEX(LE_Curves!$B$5:$B$205,201),INDEX(LE_Curves!$B$5:$B$205,MATCH($B68,LE_Curves!$L$5:$L$205,1))+($B68-INDEX(LE_Curves!$L$5:$L$205,MATCH($B68,LE_Curves!$L$5:$L$205,1)))*(INDEX(LE_Curves!$B$5:$B$205,MATCH($B68,LE_Curves!$L$5:$L$205,1)+1)-INDEX(LE_Curves!$B$5:$B$205,MATCH($B68,LE_Curves!$L$5:$L$205,1)))/(INDEX(LE_Curves!$L$5:$L$205,MATCH($B68,LE_Curves!$L$5:$L$205,1)+1)-INDEX(LE_Curves!$L$5:$L$205,MATCH($B68,LE_Curves!$L$5:$L$205,1))))))</f>
        <v/>
      </c>
      <c r="M68" s="11">
        <f>IF(Inputs!$D$33=0,0,IF($B68&lt;=Inputs!$C$33,0,IF($B68&gt;=INDEX(LE_Curves!$M$5:$M$205,201),INDEX(LE_Curves!$B$5:$B$205,201),INDEX(LE_Curves!$B$5:$B$205,MATCH($B68,LE_Curves!$M$5:$M$205,1))+($B68-INDEX(LE_Curves!$M$5:$M$205,MATCH($B68,LE_Curves!$M$5:$M$205,1)))*(INDEX(LE_Curves!$B$5:$B$205,MATCH($B68,LE_Curves!$M$5:$M$205,1)+1)-INDEX(LE_Curves!$B$5:$B$205,MATCH($B68,LE_Curves!$M$5:$M$205,1)))/(INDEX(LE_Curves!$M$5:$M$205,MATCH($B68,LE_Curves!$M$5:$M$205,1)+1)-INDEX(LE_Curves!$M$5:$M$205,MATCH($B68,LE_Curves!$M$5:$M$205,1))))))</f>
        <v/>
      </c>
      <c r="N68" s="11">
        <f>IF(Inputs!$D$34=0,0,IF($B68&lt;=Inputs!$C$34,0,IF($B68&gt;=INDEX(LE_Curves!$N$5:$N$205,201),INDEX(LE_Curves!$B$5:$B$205,201),INDEX(LE_Curves!$B$5:$B$205,MATCH($B68,LE_Curves!$N$5:$N$205,1))+($B68-INDEX(LE_Curves!$N$5:$N$205,MATCH($B68,LE_Curves!$N$5:$N$205,1)))*(INDEX(LE_Curves!$B$5:$B$205,MATCH($B68,LE_Curves!$N$5:$N$205,1)+1)-INDEX(LE_Curves!$B$5:$B$205,MATCH($B68,LE_Curves!$N$5:$N$205,1)))/(INDEX(LE_Curves!$N$5:$N$205,MATCH($B68,LE_Curves!$N$5:$N$205,1)+1)-INDEX(LE_Curves!$N$5:$N$205,MATCH($B68,LE_Curves!$N$5:$N$205,1))))))</f>
        <v/>
      </c>
      <c r="O68" s="11">
        <f>SUM(C68:N68)</f>
        <v/>
      </c>
      <c r="Q68" s="7" t="n">
        <v>37</v>
      </c>
      <c r="R68" s="23">
        <f>$B$6+($B$7-$B$6)*Q68/200</f>
        <v/>
      </c>
      <c r="S68" s="11">
        <f>IF(Inputs!$D$23=0,0,IF($R68&lt;=Inputs!$C$23,0,IF($R68&gt;=INDEX(LE_Curves!$C$5:$C$205,201),INDEX(LE_Curves!$B$5:$B$205,201),INDEX(LE_Curves!$B$5:$B$205,MATCH($R68,LE_Curves!$C$5:$C$205,1))+($R68-INDEX(LE_Curves!$C$5:$C$205,MATCH($R68,LE_Curves!$C$5:$C$205,1)))*(INDEX(LE_Curves!$B$5:$B$205,MATCH($R68,LE_Curves!$C$5:$C$205,1)+1)-INDEX(LE_Curves!$B$5:$B$205,MATCH($R68,LE_Curves!$C$5:$C$205,1)))/(INDEX(LE_Curves!$C$5:$C$205,MATCH($R68,LE_Curves!$C$5:$C$205,1)+1)-INDEX(LE_Curves!$C$5:$C$205,MATCH($R68,LE_Curves!$C$5:$C$205,1))))))</f>
        <v/>
      </c>
      <c r="T68" s="11">
        <f>IF(Inputs!$D$24=0,0,IF($R68&lt;=Inputs!$C$24,0,IF($R68&gt;=INDEX(LE_Curves!$D$5:$D$205,201),INDEX(LE_Curves!$B$5:$B$205,201),INDEX(LE_Curves!$B$5:$B$205,MATCH($R68,LE_Curves!$D$5:$D$205,1))+($R68-INDEX(LE_Curves!$D$5:$D$205,MATCH($R68,LE_Curves!$D$5:$D$205,1)))*(INDEX(LE_Curves!$B$5:$B$205,MATCH($R68,LE_Curves!$D$5:$D$205,1)+1)-INDEX(LE_Curves!$B$5:$B$205,MATCH($R68,LE_Curves!$D$5:$D$205,1)))/(INDEX(LE_Curves!$D$5:$D$205,MATCH($R68,LE_Curves!$D$5:$D$205,1)+1)-INDEX(LE_Curves!$D$5:$D$205,MATCH($R68,LE_Curves!$D$5:$D$205,1))))))</f>
        <v/>
      </c>
      <c r="U68" s="11">
        <f>IF(Inputs!$D$25=0,0,IF($R68&lt;=Inputs!$C$25,0,IF($R68&gt;=INDEX(LE_Curves!$E$5:$E$205,201),INDEX(LE_Curves!$B$5:$B$205,201),INDEX(LE_Curves!$B$5:$B$205,MATCH($R68,LE_Curves!$E$5:$E$205,1))+($R68-INDEX(LE_Curves!$E$5:$E$205,MATCH($R68,LE_Curves!$E$5:$E$205,1)))*(INDEX(LE_Curves!$B$5:$B$205,MATCH($R68,LE_Curves!$E$5:$E$205,1)+1)-INDEX(LE_Curves!$B$5:$B$205,MATCH($R68,LE_Curves!$E$5:$E$205,1)))/(INDEX(LE_Curves!$E$5:$E$205,MATCH($R68,LE_Curves!$E$5:$E$205,1)+1)-INDEX(LE_Curves!$E$5:$E$205,MATCH($R68,LE_Curves!$E$5:$E$205,1))))))</f>
        <v/>
      </c>
      <c r="V68" s="11">
        <f>IF(Inputs!$D$26=0,0,IF($R68&lt;=Inputs!$C$26,0,IF($R68&gt;=INDEX(LE_Curves!$F$5:$F$205,201),INDEX(LE_Curves!$B$5:$B$205,201),INDEX(LE_Curves!$B$5:$B$205,MATCH($R68,LE_Curves!$F$5:$F$205,1))+($R68-INDEX(LE_Curves!$F$5:$F$205,MATCH($R68,LE_Curves!$F$5:$F$205,1)))*(INDEX(LE_Curves!$B$5:$B$205,MATCH($R68,LE_Curves!$F$5:$F$205,1)+1)-INDEX(LE_Curves!$B$5:$B$205,MATCH($R68,LE_Curves!$F$5:$F$205,1)))/(INDEX(LE_Curves!$F$5:$F$205,MATCH($R68,LE_Curves!$F$5:$F$205,1)+1)-INDEX(LE_Curves!$F$5:$F$205,MATCH($R68,LE_Curves!$F$5:$F$205,1))))))</f>
        <v/>
      </c>
      <c r="W68" s="11">
        <f>IF(Inputs!$D$27=0,0,IF($R68&lt;=Inputs!$C$27,0,IF($R68&gt;=INDEX(LE_Curves!$G$5:$G$205,201),INDEX(LE_Curves!$B$5:$B$205,201),INDEX(LE_Curves!$B$5:$B$205,MATCH($R68,LE_Curves!$G$5:$G$205,1))+($R68-INDEX(LE_Curves!$G$5:$G$205,MATCH($R68,LE_Curves!$G$5:$G$205,1)))*(INDEX(LE_Curves!$B$5:$B$205,MATCH($R68,LE_Curves!$G$5:$G$205,1)+1)-INDEX(LE_Curves!$B$5:$B$205,MATCH($R68,LE_Curves!$G$5:$G$205,1)))/(INDEX(LE_Curves!$G$5:$G$205,MATCH($R68,LE_Curves!$G$5:$G$205,1)+1)-INDEX(LE_Curves!$G$5:$G$205,MATCH($R68,LE_Curves!$G$5:$G$205,1))))))</f>
        <v/>
      </c>
      <c r="X68" s="11">
        <f>IF(Inputs!$D$28=0,0,IF($R68&lt;=Inputs!$C$28,0,IF($R68&gt;=INDEX(LE_Curves!$H$5:$H$205,201),INDEX(LE_Curves!$B$5:$B$205,201),INDEX(LE_Curves!$B$5:$B$205,MATCH($R68,LE_Curves!$H$5:$H$205,1))+($R68-INDEX(LE_Curves!$H$5:$H$205,MATCH($R68,LE_Curves!$H$5:$H$205,1)))*(INDEX(LE_Curves!$B$5:$B$205,MATCH($R68,LE_Curves!$H$5:$H$205,1)+1)-INDEX(LE_Curves!$B$5:$B$205,MATCH($R68,LE_Curves!$H$5:$H$205,1)))/(INDEX(LE_Curves!$H$5:$H$205,MATCH($R68,LE_Curves!$H$5:$H$205,1)+1)-INDEX(LE_Curves!$H$5:$H$205,MATCH($R68,LE_Curves!$H$5:$H$205,1))))))</f>
        <v/>
      </c>
      <c r="Y68" s="11">
        <f>IF(Inputs!$D$29=0,0,IF($R68&lt;=Inputs!$C$29,0,IF($R68&gt;=INDEX(LE_Curves!$I$5:$I$205,201),INDEX(LE_Curves!$B$5:$B$205,201),INDEX(LE_Curves!$B$5:$B$205,MATCH($R68,LE_Curves!$I$5:$I$205,1))+($R68-INDEX(LE_Curves!$I$5:$I$205,MATCH($R68,LE_Curves!$I$5:$I$205,1)))*(INDEX(LE_Curves!$B$5:$B$205,MATCH($R68,LE_Curves!$I$5:$I$205,1)+1)-INDEX(LE_Curves!$B$5:$B$205,MATCH($R68,LE_Curves!$I$5:$I$205,1)))/(INDEX(LE_Curves!$I$5:$I$205,MATCH($R68,LE_Curves!$I$5:$I$205,1)+1)-INDEX(LE_Curves!$I$5:$I$205,MATCH($R68,LE_Curves!$I$5:$I$205,1))))))</f>
        <v/>
      </c>
      <c r="Z68" s="11">
        <f>IF(Inputs!$D$30=0,0,IF($R68&lt;=Inputs!$C$30,0,IF($R68&gt;=INDEX(LE_Curves!$J$5:$J$205,201),INDEX(LE_Curves!$B$5:$B$205,201),INDEX(LE_Curves!$B$5:$B$205,MATCH($R68,LE_Curves!$J$5:$J$205,1))+($R68-INDEX(LE_Curves!$J$5:$J$205,MATCH($R68,LE_Curves!$J$5:$J$205,1)))*(INDEX(LE_Curves!$B$5:$B$205,MATCH($R68,LE_Curves!$J$5:$J$205,1)+1)-INDEX(LE_Curves!$B$5:$B$205,MATCH($R68,LE_Curves!$J$5:$J$205,1)))/(INDEX(LE_Curves!$J$5:$J$205,MATCH($R68,LE_Curves!$J$5:$J$205,1)+1)-INDEX(LE_Curves!$J$5:$J$205,MATCH($R68,LE_Curves!$J$5:$J$205,1))))))</f>
        <v/>
      </c>
      <c r="AA68" s="11">
        <f>IF(Inputs!$D$31=0,0,IF($R68&lt;=Inputs!$C$31,0,IF($R68&gt;=INDEX(LE_Curves!$K$5:$K$205,201),INDEX(LE_Curves!$B$5:$B$205,201),INDEX(LE_Curves!$B$5:$B$205,MATCH($R68,LE_Curves!$K$5:$K$205,1))+($R68-INDEX(LE_Curves!$K$5:$K$205,MATCH($R68,LE_Curves!$K$5:$K$205,1)))*(INDEX(LE_Curves!$B$5:$B$205,MATCH($R68,LE_Curves!$K$5:$K$205,1)+1)-INDEX(LE_Curves!$B$5:$B$205,MATCH($R68,LE_Curves!$K$5:$K$205,1)))/(INDEX(LE_Curves!$K$5:$K$205,MATCH($R68,LE_Curves!$K$5:$K$205,1)+1)-INDEX(LE_Curves!$K$5:$K$205,MATCH($R68,LE_Curves!$K$5:$K$205,1))))))</f>
        <v/>
      </c>
      <c r="AB68" s="11">
        <f>IF(Inputs!$D$32=0,0,IF($R68&lt;=Inputs!$C$32,0,IF($R68&gt;=INDEX(LE_Curves!$L$5:$L$205,201),INDEX(LE_Curves!$B$5:$B$205,201),INDEX(LE_Curves!$B$5:$B$205,MATCH($R68,LE_Curves!$L$5:$L$205,1))+($R68-INDEX(LE_Curves!$L$5:$L$205,MATCH($R68,LE_Curves!$L$5:$L$205,1)))*(INDEX(LE_Curves!$B$5:$B$205,MATCH($R68,LE_Curves!$L$5:$L$205,1)+1)-INDEX(LE_Curves!$B$5:$B$205,MATCH($R68,LE_Curves!$L$5:$L$205,1)))/(INDEX(LE_Curves!$L$5:$L$205,MATCH($R68,LE_Curves!$L$5:$L$205,1)+1)-INDEX(LE_Curves!$L$5:$L$205,MATCH($R68,LE_Curves!$L$5:$L$205,1))))))</f>
        <v/>
      </c>
      <c r="AC68" s="11">
        <f>IF(Inputs!$D$33=0,0,IF($R68&lt;=Inputs!$C$33,0,IF($R68&gt;=INDEX(LE_Curves!$M$5:$M$205,201),INDEX(LE_Curves!$B$5:$B$205,201),INDEX(LE_Curves!$B$5:$B$205,MATCH($R68,LE_Curves!$M$5:$M$205,1))+($R68-INDEX(LE_Curves!$M$5:$M$205,MATCH($R68,LE_Curves!$M$5:$M$205,1)))*(INDEX(LE_Curves!$B$5:$B$205,MATCH($R68,LE_Curves!$M$5:$M$205,1)+1)-INDEX(LE_Curves!$B$5:$B$205,MATCH($R68,LE_Curves!$M$5:$M$205,1)))/(INDEX(LE_Curves!$M$5:$M$205,MATCH($R68,LE_Curves!$M$5:$M$205,1)+1)-INDEX(LE_Curves!$M$5:$M$205,MATCH($R68,LE_Curves!$M$5:$M$205,1))))))</f>
        <v/>
      </c>
      <c r="AD68" s="11">
        <f>IF(Inputs!$D$34=0,0,IF($R68&lt;=Inputs!$C$34,0,IF($R68&gt;=INDEX(LE_Curves!$N$5:$N$205,201),INDEX(LE_Curves!$B$5:$B$205,201),INDEX(LE_Curves!$B$5:$B$205,MATCH($R68,LE_Curves!$N$5:$N$205,1))+($R68-INDEX(LE_Curves!$N$5:$N$205,MATCH($R68,LE_Curves!$N$5:$N$205,1)))*(INDEX(LE_Curves!$B$5:$B$205,MATCH($R68,LE_Curves!$N$5:$N$205,1)+1)-INDEX(LE_Curves!$B$5:$B$205,MATCH($R68,LE_Curves!$N$5:$N$205,1)))/(INDEX(LE_Curves!$N$5:$N$205,MATCH($R68,LE_Curves!$N$5:$N$205,1)+1)-INDEX(LE_Curves!$N$5:$N$205,MATCH($R68,LE_Curves!$N$5:$N$205,1))))))</f>
        <v/>
      </c>
      <c r="AE68" s="37">
        <f>SUM(S68:AD68)</f>
        <v/>
      </c>
    </row>
    <row r="69">
      <c r="A69" s="7" t="n">
        <v>38</v>
      </c>
      <c r="B69" s="37">
        <f>$B$3+($B$4-$B$3)*A69/200</f>
        <v/>
      </c>
      <c r="C69" s="11">
        <f>IF(Inputs!$D$23=0,0,IF($B69&lt;=Inputs!$C$23,0,IF($B69&gt;=INDEX(LE_Curves!$C$5:$C$205,201),INDEX(LE_Curves!$B$5:$B$205,201),INDEX(LE_Curves!$B$5:$B$205,MATCH($B69,LE_Curves!$C$5:$C$205,1))+($B69-INDEX(LE_Curves!$C$5:$C$205,MATCH($B69,LE_Curves!$C$5:$C$205,1)))*(INDEX(LE_Curves!$B$5:$B$205,MATCH($B69,LE_Curves!$C$5:$C$205,1)+1)-INDEX(LE_Curves!$B$5:$B$205,MATCH($B69,LE_Curves!$C$5:$C$205,1)))/(INDEX(LE_Curves!$C$5:$C$205,MATCH($B69,LE_Curves!$C$5:$C$205,1)+1)-INDEX(LE_Curves!$C$5:$C$205,MATCH($B69,LE_Curves!$C$5:$C$205,1))))))</f>
        <v/>
      </c>
      <c r="D69" s="11">
        <f>IF(Inputs!$D$24=0,0,IF($B69&lt;=Inputs!$C$24,0,IF($B69&gt;=INDEX(LE_Curves!$D$5:$D$205,201),INDEX(LE_Curves!$B$5:$B$205,201),INDEX(LE_Curves!$B$5:$B$205,MATCH($B69,LE_Curves!$D$5:$D$205,1))+($B69-INDEX(LE_Curves!$D$5:$D$205,MATCH($B69,LE_Curves!$D$5:$D$205,1)))*(INDEX(LE_Curves!$B$5:$B$205,MATCH($B69,LE_Curves!$D$5:$D$205,1)+1)-INDEX(LE_Curves!$B$5:$B$205,MATCH($B69,LE_Curves!$D$5:$D$205,1)))/(INDEX(LE_Curves!$D$5:$D$205,MATCH($B69,LE_Curves!$D$5:$D$205,1)+1)-INDEX(LE_Curves!$D$5:$D$205,MATCH($B69,LE_Curves!$D$5:$D$205,1))))))</f>
        <v/>
      </c>
      <c r="E69" s="11">
        <f>IF(Inputs!$D$25=0,0,IF($B69&lt;=Inputs!$C$25,0,IF($B69&gt;=INDEX(LE_Curves!$E$5:$E$205,201),INDEX(LE_Curves!$B$5:$B$205,201),INDEX(LE_Curves!$B$5:$B$205,MATCH($B69,LE_Curves!$E$5:$E$205,1))+($B69-INDEX(LE_Curves!$E$5:$E$205,MATCH($B69,LE_Curves!$E$5:$E$205,1)))*(INDEX(LE_Curves!$B$5:$B$205,MATCH($B69,LE_Curves!$E$5:$E$205,1)+1)-INDEX(LE_Curves!$B$5:$B$205,MATCH($B69,LE_Curves!$E$5:$E$205,1)))/(INDEX(LE_Curves!$E$5:$E$205,MATCH($B69,LE_Curves!$E$5:$E$205,1)+1)-INDEX(LE_Curves!$E$5:$E$205,MATCH($B69,LE_Curves!$E$5:$E$205,1))))))</f>
        <v/>
      </c>
      <c r="F69" s="11">
        <f>IF(Inputs!$D$26=0,0,IF($B69&lt;=Inputs!$C$26,0,IF($B69&gt;=INDEX(LE_Curves!$F$5:$F$205,201),INDEX(LE_Curves!$B$5:$B$205,201),INDEX(LE_Curves!$B$5:$B$205,MATCH($B69,LE_Curves!$F$5:$F$205,1))+($B69-INDEX(LE_Curves!$F$5:$F$205,MATCH($B69,LE_Curves!$F$5:$F$205,1)))*(INDEX(LE_Curves!$B$5:$B$205,MATCH($B69,LE_Curves!$F$5:$F$205,1)+1)-INDEX(LE_Curves!$B$5:$B$205,MATCH($B69,LE_Curves!$F$5:$F$205,1)))/(INDEX(LE_Curves!$F$5:$F$205,MATCH($B69,LE_Curves!$F$5:$F$205,1)+1)-INDEX(LE_Curves!$F$5:$F$205,MATCH($B69,LE_Curves!$F$5:$F$205,1))))))</f>
        <v/>
      </c>
      <c r="G69" s="11">
        <f>IF(Inputs!$D$27=0,0,IF($B69&lt;=Inputs!$C$27,0,IF($B69&gt;=INDEX(LE_Curves!$G$5:$G$205,201),INDEX(LE_Curves!$B$5:$B$205,201),INDEX(LE_Curves!$B$5:$B$205,MATCH($B69,LE_Curves!$G$5:$G$205,1))+($B69-INDEX(LE_Curves!$G$5:$G$205,MATCH($B69,LE_Curves!$G$5:$G$205,1)))*(INDEX(LE_Curves!$B$5:$B$205,MATCH($B69,LE_Curves!$G$5:$G$205,1)+1)-INDEX(LE_Curves!$B$5:$B$205,MATCH($B69,LE_Curves!$G$5:$G$205,1)))/(INDEX(LE_Curves!$G$5:$G$205,MATCH($B69,LE_Curves!$G$5:$G$205,1)+1)-INDEX(LE_Curves!$G$5:$G$205,MATCH($B69,LE_Curves!$G$5:$G$205,1))))))</f>
        <v/>
      </c>
      <c r="H69" s="11">
        <f>IF(Inputs!$D$28=0,0,IF($B69&lt;=Inputs!$C$28,0,IF($B69&gt;=INDEX(LE_Curves!$H$5:$H$205,201),INDEX(LE_Curves!$B$5:$B$205,201),INDEX(LE_Curves!$B$5:$B$205,MATCH($B69,LE_Curves!$H$5:$H$205,1))+($B69-INDEX(LE_Curves!$H$5:$H$205,MATCH($B69,LE_Curves!$H$5:$H$205,1)))*(INDEX(LE_Curves!$B$5:$B$205,MATCH($B69,LE_Curves!$H$5:$H$205,1)+1)-INDEX(LE_Curves!$B$5:$B$205,MATCH($B69,LE_Curves!$H$5:$H$205,1)))/(INDEX(LE_Curves!$H$5:$H$205,MATCH($B69,LE_Curves!$H$5:$H$205,1)+1)-INDEX(LE_Curves!$H$5:$H$205,MATCH($B69,LE_Curves!$H$5:$H$205,1))))))</f>
        <v/>
      </c>
      <c r="I69" s="11">
        <f>IF(Inputs!$D$29=0,0,IF($B69&lt;=Inputs!$C$29,0,IF($B69&gt;=INDEX(LE_Curves!$I$5:$I$205,201),INDEX(LE_Curves!$B$5:$B$205,201),INDEX(LE_Curves!$B$5:$B$205,MATCH($B69,LE_Curves!$I$5:$I$205,1))+($B69-INDEX(LE_Curves!$I$5:$I$205,MATCH($B69,LE_Curves!$I$5:$I$205,1)))*(INDEX(LE_Curves!$B$5:$B$205,MATCH($B69,LE_Curves!$I$5:$I$205,1)+1)-INDEX(LE_Curves!$B$5:$B$205,MATCH($B69,LE_Curves!$I$5:$I$205,1)))/(INDEX(LE_Curves!$I$5:$I$205,MATCH($B69,LE_Curves!$I$5:$I$205,1)+1)-INDEX(LE_Curves!$I$5:$I$205,MATCH($B69,LE_Curves!$I$5:$I$205,1))))))</f>
        <v/>
      </c>
      <c r="J69" s="11">
        <f>IF(Inputs!$D$30=0,0,IF($B69&lt;=Inputs!$C$30,0,IF($B69&gt;=INDEX(LE_Curves!$J$5:$J$205,201),INDEX(LE_Curves!$B$5:$B$205,201),INDEX(LE_Curves!$B$5:$B$205,MATCH($B69,LE_Curves!$J$5:$J$205,1))+($B69-INDEX(LE_Curves!$J$5:$J$205,MATCH($B69,LE_Curves!$J$5:$J$205,1)))*(INDEX(LE_Curves!$B$5:$B$205,MATCH($B69,LE_Curves!$J$5:$J$205,1)+1)-INDEX(LE_Curves!$B$5:$B$205,MATCH($B69,LE_Curves!$J$5:$J$205,1)))/(INDEX(LE_Curves!$J$5:$J$205,MATCH($B69,LE_Curves!$J$5:$J$205,1)+1)-INDEX(LE_Curves!$J$5:$J$205,MATCH($B69,LE_Curves!$J$5:$J$205,1))))))</f>
        <v/>
      </c>
      <c r="K69" s="11">
        <f>IF(Inputs!$D$31=0,0,IF($B69&lt;=Inputs!$C$31,0,IF($B69&gt;=INDEX(LE_Curves!$K$5:$K$205,201),INDEX(LE_Curves!$B$5:$B$205,201),INDEX(LE_Curves!$B$5:$B$205,MATCH($B69,LE_Curves!$K$5:$K$205,1))+($B69-INDEX(LE_Curves!$K$5:$K$205,MATCH($B69,LE_Curves!$K$5:$K$205,1)))*(INDEX(LE_Curves!$B$5:$B$205,MATCH($B69,LE_Curves!$K$5:$K$205,1)+1)-INDEX(LE_Curves!$B$5:$B$205,MATCH($B69,LE_Curves!$K$5:$K$205,1)))/(INDEX(LE_Curves!$K$5:$K$205,MATCH($B69,LE_Curves!$K$5:$K$205,1)+1)-INDEX(LE_Curves!$K$5:$K$205,MATCH($B69,LE_Curves!$K$5:$K$205,1))))))</f>
        <v/>
      </c>
      <c r="L69" s="11">
        <f>IF(Inputs!$D$32=0,0,IF($B69&lt;=Inputs!$C$32,0,IF($B69&gt;=INDEX(LE_Curves!$L$5:$L$205,201),INDEX(LE_Curves!$B$5:$B$205,201),INDEX(LE_Curves!$B$5:$B$205,MATCH($B69,LE_Curves!$L$5:$L$205,1))+($B69-INDEX(LE_Curves!$L$5:$L$205,MATCH($B69,LE_Curves!$L$5:$L$205,1)))*(INDEX(LE_Curves!$B$5:$B$205,MATCH($B69,LE_Curves!$L$5:$L$205,1)+1)-INDEX(LE_Curves!$B$5:$B$205,MATCH($B69,LE_Curves!$L$5:$L$205,1)))/(INDEX(LE_Curves!$L$5:$L$205,MATCH($B69,LE_Curves!$L$5:$L$205,1)+1)-INDEX(LE_Curves!$L$5:$L$205,MATCH($B69,LE_Curves!$L$5:$L$205,1))))))</f>
        <v/>
      </c>
      <c r="M69" s="11">
        <f>IF(Inputs!$D$33=0,0,IF($B69&lt;=Inputs!$C$33,0,IF($B69&gt;=INDEX(LE_Curves!$M$5:$M$205,201),INDEX(LE_Curves!$B$5:$B$205,201),INDEX(LE_Curves!$B$5:$B$205,MATCH($B69,LE_Curves!$M$5:$M$205,1))+($B69-INDEX(LE_Curves!$M$5:$M$205,MATCH($B69,LE_Curves!$M$5:$M$205,1)))*(INDEX(LE_Curves!$B$5:$B$205,MATCH($B69,LE_Curves!$M$5:$M$205,1)+1)-INDEX(LE_Curves!$B$5:$B$205,MATCH($B69,LE_Curves!$M$5:$M$205,1)))/(INDEX(LE_Curves!$M$5:$M$205,MATCH($B69,LE_Curves!$M$5:$M$205,1)+1)-INDEX(LE_Curves!$M$5:$M$205,MATCH($B69,LE_Curves!$M$5:$M$205,1))))))</f>
        <v/>
      </c>
      <c r="N69" s="11">
        <f>IF(Inputs!$D$34=0,0,IF($B69&lt;=Inputs!$C$34,0,IF($B69&gt;=INDEX(LE_Curves!$N$5:$N$205,201),INDEX(LE_Curves!$B$5:$B$205,201),INDEX(LE_Curves!$B$5:$B$205,MATCH($B69,LE_Curves!$N$5:$N$205,1))+($B69-INDEX(LE_Curves!$N$5:$N$205,MATCH($B69,LE_Curves!$N$5:$N$205,1)))*(INDEX(LE_Curves!$B$5:$B$205,MATCH($B69,LE_Curves!$N$5:$N$205,1)+1)-INDEX(LE_Curves!$B$5:$B$205,MATCH($B69,LE_Curves!$N$5:$N$205,1)))/(INDEX(LE_Curves!$N$5:$N$205,MATCH($B69,LE_Curves!$N$5:$N$205,1)+1)-INDEX(LE_Curves!$N$5:$N$205,MATCH($B69,LE_Curves!$N$5:$N$205,1))))))</f>
        <v/>
      </c>
      <c r="O69" s="11">
        <f>SUM(C69:N69)</f>
        <v/>
      </c>
      <c r="Q69" s="7" t="n">
        <v>38</v>
      </c>
      <c r="R69" s="23">
        <f>$B$6+($B$7-$B$6)*Q69/200</f>
        <v/>
      </c>
      <c r="S69" s="11">
        <f>IF(Inputs!$D$23=0,0,IF($R69&lt;=Inputs!$C$23,0,IF($R69&gt;=INDEX(LE_Curves!$C$5:$C$205,201),INDEX(LE_Curves!$B$5:$B$205,201),INDEX(LE_Curves!$B$5:$B$205,MATCH($R69,LE_Curves!$C$5:$C$205,1))+($R69-INDEX(LE_Curves!$C$5:$C$205,MATCH($R69,LE_Curves!$C$5:$C$205,1)))*(INDEX(LE_Curves!$B$5:$B$205,MATCH($R69,LE_Curves!$C$5:$C$205,1)+1)-INDEX(LE_Curves!$B$5:$B$205,MATCH($R69,LE_Curves!$C$5:$C$205,1)))/(INDEX(LE_Curves!$C$5:$C$205,MATCH($R69,LE_Curves!$C$5:$C$205,1)+1)-INDEX(LE_Curves!$C$5:$C$205,MATCH($R69,LE_Curves!$C$5:$C$205,1))))))</f>
        <v/>
      </c>
      <c r="T69" s="11">
        <f>IF(Inputs!$D$24=0,0,IF($R69&lt;=Inputs!$C$24,0,IF($R69&gt;=INDEX(LE_Curves!$D$5:$D$205,201),INDEX(LE_Curves!$B$5:$B$205,201),INDEX(LE_Curves!$B$5:$B$205,MATCH($R69,LE_Curves!$D$5:$D$205,1))+($R69-INDEX(LE_Curves!$D$5:$D$205,MATCH($R69,LE_Curves!$D$5:$D$205,1)))*(INDEX(LE_Curves!$B$5:$B$205,MATCH($R69,LE_Curves!$D$5:$D$205,1)+1)-INDEX(LE_Curves!$B$5:$B$205,MATCH($R69,LE_Curves!$D$5:$D$205,1)))/(INDEX(LE_Curves!$D$5:$D$205,MATCH($R69,LE_Curves!$D$5:$D$205,1)+1)-INDEX(LE_Curves!$D$5:$D$205,MATCH($R69,LE_Curves!$D$5:$D$205,1))))))</f>
        <v/>
      </c>
      <c r="U69" s="11">
        <f>IF(Inputs!$D$25=0,0,IF($R69&lt;=Inputs!$C$25,0,IF($R69&gt;=INDEX(LE_Curves!$E$5:$E$205,201),INDEX(LE_Curves!$B$5:$B$205,201),INDEX(LE_Curves!$B$5:$B$205,MATCH($R69,LE_Curves!$E$5:$E$205,1))+($R69-INDEX(LE_Curves!$E$5:$E$205,MATCH($R69,LE_Curves!$E$5:$E$205,1)))*(INDEX(LE_Curves!$B$5:$B$205,MATCH($R69,LE_Curves!$E$5:$E$205,1)+1)-INDEX(LE_Curves!$B$5:$B$205,MATCH($R69,LE_Curves!$E$5:$E$205,1)))/(INDEX(LE_Curves!$E$5:$E$205,MATCH($R69,LE_Curves!$E$5:$E$205,1)+1)-INDEX(LE_Curves!$E$5:$E$205,MATCH($R69,LE_Curves!$E$5:$E$205,1))))))</f>
        <v/>
      </c>
      <c r="V69" s="11">
        <f>IF(Inputs!$D$26=0,0,IF($R69&lt;=Inputs!$C$26,0,IF($R69&gt;=INDEX(LE_Curves!$F$5:$F$205,201),INDEX(LE_Curves!$B$5:$B$205,201),INDEX(LE_Curves!$B$5:$B$205,MATCH($R69,LE_Curves!$F$5:$F$205,1))+($R69-INDEX(LE_Curves!$F$5:$F$205,MATCH($R69,LE_Curves!$F$5:$F$205,1)))*(INDEX(LE_Curves!$B$5:$B$205,MATCH($R69,LE_Curves!$F$5:$F$205,1)+1)-INDEX(LE_Curves!$B$5:$B$205,MATCH($R69,LE_Curves!$F$5:$F$205,1)))/(INDEX(LE_Curves!$F$5:$F$205,MATCH($R69,LE_Curves!$F$5:$F$205,1)+1)-INDEX(LE_Curves!$F$5:$F$205,MATCH($R69,LE_Curves!$F$5:$F$205,1))))))</f>
        <v/>
      </c>
      <c r="W69" s="11">
        <f>IF(Inputs!$D$27=0,0,IF($R69&lt;=Inputs!$C$27,0,IF($R69&gt;=INDEX(LE_Curves!$G$5:$G$205,201),INDEX(LE_Curves!$B$5:$B$205,201),INDEX(LE_Curves!$B$5:$B$205,MATCH($R69,LE_Curves!$G$5:$G$205,1))+($R69-INDEX(LE_Curves!$G$5:$G$205,MATCH($R69,LE_Curves!$G$5:$G$205,1)))*(INDEX(LE_Curves!$B$5:$B$205,MATCH($R69,LE_Curves!$G$5:$G$205,1)+1)-INDEX(LE_Curves!$B$5:$B$205,MATCH($R69,LE_Curves!$G$5:$G$205,1)))/(INDEX(LE_Curves!$G$5:$G$205,MATCH($R69,LE_Curves!$G$5:$G$205,1)+1)-INDEX(LE_Curves!$G$5:$G$205,MATCH($R69,LE_Curves!$G$5:$G$205,1))))))</f>
        <v/>
      </c>
      <c r="X69" s="11">
        <f>IF(Inputs!$D$28=0,0,IF($R69&lt;=Inputs!$C$28,0,IF($R69&gt;=INDEX(LE_Curves!$H$5:$H$205,201),INDEX(LE_Curves!$B$5:$B$205,201),INDEX(LE_Curves!$B$5:$B$205,MATCH($R69,LE_Curves!$H$5:$H$205,1))+($R69-INDEX(LE_Curves!$H$5:$H$205,MATCH($R69,LE_Curves!$H$5:$H$205,1)))*(INDEX(LE_Curves!$B$5:$B$205,MATCH($R69,LE_Curves!$H$5:$H$205,1)+1)-INDEX(LE_Curves!$B$5:$B$205,MATCH($R69,LE_Curves!$H$5:$H$205,1)))/(INDEX(LE_Curves!$H$5:$H$205,MATCH($R69,LE_Curves!$H$5:$H$205,1)+1)-INDEX(LE_Curves!$H$5:$H$205,MATCH($R69,LE_Curves!$H$5:$H$205,1))))))</f>
        <v/>
      </c>
      <c r="Y69" s="11">
        <f>IF(Inputs!$D$29=0,0,IF($R69&lt;=Inputs!$C$29,0,IF($R69&gt;=INDEX(LE_Curves!$I$5:$I$205,201),INDEX(LE_Curves!$B$5:$B$205,201),INDEX(LE_Curves!$B$5:$B$205,MATCH($R69,LE_Curves!$I$5:$I$205,1))+($R69-INDEX(LE_Curves!$I$5:$I$205,MATCH($R69,LE_Curves!$I$5:$I$205,1)))*(INDEX(LE_Curves!$B$5:$B$205,MATCH($R69,LE_Curves!$I$5:$I$205,1)+1)-INDEX(LE_Curves!$B$5:$B$205,MATCH($R69,LE_Curves!$I$5:$I$205,1)))/(INDEX(LE_Curves!$I$5:$I$205,MATCH($R69,LE_Curves!$I$5:$I$205,1)+1)-INDEX(LE_Curves!$I$5:$I$205,MATCH($R69,LE_Curves!$I$5:$I$205,1))))))</f>
        <v/>
      </c>
      <c r="Z69" s="11">
        <f>IF(Inputs!$D$30=0,0,IF($R69&lt;=Inputs!$C$30,0,IF($R69&gt;=INDEX(LE_Curves!$J$5:$J$205,201),INDEX(LE_Curves!$B$5:$B$205,201),INDEX(LE_Curves!$B$5:$B$205,MATCH($R69,LE_Curves!$J$5:$J$205,1))+($R69-INDEX(LE_Curves!$J$5:$J$205,MATCH($R69,LE_Curves!$J$5:$J$205,1)))*(INDEX(LE_Curves!$B$5:$B$205,MATCH($R69,LE_Curves!$J$5:$J$205,1)+1)-INDEX(LE_Curves!$B$5:$B$205,MATCH($R69,LE_Curves!$J$5:$J$205,1)))/(INDEX(LE_Curves!$J$5:$J$205,MATCH($R69,LE_Curves!$J$5:$J$205,1)+1)-INDEX(LE_Curves!$J$5:$J$205,MATCH($R69,LE_Curves!$J$5:$J$205,1))))))</f>
        <v/>
      </c>
      <c r="AA69" s="11">
        <f>IF(Inputs!$D$31=0,0,IF($R69&lt;=Inputs!$C$31,0,IF($R69&gt;=INDEX(LE_Curves!$K$5:$K$205,201),INDEX(LE_Curves!$B$5:$B$205,201),INDEX(LE_Curves!$B$5:$B$205,MATCH($R69,LE_Curves!$K$5:$K$205,1))+($R69-INDEX(LE_Curves!$K$5:$K$205,MATCH($R69,LE_Curves!$K$5:$K$205,1)))*(INDEX(LE_Curves!$B$5:$B$205,MATCH($R69,LE_Curves!$K$5:$K$205,1)+1)-INDEX(LE_Curves!$B$5:$B$205,MATCH($R69,LE_Curves!$K$5:$K$205,1)))/(INDEX(LE_Curves!$K$5:$K$205,MATCH($R69,LE_Curves!$K$5:$K$205,1)+1)-INDEX(LE_Curves!$K$5:$K$205,MATCH($R69,LE_Curves!$K$5:$K$205,1))))))</f>
        <v/>
      </c>
      <c r="AB69" s="11">
        <f>IF(Inputs!$D$32=0,0,IF($R69&lt;=Inputs!$C$32,0,IF($R69&gt;=INDEX(LE_Curves!$L$5:$L$205,201),INDEX(LE_Curves!$B$5:$B$205,201),INDEX(LE_Curves!$B$5:$B$205,MATCH($R69,LE_Curves!$L$5:$L$205,1))+($R69-INDEX(LE_Curves!$L$5:$L$205,MATCH($R69,LE_Curves!$L$5:$L$205,1)))*(INDEX(LE_Curves!$B$5:$B$205,MATCH($R69,LE_Curves!$L$5:$L$205,1)+1)-INDEX(LE_Curves!$B$5:$B$205,MATCH($R69,LE_Curves!$L$5:$L$205,1)))/(INDEX(LE_Curves!$L$5:$L$205,MATCH($R69,LE_Curves!$L$5:$L$205,1)+1)-INDEX(LE_Curves!$L$5:$L$205,MATCH($R69,LE_Curves!$L$5:$L$205,1))))))</f>
        <v/>
      </c>
      <c r="AC69" s="11">
        <f>IF(Inputs!$D$33=0,0,IF($R69&lt;=Inputs!$C$33,0,IF($R69&gt;=INDEX(LE_Curves!$M$5:$M$205,201),INDEX(LE_Curves!$B$5:$B$205,201),INDEX(LE_Curves!$B$5:$B$205,MATCH($R69,LE_Curves!$M$5:$M$205,1))+($R69-INDEX(LE_Curves!$M$5:$M$205,MATCH($R69,LE_Curves!$M$5:$M$205,1)))*(INDEX(LE_Curves!$B$5:$B$205,MATCH($R69,LE_Curves!$M$5:$M$205,1)+1)-INDEX(LE_Curves!$B$5:$B$205,MATCH($R69,LE_Curves!$M$5:$M$205,1)))/(INDEX(LE_Curves!$M$5:$M$205,MATCH($R69,LE_Curves!$M$5:$M$205,1)+1)-INDEX(LE_Curves!$M$5:$M$205,MATCH($R69,LE_Curves!$M$5:$M$205,1))))))</f>
        <v/>
      </c>
      <c r="AD69" s="11">
        <f>IF(Inputs!$D$34=0,0,IF($R69&lt;=Inputs!$C$34,0,IF($R69&gt;=INDEX(LE_Curves!$N$5:$N$205,201),INDEX(LE_Curves!$B$5:$B$205,201),INDEX(LE_Curves!$B$5:$B$205,MATCH($R69,LE_Curves!$N$5:$N$205,1))+($R69-INDEX(LE_Curves!$N$5:$N$205,MATCH($R69,LE_Curves!$N$5:$N$205,1)))*(INDEX(LE_Curves!$B$5:$B$205,MATCH($R69,LE_Curves!$N$5:$N$205,1)+1)-INDEX(LE_Curves!$B$5:$B$205,MATCH($R69,LE_Curves!$N$5:$N$205,1)))/(INDEX(LE_Curves!$N$5:$N$205,MATCH($R69,LE_Curves!$N$5:$N$205,1)+1)-INDEX(LE_Curves!$N$5:$N$205,MATCH($R69,LE_Curves!$N$5:$N$205,1))))))</f>
        <v/>
      </c>
      <c r="AE69" s="37">
        <f>SUM(S69:AD69)</f>
        <v/>
      </c>
    </row>
    <row r="70">
      <c r="A70" s="7" t="n">
        <v>39</v>
      </c>
      <c r="B70" s="37">
        <f>$B$3+($B$4-$B$3)*A70/200</f>
        <v/>
      </c>
      <c r="C70" s="11">
        <f>IF(Inputs!$D$23=0,0,IF($B70&lt;=Inputs!$C$23,0,IF($B70&gt;=INDEX(LE_Curves!$C$5:$C$205,201),INDEX(LE_Curves!$B$5:$B$205,201),INDEX(LE_Curves!$B$5:$B$205,MATCH($B70,LE_Curves!$C$5:$C$205,1))+($B70-INDEX(LE_Curves!$C$5:$C$205,MATCH($B70,LE_Curves!$C$5:$C$205,1)))*(INDEX(LE_Curves!$B$5:$B$205,MATCH($B70,LE_Curves!$C$5:$C$205,1)+1)-INDEX(LE_Curves!$B$5:$B$205,MATCH($B70,LE_Curves!$C$5:$C$205,1)))/(INDEX(LE_Curves!$C$5:$C$205,MATCH($B70,LE_Curves!$C$5:$C$205,1)+1)-INDEX(LE_Curves!$C$5:$C$205,MATCH($B70,LE_Curves!$C$5:$C$205,1))))))</f>
        <v/>
      </c>
      <c r="D70" s="11">
        <f>IF(Inputs!$D$24=0,0,IF($B70&lt;=Inputs!$C$24,0,IF($B70&gt;=INDEX(LE_Curves!$D$5:$D$205,201),INDEX(LE_Curves!$B$5:$B$205,201),INDEX(LE_Curves!$B$5:$B$205,MATCH($B70,LE_Curves!$D$5:$D$205,1))+($B70-INDEX(LE_Curves!$D$5:$D$205,MATCH($B70,LE_Curves!$D$5:$D$205,1)))*(INDEX(LE_Curves!$B$5:$B$205,MATCH($B70,LE_Curves!$D$5:$D$205,1)+1)-INDEX(LE_Curves!$B$5:$B$205,MATCH($B70,LE_Curves!$D$5:$D$205,1)))/(INDEX(LE_Curves!$D$5:$D$205,MATCH($B70,LE_Curves!$D$5:$D$205,1)+1)-INDEX(LE_Curves!$D$5:$D$205,MATCH($B70,LE_Curves!$D$5:$D$205,1))))))</f>
        <v/>
      </c>
      <c r="E70" s="11">
        <f>IF(Inputs!$D$25=0,0,IF($B70&lt;=Inputs!$C$25,0,IF($B70&gt;=INDEX(LE_Curves!$E$5:$E$205,201),INDEX(LE_Curves!$B$5:$B$205,201),INDEX(LE_Curves!$B$5:$B$205,MATCH($B70,LE_Curves!$E$5:$E$205,1))+($B70-INDEX(LE_Curves!$E$5:$E$205,MATCH($B70,LE_Curves!$E$5:$E$205,1)))*(INDEX(LE_Curves!$B$5:$B$205,MATCH($B70,LE_Curves!$E$5:$E$205,1)+1)-INDEX(LE_Curves!$B$5:$B$205,MATCH($B70,LE_Curves!$E$5:$E$205,1)))/(INDEX(LE_Curves!$E$5:$E$205,MATCH($B70,LE_Curves!$E$5:$E$205,1)+1)-INDEX(LE_Curves!$E$5:$E$205,MATCH($B70,LE_Curves!$E$5:$E$205,1))))))</f>
        <v/>
      </c>
      <c r="F70" s="11">
        <f>IF(Inputs!$D$26=0,0,IF($B70&lt;=Inputs!$C$26,0,IF($B70&gt;=INDEX(LE_Curves!$F$5:$F$205,201),INDEX(LE_Curves!$B$5:$B$205,201),INDEX(LE_Curves!$B$5:$B$205,MATCH($B70,LE_Curves!$F$5:$F$205,1))+($B70-INDEX(LE_Curves!$F$5:$F$205,MATCH($B70,LE_Curves!$F$5:$F$205,1)))*(INDEX(LE_Curves!$B$5:$B$205,MATCH($B70,LE_Curves!$F$5:$F$205,1)+1)-INDEX(LE_Curves!$B$5:$B$205,MATCH($B70,LE_Curves!$F$5:$F$205,1)))/(INDEX(LE_Curves!$F$5:$F$205,MATCH($B70,LE_Curves!$F$5:$F$205,1)+1)-INDEX(LE_Curves!$F$5:$F$205,MATCH($B70,LE_Curves!$F$5:$F$205,1))))))</f>
        <v/>
      </c>
      <c r="G70" s="11">
        <f>IF(Inputs!$D$27=0,0,IF($B70&lt;=Inputs!$C$27,0,IF($B70&gt;=INDEX(LE_Curves!$G$5:$G$205,201),INDEX(LE_Curves!$B$5:$B$205,201),INDEX(LE_Curves!$B$5:$B$205,MATCH($B70,LE_Curves!$G$5:$G$205,1))+($B70-INDEX(LE_Curves!$G$5:$G$205,MATCH($B70,LE_Curves!$G$5:$G$205,1)))*(INDEX(LE_Curves!$B$5:$B$205,MATCH($B70,LE_Curves!$G$5:$G$205,1)+1)-INDEX(LE_Curves!$B$5:$B$205,MATCH($B70,LE_Curves!$G$5:$G$205,1)))/(INDEX(LE_Curves!$G$5:$G$205,MATCH($B70,LE_Curves!$G$5:$G$205,1)+1)-INDEX(LE_Curves!$G$5:$G$205,MATCH($B70,LE_Curves!$G$5:$G$205,1))))))</f>
        <v/>
      </c>
      <c r="H70" s="11">
        <f>IF(Inputs!$D$28=0,0,IF($B70&lt;=Inputs!$C$28,0,IF($B70&gt;=INDEX(LE_Curves!$H$5:$H$205,201),INDEX(LE_Curves!$B$5:$B$205,201),INDEX(LE_Curves!$B$5:$B$205,MATCH($B70,LE_Curves!$H$5:$H$205,1))+($B70-INDEX(LE_Curves!$H$5:$H$205,MATCH($B70,LE_Curves!$H$5:$H$205,1)))*(INDEX(LE_Curves!$B$5:$B$205,MATCH($B70,LE_Curves!$H$5:$H$205,1)+1)-INDEX(LE_Curves!$B$5:$B$205,MATCH($B70,LE_Curves!$H$5:$H$205,1)))/(INDEX(LE_Curves!$H$5:$H$205,MATCH($B70,LE_Curves!$H$5:$H$205,1)+1)-INDEX(LE_Curves!$H$5:$H$205,MATCH($B70,LE_Curves!$H$5:$H$205,1))))))</f>
        <v/>
      </c>
      <c r="I70" s="11">
        <f>IF(Inputs!$D$29=0,0,IF($B70&lt;=Inputs!$C$29,0,IF($B70&gt;=INDEX(LE_Curves!$I$5:$I$205,201),INDEX(LE_Curves!$B$5:$B$205,201),INDEX(LE_Curves!$B$5:$B$205,MATCH($B70,LE_Curves!$I$5:$I$205,1))+($B70-INDEX(LE_Curves!$I$5:$I$205,MATCH($B70,LE_Curves!$I$5:$I$205,1)))*(INDEX(LE_Curves!$B$5:$B$205,MATCH($B70,LE_Curves!$I$5:$I$205,1)+1)-INDEX(LE_Curves!$B$5:$B$205,MATCH($B70,LE_Curves!$I$5:$I$205,1)))/(INDEX(LE_Curves!$I$5:$I$205,MATCH($B70,LE_Curves!$I$5:$I$205,1)+1)-INDEX(LE_Curves!$I$5:$I$205,MATCH($B70,LE_Curves!$I$5:$I$205,1))))))</f>
        <v/>
      </c>
      <c r="J70" s="11">
        <f>IF(Inputs!$D$30=0,0,IF($B70&lt;=Inputs!$C$30,0,IF($B70&gt;=INDEX(LE_Curves!$J$5:$J$205,201),INDEX(LE_Curves!$B$5:$B$205,201),INDEX(LE_Curves!$B$5:$B$205,MATCH($B70,LE_Curves!$J$5:$J$205,1))+($B70-INDEX(LE_Curves!$J$5:$J$205,MATCH($B70,LE_Curves!$J$5:$J$205,1)))*(INDEX(LE_Curves!$B$5:$B$205,MATCH($B70,LE_Curves!$J$5:$J$205,1)+1)-INDEX(LE_Curves!$B$5:$B$205,MATCH($B70,LE_Curves!$J$5:$J$205,1)))/(INDEX(LE_Curves!$J$5:$J$205,MATCH($B70,LE_Curves!$J$5:$J$205,1)+1)-INDEX(LE_Curves!$J$5:$J$205,MATCH($B70,LE_Curves!$J$5:$J$205,1))))))</f>
        <v/>
      </c>
      <c r="K70" s="11">
        <f>IF(Inputs!$D$31=0,0,IF($B70&lt;=Inputs!$C$31,0,IF($B70&gt;=INDEX(LE_Curves!$K$5:$K$205,201),INDEX(LE_Curves!$B$5:$B$205,201),INDEX(LE_Curves!$B$5:$B$205,MATCH($B70,LE_Curves!$K$5:$K$205,1))+($B70-INDEX(LE_Curves!$K$5:$K$205,MATCH($B70,LE_Curves!$K$5:$K$205,1)))*(INDEX(LE_Curves!$B$5:$B$205,MATCH($B70,LE_Curves!$K$5:$K$205,1)+1)-INDEX(LE_Curves!$B$5:$B$205,MATCH($B70,LE_Curves!$K$5:$K$205,1)))/(INDEX(LE_Curves!$K$5:$K$205,MATCH($B70,LE_Curves!$K$5:$K$205,1)+1)-INDEX(LE_Curves!$K$5:$K$205,MATCH($B70,LE_Curves!$K$5:$K$205,1))))))</f>
        <v/>
      </c>
      <c r="L70" s="11">
        <f>IF(Inputs!$D$32=0,0,IF($B70&lt;=Inputs!$C$32,0,IF($B70&gt;=INDEX(LE_Curves!$L$5:$L$205,201),INDEX(LE_Curves!$B$5:$B$205,201),INDEX(LE_Curves!$B$5:$B$205,MATCH($B70,LE_Curves!$L$5:$L$205,1))+($B70-INDEX(LE_Curves!$L$5:$L$205,MATCH($B70,LE_Curves!$L$5:$L$205,1)))*(INDEX(LE_Curves!$B$5:$B$205,MATCH($B70,LE_Curves!$L$5:$L$205,1)+1)-INDEX(LE_Curves!$B$5:$B$205,MATCH($B70,LE_Curves!$L$5:$L$205,1)))/(INDEX(LE_Curves!$L$5:$L$205,MATCH($B70,LE_Curves!$L$5:$L$205,1)+1)-INDEX(LE_Curves!$L$5:$L$205,MATCH($B70,LE_Curves!$L$5:$L$205,1))))))</f>
        <v/>
      </c>
      <c r="M70" s="11">
        <f>IF(Inputs!$D$33=0,0,IF($B70&lt;=Inputs!$C$33,0,IF($B70&gt;=INDEX(LE_Curves!$M$5:$M$205,201),INDEX(LE_Curves!$B$5:$B$205,201),INDEX(LE_Curves!$B$5:$B$205,MATCH($B70,LE_Curves!$M$5:$M$205,1))+($B70-INDEX(LE_Curves!$M$5:$M$205,MATCH($B70,LE_Curves!$M$5:$M$205,1)))*(INDEX(LE_Curves!$B$5:$B$205,MATCH($B70,LE_Curves!$M$5:$M$205,1)+1)-INDEX(LE_Curves!$B$5:$B$205,MATCH($B70,LE_Curves!$M$5:$M$205,1)))/(INDEX(LE_Curves!$M$5:$M$205,MATCH($B70,LE_Curves!$M$5:$M$205,1)+1)-INDEX(LE_Curves!$M$5:$M$205,MATCH($B70,LE_Curves!$M$5:$M$205,1))))))</f>
        <v/>
      </c>
      <c r="N70" s="11">
        <f>IF(Inputs!$D$34=0,0,IF($B70&lt;=Inputs!$C$34,0,IF($B70&gt;=INDEX(LE_Curves!$N$5:$N$205,201),INDEX(LE_Curves!$B$5:$B$205,201),INDEX(LE_Curves!$B$5:$B$205,MATCH($B70,LE_Curves!$N$5:$N$205,1))+($B70-INDEX(LE_Curves!$N$5:$N$205,MATCH($B70,LE_Curves!$N$5:$N$205,1)))*(INDEX(LE_Curves!$B$5:$B$205,MATCH($B70,LE_Curves!$N$5:$N$205,1)+1)-INDEX(LE_Curves!$B$5:$B$205,MATCH($B70,LE_Curves!$N$5:$N$205,1)))/(INDEX(LE_Curves!$N$5:$N$205,MATCH($B70,LE_Curves!$N$5:$N$205,1)+1)-INDEX(LE_Curves!$N$5:$N$205,MATCH($B70,LE_Curves!$N$5:$N$205,1))))))</f>
        <v/>
      </c>
      <c r="O70" s="11">
        <f>SUM(C70:N70)</f>
        <v/>
      </c>
      <c r="Q70" s="7" t="n">
        <v>39</v>
      </c>
      <c r="R70" s="23">
        <f>$B$6+($B$7-$B$6)*Q70/200</f>
        <v/>
      </c>
      <c r="S70" s="11">
        <f>IF(Inputs!$D$23=0,0,IF($R70&lt;=Inputs!$C$23,0,IF($R70&gt;=INDEX(LE_Curves!$C$5:$C$205,201),INDEX(LE_Curves!$B$5:$B$205,201),INDEX(LE_Curves!$B$5:$B$205,MATCH($R70,LE_Curves!$C$5:$C$205,1))+($R70-INDEX(LE_Curves!$C$5:$C$205,MATCH($R70,LE_Curves!$C$5:$C$205,1)))*(INDEX(LE_Curves!$B$5:$B$205,MATCH($R70,LE_Curves!$C$5:$C$205,1)+1)-INDEX(LE_Curves!$B$5:$B$205,MATCH($R70,LE_Curves!$C$5:$C$205,1)))/(INDEX(LE_Curves!$C$5:$C$205,MATCH($R70,LE_Curves!$C$5:$C$205,1)+1)-INDEX(LE_Curves!$C$5:$C$205,MATCH($R70,LE_Curves!$C$5:$C$205,1))))))</f>
        <v/>
      </c>
      <c r="T70" s="11">
        <f>IF(Inputs!$D$24=0,0,IF($R70&lt;=Inputs!$C$24,0,IF($R70&gt;=INDEX(LE_Curves!$D$5:$D$205,201),INDEX(LE_Curves!$B$5:$B$205,201),INDEX(LE_Curves!$B$5:$B$205,MATCH($R70,LE_Curves!$D$5:$D$205,1))+($R70-INDEX(LE_Curves!$D$5:$D$205,MATCH($R70,LE_Curves!$D$5:$D$205,1)))*(INDEX(LE_Curves!$B$5:$B$205,MATCH($R70,LE_Curves!$D$5:$D$205,1)+1)-INDEX(LE_Curves!$B$5:$B$205,MATCH($R70,LE_Curves!$D$5:$D$205,1)))/(INDEX(LE_Curves!$D$5:$D$205,MATCH($R70,LE_Curves!$D$5:$D$205,1)+1)-INDEX(LE_Curves!$D$5:$D$205,MATCH($R70,LE_Curves!$D$5:$D$205,1))))))</f>
        <v/>
      </c>
      <c r="U70" s="11">
        <f>IF(Inputs!$D$25=0,0,IF($R70&lt;=Inputs!$C$25,0,IF($R70&gt;=INDEX(LE_Curves!$E$5:$E$205,201),INDEX(LE_Curves!$B$5:$B$205,201),INDEX(LE_Curves!$B$5:$B$205,MATCH($R70,LE_Curves!$E$5:$E$205,1))+($R70-INDEX(LE_Curves!$E$5:$E$205,MATCH($R70,LE_Curves!$E$5:$E$205,1)))*(INDEX(LE_Curves!$B$5:$B$205,MATCH($R70,LE_Curves!$E$5:$E$205,1)+1)-INDEX(LE_Curves!$B$5:$B$205,MATCH($R70,LE_Curves!$E$5:$E$205,1)))/(INDEX(LE_Curves!$E$5:$E$205,MATCH($R70,LE_Curves!$E$5:$E$205,1)+1)-INDEX(LE_Curves!$E$5:$E$205,MATCH($R70,LE_Curves!$E$5:$E$205,1))))))</f>
        <v/>
      </c>
      <c r="V70" s="11">
        <f>IF(Inputs!$D$26=0,0,IF($R70&lt;=Inputs!$C$26,0,IF($R70&gt;=INDEX(LE_Curves!$F$5:$F$205,201),INDEX(LE_Curves!$B$5:$B$205,201),INDEX(LE_Curves!$B$5:$B$205,MATCH($R70,LE_Curves!$F$5:$F$205,1))+($R70-INDEX(LE_Curves!$F$5:$F$205,MATCH($R70,LE_Curves!$F$5:$F$205,1)))*(INDEX(LE_Curves!$B$5:$B$205,MATCH($R70,LE_Curves!$F$5:$F$205,1)+1)-INDEX(LE_Curves!$B$5:$B$205,MATCH($R70,LE_Curves!$F$5:$F$205,1)))/(INDEX(LE_Curves!$F$5:$F$205,MATCH($R70,LE_Curves!$F$5:$F$205,1)+1)-INDEX(LE_Curves!$F$5:$F$205,MATCH($R70,LE_Curves!$F$5:$F$205,1))))))</f>
        <v/>
      </c>
      <c r="W70" s="11">
        <f>IF(Inputs!$D$27=0,0,IF($R70&lt;=Inputs!$C$27,0,IF($R70&gt;=INDEX(LE_Curves!$G$5:$G$205,201),INDEX(LE_Curves!$B$5:$B$205,201),INDEX(LE_Curves!$B$5:$B$205,MATCH($R70,LE_Curves!$G$5:$G$205,1))+($R70-INDEX(LE_Curves!$G$5:$G$205,MATCH($R70,LE_Curves!$G$5:$G$205,1)))*(INDEX(LE_Curves!$B$5:$B$205,MATCH($R70,LE_Curves!$G$5:$G$205,1)+1)-INDEX(LE_Curves!$B$5:$B$205,MATCH($R70,LE_Curves!$G$5:$G$205,1)))/(INDEX(LE_Curves!$G$5:$G$205,MATCH($R70,LE_Curves!$G$5:$G$205,1)+1)-INDEX(LE_Curves!$G$5:$G$205,MATCH($R70,LE_Curves!$G$5:$G$205,1))))))</f>
        <v/>
      </c>
      <c r="X70" s="11">
        <f>IF(Inputs!$D$28=0,0,IF($R70&lt;=Inputs!$C$28,0,IF($R70&gt;=INDEX(LE_Curves!$H$5:$H$205,201),INDEX(LE_Curves!$B$5:$B$205,201),INDEX(LE_Curves!$B$5:$B$205,MATCH($R70,LE_Curves!$H$5:$H$205,1))+($R70-INDEX(LE_Curves!$H$5:$H$205,MATCH($R70,LE_Curves!$H$5:$H$205,1)))*(INDEX(LE_Curves!$B$5:$B$205,MATCH($R70,LE_Curves!$H$5:$H$205,1)+1)-INDEX(LE_Curves!$B$5:$B$205,MATCH($R70,LE_Curves!$H$5:$H$205,1)))/(INDEX(LE_Curves!$H$5:$H$205,MATCH($R70,LE_Curves!$H$5:$H$205,1)+1)-INDEX(LE_Curves!$H$5:$H$205,MATCH($R70,LE_Curves!$H$5:$H$205,1))))))</f>
        <v/>
      </c>
      <c r="Y70" s="11">
        <f>IF(Inputs!$D$29=0,0,IF($R70&lt;=Inputs!$C$29,0,IF($R70&gt;=INDEX(LE_Curves!$I$5:$I$205,201),INDEX(LE_Curves!$B$5:$B$205,201),INDEX(LE_Curves!$B$5:$B$205,MATCH($R70,LE_Curves!$I$5:$I$205,1))+($R70-INDEX(LE_Curves!$I$5:$I$205,MATCH($R70,LE_Curves!$I$5:$I$205,1)))*(INDEX(LE_Curves!$B$5:$B$205,MATCH($R70,LE_Curves!$I$5:$I$205,1)+1)-INDEX(LE_Curves!$B$5:$B$205,MATCH($R70,LE_Curves!$I$5:$I$205,1)))/(INDEX(LE_Curves!$I$5:$I$205,MATCH($R70,LE_Curves!$I$5:$I$205,1)+1)-INDEX(LE_Curves!$I$5:$I$205,MATCH($R70,LE_Curves!$I$5:$I$205,1))))))</f>
        <v/>
      </c>
      <c r="Z70" s="11">
        <f>IF(Inputs!$D$30=0,0,IF($R70&lt;=Inputs!$C$30,0,IF($R70&gt;=INDEX(LE_Curves!$J$5:$J$205,201),INDEX(LE_Curves!$B$5:$B$205,201),INDEX(LE_Curves!$B$5:$B$205,MATCH($R70,LE_Curves!$J$5:$J$205,1))+($R70-INDEX(LE_Curves!$J$5:$J$205,MATCH($R70,LE_Curves!$J$5:$J$205,1)))*(INDEX(LE_Curves!$B$5:$B$205,MATCH($R70,LE_Curves!$J$5:$J$205,1)+1)-INDEX(LE_Curves!$B$5:$B$205,MATCH($R70,LE_Curves!$J$5:$J$205,1)))/(INDEX(LE_Curves!$J$5:$J$205,MATCH($R70,LE_Curves!$J$5:$J$205,1)+1)-INDEX(LE_Curves!$J$5:$J$205,MATCH($R70,LE_Curves!$J$5:$J$205,1))))))</f>
        <v/>
      </c>
      <c r="AA70" s="11">
        <f>IF(Inputs!$D$31=0,0,IF($R70&lt;=Inputs!$C$31,0,IF($R70&gt;=INDEX(LE_Curves!$K$5:$K$205,201),INDEX(LE_Curves!$B$5:$B$205,201),INDEX(LE_Curves!$B$5:$B$205,MATCH($R70,LE_Curves!$K$5:$K$205,1))+($R70-INDEX(LE_Curves!$K$5:$K$205,MATCH($R70,LE_Curves!$K$5:$K$205,1)))*(INDEX(LE_Curves!$B$5:$B$205,MATCH($R70,LE_Curves!$K$5:$K$205,1)+1)-INDEX(LE_Curves!$B$5:$B$205,MATCH($R70,LE_Curves!$K$5:$K$205,1)))/(INDEX(LE_Curves!$K$5:$K$205,MATCH($R70,LE_Curves!$K$5:$K$205,1)+1)-INDEX(LE_Curves!$K$5:$K$205,MATCH($R70,LE_Curves!$K$5:$K$205,1))))))</f>
        <v/>
      </c>
      <c r="AB70" s="11">
        <f>IF(Inputs!$D$32=0,0,IF($R70&lt;=Inputs!$C$32,0,IF($R70&gt;=INDEX(LE_Curves!$L$5:$L$205,201),INDEX(LE_Curves!$B$5:$B$205,201),INDEX(LE_Curves!$B$5:$B$205,MATCH($R70,LE_Curves!$L$5:$L$205,1))+($R70-INDEX(LE_Curves!$L$5:$L$205,MATCH($R70,LE_Curves!$L$5:$L$205,1)))*(INDEX(LE_Curves!$B$5:$B$205,MATCH($R70,LE_Curves!$L$5:$L$205,1)+1)-INDEX(LE_Curves!$B$5:$B$205,MATCH($R70,LE_Curves!$L$5:$L$205,1)))/(INDEX(LE_Curves!$L$5:$L$205,MATCH($R70,LE_Curves!$L$5:$L$205,1)+1)-INDEX(LE_Curves!$L$5:$L$205,MATCH($R70,LE_Curves!$L$5:$L$205,1))))))</f>
        <v/>
      </c>
      <c r="AC70" s="11">
        <f>IF(Inputs!$D$33=0,0,IF($R70&lt;=Inputs!$C$33,0,IF($R70&gt;=INDEX(LE_Curves!$M$5:$M$205,201),INDEX(LE_Curves!$B$5:$B$205,201),INDEX(LE_Curves!$B$5:$B$205,MATCH($R70,LE_Curves!$M$5:$M$205,1))+($R70-INDEX(LE_Curves!$M$5:$M$205,MATCH($R70,LE_Curves!$M$5:$M$205,1)))*(INDEX(LE_Curves!$B$5:$B$205,MATCH($R70,LE_Curves!$M$5:$M$205,1)+1)-INDEX(LE_Curves!$B$5:$B$205,MATCH($R70,LE_Curves!$M$5:$M$205,1)))/(INDEX(LE_Curves!$M$5:$M$205,MATCH($R70,LE_Curves!$M$5:$M$205,1)+1)-INDEX(LE_Curves!$M$5:$M$205,MATCH($R70,LE_Curves!$M$5:$M$205,1))))))</f>
        <v/>
      </c>
      <c r="AD70" s="11">
        <f>IF(Inputs!$D$34=0,0,IF($R70&lt;=Inputs!$C$34,0,IF($R70&gt;=INDEX(LE_Curves!$N$5:$N$205,201),INDEX(LE_Curves!$B$5:$B$205,201),INDEX(LE_Curves!$B$5:$B$205,MATCH($R70,LE_Curves!$N$5:$N$205,1))+($R70-INDEX(LE_Curves!$N$5:$N$205,MATCH($R70,LE_Curves!$N$5:$N$205,1)))*(INDEX(LE_Curves!$B$5:$B$205,MATCH($R70,LE_Curves!$N$5:$N$205,1)+1)-INDEX(LE_Curves!$B$5:$B$205,MATCH($R70,LE_Curves!$N$5:$N$205,1)))/(INDEX(LE_Curves!$N$5:$N$205,MATCH($R70,LE_Curves!$N$5:$N$205,1)+1)-INDEX(LE_Curves!$N$5:$N$205,MATCH($R70,LE_Curves!$N$5:$N$205,1))))))</f>
        <v/>
      </c>
      <c r="AE70" s="37">
        <f>SUM(S70:AD70)</f>
        <v/>
      </c>
    </row>
    <row r="71">
      <c r="A71" s="7" t="n">
        <v>40</v>
      </c>
      <c r="B71" s="37">
        <f>$B$3+($B$4-$B$3)*A71/200</f>
        <v/>
      </c>
      <c r="C71" s="11">
        <f>IF(Inputs!$D$23=0,0,IF($B71&lt;=Inputs!$C$23,0,IF($B71&gt;=INDEX(LE_Curves!$C$5:$C$205,201),INDEX(LE_Curves!$B$5:$B$205,201),INDEX(LE_Curves!$B$5:$B$205,MATCH($B71,LE_Curves!$C$5:$C$205,1))+($B71-INDEX(LE_Curves!$C$5:$C$205,MATCH($B71,LE_Curves!$C$5:$C$205,1)))*(INDEX(LE_Curves!$B$5:$B$205,MATCH($B71,LE_Curves!$C$5:$C$205,1)+1)-INDEX(LE_Curves!$B$5:$B$205,MATCH($B71,LE_Curves!$C$5:$C$205,1)))/(INDEX(LE_Curves!$C$5:$C$205,MATCH($B71,LE_Curves!$C$5:$C$205,1)+1)-INDEX(LE_Curves!$C$5:$C$205,MATCH($B71,LE_Curves!$C$5:$C$205,1))))))</f>
        <v/>
      </c>
      <c r="D71" s="11">
        <f>IF(Inputs!$D$24=0,0,IF($B71&lt;=Inputs!$C$24,0,IF($B71&gt;=INDEX(LE_Curves!$D$5:$D$205,201),INDEX(LE_Curves!$B$5:$B$205,201),INDEX(LE_Curves!$B$5:$B$205,MATCH($B71,LE_Curves!$D$5:$D$205,1))+($B71-INDEX(LE_Curves!$D$5:$D$205,MATCH($B71,LE_Curves!$D$5:$D$205,1)))*(INDEX(LE_Curves!$B$5:$B$205,MATCH($B71,LE_Curves!$D$5:$D$205,1)+1)-INDEX(LE_Curves!$B$5:$B$205,MATCH($B71,LE_Curves!$D$5:$D$205,1)))/(INDEX(LE_Curves!$D$5:$D$205,MATCH($B71,LE_Curves!$D$5:$D$205,1)+1)-INDEX(LE_Curves!$D$5:$D$205,MATCH($B71,LE_Curves!$D$5:$D$205,1))))))</f>
        <v/>
      </c>
      <c r="E71" s="11">
        <f>IF(Inputs!$D$25=0,0,IF($B71&lt;=Inputs!$C$25,0,IF($B71&gt;=INDEX(LE_Curves!$E$5:$E$205,201),INDEX(LE_Curves!$B$5:$B$205,201),INDEX(LE_Curves!$B$5:$B$205,MATCH($B71,LE_Curves!$E$5:$E$205,1))+($B71-INDEX(LE_Curves!$E$5:$E$205,MATCH($B71,LE_Curves!$E$5:$E$205,1)))*(INDEX(LE_Curves!$B$5:$B$205,MATCH($B71,LE_Curves!$E$5:$E$205,1)+1)-INDEX(LE_Curves!$B$5:$B$205,MATCH($B71,LE_Curves!$E$5:$E$205,1)))/(INDEX(LE_Curves!$E$5:$E$205,MATCH($B71,LE_Curves!$E$5:$E$205,1)+1)-INDEX(LE_Curves!$E$5:$E$205,MATCH($B71,LE_Curves!$E$5:$E$205,1))))))</f>
        <v/>
      </c>
      <c r="F71" s="11">
        <f>IF(Inputs!$D$26=0,0,IF($B71&lt;=Inputs!$C$26,0,IF($B71&gt;=INDEX(LE_Curves!$F$5:$F$205,201),INDEX(LE_Curves!$B$5:$B$205,201),INDEX(LE_Curves!$B$5:$B$205,MATCH($B71,LE_Curves!$F$5:$F$205,1))+($B71-INDEX(LE_Curves!$F$5:$F$205,MATCH($B71,LE_Curves!$F$5:$F$205,1)))*(INDEX(LE_Curves!$B$5:$B$205,MATCH($B71,LE_Curves!$F$5:$F$205,1)+1)-INDEX(LE_Curves!$B$5:$B$205,MATCH($B71,LE_Curves!$F$5:$F$205,1)))/(INDEX(LE_Curves!$F$5:$F$205,MATCH($B71,LE_Curves!$F$5:$F$205,1)+1)-INDEX(LE_Curves!$F$5:$F$205,MATCH($B71,LE_Curves!$F$5:$F$205,1))))))</f>
        <v/>
      </c>
      <c r="G71" s="11">
        <f>IF(Inputs!$D$27=0,0,IF($B71&lt;=Inputs!$C$27,0,IF($B71&gt;=INDEX(LE_Curves!$G$5:$G$205,201),INDEX(LE_Curves!$B$5:$B$205,201),INDEX(LE_Curves!$B$5:$B$205,MATCH($B71,LE_Curves!$G$5:$G$205,1))+($B71-INDEX(LE_Curves!$G$5:$G$205,MATCH($B71,LE_Curves!$G$5:$G$205,1)))*(INDEX(LE_Curves!$B$5:$B$205,MATCH($B71,LE_Curves!$G$5:$G$205,1)+1)-INDEX(LE_Curves!$B$5:$B$205,MATCH($B71,LE_Curves!$G$5:$G$205,1)))/(INDEX(LE_Curves!$G$5:$G$205,MATCH($B71,LE_Curves!$G$5:$G$205,1)+1)-INDEX(LE_Curves!$G$5:$G$205,MATCH($B71,LE_Curves!$G$5:$G$205,1))))))</f>
        <v/>
      </c>
      <c r="H71" s="11">
        <f>IF(Inputs!$D$28=0,0,IF($B71&lt;=Inputs!$C$28,0,IF($B71&gt;=INDEX(LE_Curves!$H$5:$H$205,201),INDEX(LE_Curves!$B$5:$B$205,201),INDEX(LE_Curves!$B$5:$B$205,MATCH($B71,LE_Curves!$H$5:$H$205,1))+($B71-INDEX(LE_Curves!$H$5:$H$205,MATCH($B71,LE_Curves!$H$5:$H$205,1)))*(INDEX(LE_Curves!$B$5:$B$205,MATCH($B71,LE_Curves!$H$5:$H$205,1)+1)-INDEX(LE_Curves!$B$5:$B$205,MATCH($B71,LE_Curves!$H$5:$H$205,1)))/(INDEX(LE_Curves!$H$5:$H$205,MATCH($B71,LE_Curves!$H$5:$H$205,1)+1)-INDEX(LE_Curves!$H$5:$H$205,MATCH($B71,LE_Curves!$H$5:$H$205,1))))))</f>
        <v/>
      </c>
      <c r="I71" s="11">
        <f>IF(Inputs!$D$29=0,0,IF($B71&lt;=Inputs!$C$29,0,IF($B71&gt;=INDEX(LE_Curves!$I$5:$I$205,201),INDEX(LE_Curves!$B$5:$B$205,201),INDEX(LE_Curves!$B$5:$B$205,MATCH($B71,LE_Curves!$I$5:$I$205,1))+($B71-INDEX(LE_Curves!$I$5:$I$205,MATCH($B71,LE_Curves!$I$5:$I$205,1)))*(INDEX(LE_Curves!$B$5:$B$205,MATCH($B71,LE_Curves!$I$5:$I$205,1)+1)-INDEX(LE_Curves!$B$5:$B$205,MATCH($B71,LE_Curves!$I$5:$I$205,1)))/(INDEX(LE_Curves!$I$5:$I$205,MATCH($B71,LE_Curves!$I$5:$I$205,1)+1)-INDEX(LE_Curves!$I$5:$I$205,MATCH($B71,LE_Curves!$I$5:$I$205,1))))))</f>
        <v/>
      </c>
      <c r="J71" s="11">
        <f>IF(Inputs!$D$30=0,0,IF($B71&lt;=Inputs!$C$30,0,IF($B71&gt;=INDEX(LE_Curves!$J$5:$J$205,201),INDEX(LE_Curves!$B$5:$B$205,201),INDEX(LE_Curves!$B$5:$B$205,MATCH($B71,LE_Curves!$J$5:$J$205,1))+($B71-INDEX(LE_Curves!$J$5:$J$205,MATCH($B71,LE_Curves!$J$5:$J$205,1)))*(INDEX(LE_Curves!$B$5:$B$205,MATCH($B71,LE_Curves!$J$5:$J$205,1)+1)-INDEX(LE_Curves!$B$5:$B$205,MATCH($B71,LE_Curves!$J$5:$J$205,1)))/(INDEX(LE_Curves!$J$5:$J$205,MATCH($B71,LE_Curves!$J$5:$J$205,1)+1)-INDEX(LE_Curves!$J$5:$J$205,MATCH($B71,LE_Curves!$J$5:$J$205,1))))))</f>
        <v/>
      </c>
      <c r="K71" s="11">
        <f>IF(Inputs!$D$31=0,0,IF($B71&lt;=Inputs!$C$31,0,IF($B71&gt;=INDEX(LE_Curves!$K$5:$K$205,201),INDEX(LE_Curves!$B$5:$B$205,201),INDEX(LE_Curves!$B$5:$B$205,MATCH($B71,LE_Curves!$K$5:$K$205,1))+($B71-INDEX(LE_Curves!$K$5:$K$205,MATCH($B71,LE_Curves!$K$5:$K$205,1)))*(INDEX(LE_Curves!$B$5:$B$205,MATCH($B71,LE_Curves!$K$5:$K$205,1)+1)-INDEX(LE_Curves!$B$5:$B$205,MATCH($B71,LE_Curves!$K$5:$K$205,1)))/(INDEX(LE_Curves!$K$5:$K$205,MATCH($B71,LE_Curves!$K$5:$K$205,1)+1)-INDEX(LE_Curves!$K$5:$K$205,MATCH($B71,LE_Curves!$K$5:$K$205,1))))))</f>
        <v/>
      </c>
      <c r="L71" s="11">
        <f>IF(Inputs!$D$32=0,0,IF($B71&lt;=Inputs!$C$32,0,IF($B71&gt;=INDEX(LE_Curves!$L$5:$L$205,201),INDEX(LE_Curves!$B$5:$B$205,201),INDEX(LE_Curves!$B$5:$B$205,MATCH($B71,LE_Curves!$L$5:$L$205,1))+($B71-INDEX(LE_Curves!$L$5:$L$205,MATCH($B71,LE_Curves!$L$5:$L$205,1)))*(INDEX(LE_Curves!$B$5:$B$205,MATCH($B71,LE_Curves!$L$5:$L$205,1)+1)-INDEX(LE_Curves!$B$5:$B$205,MATCH($B71,LE_Curves!$L$5:$L$205,1)))/(INDEX(LE_Curves!$L$5:$L$205,MATCH($B71,LE_Curves!$L$5:$L$205,1)+1)-INDEX(LE_Curves!$L$5:$L$205,MATCH($B71,LE_Curves!$L$5:$L$205,1))))))</f>
        <v/>
      </c>
      <c r="M71" s="11">
        <f>IF(Inputs!$D$33=0,0,IF($B71&lt;=Inputs!$C$33,0,IF($B71&gt;=INDEX(LE_Curves!$M$5:$M$205,201),INDEX(LE_Curves!$B$5:$B$205,201),INDEX(LE_Curves!$B$5:$B$205,MATCH($B71,LE_Curves!$M$5:$M$205,1))+($B71-INDEX(LE_Curves!$M$5:$M$205,MATCH($B71,LE_Curves!$M$5:$M$205,1)))*(INDEX(LE_Curves!$B$5:$B$205,MATCH($B71,LE_Curves!$M$5:$M$205,1)+1)-INDEX(LE_Curves!$B$5:$B$205,MATCH($B71,LE_Curves!$M$5:$M$205,1)))/(INDEX(LE_Curves!$M$5:$M$205,MATCH($B71,LE_Curves!$M$5:$M$205,1)+1)-INDEX(LE_Curves!$M$5:$M$205,MATCH($B71,LE_Curves!$M$5:$M$205,1))))))</f>
        <v/>
      </c>
      <c r="N71" s="11">
        <f>IF(Inputs!$D$34=0,0,IF($B71&lt;=Inputs!$C$34,0,IF($B71&gt;=INDEX(LE_Curves!$N$5:$N$205,201),INDEX(LE_Curves!$B$5:$B$205,201),INDEX(LE_Curves!$B$5:$B$205,MATCH($B71,LE_Curves!$N$5:$N$205,1))+($B71-INDEX(LE_Curves!$N$5:$N$205,MATCH($B71,LE_Curves!$N$5:$N$205,1)))*(INDEX(LE_Curves!$B$5:$B$205,MATCH($B71,LE_Curves!$N$5:$N$205,1)+1)-INDEX(LE_Curves!$B$5:$B$205,MATCH($B71,LE_Curves!$N$5:$N$205,1)))/(INDEX(LE_Curves!$N$5:$N$205,MATCH($B71,LE_Curves!$N$5:$N$205,1)+1)-INDEX(LE_Curves!$N$5:$N$205,MATCH($B71,LE_Curves!$N$5:$N$205,1))))))</f>
        <v/>
      </c>
      <c r="O71" s="11">
        <f>SUM(C71:N71)</f>
        <v/>
      </c>
      <c r="Q71" s="7" t="n">
        <v>40</v>
      </c>
      <c r="R71" s="23">
        <f>$B$6+($B$7-$B$6)*Q71/200</f>
        <v/>
      </c>
      <c r="S71" s="11">
        <f>IF(Inputs!$D$23=0,0,IF($R71&lt;=Inputs!$C$23,0,IF($R71&gt;=INDEX(LE_Curves!$C$5:$C$205,201),INDEX(LE_Curves!$B$5:$B$205,201),INDEX(LE_Curves!$B$5:$B$205,MATCH($R71,LE_Curves!$C$5:$C$205,1))+($R71-INDEX(LE_Curves!$C$5:$C$205,MATCH($R71,LE_Curves!$C$5:$C$205,1)))*(INDEX(LE_Curves!$B$5:$B$205,MATCH($R71,LE_Curves!$C$5:$C$205,1)+1)-INDEX(LE_Curves!$B$5:$B$205,MATCH($R71,LE_Curves!$C$5:$C$205,1)))/(INDEX(LE_Curves!$C$5:$C$205,MATCH($R71,LE_Curves!$C$5:$C$205,1)+1)-INDEX(LE_Curves!$C$5:$C$205,MATCH($R71,LE_Curves!$C$5:$C$205,1))))))</f>
        <v/>
      </c>
      <c r="T71" s="11">
        <f>IF(Inputs!$D$24=0,0,IF($R71&lt;=Inputs!$C$24,0,IF($R71&gt;=INDEX(LE_Curves!$D$5:$D$205,201),INDEX(LE_Curves!$B$5:$B$205,201),INDEX(LE_Curves!$B$5:$B$205,MATCH($R71,LE_Curves!$D$5:$D$205,1))+($R71-INDEX(LE_Curves!$D$5:$D$205,MATCH($R71,LE_Curves!$D$5:$D$205,1)))*(INDEX(LE_Curves!$B$5:$B$205,MATCH($R71,LE_Curves!$D$5:$D$205,1)+1)-INDEX(LE_Curves!$B$5:$B$205,MATCH($R71,LE_Curves!$D$5:$D$205,1)))/(INDEX(LE_Curves!$D$5:$D$205,MATCH($R71,LE_Curves!$D$5:$D$205,1)+1)-INDEX(LE_Curves!$D$5:$D$205,MATCH($R71,LE_Curves!$D$5:$D$205,1))))))</f>
        <v/>
      </c>
      <c r="U71" s="11">
        <f>IF(Inputs!$D$25=0,0,IF($R71&lt;=Inputs!$C$25,0,IF($R71&gt;=INDEX(LE_Curves!$E$5:$E$205,201),INDEX(LE_Curves!$B$5:$B$205,201),INDEX(LE_Curves!$B$5:$B$205,MATCH($R71,LE_Curves!$E$5:$E$205,1))+($R71-INDEX(LE_Curves!$E$5:$E$205,MATCH($R71,LE_Curves!$E$5:$E$205,1)))*(INDEX(LE_Curves!$B$5:$B$205,MATCH($R71,LE_Curves!$E$5:$E$205,1)+1)-INDEX(LE_Curves!$B$5:$B$205,MATCH($R71,LE_Curves!$E$5:$E$205,1)))/(INDEX(LE_Curves!$E$5:$E$205,MATCH($R71,LE_Curves!$E$5:$E$205,1)+1)-INDEX(LE_Curves!$E$5:$E$205,MATCH($R71,LE_Curves!$E$5:$E$205,1))))))</f>
        <v/>
      </c>
      <c r="V71" s="11">
        <f>IF(Inputs!$D$26=0,0,IF($R71&lt;=Inputs!$C$26,0,IF($R71&gt;=INDEX(LE_Curves!$F$5:$F$205,201),INDEX(LE_Curves!$B$5:$B$205,201),INDEX(LE_Curves!$B$5:$B$205,MATCH($R71,LE_Curves!$F$5:$F$205,1))+($R71-INDEX(LE_Curves!$F$5:$F$205,MATCH($R71,LE_Curves!$F$5:$F$205,1)))*(INDEX(LE_Curves!$B$5:$B$205,MATCH($R71,LE_Curves!$F$5:$F$205,1)+1)-INDEX(LE_Curves!$B$5:$B$205,MATCH($R71,LE_Curves!$F$5:$F$205,1)))/(INDEX(LE_Curves!$F$5:$F$205,MATCH($R71,LE_Curves!$F$5:$F$205,1)+1)-INDEX(LE_Curves!$F$5:$F$205,MATCH($R71,LE_Curves!$F$5:$F$205,1))))))</f>
        <v/>
      </c>
      <c r="W71" s="11">
        <f>IF(Inputs!$D$27=0,0,IF($R71&lt;=Inputs!$C$27,0,IF($R71&gt;=INDEX(LE_Curves!$G$5:$G$205,201),INDEX(LE_Curves!$B$5:$B$205,201),INDEX(LE_Curves!$B$5:$B$205,MATCH($R71,LE_Curves!$G$5:$G$205,1))+($R71-INDEX(LE_Curves!$G$5:$G$205,MATCH($R71,LE_Curves!$G$5:$G$205,1)))*(INDEX(LE_Curves!$B$5:$B$205,MATCH($R71,LE_Curves!$G$5:$G$205,1)+1)-INDEX(LE_Curves!$B$5:$B$205,MATCH($R71,LE_Curves!$G$5:$G$205,1)))/(INDEX(LE_Curves!$G$5:$G$205,MATCH($R71,LE_Curves!$G$5:$G$205,1)+1)-INDEX(LE_Curves!$G$5:$G$205,MATCH($R71,LE_Curves!$G$5:$G$205,1))))))</f>
        <v/>
      </c>
      <c r="X71" s="11">
        <f>IF(Inputs!$D$28=0,0,IF($R71&lt;=Inputs!$C$28,0,IF($R71&gt;=INDEX(LE_Curves!$H$5:$H$205,201),INDEX(LE_Curves!$B$5:$B$205,201),INDEX(LE_Curves!$B$5:$B$205,MATCH($R71,LE_Curves!$H$5:$H$205,1))+($R71-INDEX(LE_Curves!$H$5:$H$205,MATCH($R71,LE_Curves!$H$5:$H$205,1)))*(INDEX(LE_Curves!$B$5:$B$205,MATCH($R71,LE_Curves!$H$5:$H$205,1)+1)-INDEX(LE_Curves!$B$5:$B$205,MATCH($R71,LE_Curves!$H$5:$H$205,1)))/(INDEX(LE_Curves!$H$5:$H$205,MATCH($R71,LE_Curves!$H$5:$H$205,1)+1)-INDEX(LE_Curves!$H$5:$H$205,MATCH($R71,LE_Curves!$H$5:$H$205,1))))))</f>
        <v/>
      </c>
      <c r="Y71" s="11">
        <f>IF(Inputs!$D$29=0,0,IF($R71&lt;=Inputs!$C$29,0,IF($R71&gt;=INDEX(LE_Curves!$I$5:$I$205,201),INDEX(LE_Curves!$B$5:$B$205,201),INDEX(LE_Curves!$B$5:$B$205,MATCH($R71,LE_Curves!$I$5:$I$205,1))+($R71-INDEX(LE_Curves!$I$5:$I$205,MATCH($R71,LE_Curves!$I$5:$I$205,1)))*(INDEX(LE_Curves!$B$5:$B$205,MATCH($R71,LE_Curves!$I$5:$I$205,1)+1)-INDEX(LE_Curves!$B$5:$B$205,MATCH($R71,LE_Curves!$I$5:$I$205,1)))/(INDEX(LE_Curves!$I$5:$I$205,MATCH($R71,LE_Curves!$I$5:$I$205,1)+1)-INDEX(LE_Curves!$I$5:$I$205,MATCH($R71,LE_Curves!$I$5:$I$205,1))))))</f>
        <v/>
      </c>
      <c r="Z71" s="11">
        <f>IF(Inputs!$D$30=0,0,IF($R71&lt;=Inputs!$C$30,0,IF($R71&gt;=INDEX(LE_Curves!$J$5:$J$205,201),INDEX(LE_Curves!$B$5:$B$205,201),INDEX(LE_Curves!$B$5:$B$205,MATCH($R71,LE_Curves!$J$5:$J$205,1))+($R71-INDEX(LE_Curves!$J$5:$J$205,MATCH($R71,LE_Curves!$J$5:$J$205,1)))*(INDEX(LE_Curves!$B$5:$B$205,MATCH($R71,LE_Curves!$J$5:$J$205,1)+1)-INDEX(LE_Curves!$B$5:$B$205,MATCH($R71,LE_Curves!$J$5:$J$205,1)))/(INDEX(LE_Curves!$J$5:$J$205,MATCH($R71,LE_Curves!$J$5:$J$205,1)+1)-INDEX(LE_Curves!$J$5:$J$205,MATCH($R71,LE_Curves!$J$5:$J$205,1))))))</f>
        <v/>
      </c>
      <c r="AA71" s="11">
        <f>IF(Inputs!$D$31=0,0,IF($R71&lt;=Inputs!$C$31,0,IF($R71&gt;=INDEX(LE_Curves!$K$5:$K$205,201),INDEX(LE_Curves!$B$5:$B$205,201),INDEX(LE_Curves!$B$5:$B$205,MATCH($R71,LE_Curves!$K$5:$K$205,1))+($R71-INDEX(LE_Curves!$K$5:$K$205,MATCH($R71,LE_Curves!$K$5:$K$205,1)))*(INDEX(LE_Curves!$B$5:$B$205,MATCH($R71,LE_Curves!$K$5:$K$205,1)+1)-INDEX(LE_Curves!$B$5:$B$205,MATCH($R71,LE_Curves!$K$5:$K$205,1)))/(INDEX(LE_Curves!$K$5:$K$205,MATCH($R71,LE_Curves!$K$5:$K$205,1)+1)-INDEX(LE_Curves!$K$5:$K$205,MATCH($R71,LE_Curves!$K$5:$K$205,1))))))</f>
        <v/>
      </c>
      <c r="AB71" s="11">
        <f>IF(Inputs!$D$32=0,0,IF($R71&lt;=Inputs!$C$32,0,IF($R71&gt;=INDEX(LE_Curves!$L$5:$L$205,201),INDEX(LE_Curves!$B$5:$B$205,201),INDEX(LE_Curves!$B$5:$B$205,MATCH($R71,LE_Curves!$L$5:$L$205,1))+($R71-INDEX(LE_Curves!$L$5:$L$205,MATCH($R71,LE_Curves!$L$5:$L$205,1)))*(INDEX(LE_Curves!$B$5:$B$205,MATCH($R71,LE_Curves!$L$5:$L$205,1)+1)-INDEX(LE_Curves!$B$5:$B$205,MATCH($R71,LE_Curves!$L$5:$L$205,1)))/(INDEX(LE_Curves!$L$5:$L$205,MATCH($R71,LE_Curves!$L$5:$L$205,1)+1)-INDEX(LE_Curves!$L$5:$L$205,MATCH($R71,LE_Curves!$L$5:$L$205,1))))))</f>
        <v/>
      </c>
      <c r="AC71" s="11">
        <f>IF(Inputs!$D$33=0,0,IF($R71&lt;=Inputs!$C$33,0,IF($R71&gt;=INDEX(LE_Curves!$M$5:$M$205,201),INDEX(LE_Curves!$B$5:$B$205,201),INDEX(LE_Curves!$B$5:$B$205,MATCH($R71,LE_Curves!$M$5:$M$205,1))+($R71-INDEX(LE_Curves!$M$5:$M$205,MATCH($R71,LE_Curves!$M$5:$M$205,1)))*(INDEX(LE_Curves!$B$5:$B$205,MATCH($R71,LE_Curves!$M$5:$M$205,1)+1)-INDEX(LE_Curves!$B$5:$B$205,MATCH($R71,LE_Curves!$M$5:$M$205,1)))/(INDEX(LE_Curves!$M$5:$M$205,MATCH($R71,LE_Curves!$M$5:$M$205,1)+1)-INDEX(LE_Curves!$M$5:$M$205,MATCH($R71,LE_Curves!$M$5:$M$205,1))))))</f>
        <v/>
      </c>
      <c r="AD71" s="11">
        <f>IF(Inputs!$D$34=0,0,IF($R71&lt;=Inputs!$C$34,0,IF($R71&gt;=INDEX(LE_Curves!$N$5:$N$205,201),INDEX(LE_Curves!$B$5:$B$205,201),INDEX(LE_Curves!$B$5:$B$205,MATCH($R71,LE_Curves!$N$5:$N$205,1))+($R71-INDEX(LE_Curves!$N$5:$N$205,MATCH($R71,LE_Curves!$N$5:$N$205,1)))*(INDEX(LE_Curves!$B$5:$B$205,MATCH($R71,LE_Curves!$N$5:$N$205,1)+1)-INDEX(LE_Curves!$B$5:$B$205,MATCH($R71,LE_Curves!$N$5:$N$205,1)))/(INDEX(LE_Curves!$N$5:$N$205,MATCH($R71,LE_Curves!$N$5:$N$205,1)+1)-INDEX(LE_Curves!$N$5:$N$205,MATCH($R71,LE_Curves!$N$5:$N$205,1))))))</f>
        <v/>
      </c>
      <c r="AE71" s="37">
        <f>SUM(S71:AD71)</f>
        <v/>
      </c>
    </row>
    <row r="72">
      <c r="A72" s="7" t="n">
        <v>41</v>
      </c>
      <c r="B72" s="37">
        <f>$B$3+($B$4-$B$3)*A72/200</f>
        <v/>
      </c>
      <c r="C72" s="11">
        <f>IF(Inputs!$D$23=0,0,IF($B72&lt;=Inputs!$C$23,0,IF($B72&gt;=INDEX(LE_Curves!$C$5:$C$205,201),INDEX(LE_Curves!$B$5:$B$205,201),INDEX(LE_Curves!$B$5:$B$205,MATCH($B72,LE_Curves!$C$5:$C$205,1))+($B72-INDEX(LE_Curves!$C$5:$C$205,MATCH($B72,LE_Curves!$C$5:$C$205,1)))*(INDEX(LE_Curves!$B$5:$B$205,MATCH($B72,LE_Curves!$C$5:$C$205,1)+1)-INDEX(LE_Curves!$B$5:$B$205,MATCH($B72,LE_Curves!$C$5:$C$205,1)))/(INDEX(LE_Curves!$C$5:$C$205,MATCH($B72,LE_Curves!$C$5:$C$205,1)+1)-INDEX(LE_Curves!$C$5:$C$205,MATCH($B72,LE_Curves!$C$5:$C$205,1))))))</f>
        <v/>
      </c>
      <c r="D72" s="11">
        <f>IF(Inputs!$D$24=0,0,IF($B72&lt;=Inputs!$C$24,0,IF($B72&gt;=INDEX(LE_Curves!$D$5:$D$205,201),INDEX(LE_Curves!$B$5:$B$205,201),INDEX(LE_Curves!$B$5:$B$205,MATCH($B72,LE_Curves!$D$5:$D$205,1))+($B72-INDEX(LE_Curves!$D$5:$D$205,MATCH($B72,LE_Curves!$D$5:$D$205,1)))*(INDEX(LE_Curves!$B$5:$B$205,MATCH($B72,LE_Curves!$D$5:$D$205,1)+1)-INDEX(LE_Curves!$B$5:$B$205,MATCH($B72,LE_Curves!$D$5:$D$205,1)))/(INDEX(LE_Curves!$D$5:$D$205,MATCH($B72,LE_Curves!$D$5:$D$205,1)+1)-INDEX(LE_Curves!$D$5:$D$205,MATCH($B72,LE_Curves!$D$5:$D$205,1))))))</f>
        <v/>
      </c>
      <c r="E72" s="11">
        <f>IF(Inputs!$D$25=0,0,IF($B72&lt;=Inputs!$C$25,0,IF($B72&gt;=INDEX(LE_Curves!$E$5:$E$205,201),INDEX(LE_Curves!$B$5:$B$205,201),INDEX(LE_Curves!$B$5:$B$205,MATCH($B72,LE_Curves!$E$5:$E$205,1))+($B72-INDEX(LE_Curves!$E$5:$E$205,MATCH($B72,LE_Curves!$E$5:$E$205,1)))*(INDEX(LE_Curves!$B$5:$B$205,MATCH($B72,LE_Curves!$E$5:$E$205,1)+1)-INDEX(LE_Curves!$B$5:$B$205,MATCH($B72,LE_Curves!$E$5:$E$205,1)))/(INDEX(LE_Curves!$E$5:$E$205,MATCH($B72,LE_Curves!$E$5:$E$205,1)+1)-INDEX(LE_Curves!$E$5:$E$205,MATCH($B72,LE_Curves!$E$5:$E$205,1))))))</f>
        <v/>
      </c>
      <c r="F72" s="11">
        <f>IF(Inputs!$D$26=0,0,IF($B72&lt;=Inputs!$C$26,0,IF($B72&gt;=INDEX(LE_Curves!$F$5:$F$205,201),INDEX(LE_Curves!$B$5:$B$205,201),INDEX(LE_Curves!$B$5:$B$205,MATCH($B72,LE_Curves!$F$5:$F$205,1))+($B72-INDEX(LE_Curves!$F$5:$F$205,MATCH($B72,LE_Curves!$F$5:$F$205,1)))*(INDEX(LE_Curves!$B$5:$B$205,MATCH($B72,LE_Curves!$F$5:$F$205,1)+1)-INDEX(LE_Curves!$B$5:$B$205,MATCH($B72,LE_Curves!$F$5:$F$205,1)))/(INDEX(LE_Curves!$F$5:$F$205,MATCH($B72,LE_Curves!$F$5:$F$205,1)+1)-INDEX(LE_Curves!$F$5:$F$205,MATCH($B72,LE_Curves!$F$5:$F$205,1))))))</f>
        <v/>
      </c>
      <c r="G72" s="11">
        <f>IF(Inputs!$D$27=0,0,IF($B72&lt;=Inputs!$C$27,0,IF($B72&gt;=INDEX(LE_Curves!$G$5:$G$205,201),INDEX(LE_Curves!$B$5:$B$205,201),INDEX(LE_Curves!$B$5:$B$205,MATCH($B72,LE_Curves!$G$5:$G$205,1))+($B72-INDEX(LE_Curves!$G$5:$G$205,MATCH($B72,LE_Curves!$G$5:$G$205,1)))*(INDEX(LE_Curves!$B$5:$B$205,MATCH($B72,LE_Curves!$G$5:$G$205,1)+1)-INDEX(LE_Curves!$B$5:$B$205,MATCH($B72,LE_Curves!$G$5:$G$205,1)))/(INDEX(LE_Curves!$G$5:$G$205,MATCH($B72,LE_Curves!$G$5:$G$205,1)+1)-INDEX(LE_Curves!$G$5:$G$205,MATCH($B72,LE_Curves!$G$5:$G$205,1))))))</f>
        <v/>
      </c>
      <c r="H72" s="11">
        <f>IF(Inputs!$D$28=0,0,IF($B72&lt;=Inputs!$C$28,0,IF($B72&gt;=INDEX(LE_Curves!$H$5:$H$205,201),INDEX(LE_Curves!$B$5:$B$205,201),INDEX(LE_Curves!$B$5:$B$205,MATCH($B72,LE_Curves!$H$5:$H$205,1))+($B72-INDEX(LE_Curves!$H$5:$H$205,MATCH($B72,LE_Curves!$H$5:$H$205,1)))*(INDEX(LE_Curves!$B$5:$B$205,MATCH($B72,LE_Curves!$H$5:$H$205,1)+1)-INDEX(LE_Curves!$B$5:$B$205,MATCH($B72,LE_Curves!$H$5:$H$205,1)))/(INDEX(LE_Curves!$H$5:$H$205,MATCH($B72,LE_Curves!$H$5:$H$205,1)+1)-INDEX(LE_Curves!$H$5:$H$205,MATCH($B72,LE_Curves!$H$5:$H$205,1))))))</f>
        <v/>
      </c>
      <c r="I72" s="11">
        <f>IF(Inputs!$D$29=0,0,IF($B72&lt;=Inputs!$C$29,0,IF($B72&gt;=INDEX(LE_Curves!$I$5:$I$205,201),INDEX(LE_Curves!$B$5:$B$205,201),INDEX(LE_Curves!$B$5:$B$205,MATCH($B72,LE_Curves!$I$5:$I$205,1))+($B72-INDEX(LE_Curves!$I$5:$I$205,MATCH($B72,LE_Curves!$I$5:$I$205,1)))*(INDEX(LE_Curves!$B$5:$B$205,MATCH($B72,LE_Curves!$I$5:$I$205,1)+1)-INDEX(LE_Curves!$B$5:$B$205,MATCH($B72,LE_Curves!$I$5:$I$205,1)))/(INDEX(LE_Curves!$I$5:$I$205,MATCH($B72,LE_Curves!$I$5:$I$205,1)+1)-INDEX(LE_Curves!$I$5:$I$205,MATCH($B72,LE_Curves!$I$5:$I$205,1))))))</f>
        <v/>
      </c>
      <c r="J72" s="11">
        <f>IF(Inputs!$D$30=0,0,IF($B72&lt;=Inputs!$C$30,0,IF($B72&gt;=INDEX(LE_Curves!$J$5:$J$205,201),INDEX(LE_Curves!$B$5:$B$205,201),INDEX(LE_Curves!$B$5:$B$205,MATCH($B72,LE_Curves!$J$5:$J$205,1))+($B72-INDEX(LE_Curves!$J$5:$J$205,MATCH($B72,LE_Curves!$J$5:$J$205,1)))*(INDEX(LE_Curves!$B$5:$B$205,MATCH($B72,LE_Curves!$J$5:$J$205,1)+1)-INDEX(LE_Curves!$B$5:$B$205,MATCH($B72,LE_Curves!$J$5:$J$205,1)))/(INDEX(LE_Curves!$J$5:$J$205,MATCH($B72,LE_Curves!$J$5:$J$205,1)+1)-INDEX(LE_Curves!$J$5:$J$205,MATCH($B72,LE_Curves!$J$5:$J$205,1))))))</f>
        <v/>
      </c>
      <c r="K72" s="11">
        <f>IF(Inputs!$D$31=0,0,IF($B72&lt;=Inputs!$C$31,0,IF($B72&gt;=INDEX(LE_Curves!$K$5:$K$205,201),INDEX(LE_Curves!$B$5:$B$205,201),INDEX(LE_Curves!$B$5:$B$205,MATCH($B72,LE_Curves!$K$5:$K$205,1))+($B72-INDEX(LE_Curves!$K$5:$K$205,MATCH($B72,LE_Curves!$K$5:$K$205,1)))*(INDEX(LE_Curves!$B$5:$B$205,MATCH($B72,LE_Curves!$K$5:$K$205,1)+1)-INDEX(LE_Curves!$B$5:$B$205,MATCH($B72,LE_Curves!$K$5:$K$205,1)))/(INDEX(LE_Curves!$K$5:$K$205,MATCH($B72,LE_Curves!$K$5:$K$205,1)+1)-INDEX(LE_Curves!$K$5:$K$205,MATCH($B72,LE_Curves!$K$5:$K$205,1))))))</f>
        <v/>
      </c>
      <c r="L72" s="11">
        <f>IF(Inputs!$D$32=0,0,IF($B72&lt;=Inputs!$C$32,0,IF($B72&gt;=INDEX(LE_Curves!$L$5:$L$205,201),INDEX(LE_Curves!$B$5:$B$205,201),INDEX(LE_Curves!$B$5:$B$205,MATCH($B72,LE_Curves!$L$5:$L$205,1))+($B72-INDEX(LE_Curves!$L$5:$L$205,MATCH($B72,LE_Curves!$L$5:$L$205,1)))*(INDEX(LE_Curves!$B$5:$B$205,MATCH($B72,LE_Curves!$L$5:$L$205,1)+1)-INDEX(LE_Curves!$B$5:$B$205,MATCH($B72,LE_Curves!$L$5:$L$205,1)))/(INDEX(LE_Curves!$L$5:$L$205,MATCH($B72,LE_Curves!$L$5:$L$205,1)+1)-INDEX(LE_Curves!$L$5:$L$205,MATCH($B72,LE_Curves!$L$5:$L$205,1))))))</f>
        <v/>
      </c>
      <c r="M72" s="11">
        <f>IF(Inputs!$D$33=0,0,IF($B72&lt;=Inputs!$C$33,0,IF($B72&gt;=INDEX(LE_Curves!$M$5:$M$205,201),INDEX(LE_Curves!$B$5:$B$205,201),INDEX(LE_Curves!$B$5:$B$205,MATCH($B72,LE_Curves!$M$5:$M$205,1))+($B72-INDEX(LE_Curves!$M$5:$M$205,MATCH($B72,LE_Curves!$M$5:$M$205,1)))*(INDEX(LE_Curves!$B$5:$B$205,MATCH($B72,LE_Curves!$M$5:$M$205,1)+1)-INDEX(LE_Curves!$B$5:$B$205,MATCH($B72,LE_Curves!$M$5:$M$205,1)))/(INDEX(LE_Curves!$M$5:$M$205,MATCH($B72,LE_Curves!$M$5:$M$205,1)+1)-INDEX(LE_Curves!$M$5:$M$205,MATCH($B72,LE_Curves!$M$5:$M$205,1))))))</f>
        <v/>
      </c>
      <c r="N72" s="11">
        <f>IF(Inputs!$D$34=0,0,IF($B72&lt;=Inputs!$C$34,0,IF($B72&gt;=INDEX(LE_Curves!$N$5:$N$205,201),INDEX(LE_Curves!$B$5:$B$205,201),INDEX(LE_Curves!$B$5:$B$205,MATCH($B72,LE_Curves!$N$5:$N$205,1))+($B72-INDEX(LE_Curves!$N$5:$N$205,MATCH($B72,LE_Curves!$N$5:$N$205,1)))*(INDEX(LE_Curves!$B$5:$B$205,MATCH($B72,LE_Curves!$N$5:$N$205,1)+1)-INDEX(LE_Curves!$B$5:$B$205,MATCH($B72,LE_Curves!$N$5:$N$205,1)))/(INDEX(LE_Curves!$N$5:$N$205,MATCH($B72,LE_Curves!$N$5:$N$205,1)+1)-INDEX(LE_Curves!$N$5:$N$205,MATCH($B72,LE_Curves!$N$5:$N$205,1))))))</f>
        <v/>
      </c>
      <c r="O72" s="11">
        <f>SUM(C72:N72)</f>
        <v/>
      </c>
      <c r="Q72" s="7" t="n">
        <v>41</v>
      </c>
      <c r="R72" s="23">
        <f>$B$6+($B$7-$B$6)*Q72/200</f>
        <v/>
      </c>
      <c r="S72" s="11">
        <f>IF(Inputs!$D$23=0,0,IF($R72&lt;=Inputs!$C$23,0,IF($R72&gt;=INDEX(LE_Curves!$C$5:$C$205,201),INDEX(LE_Curves!$B$5:$B$205,201),INDEX(LE_Curves!$B$5:$B$205,MATCH($R72,LE_Curves!$C$5:$C$205,1))+($R72-INDEX(LE_Curves!$C$5:$C$205,MATCH($R72,LE_Curves!$C$5:$C$205,1)))*(INDEX(LE_Curves!$B$5:$B$205,MATCH($R72,LE_Curves!$C$5:$C$205,1)+1)-INDEX(LE_Curves!$B$5:$B$205,MATCH($R72,LE_Curves!$C$5:$C$205,1)))/(INDEX(LE_Curves!$C$5:$C$205,MATCH($R72,LE_Curves!$C$5:$C$205,1)+1)-INDEX(LE_Curves!$C$5:$C$205,MATCH($R72,LE_Curves!$C$5:$C$205,1))))))</f>
        <v/>
      </c>
      <c r="T72" s="11">
        <f>IF(Inputs!$D$24=0,0,IF($R72&lt;=Inputs!$C$24,0,IF($R72&gt;=INDEX(LE_Curves!$D$5:$D$205,201),INDEX(LE_Curves!$B$5:$B$205,201),INDEX(LE_Curves!$B$5:$B$205,MATCH($R72,LE_Curves!$D$5:$D$205,1))+($R72-INDEX(LE_Curves!$D$5:$D$205,MATCH($R72,LE_Curves!$D$5:$D$205,1)))*(INDEX(LE_Curves!$B$5:$B$205,MATCH($R72,LE_Curves!$D$5:$D$205,1)+1)-INDEX(LE_Curves!$B$5:$B$205,MATCH($R72,LE_Curves!$D$5:$D$205,1)))/(INDEX(LE_Curves!$D$5:$D$205,MATCH($R72,LE_Curves!$D$5:$D$205,1)+1)-INDEX(LE_Curves!$D$5:$D$205,MATCH($R72,LE_Curves!$D$5:$D$205,1))))))</f>
        <v/>
      </c>
      <c r="U72" s="11">
        <f>IF(Inputs!$D$25=0,0,IF($R72&lt;=Inputs!$C$25,0,IF($R72&gt;=INDEX(LE_Curves!$E$5:$E$205,201),INDEX(LE_Curves!$B$5:$B$205,201),INDEX(LE_Curves!$B$5:$B$205,MATCH($R72,LE_Curves!$E$5:$E$205,1))+($R72-INDEX(LE_Curves!$E$5:$E$205,MATCH($R72,LE_Curves!$E$5:$E$205,1)))*(INDEX(LE_Curves!$B$5:$B$205,MATCH($R72,LE_Curves!$E$5:$E$205,1)+1)-INDEX(LE_Curves!$B$5:$B$205,MATCH($R72,LE_Curves!$E$5:$E$205,1)))/(INDEX(LE_Curves!$E$5:$E$205,MATCH($R72,LE_Curves!$E$5:$E$205,1)+1)-INDEX(LE_Curves!$E$5:$E$205,MATCH($R72,LE_Curves!$E$5:$E$205,1))))))</f>
        <v/>
      </c>
      <c r="V72" s="11">
        <f>IF(Inputs!$D$26=0,0,IF($R72&lt;=Inputs!$C$26,0,IF($R72&gt;=INDEX(LE_Curves!$F$5:$F$205,201),INDEX(LE_Curves!$B$5:$B$205,201),INDEX(LE_Curves!$B$5:$B$205,MATCH($R72,LE_Curves!$F$5:$F$205,1))+($R72-INDEX(LE_Curves!$F$5:$F$205,MATCH($R72,LE_Curves!$F$5:$F$205,1)))*(INDEX(LE_Curves!$B$5:$B$205,MATCH($R72,LE_Curves!$F$5:$F$205,1)+1)-INDEX(LE_Curves!$B$5:$B$205,MATCH($R72,LE_Curves!$F$5:$F$205,1)))/(INDEX(LE_Curves!$F$5:$F$205,MATCH($R72,LE_Curves!$F$5:$F$205,1)+1)-INDEX(LE_Curves!$F$5:$F$205,MATCH($R72,LE_Curves!$F$5:$F$205,1))))))</f>
        <v/>
      </c>
      <c r="W72" s="11">
        <f>IF(Inputs!$D$27=0,0,IF($R72&lt;=Inputs!$C$27,0,IF($R72&gt;=INDEX(LE_Curves!$G$5:$G$205,201),INDEX(LE_Curves!$B$5:$B$205,201),INDEX(LE_Curves!$B$5:$B$205,MATCH($R72,LE_Curves!$G$5:$G$205,1))+($R72-INDEX(LE_Curves!$G$5:$G$205,MATCH($R72,LE_Curves!$G$5:$G$205,1)))*(INDEX(LE_Curves!$B$5:$B$205,MATCH($R72,LE_Curves!$G$5:$G$205,1)+1)-INDEX(LE_Curves!$B$5:$B$205,MATCH($R72,LE_Curves!$G$5:$G$205,1)))/(INDEX(LE_Curves!$G$5:$G$205,MATCH($R72,LE_Curves!$G$5:$G$205,1)+1)-INDEX(LE_Curves!$G$5:$G$205,MATCH($R72,LE_Curves!$G$5:$G$205,1))))))</f>
        <v/>
      </c>
      <c r="X72" s="11">
        <f>IF(Inputs!$D$28=0,0,IF($R72&lt;=Inputs!$C$28,0,IF($R72&gt;=INDEX(LE_Curves!$H$5:$H$205,201),INDEX(LE_Curves!$B$5:$B$205,201),INDEX(LE_Curves!$B$5:$B$205,MATCH($R72,LE_Curves!$H$5:$H$205,1))+($R72-INDEX(LE_Curves!$H$5:$H$205,MATCH($R72,LE_Curves!$H$5:$H$205,1)))*(INDEX(LE_Curves!$B$5:$B$205,MATCH($R72,LE_Curves!$H$5:$H$205,1)+1)-INDEX(LE_Curves!$B$5:$B$205,MATCH($R72,LE_Curves!$H$5:$H$205,1)))/(INDEX(LE_Curves!$H$5:$H$205,MATCH($R72,LE_Curves!$H$5:$H$205,1)+1)-INDEX(LE_Curves!$H$5:$H$205,MATCH($R72,LE_Curves!$H$5:$H$205,1))))))</f>
        <v/>
      </c>
      <c r="Y72" s="11">
        <f>IF(Inputs!$D$29=0,0,IF($R72&lt;=Inputs!$C$29,0,IF($R72&gt;=INDEX(LE_Curves!$I$5:$I$205,201),INDEX(LE_Curves!$B$5:$B$205,201),INDEX(LE_Curves!$B$5:$B$205,MATCH($R72,LE_Curves!$I$5:$I$205,1))+($R72-INDEX(LE_Curves!$I$5:$I$205,MATCH($R72,LE_Curves!$I$5:$I$205,1)))*(INDEX(LE_Curves!$B$5:$B$205,MATCH($R72,LE_Curves!$I$5:$I$205,1)+1)-INDEX(LE_Curves!$B$5:$B$205,MATCH($R72,LE_Curves!$I$5:$I$205,1)))/(INDEX(LE_Curves!$I$5:$I$205,MATCH($R72,LE_Curves!$I$5:$I$205,1)+1)-INDEX(LE_Curves!$I$5:$I$205,MATCH($R72,LE_Curves!$I$5:$I$205,1))))))</f>
        <v/>
      </c>
      <c r="Z72" s="11">
        <f>IF(Inputs!$D$30=0,0,IF($R72&lt;=Inputs!$C$30,0,IF($R72&gt;=INDEX(LE_Curves!$J$5:$J$205,201),INDEX(LE_Curves!$B$5:$B$205,201),INDEX(LE_Curves!$B$5:$B$205,MATCH($R72,LE_Curves!$J$5:$J$205,1))+($R72-INDEX(LE_Curves!$J$5:$J$205,MATCH($R72,LE_Curves!$J$5:$J$205,1)))*(INDEX(LE_Curves!$B$5:$B$205,MATCH($R72,LE_Curves!$J$5:$J$205,1)+1)-INDEX(LE_Curves!$B$5:$B$205,MATCH($R72,LE_Curves!$J$5:$J$205,1)))/(INDEX(LE_Curves!$J$5:$J$205,MATCH($R72,LE_Curves!$J$5:$J$205,1)+1)-INDEX(LE_Curves!$J$5:$J$205,MATCH($R72,LE_Curves!$J$5:$J$205,1))))))</f>
        <v/>
      </c>
      <c r="AA72" s="11">
        <f>IF(Inputs!$D$31=0,0,IF($R72&lt;=Inputs!$C$31,0,IF($R72&gt;=INDEX(LE_Curves!$K$5:$K$205,201),INDEX(LE_Curves!$B$5:$B$205,201),INDEX(LE_Curves!$B$5:$B$205,MATCH($R72,LE_Curves!$K$5:$K$205,1))+($R72-INDEX(LE_Curves!$K$5:$K$205,MATCH($R72,LE_Curves!$K$5:$K$205,1)))*(INDEX(LE_Curves!$B$5:$B$205,MATCH($R72,LE_Curves!$K$5:$K$205,1)+1)-INDEX(LE_Curves!$B$5:$B$205,MATCH($R72,LE_Curves!$K$5:$K$205,1)))/(INDEX(LE_Curves!$K$5:$K$205,MATCH($R72,LE_Curves!$K$5:$K$205,1)+1)-INDEX(LE_Curves!$K$5:$K$205,MATCH($R72,LE_Curves!$K$5:$K$205,1))))))</f>
        <v/>
      </c>
      <c r="AB72" s="11">
        <f>IF(Inputs!$D$32=0,0,IF($R72&lt;=Inputs!$C$32,0,IF($R72&gt;=INDEX(LE_Curves!$L$5:$L$205,201),INDEX(LE_Curves!$B$5:$B$205,201),INDEX(LE_Curves!$B$5:$B$205,MATCH($R72,LE_Curves!$L$5:$L$205,1))+($R72-INDEX(LE_Curves!$L$5:$L$205,MATCH($R72,LE_Curves!$L$5:$L$205,1)))*(INDEX(LE_Curves!$B$5:$B$205,MATCH($R72,LE_Curves!$L$5:$L$205,1)+1)-INDEX(LE_Curves!$B$5:$B$205,MATCH($R72,LE_Curves!$L$5:$L$205,1)))/(INDEX(LE_Curves!$L$5:$L$205,MATCH($R72,LE_Curves!$L$5:$L$205,1)+1)-INDEX(LE_Curves!$L$5:$L$205,MATCH($R72,LE_Curves!$L$5:$L$205,1))))))</f>
        <v/>
      </c>
      <c r="AC72" s="11">
        <f>IF(Inputs!$D$33=0,0,IF($R72&lt;=Inputs!$C$33,0,IF($R72&gt;=INDEX(LE_Curves!$M$5:$M$205,201),INDEX(LE_Curves!$B$5:$B$205,201),INDEX(LE_Curves!$B$5:$B$205,MATCH($R72,LE_Curves!$M$5:$M$205,1))+($R72-INDEX(LE_Curves!$M$5:$M$205,MATCH($R72,LE_Curves!$M$5:$M$205,1)))*(INDEX(LE_Curves!$B$5:$B$205,MATCH($R72,LE_Curves!$M$5:$M$205,1)+1)-INDEX(LE_Curves!$B$5:$B$205,MATCH($R72,LE_Curves!$M$5:$M$205,1)))/(INDEX(LE_Curves!$M$5:$M$205,MATCH($R72,LE_Curves!$M$5:$M$205,1)+1)-INDEX(LE_Curves!$M$5:$M$205,MATCH($R72,LE_Curves!$M$5:$M$205,1))))))</f>
        <v/>
      </c>
      <c r="AD72" s="11">
        <f>IF(Inputs!$D$34=0,0,IF($R72&lt;=Inputs!$C$34,0,IF($R72&gt;=INDEX(LE_Curves!$N$5:$N$205,201),INDEX(LE_Curves!$B$5:$B$205,201),INDEX(LE_Curves!$B$5:$B$205,MATCH($R72,LE_Curves!$N$5:$N$205,1))+($R72-INDEX(LE_Curves!$N$5:$N$205,MATCH($R72,LE_Curves!$N$5:$N$205,1)))*(INDEX(LE_Curves!$B$5:$B$205,MATCH($R72,LE_Curves!$N$5:$N$205,1)+1)-INDEX(LE_Curves!$B$5:$B$205,MATCH($R72,LE_Curves!$N$5:$N$205,1)))/(INDEX(LE_Curves!$N$5:$N$205,MATCH($R72,LE_Curves!$N$5:$N$205,1)+1)-INDEX(LE_Curves!$N$5:$N$205,MATCH($R72,LE_Curves!$N$5:$N$205,1))))))</f>
        <v/>
      </c>
      <c r="AE72" s="37">
        <f>SUM(S72:AD72)</f>
        <v/>
      </c>
    </row>
    <row r="73">
      <c r="A73" s="7" t="n">
        <v>42</v>
      </c>
      <c r="B73" s="37">
        <f>$B$3+($B$4-$B$3)*A73/200</f>
        <v/>
      </c>
      <c r="C73" s="11">
        <f>IF(Inputs!$D$23=0,0,IF($B73&lt;=Inputs!$C$23,0,IF($B73&gt;=INDEX(LE_Curves!$C$5:$C$205,201),INDEX(LE_Curves!$B$5:$B$205,201),INDEX(LE_Curves!$B$5:$B$205,MATCH($B73,LE_Curves!$C$5:$C$205,1))+($B73-INDEX(LE_Curves!$C$5:$C$205,MATCH($B73,LE_Curves!$C$5:$C$205,1)))*(INDEX(LE_Curves!$B$5:$B$205,MATCH($B73,LE_Curves!$C$5:$C$205,1)+1)-INDEX(LE_Curves!$B$5:$B$205,MATCH($B73,LE_Curves!$C$5:$C$205,1)))/(INDEX(LE_Curves!$C$5:$C$205,MATCH($B73,LE_Curves!$C$5:$C$205,1)+1)-INDEX(LE_Curves!$C$5:$C$205,MATCH($B73,LE_Curves!$C$5:$C$205,1))))))</f>
        <v/>
      </c>
      <c r="D73" s="11">
        <f>IF(Inputs!$D$24=0,0,IF($B73&lt;=Inputs!$C$24,0,IF($B73&gt;=INDEX(LE_Curves!$D$5:$D$205,201),INDEX(LE_Curves!$B$5:$B$205,201),INDEX(LE_Curves!$B$5:$B$205,MATCH($B73,LE_Curves!$D$5:$D$205,1))+($B73-INDEX(LE_Curves!$D$5:$D$205,MATCH($B73,LE_Curves!$D$5:$D$205,1)))*(INDEX(LE_Curves!$B$5:$B$205,MATCH($B73,LE_Curves!$D$5:$D$205,1)+1)-INDEX(LE_Curves!$B$5:$B$205,MATCH($B73,LE_Curves!$D$5:$D$205,1)))/(INDEX(LE_Curves!$D$5:$D$205,MATCH($B73,LE_Curves!$D$5:$D$205,1)+1)-INDEX(LE_Curves!$D$5:$D$205,MATCH($B73,LE_Curves!$D$5:$D$205,1))))))</f>
        <v/>
      </c>
      <c r="E73" s="11">
        <f>IF(Inputs!$D$25=0,0,IF($B73&lt;=Inputs!$C$25,0,IF($B73&gt;=INDEX(LE_Curves!$E$5:$E$205,201),INDEX(LE_Curves!$B$5:$B$205,201),INDEX(LE_Curves!$B$5:$B$205,MATCH($B73,LE_Curves!$E$5:$E$205,1))+($B73-INDEX(LE_Curves!$E$5:$E$205,MATCH($B73,LE_Curves!$E$5:$E$205,1)))*(INDEX(LE_Curves!$B$5:$B$205,MATCH($B73,LE_Curves!$E$5:$E$205,1)+1)-INDEX(LE_Curves!$B$5:$B$205,MATCH($B73,LE_Curves!$E$5:$E$205,1)))/(INDEX(LE_Curves!$E$5:$E$205,MATCH($B73,LE_Curves!$E$5:$E$205,1)+1)-INDEX(LE_Curves!$E$5:$E$205,MATCH($B73,LE_Curves!$E$5:$E$205,1))))))</f>
        <v/>
      </c>
      <c r="F73" s="11">
        <f>IF(Inputs!$D$26=0,0,IF($B73&lt;=Inputs!$C$26,0,IF($B73&gt;=INDEX(LE_Curves!$F$5:$F$205,201),INDEX(LE_Curves!$B$5:$B$205,201),INDEX(LE_Curves!$B$5:$B$205,MATCH($B73,LE_Curves!$F$5:$F$205,1))+($B73-INDEX(LE_Curves!$F$5:$F$205,MATCH($B73,LE_Curves!$F$5:$F$205,1)))*(INDEX(LE_Curves!$B$5:$B$205,MATCH($B73,LE_Curves!$F$5:$F$205,1)+1)-INDEX(LE_Curves!$B$5:$B$205,MATCH($B73,LE_Curves!$F$5:$F$205,1)))/(INDEX(LE_Curves!$F$5:$F$205,MATCH($B73,LE_Curves!$F$5:$F$205,1)+1)-INDEX(LE_Curves!$F$5:$F$205,MATCH($B73,LE_Curves!$F$5:$F$205,1))))))</f>
        <v/>
      </c>
      <c r="G73" s="11">
        <f>IF(Inputs!$D$27=0,0,IF($B73&lt;=Inputs!$C$27,0,IF($B73&gt;=INDEX(LE_Curves!$G$5:$G$205,201),INDEX(LE_Curves!$B$5:$B$205,201),INDEX(LE_Curves!$B$5:$B$205,MATCH($B73,LE_Curves!$G$5:$G$205,1))+($B73-INDEX(LE_Curves!$G$5:$G$205,MATCH($B73,LE_Curves!$G$5:$G$205,1)))*(INDEX(LE_Curves!$B$5:$B$205,MATCH($B73,LE_Curves!$G$5:$G$205,1)+1)-INDEX(LE_Curves!$B$5:$B$205,MATCH($B73,LE_Curves!$G$5:$G$205,1)))/(INDEX(LE_Curves!$G$5:$G$205,MATCH($B73,LE_Curves!$G$5:$G$205,1)+1)-INDEX(LE_Curves!$G$5:$G$205,MATCH($B73,LE_Curves!$G$5:$G$205,1))))))</f>
        <v/>
      </c>
      <c r="H73" s="11">
        <f>IF(Inputs!$D$28=0,0,IF($B73&lt;=Inputs!$C$28,0,IF($B73&gt;=INDEX(LE_Curves!$H$5:$H$205,201),INDEX(LE_Curves!$B$5:$B$205,201),INDEX(LE_Curves!$B$5:$B$205,MATCH($B73,LE_Curves!$H$5:$H$205,1))+($B73-INDEX(LE_Curves!$H$5:$H$205,MATCH($B73,LE_Curves!$H$5:$H$205,1)))*(INDEX(LE_Curves!$B$5:$B$205,MATCH($B73,LE_Curves!$H$5:$H$205,1)+1)-INDEX(LE_Curves!$B$5:$B$205,MATCH($B73,LE_Curves!$H$5:$H$205,1)))/(INDEX(LE_Curves!$H$5:$H$205,MATCH($B73,LE_Curves!$H$5:$H$205,1)+1)-INDEX(LE_Curves!$H$5:$H$205,MATCH($B73,LE_Curves!$H$5:$H$205,1))))))</f>
        <v/>
      </c>
      <c r="I73" s="11">
        <f>IF(Inputs!$D$29=0,0,IF($B73&lt;=Inputs!$C$29,0,IF($B73&gt;=INDEX(LE_Curves!$I$5:$I$205,201),INDEX(LE_Curves!$B$5:$B$205,201),INDEX(LE_Curves!$B$5:$B$205,MATCH($B73,LE_Curves!$I$5:$I$205,1))+($B73-INDEX(LE_Curves!$I$5:$I$205,MATCH($B73,LE_Curves!$I$5:$I$205,1)))*(INDEX(LE_Curves!$B$5:$B$205,MATCH($B73,LE_Curves!$I$5:$I$205,1)+1)-INDEX(LE_Curves!$B$5:$B$205,MATCH($B73,LE_Curves!$I$5:$I$205,1)))/(INDEX(LE_Curves!$I$5:$I$205,MATCH($B73,LE_Curves!$I$5:$I$205,1)+1)-INDEX(LE_Curves!$I$5:$I$205,MATCH($B73,LE_Curves!$I$5:$I$205,1))))))</f>
        <v/>
      </c>
      <c r="J73" s="11">
        <f>IF(Inputs!$D$30=0,0,IF($B73&lt;=Inputs!$C$30,0,IF($B73&gt;=INDEX(LE_Curves!$J$5:$J$205,201),INDEX(LE_Curves!$B$5:$B$205,201),INDEX(LE_Curves!$B$5:$B$205,MATCH($B73,LE_Curves!$J$5:$J$205,1))+($B73-INDEX(LE_Curves!$J$5:$J$205,MATCH($B73,LE_Curves!$J$5:$J$205,1)))*(INDEX(LE_Curves!$B$5:$B$205,MATCH($B73,LE_Curves!$J$5:$J$205,1)+1)-INDEX(LE_Curves!$B$5:$B$205,MATCH($B73,LE_Curves!$J$5:$J$205,1)))/(INDEX(LE_Curves!$J$5:$J$205,MATCH($B73,LE_Curves!$J$5:$J$205,1)+1)-INDEX(LE_Curves!$J$5:$J$205,MATCH($B73,LE_Curves!$J$5:$J$205,1))))))</f>
        <v/>
      </c>
      <c r="K73" s="11">
        <f>IF(Inputs!$D$31=0,0,IF($B73&lt;=Inputs!$C$31,0,IF($B73&gt;=INDEX(LE_Curves!$K$5:$K$205,201),INDEX(LE_Curves!$B$5:$B$205,201),INDEX(LE_Curves!$B$5:$B$205,MATCH($B73,LE_Curves!$K$5:$K$205,1))+($B73-INDEX(LE_Curves!$K$5:$K$205,MATCH($B73,LE_Curves!$K$5:$K$205,1)))*(INDEX(LE_Curves!$B$5:$B$205,MATCH($B73,LE_Curves!$K$5:$K$205,1)+1)-INDEX(LE_Curves!$B$5:$B$205,MATCH($B73,LE_Curves!$K$5:$K$205,1)))/(INDEX(LE_Curves!$K$5:$K$205,MATCH($B73,LE_Curves!$K$5:$K$205,1)+1)-INDEX(LE_Curves!$K$5:$K$205,MATCH($B73,LE_Curves!$K$5:$K$205,1))))))</f>
        <v/>
      </c>
      <c r="L73" s="11">
        <f>IF(Inputs!$D$32=0,0,IF($B73&lt;=Inputs!$C$32,0,IF($B73&gt;=INDEX(LE_Curves!$L$5:$L$205,201),INDEX(LE_Curves!$B$5:$B$205,201),INDEX(LE_Curves!$B$5:$B$205,MATCH($B73,LE_Curves!$L$5:$L$205,1))+($B73-INDEX(LE_Curves!$L$5:$L$205,MATCH($B73,LE_Curves!$L$5:$L$205,1)))*(INDEX(LE_Curves!$B$5:$B$205,MATCH($B73,LE_Curves!$L$5:$L$205,1)+1)-INDEX(LE_Curves!$B$5:$B$205,MATCH($B73,LE_Curves!$L$5:$L$205,1)))/(INDEX(LE_Curves!$L$5:$L$205,MATCH($B73,LE_Curves!$L$5:$L$205,1)+1)-INDEX(LE_Curves!$L$5:$L$205,MATCH($B73,LE_Curves!$L$5:$L$205,1))))))</f>
        <v/>
      </c>
      <c r="M73" s="11">
        <f>IF(Inputs!$D$33=0,0,IF($B73&lt;=Inputs!$C$33,0,IF($B73&gt;=INDEX(LE_Curves!$M$5:$M$205,201),INDEX(LE_Curves!$B$5:$B$205,201),INDEX(LE_Curves!$B$5:$B$205,MATCH($B73,LE_Curves!$M$5:$M$205,1))+($B73-INDEX(LE_Curves!$M$5:$M$205,MATCH($B73,LE_Curves!$M$5:$M$205,1)))*(INDEX(LE_Curves!$B$5:$B$205,MATCH($B73,LE_Curves!$M$5:$M$205,1)+1)-INDEX(LE_Curves!$B$5:$B$205,MATCH($B73,LE_Curves!$M$5:$M$205,1)))/(INDEX(LE_Curves!$M$5:$M$205,MATCH($B73,LE_Curves!$M$5:$M$205,1)+1)-INDEX(LE_Curves!$M$5:$M$205,MATCH($B73,LE_Curves!$M$5:$M$205,1))))))</f>
        <v/>
      </c>
      <c r="N73" s="11">
        <f>IF(Inputs!$D$34=0,0,IF($B73&lt;=Inputs!$C$34,0,IF($B73&gt;=INDEX(LE_Curves!$N$5:$N$205,201),INDEX(LE_Curves!$B$5:$B$205,201),INDEX(LE_Curves!$B$5:$B$205,MATCH($B73,LE_Curves!$N$5:$N$205,1))+($B73-INDEX(LE_Curves!$N$5:$N$205,MATCH($B73,LE_Curves!$N$5:$N$205,1)))*(INDEX(LE_Curves!$B$5:$B$205,MATCH($B73,LE_Curves!$N$5:$N$205,1)+1)-INDEX(LE_Curves!$B$5:$B$205,MATCH($B73,LE_Curves!$N$5:$N$205,1)))/(INDEX(LE_Curves!$N$5:$N$205,MATCH($B73,LE_Curves!$N$5:$N$205,1)+1)-INDEX(LE_Curves!$N$5:$N$205,MATCH($B73,LE_Curves!$N$5:$N$205,1))))))</f>
        <v/>
      </c>
      <c r="O73" s="11">
        <f>SUM(C73:N73)</f>
        <v/>
      </c>
      <c r="Q73" s="7" t="n">
        <v>42</v>
      </c>
      <c r="R73" s="23">
        <f>$B$6+($B$7-$B$6)*Q73/200</f>
        <v/>
      </c>
      <c r="S73" s="11">
        <f>IF(Inputs!$D$23=0,0,IF($R73&lt;=Inputs!$C$23,0,IF($R73&gt;=INDEX(LE_Curves!$C$5:$C$205,201),INDEX(LE_Curves!$B$5:$B$205,201),INDEX(LE_Curves!$B$5:$B$205,MATCH($R73,LE_Curves!$C$5:$C$205,1))+($R73-INDEX(LE_Curves!$C$5:$C$205,MATCH($R73,LE_Curves!$C$5:$C$205,1)))*(INDEX(LE_Curves!$B$5:$B$205,MATCH($R73,LE_Curves!$C$5:$C$205,1)+1)-INDEX(LE_Curves!$B$5:$B$205,MATCH($R73,LE_Curves!$C$5:$C$205,1)))/(INDEX(LE_Curves!$C$5:$C$205,MATCH($R73,LE_Curves!$C$5:$C$205,1)+1)-INDEX(LE_Curves!$C$5:$C$205,MATCH($R73,LE_Curves!$C$5:$C$205,1))))))</f>
        <v/>
      </c>
      <c r="T73" s="11">
        <f>IF(Inputs!$D$24=0,0,IF($R73&lt;=Inputs!$C$24,0,IF($R73&gt;=INDEX(LE_Curves!$D$5:$D$205,201),INDEX(LE_Curves!$B$5:$B$205,201),INDEX(LE_Curves!$B$5:$B$205,MATCH($R73,LE_Curves!$D$5:$D$205,1))+($R73-INDEX(LE_Curves!$D$5:$D$205,MATCH($R73,LE_Curves!$D$5:$D$205,1)))*(INDEX(LE_Curves!$B$5:$B$205,MATCH($R73,LE_Curves!$D$5:$D$205,1)+1)-INDEX(LE_Curves!$B$5:$B$205,MATCH($R73,LE_Curves!$D$5:$D$205,1)))/(INDEX(LE_Curves!$D$5:$D$205,MATCH($R73,LE_Curves!$D$5:$D$205,1)+1)-INDEX(LE_Curves!$D$5:$D$205,MATCH($R73,LE_Curves!$D$5:$D$205,1))))))</f>
        <v/>
      </c>
      <c r="U73" s="11">
        <f>IF(Inputs!$D$25=0,0,IF($R73&lt;=Inputs!$C$25,0,IF($R73&gt;=INDEX(LE_Curves!$E$5:$E$205,201),INDEX(LE_Curves!$B$5:$B$205,201),INDEX(LE_Curves!$B$5:$B$205,MATCH($R73,LE_Curves!$E$5:$E$205,1))+($R73-INDEX(LE_Curves!$E$5:$E$205,MATCH($R73,LE_Curves!$E$5:$E$205,1)))*(INDEX(LE_Curves!$B$5:$B$205,MATCH($R73,LE_Curves!$E$5:$E$205,1)+1)-INDEX(LE_Curves!$B$5:$B$205,MATCH($R73,LE_Curves!$E$5:$E$205,1)))/(INDEX(LE_Curves!$E$5:$E$205,MATCH($R73,LE_Curves!$E$5:$E$205,1)+1)-INDEX(LE_Curves!$E$5:$E$205,MATCH($R73,LE_Curves!$E$5:$E$205,1))))))</f>
        <v/>
      </c>
      <c r="V73" s="11">
        <f>IF(Inputs!$D$26=0,0,IF($R73&lt;=Inputs!$C$26,0,IF($R73&gt;=INDEX(LE_Curves!$F$5:$F$205,201),INDEX(LE_Curves!$B$5:$B$205,201),INDEX(LE_Curves!$B$5:$B$205,MATCH($R73,LE_Curves!$F$5:$F$205,1))+($R73-INDEX(LE_Curves!$F$5:$F$205,MATCH($R73,LE_Curves!$F$5:$F$205,1)))*(INDEX(LE_Curves!$B$5:$B$205,MATCH($R73,LE_Curves!$F$5:$F$205,1)+1)-INDEX(LE_Curves!$B$5:$B$205,MATCH($R73,LE_Curves!$F$5:$F$205,1)))/(INDEX(LE_Curves!$F$5:$F$205,MATCH($R73,LE_Curves!$F$5:$F$205,1)+1)-INDEX(LE_Curves!$F$5:$F$205,MATCH($R73,LE_Curves!$F$5:$F$205,1))))))</f>
        <v/>
      </c>
      <c r="W73" s="11">
        <f>IF(Inputs!$D$27=0,0,IF($R73&lt;=Inputs!$C$27,0,IF($R73&gt;=INDEX(LE_Curves!$G$5:$G$205,201),INDEX(LE_Curves!$B$5:$B$205,201),INDEX(LE_Curves!$B$5:$B$205,MATCH($R73,LE_Curves!$G$5:$G$205,1))+($R73-INDEX(LE_Curves!$G$5:$G$205,MATCH($R73,LE_Curves!$G$5:$G$205,1)))*(INDEX(LE_Curves!$B$5:$B$205,MATCH($R73,LE_Curves!$G$5:$G$205,1)+1)-INDEX(LE_Curves!$B$5:$B$205,MATCH($R73,LE_Curves!$G$5:$G$205,1)))/(INDEX(LE_Curves!$G$5:$G$205,MATCH($R73,LE_Curves!$G$5:$G$205,1)+1)-INDEX(LE_Curves!$G$5:$G$205,MATCH($R73,LE_Curves!$G$5:$G$205,1))))))</f>
        <v/>
      </c>
      <c r="X73" s="11">
        <f>IF(Inputs!$D$28=0,0,IF($R73&lt;=Inputs!$C$28,0,IF($R73&gt;=INDEX(LE_Curves!$H$5:$H$205,201),INDEX(LE_Curves!$B$5:$B$205,201),INDEX(LE_Curves!$B$5:$B$205,MATCH($R73,LE_Curves!$H$5:$H$205,1))+($R73-INDEX(LE_Curves!$H$5:$H$205,MATCH($R73,LE_Curves!$H$5:$H$205,1)))*(INDEX(LE_Curves!$B$5:$B$205,MATCH($R73,LE_Curves!$H$5:$H$205,1)+1)-INDEX(LE_Curves!$B$5:$B$205,MATCH($R73,LE_Curves!$H$5:$H$205,1)))/(INDEX(LE_Curves!$H$5:$H$205,MATCH($R73,LE_Curves!$H$5:$H$205,1)+1)-INDEX(LE_Curves!$H$5:$H$205,MATCH($R73,LE_Curves!$H$5:$H$205,1))))))</f>
        <v/>
      </c>
      <c r="Y73" s="11">
        <f>IF(Inputs!$D$29=0,0,IF($R73&lt;=Inputs!$C$29,0,IF($R73&gt;=INDEX(LE_Curves!$I$5:$I$205,201),INDEX(LE_Curves!$B$5:$B$205,201),INDEX(LE_Curves!$B$5:$B$205,MATCH($R73,LE_Curves!$I$5:$I$205,1))+($R73-INDEX(LE_Curves!$I$5:$I$205,MATCH($R73,LE_Curves!$I$5:$I$205,1)))*(INDEX(LE_Curves!$B$5:$B$205,MATCH($R73,LE_Curves!$I$5:$I$205,1)+1)-INDEX(LE_Curves!$B$5:$B$205,MATCH($R73,LE_Curves!$I$5:$I$205,1)))/(INDEX(LE_Curves!$I$5:$I$205,MATCH($R73,LE_Curves!$I$5:$I$205,1)+1)-INDEX(LE_Curves!$I$5:$I$205,MATCH($R73,LE_Curves!$I$5:$I$205,1))))))</f>
        <v/>
      </c>
      <c r="Z73" s="11">
        <f>IF(Inputs!$D$30=0,0,IF($R73&lt;=Inputs!$C$30,0,IF($R73&gt;=INDEX(LE_Curves!$J$5:$J$205,201),INDEX(LE_Curves!$B$5:$B$205,201),INDEX(LE_Curves!$B$5:$B$205,MATCH($R73,LE_Curves!$J$5:$J$205,1))+($R73-INDEX(LE_Curves!$J$5:$J$205,MATCH($R73,LE_Curves!$J$5:$J$205,1)))*(INDEX(LE_Curves!$B$5:$B$205,MATCH($R73,LE_Curves!$J$5:$J$205,1)+1)-INDEX(LE_Curves!$B$5:$B$205,MATCH($R73,LE_Curves!$J$5:$J$205,1)))/(INDEX(LE_Curves!$J$5:$J$205,MATCH($R73,LE_Curves!$J$5:$J$205,1)+1)-INDEX(LE_Curves!$J$5:$J$205,MATCH($R73,LE_Curves!$J$5:$J$205,1))))))</f>
        <v/>
      </c>
      <c r="AA73" s="11">
        <f>IF(Inputs!$D$31=0,0,IF($R73&lt;=Inputs!$C$31,0,IF($R73&gt;=INDEX(LE_Curves!$K$5:$K$205,201),INDEX(LE_Curves!$B$5:$B$205,201),INDEX(LE_Curves!$B$5:$B$205,MATCH($R73,LE_Curves!$K$5:$K$205,1))+($R73-INDEX(LE_Curves!$K$5:$K$205,MATCH($R73,LE_Curves!$K$5:$K$205,1)))*(INDEX(LE_Curves!$B$5:$B$205,MATCH($R73,LE_Curves!$K$5:$K$205,1)+1)-INDEX(LE_Curves!$B$5:$B$205,MATCH($R73,LE_Curves!$K$5:$K$205,1)))/(INDEX(LE_Curves!$K$5:$K$205,MATCH($R73,LE_Curves!$K$5:$K$205,1)+1)-INDEX(LE_Curves!$K$5:$K$205,MATCH($R73,LE_Curves!$K$5:$K$205,1))))))</f>
        <v/>
      </c>
      <c r="AB73" s="11">
        <f>IF(Inputs!$D$32=0,0,IF($R73&lt;=Inputs!$C$32,0,IF($R73&gt;=INDEX(LE_Curves!$L$5:$L$205,201),INDEX(LE_Curves!$B$5:$B$205,201),INDEX(LE_Curves!$B$5:$B$205,MATCH($R73,LE_Curves!$L$5:$L$205,1))+($R73-INDEX(LE_Curves!$L$5:$L$205,MATCH($R73,LE_Curves!$L$5:$L$205,1)))*(INDEX(LE_Curves!$B$5:$B$205,MATCH($R73,LE_Curves!$L$5:$L$205,1)+1)-INDEX(LE_Curves!$B$5:$B$205,MATCH($R73,LE_Curves!$L$5:$L$205,1)))/(INDEX(LE_Curves!$L$5:$L$205,MATCH($R73,LE_Curves!$L$5:$L$205,1)+1)-INDEX(LE_Curves!$L$5:$L$205,MATCH($R73,LE_Curves!$L$5:$L$205,1))))))</f>
        <v/>
      </c>
      <c r="AC73" s="11">
        <f>IF(Inputs!$D$33=0,0,IF($R73&lt;=Inputs!$C$33,0,IF($R73&gt;=INDEX(LE_Curves!$M$5:$M$205,201),INDEX(LE_Curves!$B$5:$B$205,201),INDEX(LE_Curves!$B$5:$B$205,MATCH($R73,LE_Curves!$M$5:$M$205,1))+($R73-INDEX(LE_Curves!$M$5:$M$205,MATCH($R73,LE_Curves!$M$5:$M$205,1)))*(INDEX(LE_Curves!$B$5:$B$205,MATCH($R73,LE_Curves!$M$5:$M$205,1)+1)-INDEX(LE_Curves!$B$5:$B$205,MATCH($R73,LE_Curves!$M$5:$M$205,1)))/(INDEX(LE_Curves!$M$5:$M$205,MATCH($R73,LE_Curves!$M$5:$M$205,1)+1)-INDEX(LE_Curves!$M$5:$M$205,MATCH($R73,LE_Curves!$M$5:$M$205,1))))))</f>
        <v/>
      </c>
      <c r="AD73" s="11">
        <f>IF(Inputs!$D$34=0,0,IF($R73&lt;=Inputs!$C$34,0,IF($R73&gt;=INDEX(LE_Curves!$N$5:$N$205,201),INDEX(LE_Curves!$B$5:$B$205,201),INDEX(LE_Curves!$B$5:$B$205,MATCH($R73,LE_Curves!$N$5:$N$205,1))+($R73-INDEX(LE_Curves!$N$5:$N$205,MATCH($R73,LE_Curves!$N$5:$N$205,1)))*(INDEX(LE_Curves!$B$5:$B$205,MATCH($R73,LE_Curves!$N$5:$N$205,1)+1)-INDEX(LE_Curves!$B$5:$B$205,MATCH($R73,LE_Curves!$N$5:$N$205,1)))/(INDEX(LE_Curves!$N$5:$N$205,MATCH($R73,LE_Curves!$N$5:$N$205,1)+1)-INDEX(LE_Curves!$N$5:$N$205,MATCH($R73,LE_Curves!$N$5:$N$205,1))))))</f>
        <v/>
      </c>
      <c r="AE73" s="37">
        <f>SUM(S73:AD73)</f>
        <v/>
      </c>
    </row>
    <row r="74">
      <c r="A74" s="7" t="n">
        <v>43</v>
      </c>
      <c r="B74" s="37">
        <f>$B$3+($B$4-$B$3)*A74/200</f>
        <v/>
      </c>
      <c r="C74" s="11">
        <f>IF(Inputs!$D$23=0,0,IF($B74&lt;=Inputs!$C$23,0,IF($B74&gt;=INDEX(LE_Curves!$C$5:$C$205,201),INDEX(LE_Curves!$B$5:$B$205,201),INDEX(LE_Curves!$B$5:$B$205,MATCH($B74,LE_Curves!$C$5:$C$205,1))+($B74-INDEX(LE_Curves!$C$5:$C$205,MATCH($B74,LE_Curves!$C$5:$C$205,1)))*(INDEX(LE_Curves!$B$5:$B$205,MATCH($B74,LE_Curves!$C$5:$C$205,1)+1)-INDEX(LE_Curves!$B$5:$B$205,MATCH($B74,LE_Curves!$C$5:$C$205,1)))/(INDEX(LE_Curves!$C$5:$C$205,MATCH($B74,LE_Curves!$C$5:$C$205,1)+1)-INDEX(LE_Curves!$C$5:$C$205,MATCH($B74,LE_Curves!$C$5:$C$205,1))))))</f>
        <v/>
      </c>
      <c r="D74" s="11">
        <f>IF(Inputs!$D$24=0,0,IF($B74&lt;=Inputs!$C$24,0,IF($B74&gt;=INDEX(LE_Curves!$D$5:$D$205,201),INDEX(LE_Curves!$B$5:$B$205,201),INDEX(LE_Curves!$B$5:$B$205,MATCH($B74,LE_Curves!$D$5:$D$205,1))+($B74-INDEX(LE_Curves!$D$5:$D$205,MATCH($B74,LE_Curves!$D$5:$D$205,1)))*(INDEX(LE_Curves!$B$5:$B$205,MATCH($B74,LE_Curves!$D$5:$D$205,1)+1)-INDEX(LE_Curves!$B$5:$B$205,MATCH($B74,LE_Curves!$D$5:$D$205,1)))/(INDEX(LE_Curves!$D$5:$D$205,MATCH($B74,LE_Curves!$D$5:$D$205,1)+1)-INDEX(LE_Curves!$D$5:$D$205,MATCH($B74,LE_Curves!$D$5:$D$205,1))))))</f>
        <v/>
      </c>
      <c r="E74" s="11">
        <f>IF(Inputs!$D$25=0,0,IF($B74&lt;=Inputs!$C$25,0,IF($B74&gt;=INDEX(LE_Curves!$E$5:$E$205,201),INDEX(LE_Curves!$B$5:$B$205,201),INDEX(LE_Curves!$B$5:$B$205,MATCH($B74,LE_Curves!$E$5:$E$205,1))+($B74-INDEX(LE_Curves!$E$5:$E$205,MATCH($B74,LE_Curves!$E$5:$E$205,1)))*(INDEX(LE_Curves!$B$5:$B$205,MATCH($B74,LE_Curves!$E$5:$E$205,1)+1)-INDEX(LE_Curves!$B$5:$B$205,MATCH($B74,LE_Curves!$E$5:$E$205,1)))/(INDEX(LE_Curves!$E$5:$E$205,MATCH($B74,LE_Curves!$E$5:$E$205,1)+1)-INDEX(LE_Curves!$E$5:$E$205,MATCH($B74,LE_Curves!$E$5:$E$205,1))))))</f>
        <v/>
      </c>
      <c r="F74" s="11">
        <f>IF(Inputs!$D$26=0,0,IF($B74&lt;=Inputs!$C$26,0,IF($B74&gt;=INDEX(LE_Curves!$F$5:$F$205,201),INDEX(LE_Curves!$B$5:$B$205,201),INDEX(LE_Curves!$B$5:$B$205,MATCH($B74,LE_Curves!$F$5:$F$205,1))+($B74-INDEX(LE_Curves!$F$5:$F$205,MATCH($B74,LE_Curves!$F$5:$F$205,1)))*(INDEX(LE_Curves!$B$5:$B$205,MATCH($B74,LE_Curves!$F$5:$F$205,1)+1)-INDEX(LE_Curves!$B$5:$B$205,MATCH($B74,LE_Curves!$F$5:$F$205,1)))/(INDEX(LE_Curves!$F$5:$F$205,MATCH($B74,LE_Curves!$F$5:$F$205,1)+1)-INDEX(LE_Curves!$F$5:$F$205,MATCH($B74,LE_Curves!$F$5:$F$205,1))))))</f>
        <v/>
      </c>
      <c r="G74" s="11">
        <f>IF(Inputs!$D$27=0,0,IF($B74&lt;=Inputs!$C$27,0,IF($B74&gt;=INDEX(LE_Curves!$G$5:$G$205,201),INDEX(LE_Curves!$B$5:$B$205,201),INDEX(LE_Curves!$B$5:$B$205,MATCH($B74,LE_Curves!$G$5:$G$205,1))+($B74-INDEX(LE_Curves!$G$5:$G$205,MATCH($B74,LE_Curves!$G$5:$G$205,1)))*(INDEX(LE_Curves!$B$5:$B$205,MATCH($B74,LE_Curves!$G$5:$G$205,1)+1)-INDEX(LE_Curves!$B$5:$B$205,MATCH($B74,LE_Curves!$G$5:$G$205,1)))/(INDEX(LE_Curves!$G$5:$G$205,MATCH($B74,LE_Curves!$G$5:$G$205,1)+1)-INDEX(LE_Curves!$G$5:$G$205,MATCH($B74,LE_Curves!$G$5:$G$205,1))))))</f>
        <v/>
      </c>
      <c r="H74" s="11">
        <f>IF(Inputs!$D$28=0,0,IF($B74&lt;=Inputs!$C$28,0,IF($B74&gt;=INDEX(LE_Curves!$H$5:$H$205,201),INDEX(LE_Curves!$B$5:$B$205,201),INDEX(LE_Curves!$B$5:$B$205,MATCH($B74,LE_Curves!$H$5:$H$205,1))+($B74-INDEX(LE_Curves!$H$5:$H$205,MATCH($B74,LE_Curves!$H$5:$H$205,1)))*(INDEX(LE_Curves!$B$5:$B$205,MATCH($B74,LE_Curves!$H$5:$H$205,1)+1)-INDEX(LE_Curves!$B$5:$B$205,MATCH($B74,LE_Curves!$H$5:$H$205,1)))/(INDEX(LE_Curves!$H$5:$H$205,MATCH($B74,LE_Curves!$H$5:$H$205,1)+1)-INDEX(LE_Curves!$H$5:$H$205,MATCH($B74,LE_Curves!$H$5:$H$205,1))))))</f>
        <v/>
      </c>
      <c r="I74" s="11">
        <f>IF(Inputs!$D$29=0,0,IF($B74&lt;=Inputs!$C$29,0,IF($B74&gt;=INDEX(LE_Curves!$I$5:$I$205,201),INDEX(LE_Curves!$B$5:$B$205,201),INDEX(LE_Curves!$B$5:$B$205,MATCH($B74,LE_Curves!$I$5:$I$205,1))+($B74-INDEX(LE_Curves!$I$5:$I$205,MATCH($B74,LE_Curves!$I$5:$I$205,1)))*(INDEX(LE_Curves!$B$5:$B$205,MATCH($B74,LE_Curves!$I$5:$I$205,1)+1)-INDEX(LE_Curves!$B$5:$B$205,MATCH($B74,LE_Curves!$I$5:$I$205,1)))/(INDEX(LE_Curves!$I$5:$I$205,MATCH($B74,LE_Curves!$I$5:$I$205,1)+1)-INDEX(LE_Curves!$I$5:$I$205,MATCH($B74,LE_Curves!$I$5:$I$205,1))))))</f>
        <v/>
      </c>
      <c r="J74" s="11">
        <f>IF(Inputs!$D$30=0,0,IF($B74&lt;=Inputs!$C$30,0,IF($B74&gt;=INDEX(LE_Curves!$J$5:$J$205,201),INDEX(LE_Curves!$B$5:$B$205,201),INDEX(LE_Curves!$B$5:$B$205,MATCH($B74,LE_Curves!$J$5:$J$205,1))+($B74-INDEX(LE_Curves!$J$5:$J$205,MATCH($B74,LE_Curves!$J$5:$J$205,1)))*(INDEX(LE_Curves!$B$5:$B$205,MATCH($B74,LE_Curves!$J$5:$J$205,1)+1)-INDEX(LE_Curves!$B$5:$B$205,MATCH($B74,LE_Curves!$J$5:$J$205,1)))/(INDEX(LE_Curves!$J$5:$J$205,MATCH($B74,LE_Curves!$J$5:$J$205,1)+1)-INDEX(LE_Curves!$J$5:$J$205,MATCH($B74,LE_Curves!$J$5:$J$205,1))))))</f>
        <v/>
      </c>
      <c r="K74" s="11">
        <f>IF(Inputs!$D$31=0,0,IF($B74&lt;=Inputs!$C$31,0,IF($B74&gt;=INDEX(LE_Curves!$K$5:$K$205,201),INDEX(LE_Curves!$B$5:$B$205,201),INDEX(LE_Curves!$B$5:$B$205,MATCH($B74,LE_Curves!$K$5:$K$205,1))+($B74-INDEX(LE_Curves!$K$5:$K$205,MATCH($B74,LE_Curves!$K$5:$K$205,1)))*(INDEX(LE_Curves!$B$5:$B$205,MATCH($B74,LE_Curves!$K$5:$K$205,1)+1)-INDEX(LE_Curves!$B$5:$B$205,MATCH($B74,LE_Curves!$K$5:$K$205,1)))/(INDEX(LE_Curves!$K$5:$K$205,MATCH($B74,LE_Curves!$K$5:$K$205,1)+1)-INDEX(LE_Curves!$K$5:$K$205,MATCH($B74,LE_Curves!$K$5:$K$205,1))))))</f>
        <v/>
      </c>
      <c r="L74" s="11">
        <f>IF(Inputs!$D$32=0,0,IF($B74&lt;=Inputs!$C$32,0,IF($B74&gt;=INDEX(LE_Curves!$L$5:$L$205,201),INDEX(LE_Curves!$B$5:$B$205,201),INDEX(LE_Curves!$B$5:$B$205,MATCH($B74,LE_Curves!$L$5:$L$205,1))+($B74-INDEX(LE_Curves!$L$5:$L$205,MATCH($B74,LE_Curves!$L$5:$L$205,1)))*(INDEX(LE_Curves!$B$5:$B$205,MATCH($B74,LE_Curves!$L$5:$L$205,1)+1)-INDEX(LE_Curves!$B$5:$B$205,MATCH($B74,LE_Curves!$L$5:$L$205,1)))/(INDEX(LE_Curves!$L$5:$L$205,MATCH($B74,LE_Curves!$L$5:$L$205,1)+1)-INDEX(LE_Curves!$L$5:$L$205,MATCH($B74,LE_Curves!$L$5:$L$205,1))))))</f>
        <v/>
      </c>
      <c r="M74" s="11">
        <f>IF(Inputs!$D$33=0,0,IF($B74&lt;=Inputs!$C$33,0,IF($B74&gt;=INDEX(LE_Curves!$M$5:$M$205,201),INDEX(LE_Curves!$B$5:$B$205,201),INDEX(LE_Curves!$B$5:$B$205,MATCH($B74,LE_Curves!$M$5:$M$205,1))+($B74-INDEX(LE_Curves!$M$5:$M$205,MATCH($B74,LE_Curves!$M$5:$M$205,1)))*(INDEX(LE_Curves!$B$5:$B$205,MATCH($B74,LE_Curves!$M$5:$M$205,1)+1)-INDEX(LE_Curves!$B$5:$B$205,MATCH($B74,LE_Curves!$M$5:$M$205,1)))/(INDEX(LE_Curves!$M$5:$M$205,MATCH($B74,LE_Curves!$M$5:$M$205,1)+1)-INDEX(LE_Curves!$M$5:$M$205,MATCH($B74,LE_Curves!$M$5:$M$205,1))))))</f>
        <v/>
      </c>
      <c r="N74" s="11">
        <f>IF(Inputs!$D$34=0,0,IF($B74&lt;=Inputs!$C$34,0,IF($B74&gt;=INDEX(LE_Curves!$N$5:$N$205,201),INDEX(LE_Curves!$B$5:$B$205,201),INDEX(LE_Curves!$B$5:$B$205,MATCH($B74,LE_Curves!$N$5:$N$205,1))+($B74-INDEX(LE_Curves!$N$5:$N$205,MATCH($B74,LE_Curves!$N$5:$N$205,1)))*(INDEX(LE_Curves!$B$5:$B$205,MATCH($B74,LE_Curves!$N$5:$N$205,1)+1)-INDEX(LE_Curves!$B$5:$B$205,MATCH($B74,LE_Curves!$N$5:$N$205,1)))/(INDEX(LE_Curves!$N$5:$N$205,MATCH($B74,LE_Curves!$N$5:$N$205,1)+1)-INDEX(LE_Curves!$N$5:$N$205,MATCH($B74,LE_Curves!$N$5:$N$205,1))))))</f>
        <v/>
      </c>
      <c r="O74" s="11">
        <f>SUM(C74:N74)</f>
        <v/>
      </c>
      <c r="Q74" s="7" t="n">
        <v>43</v>
      </c>
      <c r="R74" s="23">
        <f>$B$6+($B$7-$B$6)*Q74/200</f>
        <v/>
      </c>
      <c r="S74" s="11">
        <f>IF(Inputs!$D$23=0,0,IF($R74&lt;=Inputs!$C$23,0,IF($R74&gt;=INDEX(LE_Curves!$C$5:$C$205,201),INDEX(LE_Curves!$B$5:$B$205,201),INDEX(LE_Curves!$B$5:$B$205,MATCH($R74,LE_Curves!$C$5:$C$205,1))+($R74-INDEX(LE_Curves!$C$5:$C$205,MATCH($R74,LE_Curves!$C$5:$C$205,1)))*(INDEX(LE_Curves!$B$5:$B$205,MATCH($R74,LE_Curves!$C$5:$C$205,1)+1)-INDEX(LE_Curves!$B$5:$B$205,MATCH($R74,LE_Curves!$C$5:$C$205,1)))/(INDEX(LE_Curves!$C$5:$C$205,MATCH($R74,LE_Curves!$C$5:$C$205,1)+1)-INDEX(LE_Curves!$C$5:$C$205,MATCH($R74,LE_Curves!$C$5:$C$205,1))))))</f>
        <v/>
      </c>
      <c r="T74" s="11">
        <f>IF(Inputs!$D$24=0,0,IF($R74&lt;=Inputs!$C$24,0,IF($R74&gt;=INDEX(LE_Curves!$D$5:$D$205,201),INDEX(LE_Curves!$B$5:$B$205,201),INDEX(LE_Curves!$B$5:$B$205,MATCH($R74,LE_Curves!$D$5:$D$205,1))+($R74-INDEX(LE_Curves!$D$5:$D$205,MATCH($R74,LE_Curves!$D$5:$D$205,1)))*(INDEX(LE_Curves!$B$5:$B$205,MATCH($R74,LE_Curves!$D$5:$D$205,1)+1)-INDEX(LE_Curves!$B$5:$B$205,MATCH($R74,LE_Curves!$D$5:$D$205,1)))/(INDEX(LE_Curves!$D$5:$D$205,MATCH($R74,LE_Curves!$D$5:$D$205,1)+1)-INDEX(LE_Curves!$D$5:$D$205,MATCH($R74,LE_Curves!$D$5:$D$205,1))))))</f>
        <v/>
      </c>
      <c r="U74" s="11">
        <f>IF(Inputs!$D$25=0,0,IF($R74&lt;=Inputs!$C$25,0,IF($R74&gt;=INDEX(LE_Curves!$E$5:$E$205,201),INDEX(LE_Curves!$B$5:$B$205,201),INDEX(LE_Curves!$B$5:$B$205,MATCH($R74,LE_Curves!$E$5:$E$205,1))+($R74-INDEX(LE_Curves!$E$5:$E$205,MATCH($R74,LE_Curves!$E$5:$E$205,1)))*(INDEX(LE_Curves!$B$5:$B$205,MATCH($R74,LE_Curves!$E$5:$E$205,1)+1)-INDEX(LE_Curves!$B$5:$B$205,MATCH($R74,LE_Curves!$E$5:$E$205,1)))/(INDEX(LE_Curves!$E$5:$E$205,MATCH($R74,LE_Curves!$E$5:$E$205,1)+1)-INDEX(LE_Curves!$E$5:$E$205,MATCH($R74,LE_Curves!$E$5:$E$205,1))))))</f>
        <v/>
      </c>
      <c r="V74" s="11">
        <f>IF(Inputs!$D$26=0,0,IF($R74&lt;=Inputs!$C$26,0,IF($R74&gt;=INDEX(LE_Curves!$F$5:$F$205,201),INDEX(LE_Curves!$B$5:$B$205,201),INDEX(LE_Curves!$B$5:$B$205,MATCH($R74,LE_Curves!$F$5:$F$205,1))+($R74-INDEX(LE_Curves!$F$5:$F$205,MATCH($R74,LE_Curves!$F$5:$F$205,1)))*(INDEX(LE_Curves!$B$5:$B$205,MATCH($R74,LE_Curves!$F$5:$F$205,1)+1)-INDEX(LE_Curves!$B$5:$B$205,MATCH($R74,LE_Curves!$F$5:$F$205,1)))/(INDEX(LE_Curves!$F$5:$F$205,MATCH($R74,LE_Curves!$F$5:$F$205,1)+1)-INDEX(LE_Curves!$F$5:$F$205,MATCH($R74,LE_Curves!$F$5:$F$205,1))))))</f>
        <v/>
      </c>
      <c r="W74" s="11">
        <f>IF(Inputs!$D$27=0,0,IF($R74&lt;=Inputs!$C$27,0,IF($R74&gt;=INDEX(LE_Curves!$G$5:$G$205,201),INDEX(LE_Curves!$B$5:$B$205,201),INDEX(LE_Curves!$B$5:$B$205,MATCH($R74,LE_Curves!$G$5:$G$205,1))+($R74-INDEX(LE_Curves!$G$5:$G$205,MATCH($R74,LE_Curves!$G$5:$G$205,1)))*(INDEX(LE_Curves!$B$5:$B$205,MATCH($R74,LE_Curves!$G$5:$G$205,1)+1)-INDEX(LE_Curves!$B$5:$B$205,MATCH($R74,LE_Curves!$G$5:$G$205,1)))/(INDEX(LE_Curves!$G$5:$G$205,MATCH($R74,LE_Curves!$G$5:$G$205,1)+1)-INDEX(LE_Curves!$G$5:$G$205,MATCH($R74,LE_Curves!$G$5:$G$205,1))))))</f>
        <v/>
      </c>
      <c r="X74" s="11">
        <f>IF(Inputs!$D$28=0,0,IF($R74&lt;=Inputs!$C$28,0,IF($R74&gt;=INDEX(LE_Curves!$H$5:$H$205,201),INDEX(LE_Curves!$B$5:$B$205,201),INDEX(LE_Curves!$B$5:$B$205,MATCH($R74,LE_Curves!$H$5:$H$205,1))+($R74-INDEX(LE_Curves!$H$5:$H$205,MATCH($R74,LE_Curves!$H$5:$H$205,1)))*(INDEX(LE_Curves!$B$5:$B$205,MATCH($R74,LE_Curves!$H$5:$H$205,1)+1)-INDEX(LE_Curves!$B$5:$B$205,MATCH($R74,LE_Curves!$H$5:$H$205,1)))/(INDEX(LE_Curves!$H$5:$H$205,MATCH($R74,LE_Curves!$H$5:$H$205,1)+1)-INDEX(LE_Curves!$H$5:$H$205,MATCH($R74,LE_Curves!$H$5:$H$205,1))))))</f>
        <v/>
      </c>
      <c r="Y74" s="11">
        <f>IF(Inputs!$D$29=0,0,IF($R74&lt;=Inputs!$C$29,0,IF($R74&gt;=INDEX(LE_Curves!$I$5:$I$205,201),INDEX(LE_Curves!$B$5:$B$205,201),INDEX(LE_Curves!$B$5:$B$205,MATCH($R74,LE_Curves!$I$5:$I$205,1))+($R74-INDEX(LE_Curves!$I$5:$I$205,MATCH($R74,LE_Curves!$I$5:$I$205,1)))*(INDEX(LE_Curves!$B$5:$B$205,MATCH($R74,LE_Curves!$I$5:$I$205,1)+1)-INDEX(LE_Curves!$B$5:$B$205,MATCH($R74,LE_Curves!$I$5:$I$205,1)))/(INDEX(LE_Curves!$I$5:$I$205,MATCH($R74,LE_Curves!$I$5:$I$205,1)+1)-INDEX(LE_Curves!$I$5:$I$205,MATCH($R74,LE_Curves!$I$5:$I$205,1))))))</f>
        <v/>
      </c>
      <c r="Z74" s="11">
        <f>IF(Inputs!$D$30=0,0,IF($R74&lt;=Inputs!$C$30,0,IF($R74&gt;=INDEX(LE_Curves!$J$5:$J$205,201),INDEX(LE_Curves!$B$5:$B$205,201),INDEX(LE_Curves!$B$5:$B$205,MATCH($R74,LE_Curves!$J$5:$J$205,1))+($R74-INDEX(LE_Curves!$J$5:$J$205,MATCH($R74,LE_Curves!$J$5:$J$205,1)))*(INDEX(LE_Curves!$B$5:$B$205,MATCH($R74,LE_Curves!$J$5:$J$205,1)+1)-INDEX(LE_Curves!$B$5:$B$205,MATCH($R74,LE_Curves!$J$5:$J$205,1)))/(INDEX(LE_Curves!$J$5:$J$205,MATCH($R74,LE_Curves!$J$5:$J$205,1)+1)-INDEX(LE_Curves!$J$5:$J$205,MATCH($R74,LE_Curves!$J$5:$J$205,1))))))</f>
        <v/>
      </c>
      <c r="AA74" s="11">
        <f>IF(Inputs!$D$31=0,0,IF($R74&lt;=Inputs!$C$31,0,IF($R74&gt;=INDEX(LE_Curves!$K$5:$K$205,201),INDEX(LE_Curves!$B$5:$B$205,201),INDEX(LE_Curves!$B$5:$B$205,MATCH($R74,LE_Curves!$K$5:$K$205,1))+($R74-INDEX(LE_Curves!$K$5:$K$205,MATCH($R74,LE_Curves!$K$5:$K$205,1)))*(INDEX(LE_Curves!$B$5:$B$205,MATCH($R74,LE_Curves!$K$5:$K$205,1)+1)-INDEX(LE_Curves!$B$5:$B$205,MATCH($R74,LE_Curves!$K$5:$K$205,1)))/(INDEX(LE_Curves!$K$5:$K$205,MATCH($R74,LE_Curves!$K$5:$K$205,1)+1)-INDEX(LE_Curves!$K$5:$K$205,MATCH($R74,LE_Curves!$K$5:$K$205,1))))))</f>
        <v/>
      </c>
      <c r="AB74" s="11">
        <f>IF(Inputs!$D$32=0,0,IF($R74&lt;=Inputs!$C$32,0,IF($R74&gt;=INDEX(LE_Curves!$L$5:$L$205,201),INDEX(LE_Curves!$B$5:$B$205,201),INDEX(LE_Curves!$B$5:$B$205,MATCH($R74,LE_Curves!$L$5:$L$205,1))+($R74-INDEX(LE_Curves!$L$5:$L$205,MATCH($R74,LE_Curves!$L$5:$L$205,1)))*(INDEX(LE_Curves!$B$5:$B$205,MATCH($R74,LE_Curves!$L$5:$L$205,1)+1)-INDEX(LE_Curves!$B$5:$B$205,MATCH($R74,LE_Curves!$L$5:$L$205,1)))/(INDEX(LE_Curves!$L$5:$L$205,MATCH($R74,LE_Curves!$L$5:$L$205,1)+1)-INDEX(LE_Curves!$L$5:$L$205,MATCH($R74,LE_Curves!$L$5:$L$205,1))))))</f>
        <v/>
      </c>
      <c r="AC74" s="11">
        <f>IF(Inputs!$D$33=0,0,IF($R74&lt;=Inputs!$C$33,0,IF($R74&gt;=INDEX(LE_Curves!$M$5:$M$205,201),INDEX(LE_Curves!$B$5:$B$205,201),INDEX(LE_Curves!$B$5:$B$205,MATCH($R74,LE_Curves!$M$5:$M$205,1))+($R74-INDEX(LE_Curves!$M$5:$M$205,MATCH($R74,LE_Curves!$M$5:$M$205,1)))*(INDEX(LE_Curves!$B$5:$B$205,MATCH($R74,LE_Curves!$M$5:$M$205,1)+1)-INDEX(LE_Curves!$B$5:$B$205,MATCH($R74,LE_Curves!$M$5:$M$205,1)))/(INDEX(LE_Curves!$M$5:$M$205,MATCH($R74,LE_Curves!$M$5:$M$205,1)+1)-INDEX(LE_Curves!$M$5:$M$205,MATCH($R74,LE_Curves!$M$5:$M$205,1))))))</f>
        <v/>
      </c>
      <c r="AD74" s="11">
        <f>IF(Inputs!$D$34=0,0,IF($R74&lt;=Inputs!$C$34,0,IF($R74&gt;=INDEX(LE_Curves!$N$5:$N$205,201),INDEX(LE_Curves!$B$5:$B$205,201),INDEX(LE_Curves!$B$5:$B$205,MATCH($R74,LE_Curves!$N$5:$N$205,1))+($R74-INDEX(LE_Curves!$N$5:$N$205,MATCH($R74,LE_Curves!$N$5:$N$205,1)))*(INDEX(LE_Curves!$B$5:$B$205,MATCH($R74,LE_Curves!$N$5:$N$205,1)+1)-INDEX(LE_Curves!$B$5:$B$205,MATCH($R74,LE_Curves!$N$5:$N$205,1)))/(INDEX(LE_Curves!$N$5:$N$205,MATCH($R74,LE_Curves!$N$5:$N$205,1)+1)-INDEX(LE_Curves!$N$5:$N$205,MATCH($R74,LE_Curves!$N$5:$N$205,1))))))</f>
        <v/>
      </c>
      <c r="AE74" s="37">
        <f>SUM(S74:AD74)</f>
        <v/>
      </c>
    </row>
    <row r="75">
      <c r="A75" s="7" t="n">
        <v>44</v>
      </c>
      <c r="B75" s="37">
        <f>$B$3+($B$4-$B$3)*A75/200</f>
        <v/>
      </c>
      <c r="C75" s="11">
        <f>IF(Inputs!$D$23=0,0,IF($B75&lt;=Inputs!$C$23,0,IF($B75&gt;=INDEX(LE_Curves!$C$5:$C$205,201),INDEX(LE_Curves!$B$5:$B$205,201),INDEX(LE_Curves!$B$5:$B$205,MATCH($B75,LE_Curves!$C$5:$C$205,1))+($B75-INDEX(LE_Curves!$C$5:$C$205,MATCH($B75,LE_Curves!$C$5:$C$205,1)))*(INDEX(LE_Curves!$B$5:$B$205,MATCH($B75,LE_Curves!$C$5:$C$205,1)+1)-INDEX(LE_Curves!$B$5:$B$205,MATCH($B75,LE_Curves!$C$5:$C$205,1)))/(INDEX(LE_Curves!$C$5:$C$205,MATCH($B75,LE_Curves!$C$5:$C$205,1)+1)-INDEX(LE_Curves!$C$5:$C$205,MATCH($B75,LE_Curves!$C$5:$C$205,1))))))</f>
        <v/>
      </c>
      <c r="D75" s="11">
        <f>IF(Inputs!$D$24=0,0,IF($B75&lt;=Inputs!$C$24,0,IF($B75&gt;=INDEX(LE_Curves!$D$5:$D$205,201),INDEX(LE_Curves!$B$5:$B$205,201),INDEX(LE_Curves!$B$5:$B$205,MATCH($B75,LE_Curves!$D$5:$D$205,1))+($B75-INDEX(LE_Curves!$D$5:$D$205,MATCH($B75,LE_Curves!$D$5:$D$205,1)))*(INDEX(LE_Curves!$B$5:$B$205,MATCH($B75,LE_Curves!$D$5:$D$205,1)+1)-INDEX(LE_Curves!$B$5:$B$205,MATCH($B75,LE_Curves!$D$5:$D$205,1)))/(INDEX(LE_Curves!$D$5:$D$205,MATCH($B75,LE_Curves!$D$5:$D$205,1)+1)-INDEX(LE_Curves!$D$5:$D$205,MATCH($B75,LE_Curves!$D$5:$D$205,1))))))</f>
        <v/>
      </c>
      <c r="E75" s="11">
        <f>IF(Inputs!$D$25=0,0,IF($B75&lt;=Inputs!$C$25,0,IF($B75&gt;=INDEX(LE_Curves!$E$5:$E$205,201),INDEX(LE_Curves!$B$5:$B$205,201),INDEX(LE_Curves!$B$5:$B$205,MATCH($B75,LE_Curves!$E$5:$E$205,1))+($B75-INDEX(LE_Curves!$E$5:$E$205,MATCH($B75,LE_Curves!$E$5:$E$205,1)))*(INDEX(LE_Curves!$B$5:$B$205,MATCH($B75,LE_Curves!$E$5:$E$205,1)+1)-INDEX(LE_Curves!$B$5:$B$205,MATCH($B75,LE_Curves!$E$5:$E$205,1)))/(INDEX(LE_Curves!$E$5:$E$205,MATCH($B75,LE_Curves!$E$5:$E$205,1)+1)-INDEX(LE_Curves!$E$5:$E$205,MATCH($B75,LE_Curves!$E$5:$E$205,1))))))</f>
        <v/>
      </c>
      <c r="F75" s="11">
        <f>IF(Inputs!$D$26=0,0,IF($B75&lt;=Inputs!$C$26,0,IF($B75&gt;=INDEX(LE_Curves!$F$5:$F$205,201),INDEX(LE_Curves!$B$5:$B$205,201),INDEX(LE_Curves!$B$5:$B$205,MATCH($B75,LE_Curves!$F$5:$F$205,1))+($B75-INDEX(LE_Curves!$F$5:$F$205,MATCH($B75,LE_Curves!$F$5:$F$205,1)))*(INDEX(LE_Curves!$B$5:$B$205,MATCH($B75,LE_Curves!$F$5:$F$205,1)+1)-INDEX(LE_Curves!$B$5:$B$205,MATCH($B75,LE_Curves!$F$5:$F$205,1)))/(INDEX(LE_Curves!$F$5:$F$205,MATCH($B75,LE_Curves!$F$5:$F$205,1)+1)-INDEX(LE_Curves!$F$5:$F$205,MATCH($B75,LE_Curves!$F$5:$F$205,1))))))</f>
        <v/>
      </c>
      <c r="G75" s="11">
        <f>IF(Inputs!$D$27=0,0,IF($B75&lt;=Inputs!$C$27,0,IF($B75&gt;=INDEX(LE_Curves!$G$5:$G$205,201),INDEX(LE_Curves!$B$5:$B$205,201),INDEX(LE_Curves!$B$5:$B$205,MATCH($B75,LE_Curves!$G$5:$G$205,1))+($B75-INDEX(LE_Curves!$G$5:$G$205,MATCH($B75,LE_Curves!$G$5:$G$205,1)))*(INDEX(LE_Curves!$B$5:$B$205,MATCH($B75,LE_Curves!$G$5:$G$205,1)+1)-INDEX(LE_Curves!$B$5:$B$205,MATCH($B75,LE_Curves!$G$5:$G$205,1)))/(INDEX(LE_Curves!$G$5:$G$205,MATCH($B75,LE_Curves!$G$5:$G$205,1)+1)-INDEX(LE_Curves!$G$5:$G$205,MATCH($B75,LE_Curves!$G$5:$G$205,1))))))</f>
        <v/>
      </c>
      <c r="H75" s="11">
        <f>IF(Inputs!$D$28=0,0,IF($B75&lt;=Inputs!$C$28,0,IF($B75&gt;=INDEX(LE_Curves!$H$5:$H$205,201),INDEX(LE_Curves!$B$5:$B$205,201),INDEX(LE_Curves!$B$5:$B$205,MATCH($B75,LE_Curves!$H$5:$H$205,1))+($B75-INDEX(LE_Curves!$H$5:$H$205,MATCH($B75,LE_Curves!$H$5:$H$205,1)))*(INDEX(LE_Curves!$B$5:$B$205,MATCH($B75,LE_Curves!$H$5:$H$205,1)+1)-INDEX(LE_Curves!$B$5:$B$205,MATCH($B75,LE_Curves!$H$5:$H$205,1)))/(INDEX(LE_Curves!$H$5:$H$205,MATCH($B75,LE_Curves!$H$5:$H$205,1)+1)-INDEX(LE_Curves!$H$5:$H$205,MATCH($B75,LE_Curves!$H$5:$H$205,1))))))</f>
        <v/>
      </c>
      <c r="I75" s="11">
        <f>IF(Inputs!$D$29=0,0,IF($B75&lt;=Inputs!$C$29,0,IF($B75&gt;=INDEX(LE_Curves!$I$5:$I$205,201),INDEX(LE_Curves!$B$5:$B$205,201),INDEX(LE_Curves!$B$5:$B$205,MATCH($B75,LE_Curves!$I$5:$I$205,1))+($B75-INDEX(LE_Curves!$I$5:$I$205,MATCH($B75,LE_Curves!$I$5:$I$205,1)))*(INDEX(LE_Curves!$B$5:$B$205,MATCH($B75,LE_Curves!$I$5:$I$205,1)+1)-INDEX(LE_Curves!$B$5:$B$205,MATCH($B75,LE_Curves!$I$5:$I$205,1)))/(INDEX(LE_Curves!$I$5:$I$205,MATCH($B75,LE_Curves!$I$5:$I$205,1)+1)-INDEX(LE_Curves!$I$5:$I$205,MATCH($B75,LE_Curves!$I$5:$I$205,1))))))</f>
        <v/>
      </c>
      <c r="J75" s="11">
        <f>IF(Inputs!$D$30=0,0,IF($B75&lt;=Inputs!$C$30,0,IF($B75&gt;=INDEX(LE_Curves!$J$5:$J$205,201),INDEX(LE_Curves!$B$5:$B$205,201),INDEX(LE_Curves!$B$5:$B$205,MATCH($B75,LE_Curves!$J$5:$J$205,1))+($B75-INDEX(LE_Curves!$J$5:$J$205,MATCH($B75,LE_Curves!$J$5:$J$205,1)))*(INDEX(LE_Curves!$B$5:$B$205,MATCH($B75,LE_Curves!$J$5:$J$205,1)+1)-INDEX(LE_Curves!$B$5:$B$205,MATCH($B75,LE_Curves!$J$5:$J$205,1)))/(INDEX(LE_Curves!$J$5:$J$205,MATCH($B75,LE_Curves!$J$5:$J$205,1)+1)-INDEX(LE_Curves!$J$5:$J$205,MATCH($B75,LE_Curves!$J$5:$J$205,1))))))</f>
        <v/>
      </c>
      <c r="K75" s="11">
        <f>IF(Inputs!$D$31=0,0,IF($B75&lt;=Inputs!$C$31,0,IF($B75&gt;=INDEX(LE_Curves!$K$5:$K$205,201),INDEX(LE_Curves!$B$5:$B$205,201),INDEX(LE_Curves!$B$5:$B$205,MATCH($B75,LE_Curves!$K$5:$K$205,1))+($B75-INDEX(LE_Curves!$K$5:$K$205,MATCH($B75,LE_Curves!$K$5:$K$205,1)))*(INDEX(LE_Curves!$B$5:$B$205,MATCH($B75,LE_Curves!$K$5:$K$205,1)+1)-INDEX(LE_Curves!$B$5:$B$205,MATCH($B75,LE_Curves!$K$5:$K$205,1)))/(INDEX(LE_Curves!$K$5:$K$205,MATCH($B75,LE_Curves!$K$5:$K$205,1)+1)-INDEX(LE_Curves!$K$5:$K$205,MATCH($B75,LE_Curves!$K$5:$K$205,1))))))</f>
        <v/>
      </c>
      <c r="L75" s="11">
        <f>IF(Inputs!$D$32=0,0,IF($B75&lt;=Inputs!$C$32,0,IF($B75&gt;=INDEX(LE_Curves!$L$5:$L$205,201),INDEX(LE_Curves!$B$5:$B$205,201),INDEX(LE_Curves!$B$5:$B$205,MATCH($B75,LE_Curves!$L$5:$L$205,1))+($B75-INDEX(LE_Curves!$L$5:$L$205,MATCH($B75,LE_Curves!$L$5:$L$205,1)))*(INDEX(LE_Curves!$B$5:$B$205,MATCH($B75,LE_Curves!$L$5:$L$205,1)+1)-INDEX(LE_Curves!$B$5:$B$205,MATCH($B75,LE_Curves!$L$5:$L$205,1)))/(INDEX(LE_Curves!$L$5:$L$205,MATCH($B75,LE_Curves!$L$5:$L$205,1)+1)-INDEX(LE_Curves!$L$5:$L$205,MATCH($B75,LE_Curves!$L$5:$L$205,1))))))</f>
        <v/>
      </c>
      <c r="M75" s="11">
        <f>IF(Inputs!$D$33=0,0,IF($B75&lt;=Inputs!$C$33,0,IF($B75&gt;=INDEX(LE_Curves!$M$5:$M$205,201),INDEX(LE_Curves!$B$5:$B$205,201),INDEX(LE_Curves!$B$5:$B$205,MATCH($B75,LE_Curves!$M$5:$M$205,1))+($B75-INDEX(LE_Curves!$M$5:$M$205,MATCH($B75,LE_Curves!$M$5:$M$205,1)))*(INDEX(LE_Curves!$B$5:$B$205,MATCH($B75,LE_Curves!$M$5:$M$205,1)+1)-INDEX(LE_Curves!$B$5:$B$205,MATCH($B75,LE_Curves!$M$5:$M$205,1)))/(INDEX(LE_Curves!$M$5:$M$205,MATCH($B75,LE_Curves!$M$5:$M$205,1)+1)-INDEX(LE_Curves!$M$5:$M$205,MATCH($B75,LE_Curves!$M$5:$M$205,1))))))</f>
        <v/>
      </c>
      <c r="N75" s="11">
        <f>IF(Inputs!$D$34=0,0,IF($B75&lt;=Inputs!$C$34,0,IF($B75&gt;=INDEX(LE_Curves!$N$5:$N$205,201),INDEX(LE_Curves!$B$5:$B$205,201),INDEX(LE_Curves!$B$5:$B$205,MATCH($B75,LE_Curves!$N$5:$N$205,1))+($B75-INDEX(LE_Curves!$N$5:$N$205,MATCH($B75,LE_Curves!$N$5:$N$205,1)))*(INDEX(LE_Curves!$B$5:$B$205,MATCH($B75,LE_Curves!$N$5:$N$205,1)+1)-INDEX(LE_Curves!$B$5:$B$205,MATCH($B75,LE_Curves!$N$5:$N$205,1)))/(INDEX(LE_Curves!$N$5:$N$205,MATCH($B75,LE_Curves!$N$5:$N$205,1)+1)-INDEX(LE_Curves!$N$5:$N$205,MATCH($B75,LE_Curves!$N$5:$N$205,1))))))</f>
        <v/>
      </c>
      <c r="O75" s="11">
        <f>SUM(C75:N75)</f>
        <v/>
      </c>
      <c r="Q75" s="7" t="n">
        <v>44</v>
      </c>
      <c r="R75" s="23">
        <f>$B$6+($B$7-$B$6)*Q75/200</f>
        <v/>
      </c>
      <c r="S75" s="11">
        <f>IF(Inputs!$D$23=0,0,IF($R75&lt;=Inputs!$C$23,0,IF($R75&gt;=INDEX(LE_Curves!$C$5:$C$205,201),INDEX(LE_Curves!$B$5:$B$205,201),INDEX(LE_Curves!$B$5:$B$205,MATCH($R75,LE_Curves!$C$5:$C$205,1))+($R75-INDEX(LE_Curves!$C$5:$C$205,MATCH($R75,LE_Curves!$C$5:$C$205,1)))*(INDEX(LE_Curves!$B$5:$B$205,MATCH($R75,LE_Curves!$C$5:$C$205,1)+1)-INDEX(LE_Curves!$B$5:$B$205,MATCH($R75,LE_Curves!$C$5:$C$205,1)))/(INDEX(LE_Curves!$C$5:$C$205,MATCH($R75,LE_Curves!$C$5:$C$205,1)+1)-INDEX(LE_Curves!$C$5:$C$205,MATCH($R75,LE_Curves!$C$5:$C$205,1))))))</f>
        <v/>
      </c>
      <c r="T75" s="11">
        <f>IF(Inputs!$D$24=0,0,IF($R75&lt;=Inputs!$C$24,0,IF($R75&gt;=INDEX(LE_Curves!$D$5:$D$205,201),INDEX(LE_Curves!$B$5:$B$205,201),INDEX(LE_Curves!$B$5:$B$205,MATCH($R75,LE_Curves!$D$5:$D$205,1))+($R75-INDEX(LE_Curves!$D$5:$D$205,MATCH($R75,LE_Curves!$D$5:$D$205,1)))*(INDEX(LE_Curves!$B$5:$B$205,MATCH($R75,LE_Curves!$D$5:$D$205,1)+1)-INDEX(LE_Curves!$B$5:$B$205,MATCH($R75,LE_Curves!$D$5:$D$205,1)))/(INDEX(LE_Curves!$D$5:$D$205,MATCH($R75,LE_Curves!$D$5:$D$205,1)+1)-INDEX(LE_Curves!$D$5:$D$205,MATCH($R75,LE_Curves!$D$5:$D$205,1))))))</f>
        <v/>
      </c>
      <c r="U75" s="11">
        <f>IF(Inputs!$D$25=0,0,IF($R75&lt;=Inputs!$C$25,0,IF($R75&gt;=INDEX(LE_Curves!$E$5:$E$205,201),INDEX(LE_Curves!$B$5:$B$205,201),INDEX(LE_Curves!$B$5:$B$205,MATCH($R75,LE_Curves!$E$5:$E$205,1))+($R75-INDEX(LE_Curves!$E$5:$E$205,MATCH($R75,LE_Curves!$E$5:$E$205,1)))*(INDEX(LE_Curves!$B$5:$B$205,MATCH($R75,LE_Curves!$E$5:$E$205,1)+1)-INDEX(LE_Curves!$B$5:$B$205,MATCH($R75,LE_Curves!$E$5:$E$205,1)))/(INDEX(LE_Curves!$E$5:$E$205,MATCH($R75,LE_Curves!$E$5:$E$205,1)+1)-INDEX(LE_Curves!$E$5:$E$205,MATCH($R75,LE_Curves!$E$5:$E$205,1))))))</f>
        <v/>
      </c>
      <c r="V75" s="11">
        <f>IF(Inputs!$D$26=0,0,IF($R75&lt;=Inputs!$C$26,0,IF($R75&gt;=INDEX(LE_Curves!$F$5:$F$205,201),INDEX(LE_Curves!$B$5:$B$205,201),INDEX(LE_Curves!$B$5:$B$205,MATCH($R75,LE_Curves!$F$5:$F$205,1))+($R75-INDEX(LE_Curves!$F$5:$F$205,MATCH($R75,LE_Curves!$F$5:$F$205,1)))*(INDEX(LE_Curves!$B$5:$B$205,MATCH($R75,LE_Curves!$F$5:$F$205,1)+1)-INDEX(LE_Curves!$B$5:$B$205,MATCH($R75,LE_Curves!$F$5:$F$205,1)))/(INDEX(LE_Curves!$F$5:$F$205,MATCH($R75,LE_Curves!$F$5:$F$205,1)+1)-INDEX(LE_Curves!$F$5:$F$205,MATCH($R75,LE_Curves!$F$5:$F$205,1))))))</f>
        <v/>
      </c>
      <c r="W75" s="11">
        <f>IF(Inputs!$D$27=0,0,IF($R75&lt;=Inputs!$C$27,0,IF($R75&gt;=INDEX(LE_Curves!$G$5:$G$205,201),INDEX(LE_Curves!$B$5:$B$205,201),INDEX(LE_Curves!$B$5:$B$205,MATCH($R75,LE_Curves!$G$5:$G$205,1))+($R75-INDEX(LE_Curves!$G$5:$G$205,MATCH($R75,LE_Curves!$G$5:$G$205,1)))*(INDEX(LE_Curves!$B$5:$B$205,MATCH($R75,LE_Curves!$G$5:$G$205,1)+1)-INDEX(LE_Curves!$B$5:$B$205,MATCH($R75,LE_Curves!$G$5:$G$205,1)))/(INDEX(LE_Curves!$G$5:$G$205,MATCH($R75,LE_Curves!$G$5:$G$205,1)+1)-INDEX(LE_Curves!$G$5:$G$205,MATCH($R75,LE_Curves!$G$5:$G$205,1))))))</f>
        <v/>
      </c>
      <c r="X75" s="11">
        <f>IF(Inputs!$D$28=0,0,IF($R75&lt;=Inputs!$C$28,0,IF($R75&gt;=INDEX(LE_Curves!$H$5:$H$205,201),INDEX(LE_Curves!$B$5:$B$205,201),INDEX(LE_Curves!$B$5:$B$205,MATCH($R75,LE_Curves!$H$5:$H$205,1))+($R75-INDEX(LE_Curves!$H$5:$H$205,MATCH($R75,LE_Curves!$H$5:$H$205,1)))*(INDEX(LE_Curves!$B$5:$B$205,MATCH($R75,LE_Curves!$H$5:$H$205,1)+1)-INDEX(LE_Curves!$B$5:$B$205,MATCH($R75,LE_Curves!$H$5:$H$205,1)))/(INDEX(LE_Curves!$H$5:$H$205,MATCH($R75,LE_Curves!$H$5:$H$205,1)+1)-INDEX(LE_Curves!$H$5:$H$205,MATCH($R75,LE_Curves!$H$5:$H$205,1))))))</f>
        <v/>
      </c>
      <c r="Y75" s="11">
        <f>IF(Inputs!$D$29=0,0,IF($R75&lt;=Inputs!$C$29,0,IF($R75&gt;=INDEX(LE_Curves!$I$5:$I$205,201),INDEX(LE_Curves!$B$5:$B$205,201),INDEX(LE_Curves!$B$5:$B$205,MATCH($R75,LE_Curves!$I$5:$I$205,1))+($R75-INDEX(LE_Curves!$I$5:$I$205,MATCH($R75,LE_Curves!$I$5:$I$205,1)))*(INDEX(LE_Curves!$B$5:$B$205,MATCH($R75,LE_Curves!$I$5:$I$205,1)+1)-INDEX(LE_Curves!$B$5:$B$205,MATCH($R75,LE_Curves!$I$5:$I$205,1)))/(INDEX(LE_Curves!$I$5:$I$205,MATCH($R75,LE_Curves!$I$5:$I$205,1)+1)-INDEX(LE_Curves!$I$5:$I$205,MATCH($R75,LE_Curves!$I$5:$I$205,1))))))</f>
        <v/>
      </c>
      <c r="Z75" s="11">
        <f>IF(Inputs!$D$30=0,0,IF($R75&lt;=Inputs!$C$30,0,IF($R75&gt;=INDEX(LE_Curves!$J$5:$J$205,201),INDEX(LE_Curves!$B$5:$B$205,201),INDEX(LE_Curves!$B$5:$B$205,MATCH($R75,LE_Curves!$J$5:$J$205,1))+($R75-INDEX(LE_Curves!$J$5:$J$205,MATCH($R75,LE_Curves!$J$5:$J$205,1)))*(INDEX(LE_Curves!$B$5:$B$205,MATCH($R75,LE_Curves!$J$5:$J$205,1)+1)-INDEX(LE_Curves!$B$5:$B$205,MATCH($R75,LE_Curves!$J$5:$J$205,1)))/(INDEX(LE_Curves!$J$5:$J$205,MATCH($R75,LE_Curves!$J$5:$J$205,1)+1)-INDEX(LE_Curves!$J$5:$J$205,MATCH($R75,LE_Curves!$J$5:$J$205,1))))))</f>
        <v/>
      </c>
      <c r="AA75" s="11">
        <f>IF(Inputs!$D$31=0,0,IF($R75&lt;=Inputs!$C$31,0,IF($R75&gt;=INDEX(LE_Curves!$K$5:$K$205,201),INDEX(LE_Curves!$B$5:$B$205,201),INDEX(LE_Curves!$B$5:$B$205,MATCH($R75,LE_Curves!$K$5:$K$205,1))+($R75-INDEX(LE_Curves!$K$5:$K$205,MATCH($R75,LE_Curves!$K$5:$K$205,1)))*(INDEX(LE_Curves!$B$5:$B$205,MATCH($R75,LE_Curves!$K$5:$K$205,1)+1)-INDEX(LE_Curves!$B$5:$B$205,MATCH($R75,LE_Curves!$K$5:$K$205,1)))/(INDEX(LE_Curves!$K$5:$K$205,MATCH($R75,LE_Curves!$K$5:$K$205,1)+1)-INDEX(LE_Curves!$K$5:$K$205,MATCH($R75,LE_Curves!$K$5:$K$205,1))))))</f>
        <v/>
      </c>
      <c r="AB75" s="11">
        <f>IF(Inputs!$D$32=0,0,IF($R75&lt;=Inputs!$C$32,0,IF($R75&gt;=INDEX(LE_Curves!$L$5:$L$205,201),INDEX(LE_Curves!$B$5:$B$205,201),INDEX(LE_Curves!$B$5:$B$205,MATCH($R75,LE_Curves!$L$5:$L$205,1))+($R75-INDEX(LE_Curves!$L$5:$L$205,MATCH($R75,LE_Curves!$L$5:$L$205,1)))*(INDEX(LE_Curves!$B$5:$B$205,MATCH($R75,LE_Curves!$L$5:$L$205,1)+1)-INDEX(LE_Curves!$B$5:$B$205,MATCH($R75,LE_Curves!$L$5:$L$205,1)))/(INDEX(LE_Curves!$L$5:$L$205,MATCH($R75,LE_Curves!$L$5:$L$205,1)+1)-INDEX(LE_Curves!$L$5:$L$205,MATCH($R75,LE_Curves!$L$5:$L$205,1))))))</f>
        <v/>
      </c>
      <c r="AC75" s="11">
        <f>IF(Inputs!$D$33=0,0,IF($R75&lt;=Inputs!$C$33,0,IF($R75&gt;=INDEX(LE_Curves!$M$5:$M$205,201),INDEX(LE_Curves!$B$5:$B$205,201),INDEX(LE_Curves!$B$5:$B$205,MATCH($R75,LE_Curves!$M$5:$M$205,1))+($R75-INDEX(LE_Curves!$M$5:$M$205,MATCH($R75,LE_Curves!$M$5:$M$205,1)))*(INDEX(LE_Curves!$B$5:$B$205,MATCH($R75,LE_Curves!$M$5:$M$205,1)+1)-INDEX(LE_Curves!$B$5:$B$205,MATCH($R75,LE_Curves!$M$5:$M$205,1)))/(INDEX(LE_Curves!$M$5:$M$205,MATCH($R75,LE_Curves!$M$5:$M$205,1)+1)-INDEX(LE_Curves!$M$5:$M$205,MATCH($R75,LE_Curves!$M$5:$M$205,1))))))</f>
        <v/>
      </c>
      <c r="AD75" s="11">
        <f>IF(Inputs!$D$34=0,0,IF($R75&lt;=Inputs!$C$34,0,IF($R75&gt;=INDEX(LE_Curves!$N$5:$N$205,201),INDEX(LE_Curves!$B$5:$B$205,201),INDEX(LE_Curves!$B$5:$B$205,MATCH($R75,LE_Curves!$N$5:$N$205,1))+($R75-INDEX(LE_Curves!$N$5:$N$205,MATCH($R75,LE_Curves!$N$5:$N$205,1)))*(INDEX(LE_Curves!$B$5:$B$205,MATCH($R75,LE_Curves!$N$5:$N$205,1)+1)-INDEX(LE_Curves!$B$5:$B$205,MATCH($R75,LE_Curves!$N$5:$N$205,1)))/(INDEX(LE_Curves!$N$5:$N$205,MATCH($R75,LE_Curves!$N$5:$N$205,1)+1)-INDEX(LE_Curves!$N$5:$N$205,MATCH($R75,LE_Curves!$N$5:$N$205,1))))))</f>
        <v/>
      </c>
      <c r="AE75" s="37">
        <f>SUM(S75:AD75)</f>
        <v/>
      </c>
    </row>
    <row r="76">
      <c r="A76" s="7" t="n">
        <v>45</v>
      </c>
      <c r="B76" s="37">
        <f>$B$3+($B$4-$B$3)*A76/200</f>
        <v/>
      </c>
      <c r="C76" s="11">
        <f>IF(Inputs!$D$23=0,0,IF($B76&lt;=Inputs!$C$23,0,IF($B76&gt;=INDEX(LE_Curves!$C$5:$C$205,201),INDEX(LE_Curves!$B$5:$B$205,201),INDEX(LE_Curves!$B$5:$B$205,MATCH($B76,LE_Curves!$C$5:$C$205,1))+($B76-INDEX(LE_Curves!$C$5:$C$205,MATCH($B76,LE_Curves!$C$5:$C$205,1)))*(INDEX(LE_Curves!$B$5:$B$205,MATCH($B76,LE_Curves!$C$5:$C$205,1)+1)-INDEX(LE_Curves!$B$5:$B$205,MATCH($B76,LE_Curves!$C$5:$C$205,1)))/(INDEX(LE_Curves!$C$5:$C$205,MATCH($B76,LE_Curves!$C$5:$C$205,1)+1)-INDEX(LE_Curves!$C$5:$C$205,MATCH($B76,LE_Curves!$C$5:$C$205,1))))))</f>
        <v/>
      </c>
      <c r="D76" s="11">
        <f>IF(Inputs!$D$24=0,0,IF($B76&lt;=Inputs!$C$24,0,IF($B76&gt;=INDEX(LE_Curves!$D$5:$D$205,201),INDEX(LE_Curves!$B$5:$B$205,201),INDEX(LE_Curves!$B$5:$B$205,MATCH($B76,LE_Curves!$D$5:$D$205,1))+($B76-INDEX(LE_Curves!$D$5:$D$205,MATCH($B76,LE_Curves!$D$5:$D$205,1)))*(INDEX(LE_Curves!$B$5:$B$205,MATCH($B76,LE_Curves!$D$5:$D$205,1)+1)-INDEX(LE_Curves!$B$5:$B$205,MATCH($B76,LE_Curves!$D$5:$D$205,1)))/(INDEX(LE_Curves!$D$5:$D$205,MATCH($B76,LE_Curves!$D$5:$D$205,1)+1)-INDEX(LE_Curves!$D$5:$D$205,MATCH($B76,LE_Curves!$D$5:$D$205,1))))))</f>
        <v/>
      </c>
      <c r="E76" s="11">
        <f>IF(Inputs!$D$25=0,0,IF($B76&lt;=Inputs!$C$25,0,IF($B76&gt;=INDEX(LE_Curves!$E$5:$E$205,201),INDEX(LE_Curves!$B$5:$B$205,201),INDEX(LE_Curves!$B$5:$B$205,MATCH($B76,LE_Curves!$E$5:$E$205,1))+($B76-INDEX(LE_Curves!$E$5:$E$205,MATCH($B76,LE_Curves!$E$5:$E$205,1)))*(INDEX(LE_Curves!$B$5:$B$205,MATCH($B76,LE_Curves!$E$5:$E$205,1)+1)-INDEX(LE_Curves!$B$5:$B$205,MATCH($B76,LE_Curves!$E$5:$E$205,1)))/(INDEX(LE_Curves!$E$5:$E$205,MATCH($B76,LE_Curves!$E$5:$E$205,1)+1)-INDEX(LE_Curves!$E$5:$E$205,MATCH($B76,LE_Curves!$E$5:$E$205,1))))))</f>
        <v/>
      </c>
      <c r="F76" s="11">
        <f>IF(Inputs!$D$26=0,0,IF($B76&lt;=Inputs!$C$26,0,IF($B76&gt;=INDEX(LE_Curves!$F$5:$F$205,201),INDEX(LE_Curves!$B$5:$B$205,201),INDEX(LE_Curves!$B$5:$B$205,MATCH($B76,LE_Curves!$F$5:$F$205,1))+($B76-INDEX(LE_Curves!$F$5:$F$205,MATCH($B76,LE_Curves!$F$5:$F$205,1)))*(INDEX(LE_Curves!$B$5:$B$205,MATCH($B76,LE_Curves!$F$5:$F$205,1)+1)-INDEX(LE_Curves!$B$5:$B$205,MATCH($B76,LE_Curves!$F$5:$F$205,1)))/(INDEX(LE_Curves!$F$5:$F$205,MATCH($B76,LE_Curves!$F$5:$F$205,1)+1)-INDEX(LE_Curves!$F$5:$F$205,MATCH($B76,LE_Curves!$F$5:$F$205,1))))))</f>
        <v/>
      </c>
      <c r="G76" s="11">
        <f>IF(Inputs!$D$27=0,0,IF($B76&lt;=Inputs!$C$27,0,IF($B76&gt;=INDEX(LE_Curves!$G$5:$G$205,201),INDEX(LE_Curves!$B$5:$B$205,201),INDEX(LE_Curves!$B$5:$B$205,MATCH($B76,LE_Curves!$G$5:$G$205,1))+($B76-INDEX(LE_Curves!$G$5:$G$205,MATCH($B76,LE_Curves!$G$5:$G$205,1)))*(INDEX(LE_Curves!$B$5:$B$205,MATCH($B76,LE_Curves!$G$5:$G$205,1)+1)-INDEX(LE_Curves!$B$5:$B$205,MATCH($B76,LE_Curves!$G$5:$G$205,1)))/(INDEX(LE_Curves!$G$5:$G$205,MATCH($B76,LE_Curves!$G$5:$G$205,1)+1)-INDEX(LE_Curves!$G$5:$G$205,MATCH($B76,LE_Curves!$G$5:$G$205,1))))))</f>
        <v/>
      </c>
      <c r="H76" s="11">
        <f>IF(Inputs!$D$28=0,0,IF($B76&lt;=Inputs!$C$28,0,IF($B76&gt;=INDEX(LE_Curves!$H$5:$H$205,201),INDEX(LE_Curves!$B$5:$B$205,201),INDEX(LE_Curves!$B$5:$B$205,MATCH($B76,LE_Curves!$H$5:$H$205,1))+($B76-INDEX(LE_Curves!$H$5:$H$205,MATCH($B76,LE_Curves!$H$5:$H$205,1)))*(INDEX(LE_Curves!$B$5:$B$205,MATCH($B76,LE_Curves!$H$5:$H$205,1)+1)-INDEX(LE_Curves!$B$5:$B$205,MATCH($B76,LE_Curves!$H$5:$H$205,1)))/(INDEX(LE_Curves!$H$5:$H$205,MATCH($B76,LE_Curves!$H$5:$H$205,1)+1)-INDEX(LE_Curves!$H$5:$H$205,MATCH($B76,LE_Curves!$H$5:$H$205,1))))))</f>
        <v/>
      </c>
      <c r="I76" s="11">
        <f>IF(Inputs!$D$29=0,0,IF($B76&lt;=Inputs!$C$29,0,IF($B76&gt;=INDEX(LE_Curves!$I$5:$I$205,201),INDEX(LE_Curves!$B$5:$B$205,201),INDEX(LE_Curves!$B$5:$B$205,MATCH($B76,LE_Curves!$I$5:$I$205,1))+($B76-INDEX(LE_Curves!$I$5:$I$205,MATCH($B76,LE_Curves!$I$5:$I$205,1)))*(INDEX(LE_Curves!$B$5:$B$205,MATCH($B76,LE_Curves!$I$5:$I$205,1)+1)-INDEX(LE_Curves!$B$5:$B$205,MATCH($B76,LE_Curves!$I$5:$I$205,1)))/(INDEX(LE_Curves!$I$5:$I$205,MATCH($B76,LE_Curves!$I$5:$I$205,1)+1)-INDEX(LE_Curves!$I$5:$I$205,MATCH($B76,LE_Curves!$I$5:$I$205,1))))))</f>
        <v/>
      </c>
      <c r="J76" s="11">
        <f>IF(Inputs!$D$30=0,0,IF($B76&lt;=Inputs!$C$30,0,IF($B76&gt;=INDEX(LE_Curves!$J$5:$J$205,201),INDEX(LE_Curves!$B$5:$B$205,201),INDEX(LE_Curves!$B$5:$B$205,MATCH($B76,LE_Curves!$J$5:$J$205,1))+($B76-INDEX(LE_Curves!$J$5:$J$205,MATCH($B76,LE_Curves!$J$5:$J$205,1)))*(INDEX(LE_Curves!$B$5:$B$205,MATCH($B76,LE_Curves!$J$5:$J$205,1)+1)-INDEX(LE_Curves!$B$5:$B$205,MATCH($B76,LE_Curves!$J$5:$J$205,1)))/(INDEX(LE_Curves!$J$5:$J$205,MATCH($B76,LE_Curves!$J$5:$J$205,1)+1)-INDEX(LE_Curves!$J$5:$J$205,MATCH($B76,LE_Curves!$J$5:$J$205,1))))))</f>
        <v/>
      </c>
      <c r="K76" s="11">
        <f>IF(Inputs!$D$31=0,0,IF($B76&lt;=Inputs!$C$31,0,IF($B76&gt;=INDEX(LE_Curves!$K$5:$K$205,201),INDEX(LE_Curves!$B$5:$B$205,201),INDEX(LE_Curves!$B$5:$B$205,MATCH($B76,LE_Curves!$K$5:$K$205,1))+($B76-INDEX(LE_Curves!$K$5:$K$205,MATCH($B76,LE_Curves!$K$5:$K$205,1)))*(INDEX(LE_Curves!$B$5:$B$205,MATCH($B76,LE_Curves!$K$5:$K$205,1)+1)-INDEX(LE_Curves!$B$5:$B$205,MATCH($B76,LE_Curves!$K$5:$K$205,1)))/(INDEX(LE_Curves!$K$5:$K$205,MATCH($B76,LE_Curves!$K$5:$K$205,1)+1)-INDEX(LE_Curves!$K$5:$K$205,MATCH($B76,LE_Curves!$K$5:$K$205,1))))))</f>
        <v/>
      </c>
      <c r="L76" s="11">
        <f>IF(Inputs!$D$32=0,0,IF($B76&lt;=Inputs!$C$32,0,IF($B76&gt;=INDEX(LE_Curves!$L$5:$L$205,201),INDEX(LE_Curves!$B$5:$B$205,201),INDEX(LE_Curves!$B$5:$B$205,MATCH($B76,LE_Curves!$L$5:$L$205,1))+($B76-INDEX(LE_Curves!$L$5:$L$205,MATCH($B76,LE_Curves!$L$5:$L$205,1)))*(INDEX(LE_Curves!$B$5:$B$205,MATCH($B76,LE_Curves!$L$5:$L$205,1)+1)-INDEX(LE_Curves!$B$5:$B$205,MATCH($B76,LE_Curves!$L$5:$L$205,1)))/(INDEX(LE_Curves!$L$5:$L$205,MATCH($B76,LE_Curves!$L$5:$L$205,1)+1)-INDEX(LE_Curves!$L$5:$L$205,MATCH($B76,LE_Curves!$L$5:$L$205,1))))))</f>
        <v/>
      </c>
      <c r="M76" s="11">
        <f>IF(Inputs!$D$33=0,0,IF($B76&lt;=Inputs!$C$33,0,IF($B76&gt;=INDEX(LE_Curves!$M$5:$M$205,201),INDEX(LE_Curves!$B$5:$B$205,201),INDEX(LE_Curves!$B$5:$B$205,MATCH($B76,LE_Curves!$M$5:$M$205,1))+($B76-INDEX(LE_Curves!$M$5:$M$205,MATCH($B76,LE_Curves!$M$5:$M$205,1)))*(INDEX(LE_Curves!$B$5:$B$205,MATCH($B76,LE_Curves!$M$5:$M$205,1)+1)-INDEX(LE_Curves!$B$5:$B$205,MATCH($B76,LE_Curves!$M$5:$M$205,1)))/(INDEX(LE_Curves!$M$5:$M$205,MATCH($B76,LE_Curves!$M$5:$M$205,1)+1)-INDEX(LE_Curves!$M$5:$M$205,MATCH($B76,LE_Curves!$M$5:$M$205,1))))))</f>
        <v/>
      </c>
      <c r="N76" s="11">
        <f>IF(Inputs!$D$34=0,0,IF($B76&lt;=Inputs!$C$34,0,IF($B76&gt;=INDEX(LE_Curves!$N$5:$N$205,201),INDEX(LE_Curves!$B$5:$B$205,201),INDEX(LE_Curves!$B$5:$B$205,MATCH($B76,LE_Curves!$N$5:$N$205,1))+($B76-INDEX(LE_Curves!$N$5:$N$205,MATCH($B76,LE_Curves!$N$5:$N$205,1)))*(INDEX(LE_Curves!$B$5:$B$205,MATCH($B76,LE_Curves!$N$5:$N$205,1)+1)-INDEX(LE_Curves!$B$5:$B$205,MATCH($B76,LE_Curves!$N$5:$N$205,1)))/(INDEX(LE_Curves!$N$5:$N$205,MATCH($B76,LE_Curves!$N$5:$N$205,1)+1)-INDEX(LE_Curves!$N$5:$N$205,MATCH($B76,LE_Curves!$N$5:$N$205,1))))))</f>
        <v/>
      </c>
      <c r="O76" s="11">
        <f>SUM(C76:N76)</f>
        <v/>
      </c>
      <c r="Q76" s="7" t="n">
        <v>45</v>
      </c>
      <c r="R76" s="23">
        <f>$B$6+($B$7-$B$6)*Q76/200</f>
        <v/>
      </c>
      <c r="S76" s="11">
        <f>IF(Inputs!$D$23=0,0,IF($R76&lt;=Inputs!$C$23,0,IF($R76&gt;=INDEX(LE_Curves!$C$5:$C$205,201),INDEX(LE_Curves!$B$5:$B$205,201),INDEX(LE_Curves!$B$5:$B$205,MATCH($R76,LE_Curves!$C$5:$C$205,1))+($R76-INDEX(LE_Curves!$C$5:$C$205,MATCH($R76,LE_Curves!$C$5:$C$205,1)))*(INDEX(LE_Curves!$B$5:$B$205,MATCH($R76,LE_Curves!$C$5:$C$205,1)+1)-INDEX(LE_Curves!$B$5:$B$205,MATCH($R76,LE_Curves!$C$5:$C$205,1)))/(INDEX(LE_Curves!$C$5:$C$205,MATCH($R76,LE_Curves!$C$5:$C$205,1)+1)-INDEX(LE_Curves!$C$5:$C$205,MATCH($R76,LE_Curves!$C$5:$C$205,1))))))</f>
        <v/>
      </c>
      <c r="T76" s="11">
        <f>IF(Inputs!$D$24=0,0,IF($R76&lt;=Inputs!$C$24,0,IF($R76&gt;=INDEX(LE_Curves!$D$5:$D$205,201),INDEX(LE_Curves!$B$5:$B$205,201),INDEX(LE_Curves!$B$5:$B$205,MATCH($R76,LE_Curves!$D$5:$D$205,1))+($R76-INDEX(LE_Curves!$D$5:$D$205,MATCH($R76,LE_Curves!$D$5:$D$205,1)))*(INDEX(LE_Curves!$B$5:$B$205,MATCH($R76,LE_Curves!$D$5:$D$205,1)+1)-INDEX(LE_Curves!$B$5:$B$205,MATCH($R76,LE_Curves!$D$5:$D$205,1)))/(INDEX(LE_Curves!$D$5:$D$205,MATCH($R76,LE_Curves!$D$5:$D$205,1)+1)-INDEX(LE_Curves!$D$5:$D$205,MATCH($R76,LE_Curves!$D$5:$D$205,1))))))</f>
        <v/>
      </c>
      <c r="U76" s="11">
        <f>IF(Inputs!$D$25=0,0,IF($R76&lt;=Inputs!$C$25,0,IF($R76&gt;=INDEX(LE_Curves!$E$5:$E$205,201),INDEX(LE_Curves!$B$5:$B$205,201),INDEX(LE_Curves!$B$5:$B$205,MATCH($R76,LE_Curves!$E$5:$E$205,1))+($R76-INDEX(LE_Curves!$E$5:$E$205,MATCH($R76,LE_Curves!$E$5:$E$205,1)))*(INDEX(LE_Curves!$B$5:$B$205,MATCH($R76,LE_Curves!$E$5:$E$205,1)+1)-INDEX(LE_Curves!$B$5:$B$205,MATCH($R76,LE_Curves!$E$5:$E$205,1)))/(INDEX(LE_Curves!$E$5:$E$205,MATCH($R76,LE_Curves!$E$5:$E$205,1)+1)-INDEX(LE_Curves!$E$5:$E$205,MATCH($R76,LE_Curves!$E$5:$E$205,1))))))</f>
        <v/>
      </c>
      <c r="V76" s="11">
        <f>IF(Inputs!$D$26=0,0,IF($R76&lt;=Inputs!$C$26,0,IF($R76&gt;=INDEX(LE_Curves!$F$5:$F$205,201),INDEX(LE_Curves!$B$5:$B$205,201),INDEX(LE_Curves!$B$5:$B$205,MATCH($R76,LE_Curves!$F$5:$F$205,1))+($R76-INDEX(LE_Curves!$F$5:$F$205,MATCH($R76,LE_Curves!$F$5:$F$205,1)))*(INDEX(LE_Curves!$B$5:$B$205,MATCH($R76,LE_Curves!$F$5:$F$205,1)+1)-INDEX(LE_Curves!$B$5:$B$205,MATCH($R76,LE_Curves!$F$5:$F$205,1)))/(INDEX(LE_Curves!$F$5:$F$205,MATCH($R76,LE_Curves!$F$5:$F$205,1)+1)-INDEX(LE_Curves!$F$5:$F$205,MATCH($R76,LE_Curves!$F$5:$F$205,1))))))</f>
        <v/>
      </c>
      <c r="W76" s="11">
        <f>IF(Inputs!$D$27=0,0,IF($R76&lt;=Inputs!$C$27,0,IF($R76&gt;=INDEX(LE_Curves!$G$5:$G$205,201),INDEX(LE_Curves!$B$5:$B$205,201),INDEX(LE_Curves!$B$5:$B$205,MATCH($R76,LE_Curves!$G$5:$G$205,1))+($R76-INDEX(LE_Curves!$G$5:$G$205,MATCH($R76,LE_Curves!$G$5:$G$205,1)))*(INDEX(LE_Curves!$B$5:$B$205,MATCH($R76,LE_Curves!$G$5:$G$205,1)+1)-INDEX(LE_Curves!$B$5:$B$205,MATCH($R76,LE_Curves!$G$5:$G$205,1)))/(INDEX(LE_Curves!$G$5:$G$205,MATCH($R76,LE_Curves!$G$5:$G$205,1)+1)-INDEX(LE_Curves!$G$5:$G$205,MATCH($R76,LE_Curves!$G$5:$G$205,1))))))</f>
        <v/>
      </c>
      <c r="X76" s="11">
        <f>IF(Inputs!$D$28=0,0,IF($R76&lt;=Inputs!$C$28,0,IF($R76&gt;=INDEX(LE_Curves!$H$5:$H$205,201),INDEX(LE_Curves!$B$5:$B$205,201),INDEX(LE_Curves!$B$5:$B$205,MATCH($R76,LE_Curves!$H$5:$H$205,1))+($R76-INDEX(LE_Curves!$H$5:$H$205,MATCH($R76,LE_Curves!$H$5:$H$205,1)))*(INDEX(LE_Curves!$B$5:$B$205,MATCH($R76,LE_Curves!$H$5:$H$205,1)+1)-INDEX(LE_Curves!$B$5:$B$205,MATCH($R76,LE_Curves!$H$5:$H$205,1)))/(INDEX(LE_Curves!$H$5:$H$205,MATCH($R76,LE_Curves!$H$5:$H$205,1)+1)-INDEX(LE_Curves!$H$5:$H$205,MATCH($R76,LE_Curves!$H$5:$H$205,1))))))</f>
        <v/>
      </c>
      <c r="Y76" s="11">
        <f>IF(Inputs!$D$29=0,0,IF($R76&lt;=Inputs!$C$29,0,IF($R76&gt;=INDEX(LE_Curves!$I$5:$I$205,201),INDEX(LE_Curves!$B$5:$B$205,201),INDEX(LE_Curves!$B$5:$B$205,MATCH($R76,LE_Curves!$I$5:$I$205,1))+($R76-INDEX(LE_Curves!$I$5:$I$205,MATCH($R76,LE_Curves!$I$5:$I$205,1)))*(INDEX(LE_Curves!$B$5:$B$205,MATCH($R76,LE_Curves!$I$5:$I$205,1)+1)-INDEX(LE_Curves!$B$5:$B$205,MATCH($R76,LE_Curves!$I$5:$I$205,1)))/(INDEX(LE_Curves!$I$5:$I$205,MATCH($R76,LE_Curves!$I$5:$I$205,1)+1)-INDEX(LE_Curves!$I$5:$I$205,MATCH($R76,LE_Curves!$I$5:$I$205,1))))))</f>
        <v/>
      </c>
      <c r="Z76" s="11">
        <f>IF(Inputs!$D$30=0,0,IF($R76&lt;=Inputs!$C$30,0,IF($R76&gt;=INDEX(LE_Curves!$J$5:$J$205,201),INDEX(LE_Curves!$B$5:$B$205,201),INDEX(LE_Curves!$B$5:$B$205,MATCH($R76,LE_Curves!$J$5:$J$205,1))+($R76-INDEX(LE_Curves!$J$5:$J$205,MATCH($R76,LE_Curves!$J$5:$J$205,1)))*(INDEX(LE_Curves!$B$5:$B$205,MATCH($R76,LE_Curves!$J$5:$J$205,1)+1)-INDEX(LE_Curves!$B$5:$B$205,MATCH($R76,LE_Curves!$J$5:$J$205,1)))/(INDEX(LE_Curves!$J$5:$J$205,MATCH($R76,LE_Curves!$J$5:$J$205,1)+1)-INDEX(LE_Curves!$J$5:$J$205,MATCH($R76,LE_Curves!$J$5:$J$205,1))))))</f>
        <v/>
      </c>
      <c r="AA76" s="11">
        <f>IF(Inputs!$D$31=0,0,IF($R76&lt;=Inputs!$C$31,0,IF($R76&gt;=INDEX(LE_Curves!$K$5:$K$205,201),INDEX(LE_Curves!$B$5:$B$205,201),INDEX(LE_Curves!$B$5:$B$205,MATCH($R76,LE_Curves!$K$5:$K$205,1))+($R76-INDEX(LE_Curves!$K$5:$K$205,MATCH($R76,LE_Curves!$K$5:$K$205,1)))*(INDEX(LE_Curves!$B$5:$B$205,MATCH($R76,LE_Curves!$K$5:$K$205,1)+1)-INDEX(LE_Curves!$B$5:$B$205,MATCH($R76,LE_Curves!$K$5:$K$205,1)))/(INDEX(LE_Curves!$K$5:$K$205,MATCH($R76,LE_Curves!$K$5:$K$205,1)+1)-INDEX(LE_Curves!$K$5:$K$205,MATCH($R76,LE_Curves!$K$5:$K$205,1))))))</f>
        <v/>
      </c>
      <c r="AB76" s="11">
        <f>IF(Inputs!$D$32=0,0,IF($R76&lt;=Inputs!$C$32,0,IF($R76&gt;=INDEX(LE_Curves!$L$5:$L$205,201),INDEX(LE_Curves!$B$5:$B$205,201),INDEX(LE_Curves!$B$5:$B$205,MATCH($R76,LE_Curves!$L$5:$L$205,1))+($R76-INDEX(LE_Curves!$L$5:$L$205,MATCH($R76,LE_Curves!$L$5:$L$205,1)))*(INDEX(LE_Curves!$B$5:$B$205,MATCH($R76,LE_Curves!$L$5:$L$205,1)+1)-INDEX(LE_Curves!$B$5:$B$205,MATCH($R76,LE_Curves!$L$5:$L$205,1)))/(INDEX(LE_Curves!$L$5:$L$205,MATCH($R76,LE_Curves!$L$5:$L$205,1)+1)-INDEX(LE_Curves!$L$5:$L$205,MATCH($R76,LE_Curves!$L$5:$L$205,1))))))</f>
        <v/>
      </c>
      <c r="AC76" s="11">
        <f>IF(Inputs!$D$33=0,0,IF($R76&lt;=Inputs!$C$33,0,IF($R76&gt;=INDEX(LE_Curves!$M$5:$M$205,201),INDEX(LE_Curves!$B$5:$B$205,201),INDEX(LE_Curves!$B$5:$B$205,MATCH($R76,LE_Curves!$M$5:$M$205,1))+($R76-INDEX(LE_Curves!$M$5:$M$205,MATCH($R76,LE_Curves!$M$5:$M$205,1)))*(INDEX(LE_Curves!$B$5:$B$205,MATCH($R76,LE_Curves!$M$5:$M$205,1)+1)-INDEX(LE_Curves!$B$5:$B$205,MATCH($R76,LE_Curves!$M$5:$M$205,1)))/(INDEX(LE_Curves!$M$5:$M$205,MATCH($R76,LE_Curves!$M$5:$M$205,1)+1)-INDEX(LE_Curves!$M$5:$M$205,MATCH($R76,LE_Curves!$M$5:$M$205,1))))))</f>
        <v/>
      </c>
      <c r="AD76" s="11">
        <f>IF(Inputs!$D$34=0,0,IF($R76&lt;=Inputs!$C$34,0,IF($R76&gt;=INDEX(LE_Curves!$N$5:$N$205,201),INDEX(LE_Curves!$B$5:$B$205,201),INDEX(LE_Curves!$B$5:$B$205,MATCH($R76,LE_Curves!$N$5:$N$205,1))+($R76-INDEX(LE_Curves!$N$5:$N$205,MATCH($R76,LE_Curves!$N$5:$N$205,1)))*(INDEX(LE_Curves!$B$5:$B$205,MATCH($R76,LE_Curves!$N$5:$N$205,1)+1)-INDEX(LE_Curves!$B$5:$B$205,MATCH($R76,LE_Curves!$N$5:$N$205,1)))/(INDEX(LE_Curves!$N$5:$N$205,MATCH($R76,LE_Curves!$N$5:$N$205,1)+1)-INDEX(LE_Curves!$N$5:$N$205,MATCH($R76,LE_Curves!$N$5:$N$205,1))))))</f>
        <v/>
      </c>
      <c r="AE76" s="37">
        <f>SUM(S76:AD76)</f>
        <v/>
      </c>
    </row>
    <row r="77">
      <c r="A77" s="7" t="n">
        <v>46</v>
      </c>
      <c r="B77" s="37">
        <f>$B$3+($B$4-$B$3)*A77/200</f>
        <v/>
      </c>
      <c r="C77" s="11">
        <f>IF(Inputs!$D$23=0,0,IF($B77&lt;=Inputs!$C$23,0,IF($B77&gt;=INDEX(LE_Curves!$C$5:$C$205,201),INDEX(LE_Curves!$B$5:$B$205,201),INDEX(LE_Curves!$B$5:$B$205,MATCH($B77,LE_Curves!$C$5:$C$205,1))+($B77-INDEX(LE_Curves!$C$5:$C$205,MATCH($B77,LE_Curves!$C$5:$C$205,1)))*(INDEX(LE_Curves!$B$5:$B$205,MATCH($B77,LE_Curves!$C$5:$C$205,1)+1)-INDEX(LE_Curves!$B$5:$B$205,MATCH($B77,LE_Curves!$C$5:$C$205,1)))/(INDEX(LE_Curves!$C$5:$C$205,MATCH($B77,LE_Curves!$C$5:$C$205,1)+1)-INDEX(LE_Curves!$C$5:$C$205,MATCH($B77,LE_Curves!$C$5:$C$205,1))))))</f>
        <v/>
      </c>
      <c r="D77" s="11">
        <f>IF(Inputs!$D$24=0,0,IF($B77&lt;=Inputs!$C$24,0,IF($B77&gt;=INDEX(LE_Curves!$D$5:$D$205,201),INDEX(LE_Curves!$B$5:$B$205,201),INDEX(LE_Curves!$B$5:$B$205,MATCH($B77,LE_Curves!$D$5:$D$205,1))+($B77-INDEX(LE_Curves!$D$5:$D$205,MATCH($B77,LE_Curves!$D$5:$D$205,1)))*(INDEX(LE_Curves!$B$5:$B$205,MATCH($B77,LE_Curves!$D$5:$D$205,1)+1)-INDEX(LE_Curves!$B$5:$B$205,MATCH($B77,LE_Curves!$D$5:$D$205,1)))/(INDEX(LE_Curves!$D$5:$D$205,MATCH($B77,LE_Curves!$D$5:$D$205,1)+1)-INDEX(LE_Curves!$D$5:$D$205,MATCH($B77,LE_Curves!$D$5:$D$205,1))))))</f>
        <v/>
      </c>
      <c r="E77" s="11">
        <f>IF(Inputs!$D$25=0,0,IF($B77&lt;=Inputs!$C$25,0,IF($B77&gt;=INDEX(LE_Curves!$E$5:$E$205,201),INDEX(LE_Curves!$B$5:$B$205,201),INDEX(LE_Curves!$B$5:$B$205,MATCH($B77,LE_Curves!$E$5:$E$205,1))+($B77-INDEX(LE_Curves!$E$5:$E$205,MATCH($B77,LE_Curves!$E$5:$E$205,1)))*(INDEX(LE_Curves!$B$5:$B$205,MATCH($B77,LE_Curves!$E$5:$E$205,1)+1)-INDEX(LE_Curves!$B$5:$B$205,MATCH($B77,LE_Curves!$E$5:$E$205,1)))/(INDEX(LE_Curves!$E$5:$E$205,MATCH($B77,LE_Curves!$E$5:$E$205,1)+1)-INDEX(LE_Curves!$E$5:$E$205,MATCH($B77,LE_Curves!$E$5:$E$205,1))))))</f>
        <v/>
      </c>
      <c r="F77" s="11">
        <f>IF(Inputs!$D$26=0,0,IF($B77&lt;=Inputs!$C$26,0,IF($B77&gt;=INDEX(LE_Curves!$F$5:$F$205,201),INDEX(LE_Curves!$B$5:$B$205,201),INDEX(LE_Curves!$B$5:$B$205,MATCH($B77,LE_Curves!$F$5:$F$205,1))+($B77-INDEX(LE_Curves!$F$5:$F$205,MATCH($B77,LE_Curves!$F$5:$F$205,1)))*(INDEX(LE_Curves!$B$5:$B$205,MATCH($B77,LE_Curves!$F$5:$F$205,1)+1)-INDEX(LE_Curves!$B$5:$B$205,MATCH($B77,LE_Curves!$F$5:$F$205,1)))/(INDEX(LE_Curves!$F$5:$F$205,MATCH($B77,LE_Curves!$F$5:$F$205,1)+1)-INDEX(LE_Curves!$F$5:$F$205,MATCH($B77,LE_Curves!$F$5:$F$205,1))))))</f>
        <v/>
      </c>
      <c r="G77" s="11">
        <f>IF(Inputs!$D$27=0,0,IF($B77&lt;=Inputs!$C$27,0,IF($B77&gt;=INDEX(LE_Curves!$G$5:$G$205,201),INDEX(LE_Curves!$B$5:$B$205,201),INDEX(LE_Curves!$B$5:$B$205,MATCH($B77,LE_Curves!$G$5:$G$205,1))+($B77-INDEX(LE_Curves!$G$5:$G$205,MATCH($B77,LE_Curves!$G$5:$G$205,1)))*(INDEX(LE_Curves!$B$5:$B$205,MATCH($B77,LE_Curves!$G$5:$G$205,1)+1)-INDEX(LE_Curves!$B$5:$B$205,MATCH($B77,LE_Curves!$G$5:$G$205,1)))/(INDEX(LE_Curves!$G$5:$G$205,MATCH($B77,LE_Curves!$G$5:$G$205,1)+1)-INDEX(LE_Curves!$G$5:$G$205,MATCH($B77,LE_Curves!$G$5:$G$205,1))))))</f>
        <v/>
      </c>
      <c r="H77" s="11">
        <f>IF(Inputs!$D$28=0,0,IF($B77&lt;=Inputs!$C$28,0,IF($B77&gt;=INDEX(LE_Curves!$H$5:$H$205,201),INDEX(LE_Curves!$B$5:$B$205,201),INDEX(LE_Curves!$B$5:$B$205,MATCH($B77,LE_Curves!$H$5:$H$205,1))+($B77-INDEX(LE_Curves!$H$5:$H$205,MATCH($B77,LE_Curves!$H$5:$H$205,1)))*(INDEX(LE_Curves!$B$5:$B$205,MATCH($B77,LE_Curves!$H$5:$H$205,1)+1)-INDEX(LE_Curves!$B$5:$B$205,MATCH($B77,LE_Curves!$H$5:$H$205,1)))/(INDEX(LE_Curves!$H$5:$H$205,MATCH($B77,LE_Curves!$H$5:$H$205,1)+1)-INDEX(LE_Curves!$H$5:$H$205,MATCH($B77,LE_Curves!$H$5:$H$205,1))))))</f>
        <v/>
      </c>
      <c r="I77" s="11">
        <f>IF(Inputs!$D$29=0,0,IF($B77&lt;=Inputs!$C$29,0,IF($B77&gt;=INDEX(LE_Curves!$I$5:$I$205,201),INDEX(LE_Curves!$B$5:$B$205,201),INDEX(LE_Curves!$B$5:$B$205,MATCH($B77,LE_Curves!$I$5:$I$205,1))+($B77-INDEX(LE_Curves!$I$5:$I$205,MATCH($B77,LE_Curves!$I$5:$I$205,1)))*(INDEX(LE_Curves!$B$5:$B$205,MATCH($B77,LE_Curves!$I$5:$I$205,1)+1)-INDEX(LE_Curves!$B$5:$B$205,MATCH($B77,LE_Curves!$I$5:$I$205,1)))/(INDEX(LE_Curves!$I$5:$I$205,MATCH($B77,LE_Curves!$I$5:$I$205,1)+1)-INDEX(LE_Curves!$I$5:$I$205,MATCH($B77,LE_Curves!$I$5:$I$205,1))))))</f>
        <v/>
      </c>
      <c r="J77" s="11">
        <f>IF(Inputs!$D$30=0,0,IF($B77&lt;=Inputs!$C$30,0,IF($B77&gt;=INDEX(LE_Curves!$J$5:$J$205,201),INDEX(LE_Curves!$B$5:$B$205,201),INDEX(LE_Curves!$B$5:$B$205,MATCH($B77,LE_Curves!$J$5:$J$205,1))+($B77-INDEX(LE_Curves!$J$5:$J$205,MATCH($B77,LE_Curves!$J$5:$J$205,1)))*(INDEX(LE_Curves!$B$5:$B$205,MATCH($B77,LE_Curves!$J$5:$J$205,1)+1)-INDEX(LE_Curves!$B$5:$B$205,MATCH($B77,LE_Curves!$J$5:$J$205,1)))/(INDEX(LE_Curves!$J$5:$J$205,MATCH($B77,LE_Curves!$J$5:$J$205,1)+1)-INDEX(LE_Curves!$J$5:$J$205,MATCH($B77,LE_Curves!$J$5:$J$205,1))))))</f>
        <v/>
      </c>
      <c r="K77" s="11">
        <f>IF(Inputs!$D$31=0,0,IF($B77&lt;=Inputs!$C$31,0,IF($B77&gt;=INDEX(LE_Curves!$K$5:$K$205,201),INDEX(LE_Curves!$B$5:$B$205,201),INDEX(LE_Curves!$B$5:$B$205,MATCH($B77,LE_Curves!$K$5:$K$205,1))+($B77-INDEX(LE_Curves!$K$5:$K$205,MATCH($B77,LE_Curves!$K$5:$K$205,1)))*(INDEX(LE_Curves!$B$5:$B$205,MATCH($B77,LE_Curves!$K$5:$K$205,1)+1)-INDEX(LE_Curves!$B$5:$B$205,MATCH($B77,LE_Curves!$K$5:$K$205,1)))/(INDEX(LE_Curves!$K$5:$K$205,MATCH($B77,LE_Curves!$K$5:$K$205,1)+1)-INDEX(LE_Curves!$K$5:$K$205,MATCH($B77,LE_Curves!$K$5:$K$205,1))))))</f>
        <v/>
      </c>
      <c r="L77" s="11">
        <f>IF(Inputs!$D$32=0,0,IF($B77&lt;=Inputs!$C$32,0,IF($B77&gt;=INDEX(LE_Curves!$L$5:$L$205,201),INDEX(LE_Curves!$B$5:$B$205,201),INDEX(LE_Curves!$B$5:$B$205,MATCH($B77,LE_Curves!$L$5:$L$205,1))+($B77-INDEX(LE_Curves!$L$5:$L$205,MATCH($B77,LE_Curves!$L$5:$L$205,1)))*(INDEX(LE_Curves!$B$5:$B$205,MATCH($B77,LE_Curves!$L$5:$L$205,1)+1)-INDEX(LE_Curves!$B$5:$B$205,MATCH($B77,LE_Curves!$L$5:$L$205,1)))/(INDEX(LE_Curves!$L$5:$L$205,MATCH($B77,LE_Curves!$L$5:$L$205,1)+1)-INDEX(LE_Curves!$L$5:$L$205,MATCH($B77,LE_Curves!$L$5:$L$205,1))))))</f>
        <v/>
      </c>
      <c r="M77" s="11">
        <f>IF(Inputs!$D$33=0,0,IF($B77&lt;=Inputs!$C$33,0,IF($B77&gt;=INDEX(LE_Curves!$M$5:$M$205,201),INDEX(LE_Curves!$B$5:$B$205,201),INDEX(LE_Curves!$B$5:$B$205,MATCH($B77,LE_Curves!$M$5:$M$205,1))+($B77-INDEX(LE_Curves!$M$5:$M$205,MATCH($B77,LE_Curves!$M$5:$M$205,1)))*(INDEX(LE_Curves!$B$5:$B$205,MATCH($B77,LE_Curves!$M$5:$M$205,1)+1)-INDEX(LE_Curves!$B$5:$B$205,MATCH($B77,LE_Curves!$M$5:$M$205,1)))/(INDEX(LE_Curves!$M$5:$M$205,MATCH($B77,LE_Curves!$M$5:$M$205,1)+1)-INDEX(LE_Curves!$M$5:$M$205,MATCH($B77,LE_Curves!$M$5:$M$205,1))))))</f>
        <v/>
      </c>
      <c r="N77" s="11">
        <f>IF(Inputs!$D$34=0,0,IF($B77&lt;=Inputs!$C$34,0,IF($B77&gt;=INDEX(LE_Curves!$N$5:$N$205,201),INDEX(LE_Curves!$B$5:$B$205,201),INDEX(LE_Curves!$B$5:$B$205,MATCH($B77,LE_Curves!$N$5:$N$205,1))+($B77-INDEX(LE_Curves!$N$5:$N$205,MATCH($B77,LE_Curves!$N$5:$N$205,1)))*(INDEX(LE_Curves!$B$5:$B$205,MATCH($B77,LE_Curves!$N$5:$N$205,1)+1)-INDEX(LE_Curves!$B$5:$B$205,MATCH($B77,LE_Curves!$N$5:$N$205,1)))/(INDEX(LE_Curves!$N$5:$N$205,MATCH($B77,LE_Curves!$N$5:$N$205,1)+1)-INDEX(LE_Curves!$N$5:$N$205,MATCH($B77,LE_Curves!$N$5:$N$205,1))))))</f>
        <v/>
      </c>
      <c r="O77" s="11">
        <f>SUM(C77:N77)</f>
        <v/>
      </c>
      <c r="Q77" s="7" t="n">
        <v>46</v>
      </c>
      <c r="R77" s="23">
        <f>$B$6+($B$7-$B$6)*Q77/200</f>
        <v/>
      </c>
      <c r="S77" s="11">
        <f>IF(Inputs!$D$23=0,0,IF($R77&lt;=Inputs!$C$23,0,IF($R77&gt;=INDEX(LE_Curves!$C$5:$C$205,201),INDEX(LE_Curves!$B$5:$B$205,201),INDEX(LE_Curves!$B$5:$B$205,MATCH($R77,LE_Curves!$C$5:$C$205,1))+($R77-INDEX(LE_Curves!$C$5:$C$205,MATCH($R77,LE_Curves!$C$5:$C$205,1)))*(INDEX(LE_Curves!$B$5:$B$205,MATCH($R77,LE_Curves!$C$5:$C$205,1)+1)-INDEX(LE_Curves!$B$5:$B$205,MATCH($R77,LE_Curves!$C$5:$C$205,1)))/(INDEX(LE_Curves!$C$5:$C$205,MATCH($R77,LE_Curves!$C$5:$C$205,1)+1)-INDEX(LE_Curves!$C$5:$C$205,MATCH($R77,LE_Curves!$C$5:$C$205,1))))))</f>
        <v/>
      </c>
      <c r="T77" s="11">
        <f>IF(Inputs!$D$24=0,0,IF($R77&lt;=Inputs!$C$24,0,IF($R77&gt;=INDEX(LE_Curves!$D$5:$D$205,201),INDEX(LE_Curves!$B$5:$B$205,201),INDEX(LE_Curves!$B$5:$B$205,MATCH($R77,LE_Curves!$D$5:$D$205,1))+($R77-INDEX(LE_Curves!$D$5:$D$205,MATCH($R77,LE_Curves!$D$5:$D$205,1)))*(INDEX(LE_Curves!$B$5:$B$205,MATCH($R77,LE_Curves!$D$5:$D$205,1)+1)-INDEX(LE_Curves!$B$5:$B$205,MATCH($R77,LE_Curves!$D$5:$D$205,1)))/(INDEX(LE_Curves!$D$5:$D$205,MATCH($R77,LE_Curves!$D$5:$D$205,1)+1)-INDEX(LE_Curves!$D$5:$D$205,MATCH($R77,LE_Curves!$D$5:$D$205,1))))))</f>
        <v/>
      </c>
      <c r="U77" s="11">
        <f>IF(Inputs!$D$25=0,0,IF($R77&lt;=Inputs!$C$25,0,IF($R77&gt;=INDEX(LE_Curves!$E$5:$E$205,201),INDEX(LE_Curves!$B$5:$B$205,201),INDEX(LE_Curves!$B$5:$B$205,MATCH($R77,LE_Curves!$E$5:$E$205,1))+($R77-INDEX(LE_Curves!$E$5:$E$205,MATCH($R77,LE_Curves!$E$5:$E$205,1)))*(INDEX(LE_Curves!$B$5:$B$205,MATCH($R77,LE_Curves!$E$5:$E$205,1)+1)-INDEX(LE_Curves!$B$5:$B$205,MATCH($R77,LE_Curves!$E$5:$E$205,1)))/(INDEX(LE_Curves!$E$5:$E$205,MATCH($R77,LE_Curves!$E$5:$E$205,1)+1)-INDEX(LE_Curves!$E$5:$E$205,MATCH($R77,LE_Curves!$E$5:$E$205,1))))))</f>
        <v/>
      </c>
      <c r="V77" s="11">
        <f>IF(Inputs!$D$26=0,0,IF($R77&lt;=Inputs!$C$26,0,IF($R77&gt;=INDEX(LE_Curves!$F$5:$F$205,201),INDEX(LE_Curves!$B$5:$B$205,201),INDEX(LE_Curves!$B$5:$B$205,MATCH($R77,LE_Curves!$F$5:$F$205,1))+($R77-INDEX(LE_Curves!$F$5:$F$205,MATCH($R77,LE_Curves!$F$5:$F$205,1)))*(INDEX(LE_Curves!$B$5:$B$205,MATCH($R77,LE_Curves!$F$5:$F$205,1)+1)-INDEX(LE_Curves!$B$5:$B$205,MATCH($R77,LE_Curves!$F$5:$F$205,1)))/(INDEX(LE_Curves!$F$5:$F$205,MATCH($R77,LE_Curves!$F$5:$F$205,1)+1)-INDEX(LE_Curves!$F$5:$F$205,MATCH($R77,LE_Curves!$F$5:$F$205,1))))))</f>
        <v/>
      </c>
      <c r="W77" s="11">
        <f>IF(Inputs!$D$27=0,0,IF($R77&lt;=Inputs!$C$27,0,IF($R77&gt;=INDEX(LE_Curves!$G$5:$G$205,201),INDEX(LE_Curves!$B$5:$B$205,201),INDEX(LE_Curves!$B$5:$B$205,MATCH($R77,LE_Curves!$G$5:$G$205,1))+($R77-INDEX(LE_Curves!$G$5:$G$205,MATCH($R77,LE_Curves!$G$5:$G$205,1)))*(INDEX(LE_Curves!$B$5:$B$205,MATCH($R77,LE_Curves!$G$5:$G$205,1)+1)-INDEX(LE_Curves!$B$5:$B$205,MATCH($R77,LE_Curves!$G$5:$G$205,1)))/(INDEX(LE_Curves!$G$5:$G$205,MATCH($R77,LE_Curves!$G$5:$G$205,1)+1)-INDEX(LE_Curves!$G$5:$G$205,MATCH($R77,LE_Curves!$G$5:$G$205,1))))))</f>
        <v/>
      </c>
      <c r="X77" s="11">
        <f>IF(Inputs!$D$28=0,0,IF($R77&lt;=Inputs!$C$28,0,IF($R77&gt;=INDEX(LE_Curves!$H$5:$H$205,201),INDEX(LE_Curves!$B$5:$B$205,201),INDEX(LE_Curves!$B$5:$B$205,MATCH($R77,LE_Curves!$H$5:$H$205,1))+($R77-INDEX(LE_Curves!$H$5:$H$205,MATCH($R77,LE_Curves!$H$5:$H$205,1)))*(INDEX(LE_Curves!$B$5:$B$205,MATCH($R77,LE_Curves!$H$5:$H$205,1)+1)-INDEX(LE_Curves!$B$5:$B$205,MATCH($R77,LE_Curves!$H$5:$H$205,1)))/(INDEX(LE_Curves!$H$5:$H$205,MATCH($R77,LE_Curves!$H$5:$H$205,1)+1)-INDEX(LE_Curves!$H$5:$H$205,MATCH($R77,LE_Curves!$H$5:$H$205,1))))))</f>
        <v/>
      </c>
      <c r="Y77" s="11">
        <f>IF(Inputs!$D$29=0,0,IF($R77&lt;=Inputs!$C$29,0,IF($R77&gt;=INDEX(LE_Curves!$I$5:$I$205,201),INDEX(LE_Curves!$B$5:$B$205,201),INDEX(LE_Curves!$B$5:$B$205,MATCH($R77,LE_Curves!$I$5:$I$205,1))+($R77-INDEX(LE_Curves!$I$5:$I$205,MATCH($R77,LE_Curves!$I$5:$I$205,1)))*(INDEX(LE_Curves!$B$5:$B$205,MATCH($R77,LE_Curves!$I$5:$I$205,1)+1)-INDEX(LE_Curves!$B$5:$B$205,MATCH($R77,LE_Curves!$I$5:$I$205,1)))/(INDEX(LE_Curves!$I$5:$I$205,MATCH($R77,LE_Curves!$I$5:$I$205,1)+1)-INDEX(LE_Curves!$I$5:$I$205,MATCH($R77,LE_Curves!$I$5:$I$205,1))))))</f>
        <v/>
      </c>
      <c r="Z77" s="11">
        <f>IF(Inputs!$D$30=0,0,IF($R77&lt;=Inputs!$C$30,0,IF($R77&gt;=INDEX(LE_Curves!$J$5:$J$205,201),INDEX(LE_Curves!$B$5:$B$205,201),INDEX(LE_Curves!$B$5:$B$205,MATCH($R77,LE_Curves!$J$5:$J$205,1))+($R77-INDEX(LE_Curves!$J$5:$J$205,MATCH($R77,LE_Curves!$J$5:$J$205,1)))*(INDEX(LE_Curves!$B$5:$B$205,MATCH($R77,LE_Curves!$J$5:$J$205,1)+1)-INDEX(LE_Curves!$B$5:$B$205,MATCH($R77,LE_Curves!$J$5:$J$205,1)))/(INDEX(LE_Curves!$J$5:$J$205,MATCH($R77,LE_Curves!$J$5:$J$205,1)+1)-INDEX(LE_Curves!$J$5:$J$205,MATCH($R77,LE_Curves!$J$5:$J$205,1))))))</f>
        <v/>
      </c>
      <c r="AA77" s="11">
        <f>IF(Inputs!$D$31=0,0,IF($R77&lt;=Inputs!$C$31,0,IF($R77&gt;=INDEX(LE_Curves!$K$5:$K$205,201),INDEX(LE_Curves!$B$5:$B$205,201),INDEX(LE_Curves!$B$5:$B$205,MATCH($R77,LE_Curves!$K$5:$K$205,1))+($R77-INDEX(LE_Curves!$K$5:$K$205,MATCH($R77,LE_Curves!$K$5:$K$205,1)))*(INDEX(LE_Curves!$B$5:$B$205,MATCH($R77,LE_Curves!$K$5:$K$205,1)+1)-INDEX(LE_Curves!$B$5:$B$205,MATCH($R77,LE_Curves!$K$5:$K$205,1)))/(INDEX(LE_Curves!$K$5:$K$205,MATCH($R77,LE_Curves!$K$5:$K$205,1)+1)-INDEX(LE_Curves!$K$5:$K$205,MATCH($R77,LE_Curves!$K$5:$K$205,1))))))</f>
        <v/>
      </c>
      <c r="AB77" s="11">
        <f>IF(Inputs!$D$32=0,0,IF($R77&lt;=Inputs!$C$32,0,IF($R77&gt;=INDEX(LE_Curves!$L$5:$L$205,201),INDEX(LE_Curves!$B$5:$B$205,201),INDEX(LE_Curves!$B$5:$B$205,MATCH($R77,LE_Curves!$L$5:$L$205,1))+($R77-INDEX(LE_Curves!$L$5:$L$205,MATCH($R77,LE_Curves!$L$5:$L$205,1)))*(INDEX(LE_Curves!$B$5:$B$205,MATCH($R77,LE_Curves!$L$5:$L$205,1)+1)-INDEX(LE_Curves!$B$5:$B$205,MATCH($R77,LE_Curves!$L$5:$L$205,1)))/(INDEX(LE_Curves!$L$5:$L$205,MATCH($R77,LE_Curves!$L$5:$L$205,1)+1)-INDEX(LE_Curves!$L$5:$L$205,MATCH($R77,LE_Curves!$L$5:$L$205,1))))))</f>
        <v/>
      </c>
      <c r="AC77" s="11">
        <f>IF(Inputs!$D$33=0,0,IF($R77&lt;=Inputs!$C$33,0,IF($R77&gt;=INDEX(LE_Curves!$M$5:$M$205,201),INDEX(LE_Curves!$B$5:$B$205,201),INDEX(LE_Curves!$B$5:$B$205,MATCH($R77,LE_Curves!$M$5:$M$205,1))+($R77-INDEX(LE_Curves!$M$5:$M$205,MATCH($R77,LE_Curves!$M$5:$M$205,1)))*(INDEX(LE_Curves!$B$5:$B$205,MATCH($R77,LE_Curves!$M$5:$M$205,1)+1)-INDEX(LE_Curves!$B$5:$B$205,MATCH($R77,LE_Curves!$M$5:$M$205,1)))/(INDEX(LE_Curves!$M$5:$M$205,MATCH($R77,LE_Curves!$M$5:$M$205,1)+1)-INDEX(LE_Curves!$M$5:$M$205,MATCH($R77,LE_Curves!$M$5:$M$205,1))))))</f>
        <v/>
      </c>
      <c r="AD77" s="11">
        <f>IF(Inputs!$D$34=0,0,IF($R77&lt;=Inputs!$C$34,0,IF($R77&gt;=INDEX(LE_Curves!$N$5:$N$205,201),INDEX(LE_Curves!$B$5:$B$205,201),INDEX(LE_Curves!$B$5:$B$205,MATCH($R77,LE_Curves!$N$5:$N$205,1))+($R77-INDEX(LE_Curves!$N$5:$N$205,MATCH($R77,LE_Curves!$N$5:$N$205,1)))*(INDEX(LE_Curves!$B$5:$B$205,MATCH($R77,LE_Curves!$N$5:$N$205,1)+1)-INDEX(LE_Curves!$B$5:$B$205,MATCH($R77,LE_Curves!$N$5:$N$205,1)))/(INDEX(LE_Curves!$N$5:$N$205,MATCH($R77,LE_Curves!$N$5:$N$205,1)+1)-INDEX(LE_Curves!$N$5:$N$205,MATCH($R77,LE_Curves!$N$5:$N$205,1))))))</f>
        <v/>
      </c>
      <c r="AE77" s="37">
        <f>SUM(S77:AD77)</f>
        <v/>
      </c>
    </row>
    <row r="78">
      <c r="A78" s="7" t="n">
        <v>47</v>
      </c>
      <c r="B78" s="37">
        <f>$B$3+($B$4-$B$3)*A78/200</f>
        <v/>
      </c>
      <c r="C78" s="11">
        <f>IF(Inputs!$D$23=0,0,IF($B78&lt;=Inputs!$C$23,0,IF($B78&gt;=INDEX(LE_Curves!$C$5:$C$205,201),INDEX(LE_Curves!$B$5:$B$205,201),INDEX(LE_Curves!$B$5:$B$205,MATCH($B78,LE_Curves!$C$5:$C$205,1))+($B78-INDEX(LE_Curves!$C$5:$C$205,MATCH($B78,LE_Curves!$C$5:$C$205,1)))*(INDEX(LE_Curves!$B$5:$B$205,MATCH($B78,LE_Curves!$C$5:$C$205,1)+1)-INDEX(LE_Curves!$B$5:$B$205,MATCH($B78,LE_Curves!$C$5:$C$205,1)))/(INDEX(LE_Curves!$C$5:$C$205,MATCH($B78,LE_Curves!$C$5:$C$205,1)+1)-INDEX(LE_Curves!$C$5:$C$205,MATCH($B78,LE_Curves!$C$5:$C$205,1))))))</f>
        <v/>
      </c>
      <c r="D78" s="11">
        <f>IF(Inputs!$D$24=0,0,IF($B78&lt;=Inputs!$C$24,0,IF($B78&gt;=INDEX(LE_Curves!$D$5:$D$205,201),INDEX(LE_Curves!$B$5:$B$205,201),INDEX(LE_Curves!$B$5:$B$205,MATCH($B78,LE_Curves!$D$5:$D$205,1))+($B78-INDEX(LE_Curves!$D$5:$D$205,MATCH($B78,LE_Curves!$D$5:$D$205,1)))*(INDEX(LE_Curves!$B$5:$B$205,MATCH($B78,LE_Curves!$D$5:$D$205,1)+1)-INDEX(LE_Curves!$B$5:$B$205,MATCH($B78,LE_Curves!$D$5:$D$205,1)))/(INDEX(LE_Curves!$D$5:$D$205,MATCH($B78,LE_Curves!$D$5:$D$205,1)+1)-INDEX(LE_Curves!$D$5:$D$205,MATCH($B78,LE_Curves!$D$5:$D$205,1))))))</f>
        <v/>
      </c>
      <c r="E78" s="11">
        <f>IF(Inputs!$D$25=0,0,IF($B78&lt;=Inputs!$C$25,0,IF($B78&gt;=INDEX(LE_Curves!$E$5:$E$205,201),INDEX(LE_Curves!$B$5:$B$205,201),INDEX(LE_Curves!$B$5:$B$205,MATCH($B78,LE_Curves!$E$5:$E$205,1))+($B78-INDEX(LE_Curves!$E$5:$E$205,MATCH($B78,LE_Curves!$E$5:$E$205,1)))*(INDEX(LE_Curves!$B$5:$B$205,MATCH($B78,LE_Curves!$E$5:$E$205,1)+1)-INDEX(LE_Curves!$B$5:$B$205,MATCH($B78,LE_Curves!$E$5:$E$205,1)))/(INDEX(LE_Curves!$E$5:$E$205,MATCH($B78,LE_Curves!$E$5:$E$205,1)+1)-INDEX(LE_Curves!$E$5:$E$205,MATCH($B78,LE_Curves!$E$5:$E$205,1))))))</f>
        <v/>
      </c>
      <c r="F78" s="11">
        <f>IF(Inputs!$D$26=0,0,IF($B78&lt;=Inputs!$C$26,0,IF($B78&gt;=INDEX(LE_Curves!$F$5:$F$205,201),INDEX(LE_Curves!$B$5:$B$205,201),INDEX(LE_Curves!$B$5:$B$205,MATCH($B78,LE_Curves!$F$5:$F$205,1))+($B78-INDEX(LE_Curves!$F$5:$F$205,MATCH($B78,LE_Curves!$F$5:$F$205,1)))*(INDEX(LE_Curves!$B$5:$B$205,MATCH($B78,LE_Curves!$F$5:$F$205,1)+1)-INDEX(LE_Curves!$B$5:$B$205,MATCH($B78,LE_Curves!$F$5:$F$205,1)))/(INDEX(LE_Curves!$F$5:$F$205,MATCH($B78,LE_Curves!$F$5:$F$205,1)+1)-INDEX(LE_Curves!$F$5:$F$205,MATCH($B78,LE_Curves!$F$5:$F$205,1))))))</f>
        <v/>
      </c>
      <c r="G78" s="11">
        <f>IF(Inputs!$D$27=0,0,IF($B78&lt;=Inputs!$C$27,0,IF($B78&gt;=INDEX(LE_Curves!$G$5:$G$205,201),INDEX(LE_Curves!$B$5:$B$205,201),INDEX(LE_Curves!$B$5:$B$205,MATCH($B78,LE_Curves!$G$5:$G$205,1))+($B78-INDEX(LE_Curves!$G$5:$G$205,MATCH($B78,LE_Curves!$G$5:$G$205,1)))*(INDEX(LE_Curves!$B$5:$B$205,MATCH($B78,LE_Curves!$G$5:$G$205,1)+1)-INDEX(LE_Curves!$B$5:$B$205,MATCH($B78,LE_Curves!$G$5:$G$205,1)))/(INDEX(LE_Curves!$G$5:$G$205,MATCH($B78,LE_Curves!$G$5:$G$205,1)+1)-INDEX(LE_Curves!$G$5:$G$205,MATCH($B78,LE_Curves!$G$5:$G$205,1))))))</f>
        <v/>
      </c>
      <c r="H78" s="11">
        <f>IF(Inputs!$D$28=0,0,IF($B78&lt;=Inputs!$C$28,0,IF($B78&gt;=INDEX(LE_Curves!$H$5:$H$205,201),INDEX(LE_Curves!$B$5:$B$205,201),INDEX(LE_Curves!$B$5:$B$205,MATCH($B78,LE_Curves!$H$5:$H$205,1))+($B78-INDEX(LE_Curves!$H$5:$H$205,MATCH($B78,LE_Curves!$H$5:$H$205,1)))*(INDEX(LE_Curves!$B$5:$B$205,MATCH($B78,LE_Curves!$H$5:$H$205,1)+1)-INDEX(LE_Curves!$B$5:$B$205,MATCH($B78,LE_Curves!$H$5:$H$205,1)))/(INDEX(LE_Curves!$H$5:$H$205,MATCH($B78,LE_Curves!$H$5:$H$205,1)+1)-INDEX(LE_Curves!$H$5:$H$205,MATCH($B78,LE_Curves!$H$5:$H$205,1))))))</f>
        <v/>
      </c>
      <c r="I78" s="11">
        <f>IF(Inputs!$D$29=0,0,IF($B78&lt;=Inputs!$C$29,0,IF($B78&gt;=INDEX(LE_Curves!$I$5:$I$205,201),INDEX(LE_Curves!$B$5:$B$205,201),INDEX(LE_Curves!$B$5:$B$205,MATCH($B78,LE_Curves!$I$5:$I$205,1))+($B78-INDEX(LE_Curves!$I$5:$I$205,MATCH($B78,LE_Curves!$I$5:$I$205,1)))*(INDEX(LE_Curves!$B$5:$B$205,MATCH($B78,LE_Curves!$I$5:$I$205,1)+1)-INDEX(LE_Curves!$B$5:$B$205,MATCH($B78,LE_Curves!$I$5:$I$205,1)))/(INDEX(LE_Curves!$I$5:$I$205,MATCH($B78,LE_Curves!$I$5:$I$205,1)+1)-INDEX(LE_Curves!$I$5:$I$205,MATCH($B78,LE_Curves!$I$5:$I$205,1))))))</f>
        <v/>
      </c>
      <c r="J78" s="11">
        <f>IF(Inputs!$D$30=0,0,IF($B78&lt;=Inputs!$C$30,0,IF($B78&gt;=INDEX(LE_Curves!$J$5:$J$205,201),INDEX(LE_Curves!$B$5:$B$205,201),INDEX(LE_Curves!$B$5:$B$205,MATCH($B78,LE_Curves!$J$5:$J$205,1))+($B78-INDEX(LE_Curves!$J$5:$J$205,MATCH($B78,LE_Curves!$J$5:$J$205,1)))*(INDEX(LE_Curves!$B$5:$B$205,MATCH($B78,LE_Curves!$J$5:$J$205,1)+1)-INDEX(LE_Curves!$B$5:$B$205,MATCH($B78,LE_Curves!$J$5:$J$205,1)))/(INDEX(LE_Curves!$J$5:$J$205,MATCH($B78,LE_Curves!$J$5:$J$205,1)+1)-INDEX(LE_Curves!$J$5:$J$205,MATCH($B78,LE_Curves!$J$5:$J$205,1))))))</f>
        <v/>
      </c>
      <c r="K78" s="11">
        <f>IF(Inputs!$D$31=0,0,IF($B78&lt;=Inputs!$C$31,0,IF($B78&gt;=INDEX(LE_Curves!$K$5:$K$205,201),INDEX(LE_Curves!$B$5:$B$205,201),INDEX(LE_Curves!$B$5:$B$205,MATCH($B78,LE_Curves!$K$5:$K$205,1))+($B78-INDEX(LE_Curves!$K$5:$K$205,MATCH($B78,LE_Curves!$K$5:$K$205,1)))*(INDEX(LE_Curves!$B$5:$B$205,MATCH($B78,LE_Curves!$K$5:$K$205,1)+1)-INDEX(LE_Curves!$B$5:$B$205,MATCH($B78,LE_Curves!$K$5:$K$205,1)))/(INDEX(LE_Curves!$K$5:$K$205,MATCH($B78,LE_Curves!$K$5:$K$205,1)+1)-INDEX(LE_Curves!$K$5:$K$205,MATCH($B78,LE_Curves!$K$5:$K$205,1))))))</f>
        <v/>
      </c>
      <c r="L78" s="11">
        <f>IF(Inputs!$D$32=0,0,IF($B78&lt;=Inputs!$C$32,0,IF($B78&gt;=INDEX(LE_Curves!$L$5:$L$205,201),INDEX(LE_Curves!$B$5:$B$205,201),INDEX(LE_Curves!$B$5:$B$205,MATCH($B78,LE_Curves!$L$5:$L$205,1))+($B78-INDEX(LE_Curves!$L$5:$L$205,MATCH($B78,LE_Curves!$L$5:$L$205,1)))*(INDEX(LE_Curves!$B$5:$B$205,MATCH($B78,LE_Curves!$L$5:$L$205,1)+1)-INDEX(LE_Curves!$B$5:$B$205,MATCH($B78,LE_Curves!$L$5:$L$205,1)))/(INDEX(LE_Curves!$L$5:$L$205,MATCH($B78,LE_Curves!$L$5:$L$205,1)+1)-INDEX(LE_Curves!$L$5:$L$205,MATCH($B78,LE_Curves!$L$5:$L$205,1))))))</f>
        <v/>
      </c>
      <c r="M78" s="11">
        <f>IF(Inputs!$D$33=0,0,IF($B78&lt;=Inputs!$C$33,0,IF($B78&gt;=INDEX(LE_Curves!$M$5:$M$205,201),INDEX(LE_Curves!$B$5:$B$205,201),INDEX(LE_Curves!$B$5:$B$205,MATCH($B78,LE_Curves!$M$5:$M$205,1))+($B78-INDEX(LE_Curves!$M$5:$M$205,MATCH($B78,LE_Curves!$M$5:$M$205,1)))*(INDEX(LE_Curves!$B$5:$B$205,MATCH($B78,LE_Curves!$M$5:$M$205,1)+1)-INDEX(LE_Curves!$B$5:$B$205,MATCH($B78,LE_Curves!$M$5:$M$205,1)))/(INDEX(LE_Curves!$M$5:$M$205,MATCH($B78,LE_Curves!$M$5:$M$205,1)+1)-INDEX(LE_Curves!$M$5:$M$205,MATCH($B78,LE_Curves!$M$5:$M$205,1))))))</f>
        <v/>
      </c>
      <c r="N78" s="11">
        <f>IF(Inputs!$D$34=0,0,IF($B78&lt;=Inputs!$C$34,0,IF($B78&gt;=INDEX(LE_Curves!$N$5:$N$205,201),INDEX(LE_Curves!$B$5:$B$205,201),INDEX(LE_Curves!$B$5:$B$205,MATCH($B78,LE_Curves!$N$5:$N$205,1))+($B78-INDEX(LE_Curves!$N$5:$N$205,MATCH($B78,LE_Curves!$N$5:$N$205,1)))*(INDEX(LE_Curves!$B$5:$B$205,MATCH($B78,LE_Curves!$N$5:$N$205,1)+1)-INDEX(LE_Curves!$B$5:$B$205,MATCH($B78,LE_Curves!$N$5:$N$205,1)))/(INDEX(LE_Curves!$N$5:$N$205,MATCH($B78,LE_Curves!$N$5:$N$205,1)+1)-INDEX(LE_Curves!$N$5:$N$205,MATCH($B78,LE_Curves!$N$5:$N$205,1))))))</f>
        <v/>
      </c>
      <c r="O78" s="11">
        <f>SUM(C78:N78)</f>
        <v/>
      </c>
      <c r="Q78" s="7" t="n">
        <v>47</v>
      </c>
      <c r="R78" s="23">
        <f>$B$6+($B$7-$B$6)*Q78/200</f>
        <v/>
      </c>
      <c r="S78" s="11">
        <f>IF(Inputs!$D$23=0,0,IF($R78&lt;=Inputs!$C$23,0,IF($R78&gt;=INDEX(LE_Curves!$C$5:$C$205,201),INDEX(LE_Curves!$B$5:$B$205,201),INDEX(LE_Curves!$B$5:$B$205,MATCH($R78,LE_Curves!$C$5:$C$205,1))+($R78-INDEX(LE_Curves!$C$5:$C$205,MATCH($R78,LE_Curves!$C$5:$C$205,1)))*(INDEX(LE_Curves!$B$5:$B$205,MATCH($R78,LE_Curves!$C$5:$C$205,1)+1)-INDEX(LE_Curves!$B$5:$B$205,MATCH($R78,LE_Curves!$C$5:$C$205,1)))/(INDEX(LE_Curves!$C$5:$C$205,MATCH($R78,LE_Curves!$C$5:$C$205,1)+1)-INDEX(LE_Curves!$C$5:$C$205,MATCH($R78,LE_Curves!$C$5:$C$205,1))))))</f>
        <v/>
      </c>
      <c r="T78" s="11">
        <f>IF(Inputs!$D$24=0,0,IF($R78&lt;=Inputs!$C$24,0,IF($R78&gt;=INDEX(LE_Curves!$D$5:$D$205,201),INDEX(LE_Curves!$B$5:$B$205,201),INDEX(LE_Curves!$B$5:$B$205,MATCH($R78,LE_Curves!$D$5:$D$205,1))+($R78-INDEX(LE_Curves!$D$5:$D$205,MATCH($R78,LE_Curves!$D$5:$D$205,1)))*(INDEX(LE_Curves!$B$5:$B$205,MATCH($R78,LE_Curves!$D$5:$D$205,1)+1)-INDEX(LE_Curves!$B$5:$B$205,MATCH($R78,LE_Curves!$D$5:$D$205,1)))/(INDEX(LE_Curves!$D$5:$D$205,MATCH($R78,LE_Curves!$D$5:$D$205,1)+1)-INDEX(LE_Curves!$D$5:$D$205,MATCH($R78,LE_Curves!$D$5:$D$205,1))))))</f>
        <v/>
      </c>
      <c r="U78" s="11">
        <f>IF(Inputs!$D$25=0,0,IF($R78&lt;=Inputs!$C$25,0,IF($R78&gt;=INDEX(LE_Curves!$E$5:$E$205,201),INDEX(LE_Curves!$B$5:$B$205,201),INDEX(LE_Curves!$B$5:$B$205,MATCH($R78,LE_Curves!$E$5:$E$205,1))+($R78-INDEX(LE_Curves!$E$5:$E$205,MATCH($R78,LE_Curves!$E$5:$E$205,1)))*(INDEX(LE_Curves!$B$5:$B$205,MATCH($R78,LE_Curves!$E$5:$E$205,1)+1)-INDEX(LE_Curves!$B$5:$B$205,MATCH($R78,LE_Curves!$E$5:$E$205,1)))/(INDEX(LE_Curves!$E$5:$E$205,MATCH($R78,LE_Curves!$E$5:$E$205,1)+1)-INDEX(LE_Curves!$E$5:$E$205,MATCH($R78,LE_Curves!$E$5:$E$205,1))))))</f>
        <v/>
      </c>
      <c r="V78" s="11">
        <f>IF(Inputs!$D$26=0,0,IF($R78&lt;=Inputs!$C$26,0,IF($R78&gt;=INDEX(LE_Curves!$F$5:$F$205,201),INDEX(LE_Curves!$B$5:$B$205,201),INDEX(LE_Curves!$B$5:$B$205,MATCH($R78,LE_Curves!$F$5:$F$205,1))+($R78-INDEX(LE_Curves!$F$5:$F$205,MATCH($R78,LE_Curves!$F$5:$F$205,1)))*(INDEX(LE_Curves!$B$5:$B$205,MATCH($R78,LE_Curves!$F$5:$F$205,1)+1)-INDEX(LE_Curves!$B$5:$B$205,MATCH($R78,LE_Curves!$F$5:$F$205,1)))/(INDEX(LE_Curves!$F$5:$F$205,MATCH($R78,LE_Curves!$F$5:$F$205,1)+1)-INDEX(LE_Curves!$F$5:$F$205,MATCH($R78,LE_Curves!$F$5:$F$205,1))))))</f>
        <v/>
      </c>
      <c r="W78" s="11">
        <f>IF(Inputs!$D$27=0,0,IF($R78&lt;=Inputs!$C$27,0,IF($R78&gt;=INDEX(LE_Curves!$G$5:$G$205,201),INDEX(LE_Curves!$B$5:$B$205,201),INDEX(LE_Curves!$B$5:$B$205,MATCH($R78,LE_Curves!$G$5:$G$205,1))+($R78-INDEX(LE_Curves!$G$5:$G$205,MATCH($R78,LE_Curves!$G$5:$G$205,1)))*(INDEX(LE_Curves!$B$5:$B$205,MATCH($R78,LE_Curves!$G$5:$G$205,1)+1)-INDEX(LE_Curves!$B$5:$B$205,MATCH($R78,LE_Curves!$G$5:$G$205,1)))/(INDEX(LE_Curves!$G$5:$G$205,MATCH($R78,LE_Curves!$G$5:$G$205,1)+1)-INDEX(LE_Curves!$G$5:$G$205,MATCH($R78,LE_Curves!$G$5:$G$205,1))))))</f>
        <v/>
      </c>
      <c r="X78" s="11">
        <f>IF(Inputs!$D$28=0,0,IF($R78&lt;=Inputs!$C$28,0,IF($R78&gt;=INDEX(LE_Curves!$H$5:$H$205,201),INDEX(LE_Curves!$B$5:$B$205,201),INDEX(LE_Curves!$B$5:$B$205,MATCH($R78,LE_Curves!$H$5:$H$205,1))+($R78-INDEX(LE_Curves!$H$5:$H$205,MATCH($R78,LE_Curves!$H$5:$H$205,1)))*(INDEX(LE_Curves!$B$5:$B$205,MATCH($R78,LE_Curves!$H$5:$H$205,1)+1)-INDEX(LE_Curves!$B$5:$B$205,MATCH($R78,LE_Curves!$H$5:$H$205,1)))/(INDEX(LE_Curves!$H$5:$H$205,MATCH($R78,LE_Curves!$H$5:$H$205,1)+1)-INDEX(LE_Curves!$H$5:$H$205,MATCH($R78,LE_Curves!$H$5:$H$205,1))))))</f>
        <v/>
      </c>
      <c r="Y78" s="11">
        <f>IF(Inputs!$D$29=0,0,IF($R78&lt;=Inputs!$C$29,0,IF($R78&gt;=INDEX(LE_Curves!$I$5:$I$205,201),INDEX(LE_Curves!$B$5:$B$205,201),INDEX(LE_Curves!$B$5:$B$205,MATCH($R78,LE_Curves!$I$5:$I$205,1))+($R78-INDEX(LE_Curves!$I$5:$I$205,MATCH($R78,LE_Curves!$I$5:$I$205,1)))*(INDEX(LE_Curves!$B$5:$B$205,MATCH($R78,LE_Curves!$I$5:$I$205,1)+1)-INDEX(LE_Curves!$B$5:$B$205,MATCH($R78,LE_Curves!$I$5:$I$205,1)))/(INDEX(LE_Curves!$I$5:$I$205,MATCH($R78,LE_Curves!$I$5:$I$205,1)+1)-INDEX(LE_Curves!$I$5:$I$205,MATCH($R78,LE_Curves!$I$5:$I$205,1))))))</f>
        <v/>
      </c>
      <c r="Z78" s="11">
        <f>IF(Inputs!$D$30=0,0,IF($R78&lt;=Inputs!$C$30,0,IF($R78&gt;=INDEX(LE_Curves!$J$5:$J$205,201),INDEX(LE_Curves!$B$5:$B$205,201),INDEX(LE_Curves!$B$5:$B$205,MATCH($R78,LE_Curves!$J$5:$J$205,1))+($R78-INDEX(LE_Curves!$J$5:$J$205,MATCH($R78,LE_Curves!$J$5:$J$205,1)))*(INDEX(LE_Curves!$B$5:$B$205,MATCH($R78,LE_Curves!$J$5:$J$205,1)+1)-INDEX(LE_Curves!$B$5:$B$205,MATCH($R78,LE_Curves!$J$5:$J$205,1)))/(INDEX(LE_Curves!$J$5:$J$205,MATCH($R78,LE_Curves!$J$5:$J$205,1)+1)-INDEX(LE_Curves!$J$5:$J$205,MATCH($R78,LE_Curves!$J$5:$J$205,1))))))</f>
        <v/>
      </c>
      <c r="AA78" s="11">
        <f>IF(Inputs!$D$31=0,0,IF($R78&lt;=Inputs!$C$31,0,IF($R78&gt;=INDEX(LE_Curves!$K$5:$K$205,201),INDEX(LE_Curves!$B$5:$B$205,201),INDEX(LE_Curves!$B$5:$B$205,MATCH($R78,LE_Curves!$K$5:$K$205,1))+($R78-INDEX(LE_Curves!$K$5:$K$205,MATCH($R78,LE_Curves!$K$5:$K$205,1)))*(INDEX(LE_Curves!$B$5:$B$205,MATCH($R78,LE_Curves!$K$5:$K$205,1)+1)-INDEX(LE_Curves!$B$5:$B$205,MATCH($R78,LE_Curves!$K$5:$K$205,1)))/(INDEX(LE_Curves!$K$5:$K$205,MATCH($R78,LE_Curves!$K$5:$K$205,1)+1)-INDEX(LE_Curves!$K$5:$K$205,MATCH($R78,LE_Curves!$K$5:$K$205,1))))))</f>
        <v/>
      </c>
      <c r="AB78" s="11">
        <f>IF(Inputs!$D$32=0,0,IF($R78&lt;=Inputs!$C$32,0,IF($R78&gt;=INDEX(LE_Curves!$L$5:$L$205,201),INDEX(LE_Curves!$B$5:$B$205,201),INDEX(LE_Curves!$B$5:$B$205,MATCH($R78,LE_Curves!$L$5:$L$205,1))+($R78-INDEX(LE_Curves!$L$5:$L$205,MATCH($R78,LE_Curves!$L$5:$L$205,1)))*(INDEX(LE_Curves!$B$5:$B$205,MATCH($R78,LE_Curves!$L$5:$L$205,1)+1)-INDEX(LE_Curves!$B$5:$B$205,MATCH($R78,LE_Curves!$L$5:$L$205,1)))/(INDEX(LE_Curves!$L$5:$L$205,MATCH($R78,LE_Curves!$L$5:$L$205,1)+1)-INDEX(LE_Curves!$L$5:$L$205,MATCH($R78,LE_Curves!$L$5:$L$205,1))))))</f>
        <v/>
      </c>
      <c r="AC78" s="11">
        <f>IF(Inputs!$D$33=0,0,IF($R78&lt;=Inputs!$C$33,0,IF($R78&gt;=INDEX(LE_Curves!$M$5:$M$205,201),INDEX(LE_Curves!$B$5:$B$205,201),INDEX(LE_Curves!$B$5:$B$205,MATCH($R78,LE_Curves!$M$5:$M$205,1))+($R78-INDEX(LE_Curves!$M$5:$M$205,MATCH($R78,LE_Curves!$M$5:$M$205,1)))*(INDEX(LE_Curves!$B$5:$B$205,MATCH($R78,LE_Curves!$M$5:$M$205,1)+1)-INDEX(LE_Curves!$B$5:$B$205,MATCH($R78,LE_Curves!$M$5:$M$205,1)))/(INDEX(LE_Curves!$M$5:$M$205,MATCH($R78,LE_Curves!$M$5:$M$205,1)+1)-INDEX(LE_Curves!$M$5:$M$205,MATCH($R78,LE_Curves!$M$5:$M$205,1))))))</f>
        <v/>
      </c>
      <c r="AD78" s="11">
        <f>IF(Inputs!$D$34=0,0,IF($R78&lt;=Inputs!$C$34,0,IF($R78&gt;=INDEX(LE_Curves!$N$5:$N$205,201),INDEX(LE_Curves!$B$5:$B$205,201),INDEX(LE_Curves!$B$5:$B$205,MATCH($R78,LE_Curves!$N$5:$N$205,1))+($R78-INDEX(LE_Curves!$N$5:$N$205,MATCH($R78,LE_Curves!$N$5:$N$205,1)))*(INDEX(LE_Curves!$B$5:$B$205,MATCH($R78,LE_Curves!$N$5:$N$205,1)+1)-INDEX(LE_Curves!$B$5:$B$205,MATCH($R78,LE_Curves!$N$5:$N$205,1)))/(INDEX(LE_Curves!$N$5:$N$205,MATCH($R78,LE_Curves!$N$5:$N$205,1)+1)-INDEX(LE_Curves!$N$5:$N$205,MATCH($R78,LE_Curves!$N$5:$N$205,1))))))</f>
        <v/>
      </c>
      <c r="AE78" s="37">
        <f>SUM(S78:AD78)</f>
        <v/>
      </c>
    </row>
    <row r="79">
      <c r="A79" s="7" t="n">
        <v>48</v>
      </c>
      <c r="B79" s="37">
        <f>$B$3+($B$4-$B$3)*A79/200</f>
        <v/>
      </c>
      <c r="C79" s="11">
        <f>IF(Inputs!$D$23=0,0,IF($B79&lt;=Inputs!$C$23,0,IF($B79&gt;=INDEX(LE_Curves!$C$5:$C$205,201),INDEX(LE_Curves!$B$5:$B$205,201),INDEX(LE_Curves!$B$5:$B$205,MATCH($B79,LE_Curves!$C$5:$C$205,1))+($B79-INDEX(LE_Curves!$C$5:$C$205,MATCH($B79,LE_Curves!$C$5:$C$205,1)))*(INDEX(LE_Curves!$B$5:$B$205,MATCH($B79,LE_Curves!$C$5:$C$205,1)+1)-INDEX(LE_Curves!$B$5:$B$205,MATCH($B79,LE_Curves!$C$5:$C$205,1)))/(INDEX(LE_Curves!$C$5:$C$205,MATCH($B79,LE_Curves!$C$5:$C$205,1)+1)-INDEX(LE_Curves!$C$5:$C$205,MATCH($B79,LE_Curves!$C$5:$C$205,1))))))</f>
        <v/>
      </c>
      <c r="D79" s="11">
        <f>IF(Inputs!$D$24=0,0,IF($B79&lt;=Inputs!$C$24,0,IF($B79&gt;=INDEX(LE_Curves!$D$5:$D$205,201),INDEX(LE_Curves!$B$5:$B$205,201),INDEX(LE_Curves!$B$5:$B$205,MATCH($B79,LE_Curves!$D$5:$D$205,1))+($B79-INDEX(LE_Curves!$D$5:$D$205,MATCH($B79,LE_Curves!$D$5:$D$205,1)))*(INDEX(LE_Curves!$B$5:$B$205,MATCH($B79,LE_Curves!$D$5:$D$205,1)+1)-INDEX(LE_Curves!$B$5:$B$205,MATCH($B79,LE_Curves!$D$5:$D$205,1)))/(INDEX(LE_Curves!$D$5:$D$205,MATCH($B79,LE_Curves!$D$5:$D$205,1)+1)-INDEX(LE_Curves!$D$5:$D$205,MATCH($B79,LE_Curves!$D$5:$D$205,1))))))</f>
        <v/>
      </c>
      <c r="E79" s="11">
        <f>IF(Inputs!$D$25=0,0,IF($B79&lt;=Inputs!$C$25,0,IF($B79&gt;=INDEX(LE_Curves!$E$5:$E$205,201),INDEX(LE_Curves!$B$5:$B$205,201),INDEX(LE_Curves!$B$5:$B$205,MATCH($B79,LE_Curves!$E$5:$E$205,1))+($B79-INDEX(LE_Curves!$E$5:$E$205,MATCH($B79,LE_Curves!$E$5:$E$205,1)))*(INDEX(LE_Curves!$B$5:$B$205,MATCH($B79,LE_Curves!$E$5:$E$205,1)+1)-INDEX(LE_Curves!$B$5:$B$205,MATCH($B79,LE_Curves!$E$5:$E$205,1)))/(INDEX(LE_Curves!$E$5:$E$205,MATCH($B79,LE_Curves!$E$5:$E$205,1)+1)-INDEX(LE_Curves!$E$5:$E$205,MATCH($B79,LE_Curves!$E$5:$E$205,1))))))</f>
        <v/>
      </c>
      <c r="F79" s="11">
        <f>IF(Inputs!$D$26=0,0,IF($B79&lt;=Inputs!$C$26,0,IF($B79&gt;=INDEX(LE_Curves!$F$5:$F$205,201),INDEX(LE_Curves!$B$5:$B$205,201),INDEX(LE_Curves!$B$5:$B$205,MATCH($B79,LE_Curves!$F$5:$F$205,1))+($B79-INDEX(LE_Curves!$F$5:$F$205,MATCH($B79,LE_Curves!$F$5:$F$205,1)))*(INDEX(LE_Curves!$B$5:$B$205,MATCH($B79,LE_Curves!$F$5:$F$205,1)+1)-INDEX(LE_Curves!$B$5:$B$205,MATCH($B79,LE_Curves!$F$5:$F$205,1)))/(INDEX(LE_Curves!$F$5:$F$205,MATCH($B79,LE_Curves!$F$5:$F$205,1)+1)-INDEX(LE_Curves!$F$5:$F$205,MATCH($B79,LE_Curves!$F$5:$F$205,1))))))</f>
        <v/>
      </c>
      <c r="G79" s="11">
        <f>IF(Inputs!$D$27=0,0,IF($B79&lt;=Inputs!$C$27,0,IF($B79&gt;=INDEX(LE_Curves!$G$5:$G$205,201),INDEX(LE_Curves!$B$5:$B$205,201),INDEX(LE_Curves!$B$5:$B$205,MATCH($B79,LE_Curves!$G$5:$G$205,1))+($B79-INDEX(LE_Curves!$G$5:$G$205,MATCH($B79,LE_Curves!$G$5:$G$205,1)))*(INDEX(LE_Curves!$B$5:$B$205,MATCH($B79,LE_Curves!$G$5:$G$205,1)+1)-INDEX(LE_Curves!$B$5:$B$205,MATCH($B79,LE_Curves!$G$5:$G$205,1)))/(INDEX(LE_Curves!$G$5:$G$205,MATCH($B79,LE_Curves!$G$5:$G$205,1)+1)-INDEX(LE_Curves!$G$5:$G$205,MATCH($B79,LE_Curves!$G$5:$G$205,1))))))</f>
        <v/>
      </c>
      <c r="H79" s="11">
        <f>IF(Inputs!$D$28=0,0,IF($B79&lt;=Inputs!$C$28,0,IF($B79&gt;=INDEX(LE_Curves!$H$5:$H$205,201),INDEX(LE_Curves!$B$5:$B$205,201),INDEX(LE_Curves!$B$5:$B$205,MATCH($B79,LE_Curves!$H$5:$H$205,1))+($B79-INDEX(LE_Curves!$H$5:$H$205,MATCH($B79,LE_Curves!$H$5:$H$205,1)))*(INDEX(LE_Curves!$B$5:$B$205,MATCH($B79,LE_Curves!$H$5:$H$205,1)+1)-INDEX(LE_Curves!$B$5:$B$205,MATCH($B79,LE_Curves!$H$5:$H$205,1)))/(INDEX(LE_Curves!$H$5:$H$205,MATCH($B79,LE_Curves!$H$5:$H$205,1)+1)-INDEX(LE_Curves!$H$5:$H$205,MATCH($B79,LE_Curves!$H$5:$H$205,1))))))</f>
        <v/>
      </c>
      <c r="I79" s="11">
        <f>IF(Inputs!$D$29=0,0,IF($B79&lt;=Inputs!$C$29,0,IF($B79&gt;=INDEX(LE_Curves!$I$5:$I$205,201),INDEX(LE_Curves!$B$5:$B$205,201),INDEX(LE_Curves!$B$5:$B$205,MATCH($B79,LE_Curves!$I$5:$I$205,1))+($B79-INDEX(LE_Curves!$I$5:$I$205,MATCH($B79,LE_Curves!$I$5:$I$205,1)))*(INDEX(LE_Curves!$B$5:$B$205,MATCH($B79,LE_Curves!$I$5:$I$205,1)+1)-INDEX(LE_Curves!$B$5:$B$205,MATCH($B79,LE_Curves!$I$5:$I$205,1)))/(INDEX(LE_Curves!$I$5:$I$205,MATCH($B79,LE_Curves!$I$5:$I$205,1)+1)-INDEX(LE_Curves!$I$5:$I$205,MATCH($B79,LE_Curves!$I$5:$I$205,1))))))</f>
        <v/>
      </c>
      <c r="J79" s="11">
        <f>IF(Inputs!$D$30=0,0,IF($B79&lt;=Inputs!$C$30,0,IF($B79&gt;=INDEX(LE_Curves!$J$5:$J$205,201),INDEX(LE_Curves!$B$5:$B$205,201),INDEX(LE_Curves!$B$5:$B$205,MATCH($B79,LE_Curves!$J$5:$J$205,1))+($B79-INDEX(LE_Curves!$J$5:$J$205,MATCH($B79,LE_Curves!$J$5:$J$205,1)))*(INDEX(LE_Curves!$B$5:$B$205,MATCH($B79,LE_Curves!$J$5:$J$205,1)+1)-INDEX(LE_Curves!$B$5:$B$205,MATCH($B79,LE_Curves!$J$5:$J$205,1)))/(INDEX(LE_Curves!$J$5:$J$205,MATCH($B79,LE_Curves!$J$5:$J$205,1)+1)-INDEX(LE_Curves!$J$5:$J$205,MATCH($B79,LE_Curves!$J$5:$J$205,1))))))</f>
        <v/>
      </c>
      <c r="K79" s="11">
        <f>IF(Inputs!$D$31=0,0,IF($B79&lt;=Inputs!$C$31,0,IF($B79&gt;=INDEX(LE_Curves!$K$5:$K$205,201),INDEX(LE_Curves!$B$5:$B$205,201),INDEX(LE_Curves!$B$5:$B$205,MATCH($B79,LE_Curves!$K$5:$K$205,1))+($B79-INDEX(LE_Curves!$K$5:$K$205,MATCH($B79,LE_Curves!$K$5:$K$205,1)))*(INDEX(LE_Curves!$B$5:$B$205,MATCH($B79,LE_Curves!$K$5:$K$205,1)+1)-INDEX(LE_Curves!$B$5:$B$205,MATCH($B79,LE_Curves!$K$5:$K$205,1)))/(INDEX(LE_Curves!$K$5:$K$205,MATCH($B79,LE_Curves!$K$5:$K$205,1)+1)-INDEX(LE_Curves!$K$5:$K$205,MATCH($B79,LE_Curves!$K$5:$K$205,1))))))</f>
        <v/>
      </c>
      <c r="L79" s="11">
        <f>IF(Inputs!$D$32=0,0,IF($B79&lt;=Inputs!$C$32,0,IF($B79&gt;=INDEX(LE_Curves!$L$5:$L$205,201),INDEX(LE_Curves!$B$5:$B$205,201),INDEX(LE_Curves!$B$5:$B$205,MATCH($B79,LE_Curves!$L$5:$L$205,1))+($B79-INDEX(LE_Curves!$L$5:$L$205,MATCH($B79,LE_Curves!$L$5:$L$205,1)))*(INDEX(LE_Curves!$B$5:$B$205,MATCH($B79,LE_Curves!$L$5:$L$205,1)+1)-INDEX(LE_Curves!$B$5:$B$205,MATCH($B79,LE_Curves!$L$5:$L$205,1)))/(INDEX(LE_Curves!$L$5:$L$205,MATCH($B79,LE_Curves!$L$5:$L$205,1)+1)-INDEX(LE_Curves!$L$5:$L$205,MATCH($B79,LE_Curves!$L$5:$L$205,1))))))</f>
        <v/>
      </c>
      <c r="M79" s="11">
        <f>IF(Inputs!$D$33=0,0,IF($B79&lt;=Inputs!$C$33,0,IF($B79&gt;=INDEX(LE_Curves!$M$5:$M$205,201),INDEX(LE_Curves!$B$5:$B$205,201),INDEX(LE_Curves!$B$5:$B$205,MATCH($B79,LE_Curves!$M$5:$M$205,1))+($B79-INDEX(LE_Curves!$M$5:$M$205,MATCH($B79,LE_Curves!$M$5:$M$205,1)))*(INDEX(LE_Curves!$B$5:$B$205,MATCH($B79,LE_Curves!$M$5:$M$205,1)+1)-INDEX(LE_Curves!$B$5:$B$205,MATCH($B79,LE_Curves!$M$5:$M$205,1)))/(INDEX(LE_Curves!$M$5:$M$205,MATCH($B79,LE_Curves!$M$5:$M$205,1)+1)-INDEX(LE_Curves!$M$5:$M$205,MATCH($B79,LE_Curves!$M$5:$M$205,1))))))</f>
        <v/>
      </c>
      <c r="N79" s="11">
        <f>IF(Inputs!$D$34=0,0,IF($B79&lt;=Inputs!$C$34,0,IF($B79&gt;=INDEX(LE_Curves!$N$5:$N$205,201),INDEX(LE_Curves!$B$5:$B$205,201),INDEX(LE_Curves!$B$5:$B$205,MATCH($B79,LE_Curves!$N$5:$N$205,1))+($B79-INDEX(LE_Curves!$N$5:$N$205,MATCH($B79,LE_Curves!$N$5:$N$205,1)))*(INDEX(LE_Curves!$B$5:$B$205,MATCH($B79,LE_Curves!$N$5:$N$205,1)+1)-INDEX(LE_Curves!$B$5:$B$205,MATCH($B79,LE_Curves!$N$5:$N$205,1)))/(INDEX(LE_Curves!$N$5:$N$205,MATCH($B79,LE_Curves!$N$5:$N$205,1)+1)-INDEX(LE_Curves!$N$5:$N$205,MATCH($B79,LE_Curves!$N$5:$N$205,1))))))</f>
        <v/>
      </c>
      <c r="O79" s="11">
        <f>SUM(C79:N79)</f>
        <v/>
      </c>
      <c r="Q79" s="7" t="n">
        <v>48</v>
      </c>
      <c r="R79" s="23">
        <f>$B$6+($B$7-$B$6)*Q79/200</f>
        <v/>
      </c>
      <c r="S79" s="11">
        <f>IF(Inputs!$D$23=0,0,IF($R79&lt;=Inputs!$C$23,0,IF($R79&gt;=INDEX(LE_Curves!$C$5:$C$205,201),INDEX(LE_Curves!$B$5:$B$205,201),INDEX(LE_Curves!$B$5:$B$205,MATCH($R79,LE_Curves!$C$5:$C$205,1))+($R79-INDEX(LE_Curves!$C$5:$C$205,MATCH($R79,LE_Curves!$C$5:$C$205,1)))*(INDEX(LE_Curves!$B$5:$B$205,MATCH($R79,LE_Curves!$C$5:$C$205,1)+1)-INDEX(LE_Curves!$B$5:$B$205,MATCH($R79,LE_Curves!$C$5:$C$205,1)))/(INDEX(LE_Curves!$C$5:$C$205,MATCH($R79,LE_Curves!$C$5:$C$205,1)+1)-INDEX(LE_Curves!$C$5:$C$205,MATCH($R79,LE_Curves!$C$5:$C$205,1))))))</f>
        <v/>
      </c>
      <c r="T79" s="11">
        <f>IF(Inputs!$D$24=0,0,IF($R79&lt;=Inputs!$C$24,0,IF($R79&gt;=INDEX(LE_Curves!$D$5:$D$205,201),INDEX(LE_Curves!$B$5:$B$205,201),INDEX(LE_Curves!$B$5:$B$205,MATCH($R79,LE_Curves!$D$5:$D$205,1))+($R79-INDEX(LE_Curves!$D$5:$D$205,MATCH($R79,LE_Curves!$D$5:$D$205,1)))*(INDEX(LE_Curves!$B$5:$B$205,MATCH($R79,LE_Curves!$D$5:$D$205,1)+1)-INDEX(LE_Curves!$B$5:$B$205,MATCH($R79,LE_Curves!$D$5:$D$205,1)))/(INDEX(LE_Curves!$D$5:$D$205,MATCH($R79,LE_Curves!$D$5:$D$205,1)+1)-INDEX(LE_Curves!$D$5:$D$205,MATCH($R79,LE_Curves!$D$5:$D$205,1))))))</f>
        <v/>
      </c>
      <c r="U79" s="11">
        <f>IF(Inputs!$D$25=0,0,IF($R79&lt;=Inputs!$C$25,0,IF($R79&gt;=INDEX(LE_Curves!$E$5:$E$205,201),INDEX(LE_Curves!$B$5:$B$205,201),INDEX(LE_Curves!$B$5:$B$205,MATCH($R79,LE_Curves!$E$5:$E$205,1))+($R79-INDEX(LE_Curves!$E$5:$E$205,MATCH($R79,LE_Curves!$E$5:$E$205,1)))*(INDEX(LE_Curves!$B$5:$B$205,MATCH($R79,LE_Curves!$E$5:$E$205,1)+1)-INDEX(LE_Curves!$B$5:$B$205,MATCH($R79,LE_Curves!$E$5:$E$205,1)))/(INDEX(LE_Curves!$E$5:$E$205,MATCH($R79,LE_Curves!$E$5:$E$205,1)+1)-INDEX(LE_Curves!$E$5:$E$205,MATCH($R79,LE_Curves!$E$5:$E$205,1))))))</f>
        <v/>
      </c>
      <c r="V79" s="11">
        <f>IF(Inputs!$D$26=0,0,IF($R79&lt;=Inputs!$C$26,0,IF($R79&gt;=INDEX(LE_Curves!$F$5:$F$205,201),INDEX(LE_Curves!$B$5:$B$205,201),INDEX(LE_Curves!$B$5:$B$205,MATCH($R79,LE_Curves!$F$5:$F$205,1))+($R79-INDEX(LE_Curves!$F$5:$F$205,MATCH($R79,LE_Curves!$F$5:$F$205,1)))*(INDEX(LE_Curves!$B$5:$B$205,MATCH($R79,LE_Curves!$F$5:$F$205,1)+1)-INDEX(LE_Curves!$B$5:$B$205,MATCH($R79,LE_Curves!$F$5:$F$205,1)))/(INDEX(LE_Curves!$F$5:$F$205,MATCH($R79,LE_Curves!$F$5:$F$205,1)+1)-INDEX(LE_Curves!$F$5:$F$205,MATCH($R79,LE_Curves!$F$5:$F$205,1))))))</f>
        <v/>
      </c>
      <c r="W79" s="11">
        <f>IF(Inputs!$D$27=0,0,IF($R79&lt;=Inputs!$C$27,0,IF($R79&gt;=INDEX(LE_Curves!$G$5:$G$205,201),INDEX(LE_Curves!$B$5:$B$205,201),INDEX(LE_Curves!$B$5:$B$205,MATCH($R79,LE_Curves!$G$5:$G$205,1))+($R79-INDEX(LE_Curves!$G$5:$G$205,MATCH($R79,LE_Curves!$G$5:$G$205,1)))*(INDEX(LE_Curves!$B$5:$B$205,MATCH($R79,LE_Curves!$G$5:$G$205,1)+1)-INDEX(LE_Curves!$B$5:$B$205,MATCH($R79,LE_Curves!$G$5:$G$205,1)))/(INDEX(LE_Curves!$G$5:$G$205,MATCH($R79,LE_Curves!$G$5:$G$205,1)+1)-INDEX(LE_Curves!$G$5:$G$205,MATCH($R79,LE_Curves!$G$5:$G$205,1))))))</f>
        <v/>
      </c>
      <c r="X79" s="11">
        <f>IF(Inputs!$D$28=0,0,IF($R79&lt;=Inputs!$C$28,0,IF($R79&gt;=INDEX(LE_Curves!$H$5:$H$205,201),INDEX(LE_Curves!$B$5:$B$205,201),INDEX(LE_Curves!$B$5:$B$205,MATCH($R79,LE_Curves!$H$5:$H$205,1))+($R79-INDEX(LE_Curves!$H$5:$H$205,MATCH($R79,LE_Curves!$H$5:$H$205,1)))*(INDEX(LE_Curves!$B$5:$B$205,MATCH($R79,LE_Curves!$H$5:$H$205,1)+1)-INDEX(LE_Curves!$B$5:$B$205,MATCH($R79,LE_Curves!$H$5:$H$205,1)))/(INDEX(LE_Curves!$H$5:$H$205,MATCH($R79,LE_Curves!$H$5:$H$205,1)+1)-INDEX(LE_Curves!$H$5:$H$205,MATCH($R79,LE_Curves!$H$5:$H$205,1))))))</f>
        <v/>
      </c>
      <c r="Y79" s="11">
        <f>IF(Inputs!$D$29=0,0,IF($R79&lt;=Inputs!$C$29,0,IF($R79&gt;=INDEX(LE_Curves!$I$5:$I$205,201),INDEX(LE_Curves!$B$5:$B$205,201),INDEX(LE_Curves!$B$5:$B$205,MATCH($R79,LE_Curves!$I$5:$I$205,1))+($R79-INDEX(LE_Curves!$I$5:$I$205,MATCH($R79,LE_Curves!$I$5:$I$205,1)))*(INDEX(LE_Curves!$B$5:$B$205,MATCH($R79,LE_Curves!$I$5:$I$205,1)+1)-INDEX(LE_Curves!$B$5:$B$205,MATCH($R79,LE_Curves!$I$5:$I$205,1)))/(INDEX(LE_Curves!$I$5:$I$205,MATCH($R79,LE_Curves!$I$5:$I$205,1)+1)-INDEX(LE_Curves!$I$5:$I$205,MATCH($R79,LE_Curves!$I$5:$I$205,1))))))</f>
        <v/>
      </c>
      <c r="Z79" s="11">
        <f>IF(Inputs!$D$30=0,0,IF($R79&lt;=Inputs!$C$30,0,IF($R79&gt;=INDEX(LE_Curves!$J$5:$J$205,201),INDEX(LE_Curves!$B$5:$B$205,201),INDEX(LE_Curves!$B$5:$B$205,MATCH($R79,LE_Curves!$J$5:$J$205,1))+($R79-INDEX(LE_Curves!$J$5:$J$205,MATCH($R79,LE_Curves!$J$5:$J$205,1)))*(INDEX(LE_Curves!$B$5:$B$205,MATCH($R79,LE_Curves!$J$5:$J$205,1)+1)-INDEX(LE_Curves!$B$5:$B$205,MATCH($R79,LE_Curves!$J$5:$J$205,1)))/(INDEX(LE_Curves!$J$5:$J$205,MATCH($R79,LE_Curves!$J$5:$J$205,1)+1)-INDEX(LE_Curves!$J$5:$J$205,MATCH($R79,LE_Curves!$J$5:$J$205,1))))))</f>
        <v/>
      </c>
      <c r="AA79" s="11">
        <f>IF(Inputs!$D$31=0,0,IF($R79&lt;=Inputs!$C$31,0,IF($R79&gt;=INDEX(LE_Curves!$K$5:$K$205,201),INDEX(LE_Curves!$B$5:$B$205,201),INDEX(LE_Curves!$B$5:$B$205,MATCH($R79,LE_Curves!$K$5:$K$205,1))+($R79-INDEX(LE_Curves!$K$5:$K$205,MATCH($R79,LE_Curves!$K$5:$K$205,1)))*(INDEX(LE_Curves!$B$5:$B$205,MATCH($R79,LE_Curves!$K$5:$K$205,1)+1)-INDEX(LE_Curves!$B$5:$B$205,MATCH($R79,LE_Curves!$K$5:$K$205,1)))/(INDEX(LE_Curves!$K$5:$K$205,MATCH($R79,LE_Curves!$K$5:$K$205,1)+1)-INDEX(LE_Curves!$K$5:$K$205,MATCH($R79,LE_Curves!$K$5:$K$205,1))))))</f>
        <v/>
      </c>
      <c r="AB79" s="11">
        <f>IF(Inputs!$D$32=0,0,IF($R79&lt;=Inputs!$C$32,0,IF($R79&gt;=INDEX(LE_Curves!$L$5:$L$205,201),INDEX(LE_Curves!$B$5:$B$205,201),INDEX(LE_Curves!$B$5:$B$205,MATCH($R79,LE_Curves!$L$5:$L$205,1))+($R79-INDEX(LE_Curves!$L$5:$L$205,MATCH($R79,LE_Curves!$L$5:$L$205,1)))*(INDEX(LE_Curves!$B$5:$B$205,MATCH($R79,LE_Curves!$L$5:$L$205,1)+1)-INDEX(LE_Curves!$B$5:$B$205,MATCH($R79,LE_Curves!$L$5:$L$205,1)))/(INDEX(LE_Curves!$L$5:$L$205,MATCH($R79,LE_Curves!$L$5:$L$205,1)+1)-INDEX(LE_Curves!$L$5:$L$205,MATCH($R79,LE_Curves!$L$5:$L$205,1))))))</f>
        <v/>
      </c>
      <c r="AC79" s="11">
        <f>IF(Inputs!$D$33=0,0,IF($R79&lt;=Inputs!$C$33,0,IF($R79&gt;=INDEX(LE_Curves!$M$5:$M$205,201),INDEX(LE_Curves!$B$5:$B$205,201),INDEX(LE_Curves!$B$5:$B$205,MATCH($R79,LE_Curves!$M$5:$M$205,1))+($R79-INDEX(LE_Curves!$M$5:$M$205,MATCH($R79,LE_Curves!$M$5:$M$205,1)))*(INDEX(LE_Curves!$B$5:$B$205,MATCH($R79,LE_Curves!$M$5:$M$205,1)+1)-INDEX(LE_Curves!$B$5:$B$205,MATCH($R79,LE_Curves!$M$5:$M$205,1)))/(INDEX(LE_Curves!$M$5:$M$205,MATCH($R79,LE_Curves!$M$5:$M$205,1)+1)-INDEX(LE_Curves!$M$5:$M$205,MATCH($R79,LE_Curves!$M$5:$M$205,1))))))</f>
        <v/>
      </c>
      <c r="AD79" s="11">
        <f>IF(Inputs!$D$34=0,0,IF($R79&lt;=Inputs!$C$34,0,IF($R79&gt;=INDEX(LE_Curves!$N$5:$N$205,201),INDEX(LE_Curves!$B$5:$B$205,201),INDEX(LE_Curves!$B$5:$B$205,MATCH($R79,LE_Curves!$N$5:$N$205,1))+($R79-INDEX(LE_Curves!$N$5:$N$205,MATCH($R79,LE_Curves!$N$5:$N$205,1)))*(INDEX(LE_Curves!$B$5:$B$205,MATCH($R79,LE_Curves!$N$5:$N$205,1)+1)-INDEX(LE_Curves!$B$5:$B$205,MATCH($R79,LE_Curves!$N$5:$N$205,1)))/(INDEX(LE_Curves!$N$5:$N$205,MATCH($R79,LE_Curves!$N$5:$N$205,1)+1)-INDEX(LE_Curves!$N$5:$N$205,MATCH($R79,LE_Curves!$N$5:$N$205,1))))))</f>
        <v/>
      </c>
      <c r="AE79" s="37">
        <f>SUM(S79:AD79)</f>
        <v/>
      </c>
    </row>
    <row r="80">
      <c r="A80" s="7" t="n">
        <v>49</v>
      </c>
      <c r="B80" s="37">
        <f>$B$3+($B$4-$B$3)*A80/200</f>
        <v/>
      </c>
      <c r="C80" s="11">
        <f>IF(Inputs!$D$23=0,0,IF($B80&lt;=Inputs!$C$23,0,IF($B80&gt;=INDEX(LE_Curves!$C$5:$C$205,201),INDEX(LE_Curves!$B$5:$B$205,201),INDEX(LE_Curves!$B$5:$B$205,MATCH($B80,LE_Curves!$C$5:$C$205,1))+($B80-INDEX(LE_Curves!$C$5:$C$205,MATCH($B80,LE_Curves!$C$5:$C$205,1)))*(INDEX(LE_Curves!$B$5:$B$205,MATCH($B80,LE_Curves!$C$5:$C$205,1)+1)-INDEX(LE_Curves!$B$5:$B$205,MATCH($B80,LE_Curves!$C$5:$C$205,1)))/(INDEX(LE_Curves!$C$5:$C$205,MATCH($B80,LE_Curves!$C$5:$C$205,1)+1)-INDEX(LE_Curves!$C$5:$C$205,MATCH($B80,LE_Curves!$C$5:$C$205,1))))))</f>
        <v/>
      </c>
      <c r="D80" s="11">
        <f>IF(Inputs!$D$24=0,0,IF($B80&lt;=Inputs!$C$24,0,IF($B80&gt;=INDEX(LE_Curves!$D$5:$D$205,201),INDEX(LE_Curves!$B$5:$B$205,201),INDEX(LE_Curves!$B$5:$B$205,MATCH($B80,LE_Curves!$D$5:$D$205,1))+($B80-INDEX(LE_Curves!$D$5:$D$205,MATCH($B80,LE_Curves!$D$5:$D$205,1)))*(INDEX(LE_Curves!$B$5:$B$205,MATCH($B80,LE_Curves!$D$5:$D$205,1)+1)-INDEX(LE_Curves!$B$5:$B$205,MATCH($B80,LE_Curves!$D$5:$D$205,1)))/(INDEX(LE_Curves!$D$5:$D$205,MATCH($B80,LE_Curves!$D$5:$D$205,1)+1)-INDEX(LE_Curves!$D$5:$D$205,MATCH($B80,LE_Curves!$D$5:$D$205,1))))))</f>
        <v/>
      </c>
      <c r="E80" s="11">
        <f>IF(Inputs!$D$25=0,0,IF($B80&lt;=Inputs!$C$25,0,IF($B80&gt;=INDEX(LE_Curves!$E$5:$E$205,201),INDEX(LE_Curves!$B$5:$B$205,201),INDEX(LE_Curves!$B$5:$B$205,MATCH($B80,LE_Curves!$E$5:$E$205,1))+($B80-INDEX(LE_Curves!$E$5:$E$205,MATCH($B80,LE_Curves!$E$5:$E$205,1)))*(INDEX(LE_Curves!$B$5:$B$205,MATCH($B80,LE_Curves!$E$5:$E$205,1)+1)-INDEX(LE_Curves!$B$5:$B$205,MATCH($B80,LE_Curves!$E$5:$E$205,1)))/(INDEX(LE_Curves!$E$5:$E$205,MATCH($B80,LE_Curves!$E$5:$E$205,1)+1)-INDEX(LE_Curves!$E$5:$E$205,MATCH($B80,LE_Curves!$E$5:$E$205,1))))))</f>
        <v/>
      </c>
      <c r="F80" s="11">
        <f>IF(Inputs!$D$26=0,0,IF($B80&lt;=Inputs!$C$26,0,IF($B80&gt;=INDEX(LE_Curves!$F$5:$F$205,201),INDEX(LE_Curves!$B$5:$B$205,201),INDEX(LE_Curves!$B$5:$B$205,MATCH($B80,LE_Curves!$F$5:$F$205,1))+($B80-INDEX(LE_Curves!$F$5:$F$205,MATCH($B80,LE_Curves!$F$5:$F$205,1)))*(INDEX(LE_Curves!$B$5:$B$205,MATCH($B80,LE_Curves!$F$5:$F$205,1)+1)-INDEX(LE_Curves!$B$5:$B$205,MATCH($B80,LE_Curves!$F$5:$F$205,1)))/(INDEX(LE_Curves!$F$5:$F$205,MATCH($B80,LE_Curves!$F$5:$F$205,1)+1)-INDEX(LE_Curves!$F$5:$F$205,MATCH($B80,LE_Curves!$F$5:$F$205,1))))))</f>
        <v/>
      </c>
      <c r="G80" s="11">
        <f>IF(Inputs!$D$27=0,0,IF($B80&lt;=Inputs!$C$27,0,IF($B80&gt;=INDEX(LE_Curves!$G$5:$G$205,201),INDEX(LE_Curves!$B$5:$B$205,201),INDEX(LE_Curves!$B$5:$B$205,MATCH($B80,LE_Curves!$G$5:$G$205,1))+($B80-INDEX(LE_Curves!$G$5:$G$205,MATCH($B80,LE_Curves!$G$5:$G$205,1)))*(INDEX(LE_Curves!$B$5:$B$205,MATCH($B80,LE_Curves!$G$5:$G$205,1)+1)-INDEX(LE_Curves!$B$5:$B$205,MATCH($B80,LE_Curves!$G$5:$G$205,1)))/(INDEX(LE_Curves!$G$5:$G$205,MATCH($B80,LE_Curves!$G$5:$G$205,1)+1)-INDEX(LE_Curves!$G$5:$G$205,MATCH($B80,LE_Curves!$G$5:$G$205,1))))))</f>
        <v/>
      </c>
      <c r="H80" s="11">
        <f>IF(Inputs!$D$28=0,0,IF($B80&lt;=Inputs!$C$28,0,IF($B80&gt;=INDEX(LE_Curves!$H$5:$H$205,201),INDEX(LE_Curves!$B$5:$B$205,201),INDEX(LE_Curves!$B$5:$B$205,MATCH($B80,LE_Curves!$H$5:$H$205,1))+($B80-INDEX(LE_Curves!$H$5:$H$205,MATCH($B80,LE_Curves!$H$5:$H$205,1)))*(INDEX(LE_Curves!$B$5:$B$205,MATCH($B80,LE_Curves!$H$5:$H$205,1)+1)-INDEX(LE_Curves!$B$5:$B$205,MATCH($B80,LE_Curves!$H$5:$H$205,1)))/(INDEX(LE_Curves!$H$5:$H$205,MATCH($B80,LE_Curves!$H$5:$H$205,1)+1)-INDEX(LE_Curves!$H$5:$H$205,MATCH($B80,LE_Curves!$H$5:$H$205,1))))))</f>
        <v/>
      </c>
      <c r="I80" s="11">
        <f>IF(Inputs!$D$29=0,0,IF($B80&lt;=Inputs!$C$29,0,IF($B80&gt;=INDEX(LE_Curves!$I$5:$I$205,201),INDEX(LE_Curves!$B$5:$B$205,201),INDEX(LE_Curves!$B$5:$B$205,MATCH($B80,LE_Curves!$I$5:$I$205,1))+($B80-INDEX(LE_Curves!$I$5:$I$205,MATCH($B80,LE_Curves!$I$5:$I$205,1)))*(INDEX(LE_Curves!$B$5:$B$205,MATCH($B80,LE_Curves!$I$5:$I$205,1)+1)-INDEX(LE_Curves!$B$5:$B$205,MATCH($B80,LE_Curves!$I$5:$I$205,1)))/(INDEX(LE_Curves!$I$5:$I$205,MATCH($B80,LE_Curves!$I$5:$I$205,1)+1)-INDEX(LE_Curves!$I$5:$I$205,MATCH($B80,LE_Curves!$I$5:$I$205,1))))))</f>
        <v/>
      </c>
      <c r="J80" s="11">
        <f>IF(Inputs!$D$30=0,0,IF($B80&lt;=Inputs!$C$30,0,IF($B80&gt;=INDEX(LE_Curves!$J$5:$J$205,201),INDEX(LE_Curves!$B$5:$B$205,201),INDEX(LE_Curves!$B$5:$B$205,MATCH($B80,LE_Curves!$J$5:$J$205,1))+($B80-INDEX(LE_Curves!$J$5:$J$205,MATCH($B80,LE_Curves!$J$5:$J$205,1)))*(INDEX(LE_Curves!$B$5:$B$205,MATCH($B80,LE_Curves!$J$5:$J$205,1)+1)-INDEX(LE_Curves!$B$5:$B$205,MATCH($B80,LE_Curves!$J$5:$J$205,1)))/(INDEX(LE_Curves!$J$5:$J$205,MATCH($B80,LE_Curves!$J$5:$J$205,1)+1)-INDEX(LE_Curves!$J$5:$J$205,MATCH($B80,LE_Curves!$J$5:$J$205,1))))))</f>
        <v/>
      </c>
      <c r="K80" s="11">
        <f>IF(Inputs!$D$31=0,0,IF($B80&lt;=Inputs!$C$31,0,IF($B80&gt;=INDEX(LE_Curves!$K$5:$K$205,201),INDEX(LE_Curves!$B$5:$B$205,201),INDEX(LE_Curves!$B$5:$B$205,MATCH($B80,LE_Curves!$K$5:$K$205,1))+($B80-INDEX(LE_Curves!$K$5:$K$205,MATCH($B80,LE_Curves!$K$5:$K$205,1)))*(INDEX(LE_Curves!$B$5:$B$205,MATCH($B80,LE_Curves!$K$5:$K$205,1)+1)-INDEX(LE_Curves!$B$5:$B$205,MATCH($B80,LE_Curves!$K$5:$K$205,1)))/(INDEX(LE_Curves!$K$5:$K$205,MATCH($B80,LE_Curves!$K$5:$K$205,1)+1)-INDEX(LE_Curves!$K$5:$K$205,MATCH($B80,LE_Curves!$K$5:$K$205,1))))))</f>
        <v/>
      </c>
      <c r="L80" s="11">
        <f>IF(Inputs!$D$32=0,0,IF($B80&lt;=Inputs!$C$32,0,IF($B80&gt;=INDEX(LE_Curves!$L$5:$L$205,201),INDEX(LE_Curves!$B$5:$B$205,201),INDEX(LE_Curves!$B$5:$B$205,MATCH($B80,LE_Curves!$L$5:$L$205,1))+($B80-INDEX(LE_Curves!$L$5:$L$205,MATCH($B80,LE_Curves!$L$5:$L$205,1)))*(INDEX(LE_Curves!$B$5:$B$205,MATCH($B80,LE_Curves!$L$5:$L$205,1)+1)-INDEX(LE_Curves!$B$5:$B$205,MATCH($B80,LE_Curves!$L$5:$L$205,1)))/(INDEX(LE_Curves!$L$5:$L$205,MATCH($B80,LE_Curves!$L$5:$L$205,1)+1)-INDEX(LE_Curves!$L$5:$L$205,MATCH($B80,LE_Curves!$L$5:$L$205,1))))))</f>
        <v/>
      </c>
      <c r="M80" s="11">
        <f>IF(Inputs!$D$33=0,0,IF($B80&lt;=Inputs!$C$33,0,IF($B80&gt;=INDEX(LE_Curves!$M$5:$M$205,201),INDEX(LE_Curves!$B$5:$B$205,201),INDEX(LE_Curves!$B$5:$B$205,MATCH($B80,LE_Curves!$M$5:$M$205,1))+($B80-INDEX(LE_Curves!$M$5:$M$205,MATCH($B80,LE_Curves!$M$5:$M$205,1)))*(INDEX(LE_Curves!$B$5:$B$205,MATCH($B80,LE_Curves!$M$5:$M$205,1)+1)-INDEX(LE_Curves!$B$5:$B$205,MATCH($B80,LE_Curves!$M$5:$M$205,1)))/(INDEX(LE_Curves!$M$5:$M$205,MATCH($B80,LE_Curves!$M$5:$M$205,1)+1)-INDEX(LE_Curves!$M$5:$M$205,MATCH($B80,LE_Curves!$M$5:$M$205,1))))))</f>
        <v/>
      </c>
      <c r="N80" s="11">
        <f>IF(Inputs!$D$34=0,0,IF($B80&lt;=Inputs!$C$34,0,IF($B80&gt;=INDEX(LE_Curves!$N$5:$N$205,201),INDEX(LE_Curves!$B$5:$B$205,201),INDEX(LE_Curves!$B$5:$B$205,MATCH($B80,LE_Curves!$N$5:$N$205,1))+($B80-INDEX(LE_Curves!$N$5:$N$205,MATCH($B80,LE_Curves!$N$5:$N$205,1)))*(INDEX(LE_Curves!$B$5:$B$205,MATCH($B80,LE_Curves!$N$5:$N$205,1)+1)-INDEX(LE_Curves!$B$5:$B$205,MATCH($B80,LE_Curves!$N$5:$N$205,1)))/(INDEX(LE_Curves!$N$5:$N$205,MATCH($B80,LE_Curves!$N$5:$N$205,1)+1)-INDEX(LE_Curves!$N$5:$N$205,MATCH($B80,LE_Curves!$N$5:$N$205,1))))))</f>
        <v/>
      </c>
      <c r="O80" s="11">
        <f>SUM(C80:N80)</f>
        <v/>
      </c>
      <c r="Q80" s="7" t="n">
        <v>49</v>
      </c>
      <c r="R80" s="23">
        <f>$B$6+($B$7-$B$6)*Q80/200</f>
        <v/>
      </c>
      <c r="S80" s="11">
        <f>IF(Inputs!$D$23=0,0,IF($R80&lt;=Inputs!$C$23,0,IF($R80&gt;=INDEX(LE_Curves!$C$5:$C$205,201),INDEX(LE_Curves!$B$5:$B$205,201),INDEX(LE_Curves!$B$5:$B$205,MATCH($R80,LE_Curves!$C$5:$C$205,1))+($R80-INDEX(LE_Curves!$C$5:$C$205,MATCH($R80,LE_Curves!$C$5:$C$205,1)))*(INDEX(LE_Curves!$B$5:$B$205,MATCH($R80,LE_Curves!$C$5:$C$205,1)+1)-INDEX(LE_Curves!$B$5:$B$205,MATCH($R80,LE_Curves!$C$5:$C$205,1)))/(INDEX(LE_Curves!$C$5:$C$205,MATCH($R80,LE_Curves!$C$5:$C$205,1)+1)-INDEX(LE_Curves!$C$5:$C$205,MATCH($R80,LE_Curves!$C$5:$C$205,1))))))</f>
        <v/>
      </c>
      <c r="T80" s="11">
        <f>IF(Inputs!$D$24=0,0,IF($R80&lt;=Inputs!$C$24,0,IF($R80&gt;=INDEX(LE_Curves!$D$5:$D$205,201),INDEX(LE_Curves!$B$5:$B$205,201),INDEX(LE_Curves!$B$5:$B$205,MATCH($R80,LE_Curves!$D$5:$D$205,1))+($R80-INDEX(LE_Curves!$D$5:$D$205,MATCH($R80,LE_Curves!$D$5:$D$205,1)))*(INDEX(LE_Curves!$B$5:$B$205,MATCH($R80,LE_Curves!$D$5:$D$205,1)+1)-INDEX(LE_Curves!$B$5:$B$205,MATCH($R80,LE_Curves!$D$5:$D$205,1)))/(INDEX(LE_Curves!$D$5:$D$205,MATCH($R80,LE_Curves!$D$5:$D$205,1)+1)-INDEX(LE_Curves!$D$5:$D$205,MATCH($R80,LE_Curves!$D$5:$D$205,1))))))</f>
        <v/>
      </c>
      <c r="U80" s="11">
        <f>IF(Inputs!$D$25=0,0,IF($R80&lt;=Inputs!$C$25,0,IF($R80&gt;=INDEX(LE_Curves!$E$5:$E$205,201),INDEX(LE_Curves!$B$5:$B$205,201),INDEX(LE_Curves!$B$5:$B$205,MATCH($R80,LE_Curves!$E$5:$E$205,1))+($R80-INDEX(LE_Curves!$E$5:$E$205,MATCH($R80,LE_Curves!$E$5:$E$205,1)))*(INDEX(LE_Curves!$B$5:$B$205,MATCH($R80,LE_Curves!$E$5:$E$205,1)+1)-INDEX(LE_Curves!$B$5:$B$205,MATCH($R80,LE_Curves!$E$5:$E$205,1)))/(INDEX(LE_Curves!$E$5:$E$205,MATCH($R80,LE_Curves!$E$5:$E$205,1)+1)-INDEX(LE_Curves!$E$5:$E$205,MATCH($R80,LE_Curves!$E$5:$E$205,1))))))</f>
        <v/>
      </c>
      <c r="V80" s="11">
        <f>IF(Inputs!$D$26=0,0,IF($R80&lt;=Inputs!$C$26,0,IF($R80&gt;=INDEX(LE_Curves!$F$5:$F$205,201),INDEX(LE_Curves!$B$5:$B$205,201),INDEX(LE_Curves!$B$5:$B$205,MATCH($R80,LE_Curves!$F$5:$F$205,1))+($R80-INDEX(LE_Curves!$F$5:$F$205,MATCH($R80,LE_Curves!$F$5:$F$205,1)))*(INDEX(LE_Curves!$B$5:$B$205,MATCH($R80,LE_Curves!$F$5:$F$205,1)+1)-INDEX(LE_Curves!$B$5:$B$205,MATCH($R80,LE_Curves!$F$5:$F$205,1)))/(INDEX(LE_Curves!$F$5:$F$205,MATCH($R80,LE_Curves!$F$5:$F$205,1)+1)-INDEX(LE_Curves!$F$5:$F$205,MATCH($R80,LE_Curves!$F$5:$F$205,1))))))</f>
        <v/>
      </c>
      <c r="W80" s="11">
        <f>IF(Inputs!$D$27=0,0,IF($R80&lt;=Inputs!$C$27,0,IF($R80&gt;=INDEX(LE_Curves!$G$5:$G$205,201),INDEX(LE_Curves!$B$5:$B$205,201),INDEX(LE_Curves!$B$5:$B$205,MATCH($R80,LE_Curves!$G$5:$G$205,1))+($R80-INDEX(LE_Curves!$G$5:$G$205,MATCH($R80,LE_Curves!$G$5:$G$205,1)))*(INDEX(LE_Curves!$B$5:$B$205,MATCH($R80,LE_Curves!$G$5:$G$205,1)+1)-INDEX(LE_Curves!$B$5:$B$205,MATCH($R80,LE_Curves!$G$5:$G$205,1)))/(INDEX(LE_Curves!$G$5:$G$205,MATCH($R80,LE_Curves!$G$5:$G$205,1)+1)-INDEX(LE_Curves!$G$5:$G$205,MATCH($R80,LE_Curves!$G$5:$G$205,1))))))</f>
        <v/>
      </c>
      <c r="X80" s="11">
        <f>IF(Inputs!$D$28=0,0,IF($R80&lt;=Inputs!$C$28,0,IF($R80&gt;=INDEX(LE_Curves!$H$5:$H$205,201),INDEX(LE_Curves!$B$5:$B$205,201),INDEX(LE_Curves!$B$5:$B$205,MATCH($R80,LE_Curves!$H$5:$H$205,1))+($R80-INDEX(LE_Curves!$H$5:$H$205,MATCH($R80,LE_Curves!$H$5:$H$205,1)))*(INDEX(LE_Curves!$B$5:$B$205,MATCH($R80,LE_Curves!$H$5:$H$205,1)+1)-INDEX(LE_Curves!$B$5:$B$205,MATCH($R80,LE_Curves!$H$5:$H$205,1)))/(INDEX(LE_Curves!$H$5:$H$205,MATCH($R80,LE_Curves!$H$5:$H$205,1)+1)-INDEX(LE_Curves!$H$5:$H$205,MATCH($R80,LE_Curves!$H$5:$H$205,1))))))</f>
        <v/>
      </c>
      <c r="Y80" s="11">
        <f>IF(Inputs!$D$29=0,0,IF($R80&lt;=Inputs!$C$29,0,IF($R80&gt;=INDEX(LE_Curves!$I$5:$I$205,201),INDEX(LE_Curves!$B$5:$B$205,201),INDEX(LE_Curves!$B$5:$B$205,MATCH($R80,LE_Curves!$I$5:$I$205,1))+($R80-INDEX(LE_Curves!$I$5:$I$205,MATCH($R80,LE_Curves!$I$5:$I$205,1)))*(INDEX(LE_Curves!$B$5:$B$205,MATCH($R80,LE_Curves!$I$5:$I$205,1)+1)-INDEX(LE_Curves!$B$5:$B$205,MATCH($R80,LE_Curves!$I$5:$I$205,1)))/(INDEX(LE_Curves!$I$5:$I$205,MATCH($R80,LE_Curves!$I$5:$I$205,1)+1)-INDEX(LE_Curves!$I$5:$I$205,MATCH($R80,LE_Curves!$I$5:$I$205,1))))))</f>
        <v/>
      </c>
      <c r="Z80" s="11">
        <f>IF(Inputs!$D$30=0,0,IF($R80&lt;=Inputs!$C$30,0,IF($R80&gt;=INDEX(LE_Curves!$J$5:$J$205,201),INDEX(LE_Curves!$B$5:$B$205,201),INDEX(LE_Curves!$B$5:$B$205,MATCH($R80,LE_Curves!$J$5:$J$205,1))+($R80-INDEX(LE_Curves!$J$5:$J$205,MATCH($R80,LE_Curves!$J$5:$J$205,1)))*(INDEX(LE_Curves!$B$5:$B$205,MATCH($R80,LE_Curves!$J$5:$J$205,1)+1)-INDEX(LE_Curves!$B$5:$B$205,MATCH($R80,LE_Curves!$J$5:$J$205,1)))/(INDEX(LE_Curves!$J$5:$J$205,MATCH($R80,LE_Curves!$J$5:$J$205,1)+1)-INDEX(LE_Curves!$J$5:$J$205,MATCH($R80,LE_Curves!$J$5:$J$205,1))))))</f>
        <v/>
      </c>
      <c r="AA80" s="11">
        <f>IF(Inputs!$D$31=0,0,IF($R80&lt;=Inputs!$C$31,0,IF($R80&gt;=INDEX(LE_Curves!$K$5:$K$205,201),INDEX(LE_Curves!$B$5:$B$205,201),INDEX(LE_Curves!$B$5:$B$205,MATCH($R80,LE_Curves!$K$5:$K$205,1))+($R80-INDEX(LE_Curves!$K$5:$K$205,MATCH($R80,LE_Curves!$K$5:$K$205,1)))*(INDEX(LE_Curves!$B$5:$B$205,MATCH($R80,LE_Curves!$K$5:$K$205,1)+1)-INDEX(LE_Curves!$B$5:$B$205,MATCH($R80,LE_Curves!$K$5:$K$205,1)))/(INDEX(LE_Curves!$K$5:$K$205,MATCH($R80,LE_Curves!$K$5:$K$205,1)+1)-INDEX(LE_Curves!$K$5:$K$205,MATCH($R80,LE_Curves!$K$5:$K$205,1))))))</f>
        <v/>
      </c>
      <c r="AB80" s="11">
        <f>IF(Inputs!$D$32=0,0,IF($R80&lt;=Inputs!$C$32,0,IF($R80&gt;=INDEX(LE_Curves!$L$5:$L$205,201),INDEX(LE_Curves!$B$5:$B$205,201),INDEX(LE_Curves!$B$5:$B$205,MATCH($R80,LE_Curves!$L$5:$L$205,1))+($R80-INDEX(LE_Curves!$L$5:$L$205,MATCH($R80,LE_Curves!$L$5:$L$205,1)))*(INDEX(LE_Curves!$B$5:$B$205,MATCH($R80,LE_Curves!$L$5:$L$205,1)+1)-INDEX(LE_Curves!$B$5:$B$205,MATCH($R80,LE_Curves!$L$5:$L$205,1)))/(INDEX(LE_Curves!$L$5:$L$205,MATCH($R80,LE_Curves!$L$5:$L$205,1)+1)-INDEX(LE_Curves!$L$5:$L$205,MATCH($R80,LE_Curves!$L$5:$L$205,1))))))</f>
        <v/>
      </c>
      <c r="AC80" s="11">
        <f>IF(Inputs!$D$33=0,0,IF($R80&lt;=Inputs!$C$33,0,IF($R80&gt;=INDEX(LE_Curves!$M$5:$M$205,201),INDEX(LE_Curves!$B$5:$B$205,201),INDEX(LE_Curves!$B$5:$B$205,MATCH($R80,LE_Curves!$M$5:$M$205,1))+($R80-INDEX(LE_Curves!$M$5:$M$205,MATCH($R80,LE_Curves!$M$5:$M$205,1)))*(INDEX(LE_Curves!$B$5:$B$205,MATCH($R80,LE_Curves!$M$5:$M$205,1)+1)-INDEX(LE_Curves!$B$5:$B$205,MATCH($R80,LE_Curves!$M$5:$M$205,1)))/(INDEX(LE_Curves!$M$5:$M$205,MATCH($R80,LE_Curves!$M$5:$M$205,1)+1)-INDEX(LE_Curves!$M$5:$M$205,MATCH($R80,LE_Curves!$M$5:$M$205,1))))))</f>
        <v/>
      </c>
      <c r="AD80" s="11">
        <f>IF(Inputs!$D$34=0,0,IF($R80&lt;=Inputs!$C$34,0,IF($R80&gt;=INDEX(LE_Curves!$N$5:$N$205,201),INDEX(LE_Curves!$B$5:$B$205,201),INDEX(LE_Curves!$B$5:$B$205,MATCH($R80,LE_Curves!$N$5:$N$205,1))+($R80-INDEX(LE_Curves!$N$5:$N$205,MATCH($R80,LE_Curves!$N$5:$N$205,1)))*(INDEX(LE_Curves!$B$5:$B$205,MATCH($R80,LE_Curves!$N$5:$N$205,1)+1)-INDEX(LE_Curves!$B$5:$B$205,MATCH($R80,LE_Curves!$N$5:$N$205,1)))/(INDEX(LE_Curves!$N$5:$N$205,MATCH($R80,LE_Curves!$N$5:$N$205,1)+1)-INDEX(LE_Curves!$N$5:$N$205,MATCH($R80,LE_Curves!$N$5:$N$205,1))))))</f>
        <v/>
      </c>
      <c r="AE80" s="37">
        <f>SUM(S80:AD80)</f>
        <v/>
      </c>
    </row>
    <row r="81">
      <c r="A81" s="7" t="n">
        <v>50</v>
      </c>
      <c r="B81" s="37">
        <f>$B$3+($B$4-$B$3)*A81/200</f>
        <v/>
      </c>
      <c r="C81" s="11">
        <f>IF(Inputs!$D$23=0,0,IF($B81&lt;=Inputs!$C$23,0,IF($B81&gt;=INDEX(LE_Curves!$C$5:$C$205,201),INDEX(LE_Curves!$B$5:$B$205,201),INDEX(LE_Curves!$B$5:$B$205,MATCH($B81,LE_Curves!$C$5:$C$205,1))+($B81-INDEX(LE_Curves!$C$5:$C$205,MATCH($B81,LE_Curves!$C$5:$C$205,1)))*(INDEX(LE_Curves!$B$5:$B$205,MATCH($B81,LE_Curves!$C$5:$C$205,1)+1)-INDEX(LE_Curves!$B$5:$B$205,MATCH($B81,LE_Curves!$C$5:$C$205,1)))/(INDEX(LE_Curves!$C$5:$C$205,MATCH($B81,LE_Curves!$C$5:$C$205,1)+1)-INDEX(LE_Curves!$C$5:$C$205,MATCH($B81,LE_Curves!$C$5:$C$205,1))))))</f>
        <v/>
      </c>
      <c r="D81" s="11">
        <f>IF(Inputs!$D$24=0,0,IF($B81&lt;=Inputs!$C$24,0,IF($B81&gt;=INDEX(LE_Curves!$D$5:$D$205,201),INDEX(LE_Curves!$B$5:$B$205,201),INDEX(LE_Curves!$B$5:$B$205,MATCH($B81,LE_Curves!$D$5:$D$205,1))+($B81-INDEX(LE_Curves!$D$5:$D$205,MATCH($B81,LE_Curves!$D$5:$D$205,1)))*(INDEX(LE_Curves!$B$5:$B$205,MATCH($B81,LE_Curves!$D$5:$D$205,1)+1)-INDEX(LE_Curves!$B$5:$B$205,MATCH($B81,LE_Curves!$D$5:$D$205,1)))/(INDEX(LE_Curves!$D$5:$D$205,MATCH($B81,LE_Curves!$D$5:$D$205,1)+1)-INDEX(LE_Curves!$D$5:$D$205,MATCH($B81,LE_Curves!$D$5:$D$205,1))))))</f>
        <v/>
      </c>
      <c r="E81" s="11">
        <f>IF(Inputs!$D$25=0,0,IF($B81&lt;=Inputs!$C$25,0,IF($B81&gt;=INDEX(LE_Curves!$E$5:$E$205,201),INDEX(LE_Curves!$B$5:$B$205,201),INDEX(LE_Curves!$B$5:$B$205,MATCH($B81,LE_Curves!$E$5:$E$205,1))+($B81-INDEX(LE_Curves!$E$5:$E$205,MATCH($B81,LE_Curves!$E$5:$E$205,1)))*(INDEX(LE_Curves!$B$5:$B$205,MATCH($B81,LE_Curves!$E$5:$E$205,1)+1)-INDEX(LE_Curves!$B$5:$B$205,MATCH($B81,LE_Curves!$E$5:$E$205,1)))/(INDEX(LE_Curves!$E$5:$E$205,MATCH($B81,LE_Curves!$E$5:$E$205,1)+1)-INDEX(LE_Curves!$E$5:$E$205,MATCH($B81,LE_Curves!$E$5:$E$205,1))))))</f>
        <v/>
      </c>
      <c r="F81" s="11">
        <f>IF(Inputs!$D$26=0,0,IF($B81&lt;=Inputs!$C$26,0,IF($B81&gt;=INDEX(LE_Curves!$F$5:$F$205,201),INDEX(LE_Curves!$B$5:$B$205,201),INDEX(LE_Curves!$B$5:$B$205,MATCH($B81,LE_Curves!$F$5:$F$205,1))+($B81-INDEX(LE_Curves!$F$5:$F$205,MATCH($B81,LE_Curves!$F$5:$F$205,1)))*(INDEX(LE_Curves!$B$5:$B$205,MATCH($B81,LE_Curves!$F$5:$F$205,1)+1)-INDEX(LE_Curves!$B$5:$B$205,MATCH($B81,LE_Curves!$F$5:$F$205,1)))/(INDEX(LE_Curves!$F$5:$F$205,MATCH($B81,LE_Curves!$F$5:$F$205,1)+1)-INDEX(LE_Curves!$F$5:$F$205,MATCH($B81,LE_Curves!$F$5:$F$205,1))))))</f>
        <v/>
      </c>
      <c r="G81" s="11">
        <f>IF(Inputs!$D$27=0,0,IF($B81&lt;=Inputs!$C$27,0,IF($B81&gt;=INDEX(LE_Curves!$G$5:$G$205,201),INDEX(LE_Curves!$B$5:$B$205,201),INDEX(LE_Curves!$B$5:$B$205,MATCH($B81,LE_Curves!$G$5:$G$205,1))+($B81-INDEX(LE_Curves!$G$5:$G$205,MATCH($B81,LE_Curves!$G$5:$G$205,1)))*(INDEX(LE_Curves!$B$5:$B$205,MATCH($B81,LE_Curves!$G$5:$G$205,1)+1)-INDEX(LE_Curves!$B$5:$B$205,MATCH($B81,LE_Curves!$G$5:$G$205,1)))/(INDEX(LE_Curves!$G$5:$G$205,MATCH($B81,LE_Curves!$G$5:$G$205,1)+1)-INDEX(LE_Curves!$G$5:$G$205,MATCH($B81,LE_Curves!$G$5:$G$205,1))))))</f>
        <v/>
      </c>
      <c r="H81" s="11">
        <f>IF(Inputs!$D$28=0,0,IF($B81&lt;=Inputs!$C$28,0,IF($B81&gt;=INDEX(LE_Curves!$H$5:$H$205,201),INDEX(LE_Curves!$B$5:$B$205,201),INDEX(LE_Curves!$B$5:$B$205,MATCH($B81,LE_Curves!$H$5:$H$205,1))+($B81-INDEX(LE_Curves!$H$5:$H$205,MATCH($B81,LE_Curves!$H$5:$H$205,1)))*(INDEX(LE_Curves!$B$5:$B$205,MATCH($B81,LE_Curves!$H$5:$H$205,1)+1)-INDEX(LE_Curves!$B$5:$B$205,MATCH($B81,LE_Curves!$H$5:$H$205,1)))/(INDEX(LE_Curves!$H$5:$H$205,MATCH($B81,LE_Curves!$H$5:$H$205,1)+1)-INDEX(LE_Curves!$H$5:$H$205,MATCH($B81,LE_Curves!$H$5:$H$205,1))))))</f>
        <v/>
      </c>
      <c r="I81" s="11">
        <f>IF(Inputs!$D$29=0,0,IF($B81&lt;=Inputs!$C$29,0,IF($B81&gt;=INDEX(LE_Curves!$I$5:$I$205,201),INDEX(LE_Curves!$B$5:$B$205,201),INDEX(LE_Curves!$B$5:$B$205,MATCH($B81,LE_Curves!$I$5:$I$205,1))+($B81-INDEX(LE_Curves!$I$5:$I$205,MATCH($B81,LE_Curves!$I$5:$I$205,1)))*(INDEX(LE_Curves!$B$5:$B$205,MATCH($B81,LE_Curves!$I$5:$I$205,1)+1)-INDEX(LE_Curves!$B$5:$B$205,MATCH($B81,LE_Curves!$I$5:$I$205,1)))/(INDEX(LE_Curves!$I$5:$I$205,MATCH($B81,LE_Curves!$I$5:$I$205,1)+1)-INDEX(LE_Curves!$I$5:$I$205,MATCH($B81,LE_Curves!$I$5:$I$205,1))))))</f>
        <v/>
      </c>
      <c r="J81" s="11">
        <f>IF(Inputs!$D$30=0,0,IF($B81&lt;=Inputs!$C$30,0,IF($B81&gt;=INDEX(LE_Curves!$J$5:$J$205,201),INDEX(LE_Curves!$B$5:$B$205,201),INDEX(LE_Curves!$B$5:$B$205,MATCH($B81,LE_Curves!$J$5:$J$205,1))+($B81-INDEX(LE_Curves!$J$5:$J$205,MATCH($B81,LE_Curves!$J$5:$J$205,1)))*(INDEX(LE_Curves!$B$5:$B$205,MATCH($B81,LE_Curves!$J$5:$J$205,1)+1)-INDEX(LE_Curves!$B$5:$B$205,MATCH($B81,LE_Curves!$J$5:$J$205,1)))/(INDEX(LE_Curves!$J$5:$J$205,MATCH($B81,LE_Curves!$J$5:$J$205,1)+1)-INDEX(LE_Curves!$J$5:$J$205,MATCH($B81,LE_Curves!$J$5:$J$205,1))))))</f>
        <v/>
      </c>
      <c r="K81" s="11">
        <f>IF(Inputs!$D$31=0,0,IF($B81&lt;=Inputs!$C$31,0,IF($B81&gt;=INDEX(LE_Curves!$K$5:$K$205,201),INDEX(LE_Curves!$B$5:$B$205,201),INDEX(LE_Curves!$B$5:$B$205,MATCH($B81,LE_Curves!$K$5:$K$205,1))+($B81-INDEX(LE_Curves!$K$5:$K$205,MATCH($B81,LE_Curves!$K$5:$K$205,1)))*(INDEX(LE_Curves!$B$5:$B$205,MATCH($B81,LE_Curves!$K$5:$K$205,1)+1)-INDEX(LE_Curves!$B$5:$B$205,MATCH($B81,LE_Curves!$K$5:$K$205,1)))/(INDEX(LE_Curves!$K$5:$K$205,MATCH($B81,LE_Curves!$K$5:$K$205,1)+1)-INDEX(LE_Curves!$K$5:$K$205,MATCH($B81,LE_Curves!$K$5:$K$205,1))))))</f>
        <v/>
      </c>
      <c r="L81" s="11">
        <f>IF(Inputs!$D$32=0,0,IF($B81&lt;=Inputs!$C$32,0,IF($B81&gt;=INDEX(LE_Curves!$L$5:$L$205,201),INDEX(LE_Curves!$B$5:$B$205,201),INDEX(LE_Curves!$B$5:$B$205,MATCH($B81,LE_Curves!$L$5:$L$205,1))+($B81-INDEX(LE_Curves!$L$5:$L$205,MATCH($B81,LE_Curves!$L$5:$L$205,1)))*(INDEX(LE_Curves!$B$5:$B$205,MATCH($B81,LE_Curves!$L$5:$L$205,1)+1)-INDEX(LE_Curves!$B$5:$B$205,MATCH($B81,LE_Curves!$L$5:$L$205,1)))/(INDEX(LE_Curves!$L$5:$L$205,MATCH($B81,LE_Curves!$L$5:$L$205,1)+1)-INDEX(LE_Curves!$L$5:$L$205,MATCH($B81,LE_Curves!$L$5:$L$205,1))))))</f>
        <v/>
      </c>
      <c r="M81" s="11">
        <f>IF(Inputs!$D$33=0,0,IF($B81&lt;=Inputs!$C$33,0,IF($B81&gt;=INDEX(LE_Curves!$M$5:$M$205,201),INDEX(LE_Curves!$B$5:$B$205,201),INDEX(LE_Curves!$B$5:$B$205,MATCH($B81,LE_Curves!$M$5:$M$205,1))+($B81-INDEX(LE_Curves!$M$5:$M$205,MATCH($B81,LE_Curves!$M$5:$M$205,1)))*(INDEX(LE_Curves!$B$5:$B$205,MATCH($B81,LE_Curves!$M$5:$M$205,1)+1)-INDEX(LE_Curves!$B$5:$B$205,MATCH($B81,LE_Curves!$M$5:$M$205,1)))/(INDEX(LE_Curves!$M$5:$M$205,MATCH($B81,LE_Curves!$M$5:$M$205,1)+1)-INDEX(LE_Curves!$M$5:$M$205,MATCH($B81,LE_Curves!$M$5:$M$205,1))))))</f>
        <v/>
      </c>
      <c r="N81" s="11">
        <f>IF(Inputs!$D$34=0,0,IF($B81&lt;=Inputs!$C$34,0,IF($B81&gt;=INDEX(LE_Curves!$N$5:$N$205,201),INDEX(LE_Curves!$B$5:$B$205,201),INDEX(LE_Curves!$B$5:$B$205,MATCH($B81,LE_Curves!$N$5:$N$205,1))+($B81-INDEX(LE_Curves!$N$5:$N$205,MATCH($B81,LE_Curves!$N$5:$N$205,1)))*(INDEX(LE_Curves!$B$5:$B$205,MATCH($B81,LE_Curves!$N$5:$N$205,1)+1)-INDEX(LE_Curves!$B$5:$B$205,MATCH($B81,LE_Curves!$N$5:$N$205,1)))/(INDEX(LE_Curves!$N$5:$N$205,MATCH($B81,LE_Curves!$N$5:$N$205,1)+1)-INDEX(LE_Curves!$N$5:$N$205,MATCH($B81,LE_Curves!$N$5:$N$205,1))))))</f>
        <v/>
      </c>
      <c r="O81" s="11">
        <f>SUM(C81:N81)</f>
        <v/>
      </c>
      <c r="Q81" s="7" t="n">
        <v>50</v>
      </c>
      <c r="R81" s="23">
        <f>$B$6+($B$7-$B$6)*Q81/200</f>
        <v/>
      </c>
      <c r="S81" s="11">
        <f>IF(Inputs!$D$23=0,0,IF($R81&lt;=Inputs!$C$23,0,IF($R81&gt;=INDEX(LE_Curves!$C$5:$C$205,201),INDEX(LE_Curves!$B$5:$B$205,201),INDEX(LE_Curves!$B$5:$B$205,MATCH($R81,LE_Curves!$C$5:$C$205,1))+($R81-INDEX(LE_Curves!$C$5:$C$205,MATCH($R81,LE_Curves!$C$5:$C$205,1)))*(INDEX(LE_Curves!$B$5:$B$205,MATCH($R81,LE_Curves!$C$5:$C$205,1)+1)-INDEX(LE_Curves!$B$5:$B$205,MATCH($R81,LE_Curves!$C$5:$C$205,1)))/(INDEX(LE_Curves!$C$5:$C$205,MATCH($R81,LE_Curves!$C$5:$C$205,1)+1)-INDEX(LE_Curves!$C$5:$C$205,MATCH($R81,LE_Curves!$C$5:$C$205,1))))))</f>
        <v/>
      </c>
      <c r="T81" s="11">
        <f>IF(Inputs!$D$24=0,0,IF($R81&lt;=Inputs!$C$24,0,IF($R81&gt;=INDEX(LE_Curves!$D$5:$D$205,201),INDEX(LE_Curves!$B$5:$B$205,201),INDEX(LE_Curves!$B$5:$B$205,MATCH($R81,LE_Curves!$D$5:$D$205,1))+($R81-INDEX(LE_Curves!$D$5:$D$205,MATCH($R81,LE_Curves!$D$5:$D$205,1)))*(INDEX(LE_Curves!$B$5:$B$205,MATCH($R81,LE_Curves!$D$5:$D$205,1)+1)-INDEX(LE_Curves!$B$5:$B$205,MATCH($R81,LE_Curves!$D$5:$D$205,1)))/(INDEX(LE_Curves!$D$5:$D$205,MATCH($R81,LE_Curves!$D$5:$D$205,1)+1)-INDEX(LE_Curves!$D$5:$D$205,MATCH($R81,LE_Curves!$D$5:$D$205,1))))))</f>
        <v/>
      </c>
      <c r="U81" s="11">
        <f>IF(Inputs!$D$25=0,0,IF($R81&lt;=Inputs!$C$25,0,IF($R81&gt;=INDEX(LE_Curves!$E$5:$E$205,201),INDEX(LE_Curves!$B$5:$B$205,201),INDEX(LE_Curves!$B$5:$B$205,MATCH($R81,LE_Curves!$E$5:$E$205,1))+($R81-INDEX(LE_Curves!$E$5:$E$205,MATCH($R81,LE_Curves!$E$5:$E$205,1)))*(INDEX(LE_Curves!$B$5:$B$205,MATCH($R81,LE_Curves!$E$5:$E$205,1)+1)-INDEX(LE_Curves!$B$5:$B$205,MATCH($R81,LE_Curves!$E$5:$E$205,1)))/(INDEX(LE_Curves!$E$5:$E$205,MATCH($R81,LE_Curves!$E$5:$E$205,1)+1)-INDEX(LE_Curves!$E$5:$E$205,MATCH($R81,LE_Curves!$E$5:$E$205,1))))))</f>
        <v/>
      </c>
      <c r="V81" s="11">
        <f>IF(Inputs!$D$26=0,0,IF($R81&lt;=Inputs!$C$26,0,IF($R81&gt;=INDEX(LE_Curves!$F$5:$F$205,201),INDEX(LE_Curves!$B$5:$B$205,201),INDEX(LE_Curves!$B$5:$B$205,MATCH($R81,LE_Curves!$F$5:$F$205,1))+($R81-INDEX(LE_Curves!$F$5:$F$205,MATCH($R81,LE_Curves!$F$5:$F$205,1)))*(INDEX(LE_Curves!$B$5:$B$205,MATCH($R81,LE_Curves!$F$5:$F$205,1)+1)-INDEX(LE_Curves!$B$5:$B$205,MATCH($R81,LE_Curves!$F$5:$F$205,1)))/(INDEX(LE_Curves!$F$5:$F$205,MATCH($R81,LE_Curves!$F$5:$F$205,1)+1)-INDEX(LE_Curves!$F$5:$F$205,MATCH($R81,LE_Curves!$F$5:$F$205,1))))))</f>
        <v/>
      </c>
      <c r="W81" s="11">
        <f>IF(Inputs!$D$27=0,0,IF($R81&lt;=Inputs!$C$27,0,IF($R81&gt;=INDEX(LE_Curves!$G$5:$G$205,201),INDEX(LE_Curves!$B$5:$B$205,201),INDEX(LE_Curves!$B$5:$B$205,MATCH($R81,LE_Curves!$G$5:$G$205,1))+($R81-INDEX(LE_Curves!$G$5:$G$205,MATCH($R81,LE_Curves!$G$5:$G$205,1)))*(INDEX(LE_Curves!$B$5:$B$205,MATCH($R81,LE_Curves!$G$5:$G$205,1)+1)-INDEX(LE_Curves!$B$5:$B$205,MATCH($R81,LE_Curves!$G$5:$G$205,1)))/(INDEX(LE_Curves!$G$5:$G$205,MATCH($R81,LE_Curves!$G$5:$G$205,1)+1)-INDEX(LE_Curves!$G$5:$G$205,MATCH($R81,LE_Curves!$G$5:$G$205,1))))))</f>
        <v/>
      </c>
      <c r="X81" s="11">
        <f>IF(Inputs!$D$28=0,0,IF($R81&lt;=Inputs!$C$28,0,IF($R81&gt;=INDEX(LE_Curves!$H$5:$H$205,201),INDEX(LE_Curves!$B$5:$B$205,201),INDEX(LE_Curves!$B$5:$B$205,MATCH($R81,LE_Curves!$H$5:$H$205,1))+($R81-INDEX(LE_Curves!$H$5:$H$205,MATCH($R81,LE_Curves!$H$5:$H$205,1)))*(INDEX(LE_Curves!$B$5:$B$205,MATCH($R81,LE_Curves!$H$5:$H$205,1)+1)-INDEX(LE_Curves!$B$5:$B$205,MATCH($R81,LE_Curves!$H$5:$H$205,1)))/(INDEX(LE_Curves!$H$5:$H$205,MATCH($R81,LE_Curves!$H$5:$H$205,1)+1)-INDEX(LE_Curves!$H$5:$H$205,MATCH($R81,LE_Curves!$H$5:$H$205,1))))))</f>
        <v/>
      </c>
      <c r="Y81" s="11">
        <f>IF(Inputs!$D$29=0,0,IF($R81&lt;=Inputs!$C$29,0,IF($R81&gt;=INDEX(LE_Curves!$I$5:$I$205,201),INDEX(LE_Curves!$B$5:$B$205,201),INDEX(LE_Curves!$B$5:$B$205,MATCH($R81,LE_Curves!$I$5:$I$205,1))+($R81-INDEX(LE_Curves!$I$5:$I$205,MATCH($R81,LE_Curves!$I$5:$I$205,1)))*(INDEX(LE_Curves!$B$5:$B$205,MATCH($R81,LE_Curves!$I$5:$I$205,1)+1)-INDEX(LE_Curves!$B$5:$B$205,MATCH($R81,LE_Curves!$I$5:$I$205,1)))/(INDEX(LE_Curves!$I$5:$I$205,MATCH($R81,LE_Curves!$I$5:$I$205,1)+1)-INDEX(LE_Curves!$I$5:$I$205,MATCH($R81,LE_Curves!$I$5:$I$205,1))))))</f>
        <v/>
      </c>
      <c r="Z81" s="11">
        <f>IF(Inputs!$D$30=0,0,IF($R81&lt;=Inputs!$C$30,0,IF($R81&gt;=INDEX(LE_Curves!$J$5:$J$205,201),INDEX(LE_Curves!$B$5:$B$205,201),INDEX(LE_Curves!$B$5:$B$205,MATCH($R81,LE_Curves!$J$5:$J$205,1))+($R81-INDEX(LE_Curves!$J$5:$J$205,MATCH($R81,LE_Curves!$J$5:$J$205,1)))*(INDEX(LE_Curves!$B$5:$B$205,MATCH($R81,LE_Curves!$J$5:$J$205,1)+1)-INDEX(LE_Curves!$B$5:$B$205,MATCH($R81,LE_Curves!$J$5:$J$205,1)))/(INDEX(LE_Curves!$J$5:$J$205,MATCH($R81,LE_Curves!$J$5:$J$205,1)+1)-INDEX(LE_Curves!$J$5:$J$205,MATCH($R81,LE_Curves!$J$5:$J$205,1))))))</f>
        <v/>
      </c>
      <c r="AA81" s="11">
        <f>IF(Inputs!$D$31=0,0,IF($R81&lt;=Inputs!$C$31,0,IF($R81&gt;=INDEX(LE_Curves!$K$5:$K$205,201),INDEX(LE_Curves!$B$5:$B$205,201),INDEX(LE_Curves!$B$5:$B$205,MATCH($R81,LE_Curves!$K$5:$K$205,1))+($R81-INDEX(LE_Curves!$K$5:$K$205,MATCH($R81,LE_Curves!$K$5:$K$205,1)))*(INDEX(LE_Curves!$B$5:$B$205,MATCH($R81,LE_Curves!$K$5:$K$205,1)+1)-INDEX(LE_Curves!$B$5:$B$205,MATCH($R81,LE_Curves!$K$5:$K$205,1)))/(INDEX(LE_Curves!$K$5:$K$205,MATCH($R81,LE_Curves!$K$5:$K$205,1)+1)-INDEX(LE_Curves!$K$5:$K$205,MATCH($R81,LE_Curves!$K$5:$K$205,1))))))</f>
        <v/>
      </c>
      <c r="AB81" s="11">
        <f>IF(Inputs!$D$32=0,0,IF($R81&lt;=Inputs!$C$32,0,IF($R81&gt;=INDEX(LE_Curves!$L$5:$L$205,201),INDEX(LE_Curves!$B$5:$B$205,201),INDEX(LE_Curves!$B$5:$B$205,MATCH($R81,LE_Curves!$L$5:$L$205,1))+($R81-INDEX(LE_Curves!$L$5:$L$205,MATCH($R81,LE_Curves!$L$5:$L$205,1)))*(INDEX(LE_Curves!$B$5:$B$205,MATCH($R81,LE_Curves!$L$5:$L$205,1)+1)-INDEX(LE_Curves!$B$5:$B$205,MATCH($R81,LE_Curves!$L$5:$L$205,1)))/(INDEX(LE_Curves!$L$5:$L$205,MATCH($R81,LE_Curves!$L$5:$L$205,1)+1)-INDEX(LE_Curves!$L$5:$L$205,MATCH($R81,LE_Curves!$L$5:$L$205,1))))))</f>
        <v/>
      </c>
      <c r="AC81" s="11">
        <f>IF(Inputs!$D$33=0,0,IF($R81&lt;=Inputs!$C$33,0,IF($R81&gt;=INDEX(LE_Curves!$M$5:$M$205,201),INDEX(LE_Curves!$B$5:$B$205,201),INDEX(LE_Curves!$B$5:$B$205,MATCH($R81,LE_Curves!$M$5:$M$205,1))+($R81-INDEX(LE_Curves!$M$5:$M$205,MATCH($R81,LE_Curves!$M$5:$M$205,1)))*(INDEX(LE_Curves!$B$5:$B$205,MATCH($R81,LE_Curves!$M$5:$M$205,1)+1)-INDEX(LE_Curves!$B$5:$B$205,MATCH($R81,LE_Curves!$M$5:$M$205,1)))/(INDEX(LE_Curves!$M$5:$M$205,MATCH($R81,LE_Curves!$M$5:$M$205,1)+1)-INDEX(LE_Curves!$M$5:$M$205,MATCH($R81,LE_Curves!$M$5:$M$205,1))))))</f>
        <v/>
      </c>
      <c r="AD81" s="11">
        <f>IF(Inputs!$D$34=0,0,IF($R81&lt;=Inputs!$C$34,0,IF($R81&gt;=INDEX(LE_Curves!$N$5:$N$205,201),INDEX(LE_Curves!$B$5:$B$205,201),INDEX(LE_Curves!$B$5:$B$205,MATCH($R81,LE_Curves!$N$5:$N$205,1))+($R81-INDEX(LE_Curves!$N$5:$N$205,MATCH($R81,LE_Curves!$N$5:$N$205,1)))*(INDEX(LE_Curves!$B$5:$B$205,MATCH($R81,LE_Curves!$N$5:$N$205,1)+1)-INDEX(LE_Curves!$B$5:$B$205,MATCH($R81,LE_Curves!$N$5:$N$205,1)))/(INDEX(LE_Curves!$N$5:$N$205,MATCH($R81,LE_Curves!$N$5:$N$205,1)+1)-INDEX(LE_Curves!$N$5:$N$205,MATCH($R81,LE_Curves!$N$5:$N$205,1))))))</f>
        <v/>
      </c>
      <c r="AE81" s="37">
        <f>SUM(S81:AD81)</f>
        <v/>
      </c>
    </row>
    <row r="82">
      <c r="A82" s="7" t="n">
        <v>51</v>
      </c>
      <c r="B82" s="37">
        <f>$B$3+($B$4-$B$3)*A82/200</f>
        <v/>
      </c>
      <c r="C82" s="11">
        <f>IF(Inputs!$D$23=0,0,IF($B82&lt;=Inputs!$C$23,0,IF($B82&gt;=INDEX(LE_Curves!$C$5:$C$205,201),INDEX(LE_Curves!$B$5:$B$205,201),INDEX(LE_Curves!$B$5:$B$205,MATCH($B82,LE_Curves!$C$5:$C$205,1))+($B82-INDEX(LE_Curves!$C$5:$C$205,MATCH($B82,LE_Curves!$C$5:$C$205,1)))*(INDEX(LE_Curves!$B$5:$B$205,MATCH($B82,LE_Curves!$C$5:$C$205,1)+1)-INDEX(LE_Curves!$B$5:$B$205,MATCH($B82,LE_Curves!$C$5:$C$205,1)))/(INDEX(LE_Curves!$C$5:$C$205,MATCH($B82,LE_Curves!$C$5:$C$205,1)+1)-INDEX(LE_Curves!$C$5:$C$205,MATCH($B82,LE_Curves!$C$5:$C$205,1))))))</f>
        <v/>
      </c>
      <c r="D82" s="11">
        <f>IF(Inputs!$D$24=0,0,IF($B82&lt;=Inputs!$C$24,0,IF($B82&gt;=INDEX(LE_Curves!$D$5:$D$205,201),INDEX(LE_Curves!$B$5:$B$205,201),INDEX(LE_Curves!$B$5:$B$205,MATCH($B82,LE_Curves!$D$5:$D$205,1))+($B82-INDEX(LE_Curves!$D$5:$D$205,MATCH($B82,LE_Curves!$D$5:$D$205,1)))*(INDEX(LE_Curves!$B$5:$B$205,MATCH($B82,LE_Curves!$D$5:$D$205,1)+1)-INDEX(LE_Curves!$B$5:$B$205,MATCH($B82,LE_Curves!$D$5:$D$205,1)))/(INDEX(LE_Curves!$D$5:$D$205,MATCH($B82,LE_Curves!$D$5:$D$205,1)+1)-INDEX(LE_Curves!$D$5:$D$205,MATCH($B82,LE_Curves!$D$5:$D$205,1))))))</f>
        <v/>
      </c>
      <c r="E82" s="11">
        <f>IF(Inputs!$D$25=0,0,IF($B82&lt;=Inputs!$C$25,0,IF($B82&gt;=INDEX(LE_Curves!$E$5:$E$205,201),INDEX(LE_Curves!$B$5:$B$205,201),INDEX(LE_Curves!$B$5:$B$205,MATCH($B82,LE_Curves!$E$5:$E$205,1))+($B82-INDEX(LE_Curves!$E$5:$E$205,MATCH($B82,LE_Curves!$E$5:$E$205,1)))*(INDEX(LE_Curves!$B$5:$B$205,MATCH($B82,LE_Curves!$E$5:$E$205,1)+1)-INDEX(LE_Curves!$B$5:$B$205,MATCH($B82,LE_Curves!$E$5:$E$205,1)))/(INDEX(LE_Curves!$E$5:$E$205,MATCH($B82,LE_Curves!$E$5:$E$205,1)+1)-INDEX(LE_Curves!$E$5:$E$205,MATCH($B82,LE_Curves!$E$5:$E$205,1))))))</f>
        <v/>
      </c>
      <c r="F82" s="11">
        <f>IF(Inputs!$D$26=0,0,IF($B82&lt;=Inputs!$C$26,0,IF($B82&gt;=INDEX(LE_Curves!$F$5:$F$205,201),INDEX(LE_Curves!$B$5:$B$205,201),INDEX(LE_Curves!$B$5:$B$205,MATCH($B82,LE_Curves!$F$5:$F$205,1))+($B82-INDEX(LE_Curves!$F$5:$F$205,MATCH($B82,LE_Curves!$F$5:$F$205,1)))*(INDEX(LE_Curves!$B$5:$B$205,MATCH($B82,LE_Curves!$F$5:$F$205,1)+1)-INDEX(LE_Curves!$B$5:$B$205,MATCH($B82,LE_Curves!$F$5:$F$205,1)))/(INDEX(LE_Curves!$F$5:$F$205,MATCH($B82,LE_Curves!$F$5:$F$205,1)+1)-INDEX(LE_Curves!$F$5:$F$205,MATCH($B82,LE_Curves!$F$5:$F$205,1))))))</f>
        <v/>
      </c>
      <c r="G82" s="11">
        <f>IF(Inputs!$D$27=0,0,IF($B82&lt;=Inputs!$C$27,0,IF($B82&gt;=INDEX(LE_Curves!$G$5:$G$205,201),INDEX(LE_Curves!$B$5:$B$205,201),INDEX(LE_Curves!$B$5:$B$205,MATCH($B82,LE_Curves!$G$5:$G$205,1))+($B82-INDEX(LE_Curves!$G$5:$G$205,MATCH($B82,LE_Curves!$G$5:$G$205,1)))*(INDEX(LE_Curves!$B$5:$B$205,MATCH($B82,LE_Curves!$G$5:$G$205,1)+1)-INDEX(LE_Curves!$B$5:$B$205,MATCH($B82,LE_Curves!$G$5:$G$205,1)))/(INDEX(LE_Curves!$G$5:$G$205,MATCH($B82,LE_Curves!$G$5:$G$205,1)+1)-INDEX(LE_Curves!$G$5:$G$205,MATCH($B82,LE_Curves!$G$5:$G$205,1))))))</f>
        <v/>
      </c>
      <c r="H82" s="11">
        <f>IF(Inputs!$D$28=0,0,IF($B82&lt;=Inputs!$C$28,0,IF($B82&gt;=INDEX(LE_Curves!$H$5:$H$205,201),INDEX(LE_Curves!$B$5:$B$205,201),INDEX(LE_Curves!$B$5:$B$205,MATCH($B82,LE_Curves!$H$5:$H$205,1))+($B82-INDEX(LE_Curves!$H$5:$H$205,MATCH($B82,LE_Curves!$H$5:$H$205,1)))*(INDEX(LE_Curves!$B$5:$B$205,MATCH($B82,LE_Curves!$H$5:$H$205,1)+1)-INDEX(LE_Curves!$B$5:$B$205,MATCH($B82,LE_Curves!$H$5:$H$205,1)))/(INDEX(LE_Curves!$H$5:$H$205,MATCH($B82,LE_Curves!$H$5:$H$205,1)+1)-INDEX(LE_Curves!$H$5:$H$205,MATCH($B82,LE_Curves!$H$5:$H$205,1))))))</f>
        <v/>
      </c>
      <c r="I82" s="11">
        <f>IF(Inputs!$D$29=0,0,IF($B82&lt;=Inputs!$C$29,0,IF($B82&gt;=INDEX(LE_Curves!$I$5:$I$205,201),INDEX(LE_Curves!$B$5:$B$205,201),INDEX(LE_Curves!$B$5:$B$205,MATCH($B82,LE_Curves!$I$5:$I$205,1))+($B82-INDEX(LE_Curves!$I$5:$I$205,MATCH($B82,LE_Curves!$I$5:$I$205,1)))*(INDEX(LE_Curves!$B$5:$B$205,MATCH($B82,LE_Curves!$I$5:$I$205,1)+1)-INDEX(LE_Curves!$B$5:$B$205,MATCH($B82,LE_Curves!$I$5:$I$205,1)))/(INDEX(LE_Curves!$I$5:$I$205,MATCH($B82,LE_Curves!$I$5:$I$205,1)+1)-INDEX(LE_Curves!$I$5:$I$205,MATCH($B82,LE_Curves!$I$5:$I$205,1))))))</f>
        <v/>
      </c>
      <c r="J82" s="11">
        <f>IF(Inputs!$D$30=0,0,IF($B82&lt;=Inputs!$C$30,0,IF($B82&gt;=INDEX(LE_Curves!$J$5:$J$205,201),INDEX(LE_Curves!$B$5:$B$205,201),INDEX(LE_Curves!$B$5:$B$205,MATCH($B82,LE_Curves!$J$5:$J$205,1))+($B82-INDEX(LE_Curves!$J$5:$J$205,MATCH($B82,LE_Curves!$J$5:$J$205,1)))*(INDEX(LE_Curves!$B$5:$B$205,MATCH($B82,LE_Curves!$J$5:$J$205,1)+1)-INDEX(LE_Curves!$B$5:$B$205,MATCH($B82,LE_Curves!$J$5:$J$205,1)))/(INDEX(LE_Curves!$J$5:$J$205,MATCH($B82,LE_Curves!$J$5:$J$205,1)+1)-INDEX(LE_Curves!$J$5:$J$205,MATCH($B82,LE_Curves!$J$5:$J$205,1))))))</f>
        <v/>
      </c>
      <c r="K82" s="11">
        <f>IF(Inputs!$D$31=0,0,IF($B82&lt;=Inputs!$C$31,0,IF($B82&gt;=INDEX(LE_Curves!$K$5:$K$205,201),INDEX(LE_Curves!$B$5:$B$205,201),INDEX(LE_Curves!$B$5:$B$205,MATCH($B82,LE_Curves!$K$5:$K$205,1))+($B82-INDEX(LE_Curves!$K$5:$K$205,MATCH($B82,LE_Curves!$K$5:$K$205,1)))*(INDEX(LE_Curves!$B$5:$B$205,MATCH($B82,LE_Curves!$K$5:$K$205,1)+1)-INDEX(LE_Curves!$B$5:$B$205,MATCH($B82,LE_Curves!$K$5:$K$205,1)))/(INDEX(LE_Curves!$K$5:$K$205,MATCH($B82,LE_Curves!$K$5:$K$205,1)+1)-INDEX(LE_Curves!$K$5:$K$205,MATCH($B82,LE_Curves!$K$5:$K$205,1))))))</f>
        <v/>
      </c>
      <c r="L82" s="11">
        <f>IF(Inputs!$D$32=0,0,IF($B82&lt;=Inputs!$C$32,0,IF($B82&gt;=INDEX(LE_Curves!$L$5:$L$205,201),INDEX(LE_Curves!$B$5:$B$205,201),INDEX(LE_Curves!$B$5:$B$205,MATCH($B82,LE_Curves!$L$5:$L$205,1))+($B82-INDEX(LE_Curves!$L$5:$L$205,MATCH($B82,LE_Curves!$L$5:$L$205,1)))*(INDEX(LE_Curves!$B$5:$B$205,MATCH($B82,LE_Curves!$L$5:$L$205,1)+1)-INDEX(LE_Curves!$B$5:$B$205,MATCH($B82,LE_Curves!$L$5:$L$205,1)))/(INDEX(LE_Curves!$L$5:$L$205,MATCH($B82,LE_Curves!$L$5:$L$205,1)+1)-INDEX(LE_Curves!$L$5:$L$205,MATCH($B82,LE_Curves!$L$5:$L$205,1))))))</f>
        <v/>
      </c>
      <c r="M82" s="11">
        <f>IF(Inputs!$D$33=0,0,IF($B82&lt;=Inputs!$C$33,0,IF($B82&gt;=INDEX(LE_Curves!$M$5:$M$205,201),INDEX(LE_Curves!$B$5:$B$205,201),INDEX(LE_Curves!$B$5:$B$205,MATCH($B82,LE_Curves!$M$5:$M$205,1))+($B82-INDEX(LE_Curves!$M$5:$M$205,MATCH($B82,LE_Curves!$M$5:$M$205,1)))*(INDEX(LE_Curves!$B$5:$B$205,MATCH($B82,LE_Curves!$M$5:$M$205,1)+1)-INDEX(LE_Curves!$B$5:$B$205,MATCH($B82,LE_Curves!$M$5:$M$205,1)))/(INDEX(LE_Curves!$M$5:$M$205,MATCH($B82,LE_Curves!$M$5:$M$205,1)+1)-INDEX(LE_Curves!$M$5:$M$205,MATCH($B82,LE_Curves!$M$5:$M$205,1))))))</f>
        <v/>
      </c>
      <c r="N82" s="11">
        <f>IF(Inputs!$D$34=0,0,IF($B82&lt;=Inputs!$C$34,0,IF($B82&gt;=INDEX(LE_Curves!$N$5:$N$205,201),INDEX(LE_Curves!$B$5:$B$205,201),INDEX(LE_Curves!$B$5:$B$205,MATCH($B82,LE_Curves!$N$5:$N$205,1))+($B82-INDEX(LE_Curves!$N$5:$N$205,MATCH($B82,LE_Curves!$N$5:$N$205,1)))*(INDEX(LE_Curves!$B$5:$B$205,MATCH($B82,LE_Curves!$N$5:$N$205,1)+1)-INDEX(LE_Curves!$B$5:$B$205,MATCH($B82,LE_Curves!$N$5:$N$205,1)))/(INDEX(LE_Curves!$N$5:$N$205,MATCH($B82,LE_Curves!$N$5:$N$205,1)+1)-INDEX(LE_Curves!$N$5:$N$205,MATCH($B82,LE_Curves!$N$5:$N$205,1))))))</f>
        <v/>
      </c>
      <c r="O82" s="11">
        <f>SUM(C82:N82)</f>
        <v/>
      </c>
      <c r="Q82" s="7" t="n">
        <v>51</v>
      </c>
      <c r="R82" s="23">
        <f>$B$6+($B$7-$B$6)*Q82/200</f>
        <v/>
      </c>
      <c r="S82" s="11">
        <f>IF(Inputs!$D$23=0,0,IF($R82&lt;=Inputs!$C$23,0,IF($R82&gt;=INDEX(LE_Curves!$C$5:$C$205,201),INDEX(LE_Curves!$B$5:$B$205,201),INDEX(LE_Curves!$B$5:$B$205,MATCH($R82,LE_Curves!$C$5:$C$205,1))+($R82-INDEX(LE_Curves!$C$5:$C$205,MATCH($R82,LE_Curves!$C$5:$C$205,1)))*(INDEX(LE_Curves!$B$5:$B$205,MATCH($R82,LE_Curves!$C$5:$C$205,1)+1)-INDEX(LE_Curves!$B$5:$B$205,MATCH($R82,LE_Curves!$C$5:$C$205,1)))/(INDEX(LE_Curves!$C$5:$C$205,MATCH($R82,LE_Curves!$C$5:$C$205,1)+1)-INDEX(LE_Curves!$C$5:$C$205,MATCH($R82,LE_Curves!$C$5:$C$205,1))))))</f>
        <v/>
      </c>
      <c r="T82" s="11">
        <f>IF(Inputs!$D$24=0,0,IF($R82&lt;=Inputs!$C$24,0,IF($R82&gt;=INDEX(LE_Curves!$D$5:$D$205,201),INDEX(LE_Curves!$B$5:$B$205,201),INDEX(LE_Curves!$B$5:$B$205,MATCH($R82,LE_Curves!$D$5:$D$205,1))+($R82-INDEX(LE_Curves!$D$5:$D$205,MATCH($R82,LE_Curves!$D$5:$D$205,1)))*(INDEX(LE_Curves!$B$5:$B$205,MATCH($R82,LE_Curves!$D$5:$D$205,1)+1)-INDEX(LE_Curves!$B$5:$B$205,MATCH($R82,LE_Curves!$D$5:$D$205,1)))/(INDEX(LE_Curves!$D$5:$D$205,MATCH($R82,LE_Curves!$D$5:$D$205,1)+1)-INDEX(LE_Curves!$D$5:$D$205,MATCH($R82,LE_Curves!$D$5:$D$205,1))))))</f>
        <v/>
      </c>
      <c r="U82" s="11">
        <f>IF(Inputs!$D$25=0,0,IF($R82&lt;=Inputs!$C$25,0,IF($R82&gt;=INDEX(LE_Curves!$E$5:$E$205,201),INDEX(LE_Curves!$B$5:$B$205,201),INDEX(LE_Curves!$B$5:$B$205,MATCH($R82,LE_Curves!$E$5:$E$205,1))+($R82-INDEX(LE_Curves!$E$5:$E$205,MATCH($R82,LE_Curves!$E$5:$E$205,1)))*(INDEX(LE_Curves!$B$5:$B$205,MATCH($R82,LE_Curves!$E$5:$E$205,1)+1)-INDEX(LE_Curves!$B$5:$B$205,MATCH($R82,LE_Curves!$E$5:$E$205,1)))/(INDEX(LE_Curves!$E$5:$E$205,MATCH($R82,LE_Curves!$E$5:$E$205,1)+1)-INDEX(LE_Curves!$E$5:$E$205,MATCH($R82,LE_Curves!$E$5:$E$205,1))))))</f>
        <v/>
      </c>
      <c r="V82" s="11">
        <f>IF(Inputs!$D$26=0,0,IF($R82&lt;=Inputs!$C$26,0,IF($R82&gt;=INDEX(LE_Curves!$F$5:$F$205,201),INDEX(LE_Curves!$B$5:$B$205,201),INDEX(LE_Curves!$B$5:$B$205,MATCH($R82,LE_Curves!$F$5:$F$205,1))+($R82-INDEX(LE_Curves!$F$5:$F$205,MATCH($R82,LE_Curves!$F$5:$F$205,1)))*(INDEX(LE_Curves!$B$5:$B$205,MATCH($R82,LE_Curves!$F$5:$F$205,1)+1)-INDEX(LE_Curves!$B$5:$B$205,MATCH($R82,LE_Curves!$F$5:$F$205,1)))/(INDEX(LE_Curves!$F$5:$F$205,MATCH($R82,LE_Curves!$F$5:$F$205,1)+1)-INDEX(LE_Curves!$F$5:$F$205,MATCH($R82,LE_Curves!$F$5:$F$205,1))))))</f>
        <v/>
      </c>
      <c r="W82" s="11">
        <f>IF(Inputs!$D$27=0,0,IF($R82&lt;=Inputs!$C$27,0,IF($R82&gt;=INDEX(LE_Curves!$G$5:$G$205,201),INDEX(LE_Curves!$B$5:$B$205,201),INDEX(LE_Curves!$B$5:$B$205,MATCH($R82,LE_Curves!$G$5:$G$205,1))+($R82-INDEX(LE_Curves!$G$5:$G$205,MATCH($R82,LE_Curves!$G$5:$G$205,1)))*(INDEX(LE_Curves!$B$5:$B$205,MATCH($R82,LE_Curves!$G$5:$G$205,1)+1)-INDEX(LE_Curves!$B$5:$B$205,MATCH($R82,LE_Curves!$G$5:$G$205,1)))/(INDEX(LE_Curves!$G$5:$G$205,MATCH($R82,LE_Curves!$G$5:$G$205,1)+1)-INDEX(LE_Curves!$G$5:$G$205,MATCH($R82,LE_Curves!$G$5:$G$205,1))))))</f>
        <v/>
      </c>
      <c r="X82" s="11">
        <f>IF(Inputs!$D$28=0,0,IF($R82&lt;=Inputs!$C$28,0,IF($R82&gt;=INDEX(LE_Curves!$H$5:$H$205,201),INDEX(LE_Curves!$B$5:$B$205,201),INDEX(LE_Curves!$B$5:$B$205,MATCH($R82,LE_Curves!$H$5:$H$205,1))+($R82-INDEX(LE_Curves!$H$5:$H$205,MATCH($R82,LE_Curves!$H$5:$H$205,1)))*(INDEX(LE_Curves!$B$5:$B$205,MATCH($R82,LE_Curves!$H$5:$H$205,1)+1)-INDEX(LE_Curves!$B$5:$B$205,MATCH($R82,LE_Curves!$H$5:$H$205,1)))/(INDEX(LE_Curves!$H$5:$H$205,MATCH($R82,LE_Curves!$H$5:$H$205,1)+1)-INDEX(LE_Curves!$H$5:$H$205,MATCH($R82,LE_Curves!$H$5:$H$205,1))))))</f>
        <v/>
      </c>
      <c r="Y82" s="11">
        <f>IF(Inputs!$D$29=0,0,IF($R82&lt;=Inputs!$C$29,0,IF($R82&gt;=INDEX(LE_Curves!$I$5:$I$205,201),INDEX(LE_Curves!$B$5:$B$205,201),INDEX(LE_Curves!$B$5:$B$205,MATCH($R82,LE_Curves!$I$5:$I$205,1))+($R82-INDEX(LE_Curves!$I$5:$I$205,MATCH($R82,LE_Curves!$I$5:$I$205,1)))*(INDEX(LE_Curves!$B$5:$B$205,MATCH($R82,LE_Curves!$I$5:$I$205,1)+1)-INDEX(LE_Curves!$B$5:$B$205,MATCH($R82,LE_Curves!$I$5:$I$205,1)))/(INDEX(LE_Curves!$I$5:$I$205,MATCH($R82,LE_Curves!$I$5:$I$205,1)+1)-INDEX(LE_Curves!$I$5:$I$205,MATCH($R82,LE_Curves!$I$5:$I$205,1))))))</f>
        <v/>
      </c>
      <c r="Z82" s="11">
        <f>IF(Inputs!$D$30=0,0,IF($R82&lt;=Inputs!$C$30,0,IF($R82&gt;=INDEX(LE_Curves!$J$5:$J$205,201),INDEX(LE_Curves!$B$5:$B$205,201),INDEX(LE_Curves!$B$5:$B$205,MATCH($R82,LE_Curves!$J$5:$J$205,1))+($R82-INDEX(LE_Curves!$J$5:$J$205,MATCH($R82,LE_Curves!$J$5:$J$205,1)))*(INDEX(LE_Curves!$B$5:$B$205,MATCH($R82,LE_Curves!$J$5:$J$205,1)+1)-INDEX(LE_Curves!$B$5:$B$205,MATCH($R82,LE_Curves!$J$5:$J$205,1)))/(INDEX(LE_Curves!$J$5:$J$205,MATCH($R82,LE_Curves!$J$5:$J$205,1)+1)-INDEX(LE_Curves!$J$5:$J$205,MATCH($R82,LE_Curves!$J$5:$J$205,1))))))</f>
        <v/>
      </c>
      <c r="AA82" s="11">
        <f>IF(Inputs!$D$31=0,0,IF($R82&lt;=Inputs!$C$31,0,IF($R82&gt;=INDEX(LE_Curves!$K$5:$K$205,201),INDEX(LE_Curves!$B$5:$B$205,201),INDEX(LE_Curves!$B$5:$B$205,MATCH($R82,LE_Curves!$K$5:$K$205,1))+($R82-INDEX(LE_Curves!$K$5:$K$205,MATCH($R82,LE_Curves!$K$5:$K$205,1)))*(INDEX(LE_Curves!$B$5:$B$205,MATCH($R82,LE_Curves!$K$5:$K$205,1)+1)-INDEX(LE_Curves!$B$5:$B$205,MATCH($R82,LE_Curves!$K$5:$K$205,1)))/(INDEX(LE_Curves!$K$5:$K$205,MATCH($R82,LE_Curves!$K$5:$K$205,1)+1)-INDEX(LE_Curves!$K$5:$K$205,MATCH($R82,LE_Curves!$K$5:$K$205,1))))))</f>
        <v/>
      </c>
      <c r="AB82" s="11">
        <f>IF(Inputs!$D$32=0,0,IF($R82&lt;=Inputs!$C$32,0,IF($R82&gt;=INDEX(LE_Curves!$L$5:$L$205,201),INDEX(LE_Curves!$B$5:$B$205,201),INDEX(LE_Curves!$B$5:$B$205,MATCH($R82,LE_Curves!$L$5:$L$205,1))+($R82-INDEX(LE_Curves!$L$5:$L$205,MATCH($R82,LE_Curves!$L$5:$L$205,1)))*(INDEX(LE_Curves!$B$5:$B$205,MATCH($R82,LE_Curves!$L$5:$L$205,1)+1)-INDEX(LE_Curves!$B$5:$B$205,MATCH($R82,LE_Curves!$L$5:$L$205,1)))/(INDEX(LE_Curves!$L$5:$L$205,MATCH($R82,LE_Curves!$L$5:$L$205,1)+1)-INDEX(LE_Curves!$L$5:$L$205,MATCH($R82,LE_Curves!$L$5:$L$205,1))))))</f>
        <v/>
      </c>
      <c r="AC82" s="11">
        <f>IF(Inputs!$D$33=0,0,IF($R82&lt;=Inputs!$C$33,0,IF($R82&gt;=INDEX(LE_Curves!$M$5:$M$205,201),INDEX(LE_Curves!$B$5:$B$205,201),INDEX(LE_Curves!$B$5:$B$205,MATCH($R82,LE_Curves!$M$5:$M$205,1))+($R82-INDEX(LE_Curves!$M$5:$M$205,MATCH($R82,LE_Curves!$M$5:$M$205,1)))*(INDEX(LE_Curves!$B$5:$B$205,MATCH($R82,LE_Curves!$M$5:$M$205,1)+1)-INDEX(LE_Curves!$B$5:$B$205,MATCH($R82,LE_Curves!$M$5:$M$205,1)))/(INDEX(LE_Curves!$M$5:$M$205,MATCH($R82,LE_Curves!$M$5:$M$205,1)+1)-INDEX(LE_Curves!$M$5:$M$205,MATCH($R82,LE_Curves!$M$5:$M$205,1))))))</f>
        <v/>
      </c>
      <c r="AD82" s="11">
        <f>IF(Inputs!$D$34=0,0,IF($R82&lt;=Inputs!$C$34,0,IF($R82&gt;=INDEX(LE_Curves!$N$5:$N$205,201),INDEX(LE_Curves!$B$5:$B$205,201),INDEX(LE_Curves!$B$5:$B$205,MATCH($R82,LE_Curves!$N$5:$N$205,1))+($R82-INDEX(LE_Curves!$N$5:$N$205,MATCH($R82,LE_Curves!$N$5:$N$205,1)))*(INDEX(LE_Curves!$B$5:$B$205,MATCH($R82,LE_Curves!$N$5:$N$205,1)+1)-INDEX(LE_Curves!$B$5:$B$205,MATCH($R82,LE_Curves!$N$5:$N$205,1)))/(INDEX(LE_Curves!$N$5:$N$205,MATCH($R82,LE_Curves!$N$5:$N$205,1)+1)-INDEX(LE_Curves!$N$5:$N$205,MATCH($R82,LE_Curves!$N$5:$N$205,1))))))</f>
        <v/>
      </c>
      <c r="AE82" s="37">
        <f>SUM(S82:AD82)</f>
        <v/>
      </c>
    </row>
    <row r="83">
      <c r="A83" s="7" t="n">
        <v>52</v>
      </c>
      <c r="B83" s="37">
        <f>$B$3+($B$4-$B$3)*A83/200</f>
        <v/>
      </c>
      <c r="C83" s="11">
        <f>IF(Inputs!$D$23=0,0,IF($B83&lt;=Inputs!$C$23,0,IF($B83&gt;=INDEX(LE_Curves!$C$5:$C$205,201),INDEX(LE_Curves!$B$5:$B$205,201),INDEX(LE_Curves!$B$5:$B$205,MATCH($B83,LE_Curves!$C$5:$C$205,1))+($B83-INDEX(LE_Curves!$C$5:$C$205,MATCH($B83,LE_Curves!$C$5:$C$205,1)))*(INDEX(LE_Curves!$B$5:$B$205,MATCH($B83,LE_Curves!$C$5:$C$205,1)+1)-INDEX(LE_Curves!$B$5:$B$205,MATCH($B83,LE_Curves!$C$5:$C$205,1)))/(INDEX(LE_Curves!$C$5:$C$205,MATCH($B83,LE_Curves!$C$5:$C$205,1)+1)-INDEX(LE_Curves!$C$5:$C$205,MATCH($B83,LE_Curves!$C$5:$C$205,1))))))</f>
        <v/>
      </c>
      <c r="D83" s="11">
        <f>IF(Inputs!$D$24=0,0,IF($B83&lt;=Inputs!$C$24,0,IF($B83&gt;=INDEX(LE_Curves!$D$5:$D$205,201),INDEX(LE_Curves!$B$5:$B$205,201),INDEX(LE_Curves!$B$5:$B$205,MATCH($B83,LE_Curves!$D$5:$D$205,1))+($B83-INDEX(LE_Curves!$D$5:$D$205,MATCH($B83,LE_Curves!$D$5:$D$205,1)))*(INDEX(LE_Curves!$B$5:$B$205,MATCH($B83,LE_Curves!$D$5:$D$205,1)+1)-INDEX(LE_Curves!$B$5:$B$205,MATCH($B83,LE_Curves!$D$5:$D$205,1)))/(INDEX(LE_Curves!$D$5:$D$205,MATCH($B83,LE_Curves!$D$5:$D$205,1)+1)-INDEX(LE_Curves!$D$5:$D$205,MATCH($B83,LE_Curves!$D$5:$D$205,1))))))</f>
        <v/>
      </c>
      <c r="E83" s="11">
        <f>IF(Inputs!$D$25=0,0,IF($B83&lt;=Inputs!$C$25,0,IF($B83&gt;=INDEX(LE_Curves!$E$5:$E$205,201),INDEX(LE_Curves!$B$5:$B$205,201),INDEX(LE_Curves!$B$5:$B$205,MATCH($B83,LE_Curves!$E$5:$E$205,1))+($B83-INDEX(LE_Curves!$E$5:$E$205,MATCH($B83,LE_Curves!$E$5:$E$205,1)))*(INDEX(LE_Curves!$B$5:$B$205,MATCH($B83,LE_Curves!$E$5:$E$205,1)+1)-INDEX(LE_Curves!$B$5:$B$205,MATCH($B83,LE_Curves!$E$5:$E$205,1)))/(INDEX(LE_Curves!$E$5:$E$205,MATCH($B83,LE_Curves!$E$5:$E$205,1)+1)-INDEX(LE_Curves!$E$5:$E$205,MATCH($B83,LE_Curves!$E$5:$E$205,1))))))</f>
        <v/>
      </c>
      <c r="F83" s="11">
        <f>IF(Inputs!$D$26=0,0,IF($B83&lt;=Inputs!$C$26,0,IF($B83&gt;=INDEX(LE_Curves!$F$5:$F$205,201),INDEX(LE_Curves!$B$5:$B$205,201),INDEX(LE_Curves!$B$5:$B$205,MATCH($B83,LE_Curves!$F$5:$F$205,1))+($B83-INDEX(LE_Curves!$F$5:$F$205,MATCH($B83,LE_Curves!$F$5:$F$205,1)))*(INDEX(LE_Curves!$B$5:$B$205,MATCH($B83,LE_Curves!$F$5:$F$205,1)+1)-INDEX(LE_Curves!$B$5:$B$205,MATCH($B83,LE_Curves!$F$5:$F$205,1)))/(INDEX(LE_Curves!$F$5:$F$205,MATCH($B83,LE_Curves!$F$5:$F$205,1)+1)-INDEX(LE_Curves!$F$5:$F$205,MATCH($B83,LE_Curves!$F$5:$F$205,1))))))</f>
        <v/>
      </c>
      <c r="G83" s="11">
        <f>IF(Inputs!$D$27=0,0,IF($B83&lt;=Inputs!$C$27,0,IF($B83&gt;=INDEX(LE_Curves!$G$5:$G$205,201),INDEX(LE_Curves!$B$5:$B$205,201),INDEX(LE_Curves!$B$5:$B$205,MATCH($B83,LE_Curves!$G$5:$G$205,1))+($B83-INDEX(LE_Curves!$G$5:$G$205,MATCH($B83,LE_Curves!$G$5:$G$205,1)))*(INDEX(LE_Curves!$B$5:$B$205,MATCH($B83,LE_Curves!$G$5:$G$205,1)+1)-INDEX(LE_Curves!$B$5:$B$205,MATCH($B83,LE_Curves!$G$5:$G$205,1)))/(INDEX(LE_Curves!$G$5:$G$205,MATCH($B83,LE_Curves!$G$5:$G$205,1)+1)-INDEX(LE_Curves!$G$5:$G$205,MATCH($B83,LE_Curves!$G$5:$G$205,1))))))</f>
        <v/>
      </c>
      <c r="H83" s="11">
        <f>IF(Inputs!$D$28=0,0,IF($B83&lt;=Inputs!$C$28,0,IF($B83&gt;=INDEX(LE_Curves!$H$5:$H$205,201),INDEX(LE_Curves!$B$5:$B$205,201),INDEX(LE_Curves!$B$5:$B$205,MATCH($B83,LE_Curves!$H$5:$H$205,1))+($B83-INDEX(LE_Curves!$H$5:$H$205,MATCH($B83,LE_Curves!$H$5:$H$205,1)))*(INDEX(LE_Curves!$B$5:$B$205,MATCH($B83,LE_Curves!$H$5:$H$205,1)+1)-INDEX(LE_Curves!$B$5:$B$205,MATCH($B83,LE_Curves!$H$5:$H$205,1)))/(INDEX(LE_Curves!$H$5:$H$205,MATCH($B83,LE_Curves!$H$5:$H$205,1)+1)-INDEX(LE_Curves!$H$5:$H$205,MATCH($B83,LE_Curves!$H$5:$H$205,1))))))</f>
        <v/>
      </c>
      <c r="I83" s="11">
        <f>IF(Inputs!$D$29=0,0,IF($B83&lt;=Inputs!$C$29,0,IF($B83&gt;=INDEX(LE_Curves!$I$5:$I$205,201),INDEX(LE_Curves!$B$5:$B$205,201),INDEX(LE_Curves!$B$5:$B$205,MATCH($B83,LE_Curves!$I$5:$I$205,1))+($B83-INDEX(LE_Curves!$I$5:$I$205,MATCH($B83,LE_Curves!$I$5:$I$205,1)))*(INDEX(LE_Curves!$B$5:$B$205,MATCH($B83,LE_Curves!$I$5:$I$205,1)+1)-INDEX(LE_Curves!$B$5:$B$205,MATCH($B83,LE_Curves!$I$5:$I$205,1)))/(INDEX(LE_Curves!$I$5:$I$205,MATCH($B83,LE_Curves!$I$5:$I$205,1)+1)-INDEX(LE_Curves!$I$5:$I$205,MATCH($B83,LE_Curves!$I$5:$I$205,1))))))</f>
        <v/>
      </c>
      <c r="J83" s="11">
        <f>IF(Inputs!$D$30=0,0,IF($B83&lt;=Inputs!$C$30,0,IF($B83&gt;=INDEX(LE_Curves!$J$5:$J$205,201),INDEX(LE_Curves!$B$5:$B$205,201),INDEX(LE_Curves!$B$5:$B$205,MATCH($B83,LE_Curves!$J$5:$J$205,1))+($B83-INDEX(LE_Curves!$J$5:$J$205,MATCH($B83,LE_Curves!$J$5:$J$205,1)))*(INDEX(LE_Curves!$B$5:$B$205,MATCH($B83,LE_Curves!$J$5:$J$205,1)+1)-INDEX(LE_Curves!$B$5:$B$205,MATCH($B83,LE_Curves!$J$5:$J$205,1)))/(INDEX(LE_Curves!$J$5:$J$205,MATCH($B83,LE_Curves!$J$5:$J$205,1)+1)-INDEX(LE_Curves!$J$5:$J$205,MATCH($B83,LE_Curves!$J$5:$J$205,1))))))</f>
        <v/>
      </c>
      <c r="K83" s="11">
        <f>IF(Inputs!$D$31=0,0,IF($B83&lt;=Inputs!$C$31,0,IF($B83&gt;=INDEX(LE_Curves!$K$5:$K$205,201),INDEX(LE_Curves!$B$5:$B$205,201),INDEX(LE_Curves!$B$5:$B$205,MATCH($B83,LE_Curves!$K$5:$K$205,1))+($B83-INDEX(LE_Curves!$K$5:$K$205,MATCH($B83,LE_Curves!$K$5:$K$205,1)))*(INDEX(LE_Curves!$B$5:$B$205,MATCH($B83,LE_Curves!$K$5:$K$205,1)+1)-INDEX(LE_Curves!$B$5:$B$205,MATCH($B83,LE_Curves!$K$5:$K$205,1)))/(INDEX(LE_Curves!$K$5:$K$205,MATCH($B83,LE_Curves!$K$5:$K$205,1)+1)-INDEX(LE_Curves!$K$5:$K$205,MATCH($B83,LE_Curves!$K$5:$K$205,1))))))</f>
        <v/>
      </c>
      <c r="L83" s="11">
        <f>IF(Inputs!$D$32=0,0,IF($B83&lt;=Inputs!$C$32,0,IF($B83&gt;=INDEX(LE_Curves!$L$5:$L$205,201),INDEX(LE_Curves!$B$5:$B$205,201),INDEX(LE_Curves!$B$5:$B$205,MATCH($B83,LE_Curves!$L$5:$L$205,1))+($B83-INDEX(LE_Curves!$L$5:$L$205,MATCH($B83,LE_Curves!$L$5:$L$205,1)))*(INDEX(LE_Curves!$B$5:$B$205,MATCH($B83,LE_Curves!$L$5:$L$205,1)+1)-INDEX(LE_Curves!$B$5:$B$205,MATCH($B83,LE_Curves!$L$5:$L$205,1)))/(INDEX(LE_Curves!$L$5:$L$205,MATCH($B83,LE_Curves!$L$5:$L$205,1)+1)-INDEX(LE_Curves!$L$5:$L$205,MATCH($B83,LE_Curves!$L$5:$L$205,1))))))</f>
        <v/>
      </c>
      <c r="M83" s="11">
        <f>IF(Inputs!$D$33=0,0,IF($B83&lt;=Inputs!$C$33,0,IF($B83&gt;=INDEX(LE_Curves!$M$5:$M$205,201),INDEX(LE_Curves!$B$5:$B$205,201),INDEX(LE_Curves!$B$5:$B$205,MATCH($B83,LE_Curves!$M$5:$M$205,1))+($B83-INDEX(LE_Curves!$M$5:$M$205,MATCH($B83,LE_Curves!$M$5:$M$205,1)))*(INDEX(LE_Curves!$B$5:$B$205,MATCH($B83,LE_Curves!$M$5:$M$205,1)+1)-INDEX(LE_Curves!$B$5:$B$205,MATCH($B83,LE_Curves!$M$5:$M$205,1)))/(INDEX(LE_Curves!$M$5:$M$205,MATCH($B83,LE_Curves!$M$5:$M$205,1)+1)-INDEX(LE_Curves!$M$5:$M$205,MATCH($B83,LE_Curves!$M$5:$M$205,1))))))</f>
        <v/>
      </c>
      <c r="N83" s="11">
        <f>IF(Inputs!$D$34=0,0,IF($B83&lt;=Inputs!$C$34,0,IF($B83&gt;=INDEX(LE_Curves!$N$5:$N$205,201),INDEX(LE_Curves!$B$5:$B$205,201),INDEX(LE_Curves!$B$5:$B$205,MATCH($B83,LE_Curves!$N$5:$N$205,1))+($B83-INDEX(LE_Curves!$N$5:$N$205,MATCH($B83,LE_Curves!$N$5:$N$205,1)))*(INDEX(LE_Curves!$B$5:$B$205,MATCH($B83,LE_Curves!$N$5:$N$205,1)+1)-INDEX(LE_Curves!$B$5:$B$205,MATCH($B83,LE_Curves!$N$5:$N$205,1)))/(INDEX(LE_Curves!$N$5:$N$205,MATCH($B83,LE_Curves!$N$5:$N$205,1)+1)-INDEX(LE_Curves!$N$5:$N$205,MATCH($B83,LE_Curves!$N$5:$N$205,1))))))</f>
        <v/>
      </c>
      <c r="O83" s="11">
        <f>SUM(C83:N83)</f>
        <v/>
      </c>
      <c r="Q83" s="7" t="n">
        <v>52</v>
      </c>
      <c r="R83" s="23">
        <f>$B$6+($B$7-$B$6)*Q83/200</f>
        <v/>
      </c>
      <c r="S83" s="11">
        <f>IF(Inputs!$D$23=0,0,IF($R83&lt;=Inputs!$C$23,0,IF($R83&gt;=INDEX(LE_Curves!$C$5:$C$205,201),INDEX(LE_Curves!$B$5:$B$205,201),INDEX(LE_Curves!$B$5:$B$205,MATCH($R83,LE_Curves!$C$5:$C$205,1))+($R83-INDEX(LE_Curves!$C$5:$C$205,MATCH($R83,LE_Curves!$C$5:$C$205,1)))*(INDEX(LE_Curves!$B$5:$B$205,MATCH($R83,LE_Curves!$C$5:$C$205,1)+1)-INDEX(LE_Curves!$B$5:$B$205,MATCH($R83,LE_Curves!$C$5:$C$205,1)))/(INDEX(LE_Curves!$C$5:$C$205,MATCH($R83,LE_Curves!$C$5:$C$205,1)+1)-INDEX(LE_Curves!$C$5:$C$205,MATCH($R83,LE_Curves!$C$5:$C$205,1))))))</f>
        <v/>
      </c>
      <c r="T83" s="11">
        <f>IF(Inputs!$D$24=0,0,IF($R83&lt;=Inputs!$C$24,0,IF($R83&gt;=INDEX(LE_Curves!$D$5:$D$205,201),INDEX(LE_Curves!$B$5:$B$205,201),INDEX(LE_Curves!$B$5:$B$205,MATCH($R83,LE_Curves!$D$5:$D$205,1))+($R83-INDEX(LE_Curves!$D$5:$D$205,MATCH($R83,LE_Curves!$D$5:$D$205,1)))*(INDEX(LE_Curves!$B$5:$B$205,MATCH($R83,LE_Curves!$D$5:$D$205,1)+1)-INDEX(LE_Curves!$B$5:$B$205,MATCH($R83,LE_Curves!$D$5:$D$205,1)))/(INDEX(LE_Curves!$D$5:$D$205,MATCH($R83,LE_Curves!$D$5:$D$205,1)+1)-INDEX(LE_Curves!$D$5:$D$205,MATCH($R83,LE_Curves!$D$5:$D$205,1))))))</f>
        <v/>
      </c>
      <c r="U83" s="11">
        <f>IF(Inputs!$D$25=0,0,IF($R83&lt;=Inputs!$C$25,0,IF($R83&gt;=INDEX(LE_Curves!$E$5:$E$205,201),INDEX(LE_Curves!$B$5:$B$205,201),INDEX(LE_Curves!$B$5:$B$205,MATCH($R83,LE_Curves!$E$5:$E$205,1))+($R83-INDEX(LE_Curves!$E$5:$E$205,MATCH($R83,LE_Curves!$E$5:$E$205,1)))*(INDEX(LE_Curves!$B$5:$B$205,MATCH($R83,LE_Curves!$E$5:$E$205,1)+1)-INDEX(LE_Curves!$B$5:$B$205,MATCH($R83,LE_Curves!$E$5:$E$205,1)))/(INDEX(LE_Curves!$E$5:$E$205,MATCH($R83,LE_Curves!$E$5:$E$205,1)+1)-INDEX(LE_Curves!$E$5:$E$205,MATCH($R83,LE_Curves!$E$5:$E$205,1))))))</f>
        <v/>
      </c>
      <c r="V83" s="11">
        <f>IF(Inputs!$D$26=0,0,IF($R83&lt;=Inputs!$C$26,0,IF($R83&gt;=INDEX(LE_Curves!$F$5:$F$205,201),INDEX(LE_Curves!$B$5:$B$205,201),INDEX(LE_Curves!$B$5:$B$205,MATCH($R83,LE_Curves!$F$5:$F$205,1))+($R83-INDEX(LE_Curves!$F$5:$F$205,MATCH($R83,LE_Curves!$F$5:$F$205,1)))*(INDEX(LE_Curves!$B$5:$B$205,MATCH($R83,LE_Curves!$F$5:$F$205,1)+1)-INDEX(LE_Curves!$B$5:$B$205,MATCH($R83,LE_Curves!$F$5:$F$205,1)))/(INDEX(LE_Curves!$F$5:$F$205,MATCH($R83,LE_Curves!$F$5:$F$205,1)+1)-INDEX(LE_Curves!$F$5:$F$205,MATCH($R83,LE_Curves!$F$5:$F$205,1))))))</f>
        <v/>
      </c>
      <c r="W83" s="11">
        <f>IF(Inputs!$D$27=0,0,IF($R83&lt;=Inputs!$C$27,0,IF($R83&gt;=INDEX(LE_Curves!$G$5:$G$205,201),INDEX(LE_Curves!$B$5:$B$205,201),INDEX(LE_Curves!$B$5:$B$205,MATCH($R83,LE_Curves!$G$5:$G$205,1))+($R83-INDEX(LE_Curves!$G$5:$G$205,MATCH($R83,LE_Curves!$G$5:$G$205,1)))*(INDEX(LE_Curves!$B$5:$B$205,MATCH($R83,LE_Curves!$G$5:$G$205,1)+1)-INDEX(LE_Curves!$B$5:$B$205,MATCH($R83,LE_Curves!$G$5:$G$205,1)))/(INDEX(LE_Curves!$G$5:$G$205,MATCH($R83,LE_Curves!$G$5:$G$205,1)+1)-INDEX(LE_Curves!$G$5:$G$205,MATCH($R83,LE_Curves!$G$5:$G$205,1))))))</f>
        <v/>
      </c>
      <c r="X83" s="11">
        <f>IF(Inputs!$D$28=0,0,IF($R83&lt;=Inputs!$C$28,0,IF($R83&gt;=INDEX(LE_Curves!$H$5:$H$205,201),INDEX(LE_Curves!$B$5:$B$205,201),INDEX(LE_Curves!$B$5:$B$205,MATCH($R83,LE_Curves!$H$5:$H$205,1))+($R83-INDEX(LE_Curves!$H$5:$H$205,MATCH($R83,LE_Curves!$H$5:$H$205,1)))*(INDEX(LE_Curves!$B$5:$B$205,MATCH($R83,LE_Curves!$H$5:$H$205,1)+1)-INDEX(LE_Curves!$B$5:$B$205,MATCH($R83,LE_Curves!$H$5:$H$205,1)))/(INDEX(LE_Curves!$H$5:$H$205,MATCH($R83,LE_Curves!$H$5:$H$205,1)+1)-INDEX(LE_Curves!$H$5:$H$205,MATCH($R83,LE_Curves!$H$5:$H$205,1))))))</f>
        <v/>
      </c>
      <c r="Y83" s="11">
        <f>IF(Inputs!$D$29=0,0,IF($R83&lt;=Inputs!$C$29,0,IF($R83&gt;=INDEX(LE_Curves!$I$5:$I$205,201),INDEX(LE_Curves!$B$5:$B$205,201),INDEX(LE_Curves!$B$5:$B$205,MATCH($R83,LE_Curves!$I$5:$I$205,1))+($R83-INDEX(LE_Curves!$I$5:$I$205,MATCH($R83,LE_Curves!$I$5:$I$205,1)))*(INDEX(LE_Curves!$B$5:$B$205,MATCH($R83,LE_Curves!$I$5:$I$205,1)+1)-INDEX(LE_Curves!$B$5:$B$205,MATCH($R83,LE_Curves!$I$5:$I$205,1)))/(INDEX(LE_Curves!$I$5:$I$205,MATCH($R83,LE_Curves!$I$5:$I$205,1)+1)-INDEX(LE_Curves!$I$5:$I$205,MATCH($R83,LE_Curves!$I$5:$I$205,1))))))</f>
        <v/>
      </c>
      <c r="Z83" s="11">
        <f>IF(Inputs!$D$30=0,0,IF($R83&lt;=Inputs!$C$30,0,IF($R83&gt;=INDEX(LE_Curves!$J$5:$J$205,201),INDEX(LE_Curves!$B$5:$B$205,201),INDEX(LE_Curves!$B$5:$B$205,MATCH($R83,LE_Curves!$J$5:$J$205,1))+($R83-INDEX(LE_Curves!$J$5:$J$205,MATCH($R83,LE_Curves!$J$5:$J$205,1)))*(INDEX(LE_Curves!$B$5:$B$205,MATCH($R83,LE_Curves!$J$5:$J$205,1)+1)-INDEX(LE_Curves!$B$5:$B$205,MATCH($R83,LE_Curves!$J$5:$J$205,1)))/(INDEX(LE_Curves!$J$5:$J$205,MATCH($R83,LE_Curves!$J$5:$J$205,1)+1)-INDEX(LE_Curves!$J$5:$J$205,MATCH($R83,LE_Curves!$J$5:$J$205,1))))))</f>
        <v/>
      </c>
      <c r="AA83" s="11">
        <f>IF(Inputs!$D$31=0,0,IF($R83&lt;=Inputs!$C$31,0,IF($R83&gt;=INDEX(LE_Curves!$K$5:$K$205,201),INDEX(LE_Curves!$B$5:$B$205,201),INDEX(LE_Curves!$B$5:$B$205,MATCH($R83,LE_Curves!$K$5:$K$205,1))+($R83-INDEX(LE_Curves!$K$5:$K$205,MATCH($R83,LE_Curves!$K$5:$K$205,1)))*(INDEX(LE_Curves!$B$5:$B$205,MATCH($R83,LE_Curves!$K$5:$K$205,1)+1)-INDEX(LE_Curves!$B$5:$B$205,MATCH($R83,LE_Curves!$K$5:$K$205,1)))/(INDEX(LE_Curves!$K$5:$K$205,MATCH($R83,LE_Curves!$K$5:$K$205,1)+1)-INDEX(LE_Curves!$K$5:$K$205,MATCH($R83,LE_Curves!$K$5:$K$205,1))))))</f>
        <v/>
      </c>
      <c r="AB83" s="11">
        <f>IF(Inputs!$D$32=0,0,IF($R83&lt;=Inputs!$C$32,0,IF($R83&gt;=INDEX(LE_Curves!$L$5:$L$205,201),INDEX(LE_Curves!$B$5:$B$205,201),INDEX(LE_Curves!$B$5:$B$205,MATCH($R83,LE_Curves!$L$5:$L$205,1))+($R83-INDEX(LE_Curves!$L$5:$L$205,MATCH($R83,LE_Curves!$L$5:$L$205,1)))*(INDEX(LE_Curves!$B$5:$B$205,MATCH($R83,LE_Curves!$L$5:$L$205,1)+1)-INDEX(LE_Curves!$B$5:$B$205,MATCH($R83,LE_Curves!$L$5:$L$205,1)))/(INDEX(LE_Curves!$L$5:$L$205,MATCH($R83,LE_Curves!$L$5:$L$205,1)+1)-INDEX(LE_Curves!$L$5:$L$205,MATCH($R83,LE_Curves!$L$5:$L$205,1))))))</f>
        <v/>
      </c>
      <c r="AC83" s="11">
        <f>IF(Inputs!$D$33=0,0,IF($R83&lt;=Inputs!$C$33,0,IF($R83&gt;=INDEX(LE_Curves!$M$5:$M$205,201),INDEX(LE_Curves!$B$5:$B$205,201),INDEX(LE_Curves!$B$5:$B$205,MATCH($R83,LE_Curves!$M$5:$M$205,1))+($R83-INDEX(LE_Curves!$M$5:$M$205,MATCH($R83,LE_Curves!$M$5:$M$205,1)))*(INDEX(LE_Curves!$B$5:$B$205,MATCH($R83,LE_Curves!$M$5:$M$205,1)+1)-INDEX(LE_Curves!$B$5:$B$205,MATCH($R83,LE_Curves!$M$5:$M$205,1)))/(INDEX(LE_Curves!$M$5:$M$205,MATCH($R83,LE_Curves!$M$5:$M$205,1)+1)-INDEX(LE_Curves!$M$5:$M$205,MATCH($R83,LE_Curves!$M$5:$M$205,1))))))</f>
        <v/>
      </c>
      <c r="AD83" s="11">
        <f>IF(Inputs!$D$34=0,0,IF($R83&lt;=Inputs!$C$34,0,IF($R83&gt;=INDEX(LE_Curves!$N$5:$N$205,201),INDEX(LE_Curves!$B$5:$B$205,201),INDEX(LE_Curves!$B$5:$B$205,MATCH($R83,LE_Curves!$N$5:$N$205,1))+($R83-INDEX(LE_Curves!$N$5:$N$205,MATCH($R83,LE_Curves!$N$5:$N$205,1)))*(INDEX(LE_Curves!$B$5:$B$205,MATCH($R83,LE_Curves!$N$5:$N$205,1)+1)-INDEX(LE_Curves!$B$5:$B$205,MATCH($R83,LE_Curves!$N$5:$N$205,1)))/(INDEX(LE_Curves!$N$5:$N$205,MATCH($R83,LE_Curves!$N$5:$N$205,1)+1)-INDEX(LE_Curves!$N$5:$N$205,MATCH($R83,LE_Curves!$N$5:$N$205,1))))))</f>
        <v/>
      </c>
      <c r="AE83" s="37">
        <f>SUM(S83:AD83)</f>
        <v/>
      </c>
    </row>
    <row r="84">
      <c r="A84" s="7" t="n">
        <v>53</v>
      </c>
      <c r="B84" s="37">
        <f>$B$3+($B$4-$B$3)*A84/200</f>
        <v/>
      </c>
      <c r="C84" s="11">
        <f>IF(Inputs!$D$23=0,0,IF($B84&lt;=Inputs!$C$23,0,IF($B84&gt;=INDEX(LE_Curves!$C$5:$C$205,201),INDEX(LE_Curves!$B$5:$B$205,201),INDEX(LE_Curves!$B$5:$B$205,MATCH($B84,LE_Curves!$C$5:$C$205,1))+($B84-INDEX(LE_Curves!$C$5:$C$205,MATCH($B84,LE_Curves!$C$5:$C$205,1)))*(INDEX(LE_Curves!$B$5:$B$205,MATCH($B84,LE_Curves!$C$5:$C$205,1)+1)-INDEX(LE_Curves!$B$5:$B$205,MATCH($B84,LE_Curves!$C$5:$C$205,1)))/(INDEX(LE_Curves!$C$5:$C$205,MATCH($B84,LE_Curves!$C$5:$C$205,1)+1)-INDEX(LE_Curves!$C$5:$C$205,MATCH($B84,LE_Curves!$C$5:$C$205,1))))))</f>
        <v/>
      </c>
      <c r="D84" s="11">
        <f>IF(Inputs!$D$24=0,0,IF($B84&lt;=Inputs!$C$24,0,IF($B84&gt;=INDEX(LE_Curves!$D$5:$D$205,201),INDEX(LE_Curves!$B$5:$B$205,201),INDEX(LE_Curves!$B$5:$B$205,MATCH($B84,LE_Curves!$D$5:$D$205,1))+($B84-INDEX(LE_Curves!$D$5:$D$205,MATCH($B84,LE_Curves!$D$5:$D$205,1)))*(INDEX(LE_Curves!$B$5:$B$205,MATCH($B84,LE_Curves!$D$5:$D$205,1)+1)-INDEX(LE_Curves!$B$5:$B$205,MATCH($B84,LE_Curves!$D$5:$D$205,1)))/(INDEX(LE_Curves!$D$5:$D$205,MATCH($B84,LE_Curves!$D$5:$D$205,1)+1)-INDEX(LE_Curves!$D$5:$D$205,MATCH($B84,LE_Curves!$D$5:$D$205,1))))))</f>
        <v/>
      </c>
      <c r="E84" s="11">
        <f>IF(Inputs!$D$25=0,0,IF($B84&lt;=Inputs!$C$25,0,IF($B84&gt;=INDEX(LE_Curves!$E$5:$E$205,201),INDEX(LE_Curves!$B$5:$B$205,201),INDEX(LE_Curves!$B$5:$B$205,MATCH($B84,LE_Curves!$E$5:$E$205,1))+($B84-INDEX(LE_Curves!$E$5:$E$205,MATCH($B84,LE_Curves!$E$5:$E$205,1)))*(INDEX(LE_Curves!$B$5:$B$205,MATCH($B84,LE_Curves!$E$5:$E$205,1)+1)-INDEX(LE_Curves!$B$5:$B$205,MATCH($B84,LE_Curves!$E$5:$E$205,1)))/(INDEX(LE_Curves!$E$5:$E$205,MATCH($B84,LE_Curves!$E$5:$E$205,1)+1)-INDEX(LE_Curves!$E$5:$E$205,MATCH($B84,LE_Curves!$E$5:$E$205,1))))))</f>
        <v/>
      </c>
      <c r="F84" s="11">
        <f>IF(Inputs!$D$26=0,0,IF($B84&lt;=Inputs!$C$26,0,IF($B84&gt;=INDEX(LE_Curves!$F$5:$F$205,201),INDEX(LE_Curves!$B$5:$B$205,201),INDEX(LE_Curves!$B$5:$B$205,MATCH($B84,LE_Curves!$F$5:$F$205,1))+($B84-INDEX(LE_Curves!$F$5:$F$205,MATCH($B84,LE_Curves!$F$5:$F$205,1)))*(INDEX(LE_Curves!$B$5:$B$205,MATCH($B84,LE_Curves!$F$5:$F$205,1)+1)-INDEX(LE_Curves!$B$5:$B$205,MATCH($B84,LE_Curves!$F$5:$F$205,1)))/(INDEX(LE_Curves!$F$5:$F$205,MATCH($B84,LE_Curves!$F$5:$F$205,1)+1)-INDEX(LE_Curves!$F$5:$F$205,MATCH($B84,LE_Curves!$F$5:$F$205,1))))))</f>
        <v/>
      </c>
      <c r="G84" s="11">
        <f>IF(Inputs!$D$27=0,0,IF($B84&lt;=Inputs!$C$27,0,IF($B84&gt;=INDEX(LE_Curves!$G$5:$G$205,201),INDEX(LE_Curves!$B$5:$B$205,201),INDEX(LE_Curves!$B$5:$B$205,MATCH($B84,LE_Curves!$G$5:$G$205,1))+($B84-INDEX(LE_Curves!$G$5:$G$205,MATCH($B84,LE_Curves!$G$5:$G$205,1)))*(INDEX(LE_Curves!$B$5:$B$205,MATCH($B84,LE_Curves!$G$5:$G$205,1)+1)-INDEX(LE_Curves!$B$5:$B$205,MATCH($B84,LE_Curves!$G$5:$G$205,1)))/(INDEX(LE_Curves!$G$5:$G$205,MATCH($B84,LE_Curves!$G$5:$G$205,1)+1)-INDEX(LE_Curves!$G$5:$G$205,MATCH($B84,LE_Curves!$G$5:$G$205,1))))))</f>
        <v/>
      </c>
      <c r="H84" s="11">
        <f>IF(Inputs!$D$28=0,0,IF($B84&lt;=Inputs!$C$28,0,IF($B84&gt;=INDEX(LE_Curves!$H$5:$H$205,201),INDEX(LE_Curves!$B$5:$B$205,201),INDEX(LE_Curves!$B$5:$B$205,MATCH($B84,LE_Curves!$H$5:$H$205,1))+($B84-INDEX(LE_Curves!$H$5:$H$205,MATCH($B84,LE_Curves!$H$5:$H$205,1)))*(INDEX(LE_Curves!$B$5:$B$205,MATCH($B84,LE_Curves!$H$5:$H$205,1)+1)-INDEX(LE_Curves!$B$5:$B$205,MATCH($B84,LE_Curves!$H$5:$H$205,1)))/(INDEX(LE_Curves!$H$5:$H$205,MATCH($B84,LE_Curves!$H$5:$H$205,1)+1)-INDEX(LE_Curves!$H$5:$H$205,MATCH($B84,LE_Curves!$H$5:$H$205,1))))))</f>
        <v/>
      </c>
      <c r="I84" s="11">
        <f>IF(Inputs!$D$29=0,0,IF($B84&lt;=Inputs!$C$29,0,IF($B84&gt;=INDEX(LE_Curves!$I$5:$I$205,201),INDEX(LE_Curves!$B$5:$B$205,201),INDEX(LE_Curves!$B$5:$B$205,MATCH($B84,LE_Curves!$I$5:$I$205,1))+($B84-INDEX(LE_Curves!$I$5:$I$205,MATCH($B84,LE_Curves!$I$5:$I$205,1)))*(INDEX(LE_Curves!$B$5:$B$205,MATCH($B84,LE_Curves!$I$5:$I$205,1)+1)-INDEX(LE_Curves!$B$5:$B$205,MATCH($B84,LE_Curves!$I$5:$I$205,1)))/(INDEX(LE_Curves!$I$5:$I$205,MATCH($B84,LE_Curves!$I$5:$I$205,1)+1)-INDEX(LE_Curves!$I$5:$I$205,MATCH($B84,LE_Curves!$I$5:$I$205,1))))))</f>
        <v/>
      </c>
      <c r="J84" s="11">
        <f>IF(Inputs!$D$30=0,0,IF($B84&lt;=Inputs!$C$30,0,IF($B84&gt;=INDEX(LE_Curves!$J$5:$J$205,201),INDEX(LE_Curves!$B$5:$B$205,201),INDEX(LE_Curves!$B$5:$B$205,MATCH($B84,LE_Curves!$J$5:$J$205,1))+($B84-INDEX(LE_Curves!$J$5:$J$205,MATCH($B84,LE_Curves!$J$5:$J$205,1)))*(INDEX(LE_Curves!$B$5:$B$205,MATCH($B84,LE_Curves!$J$5:$J$205,1)+1)-INDEX(LE_Curves!$B$5:$B$205,MATCH($B84,LE_Curves!$J$5:$J$205,1)))/(INDEX(LE_Curves!$J$5:$J$205,MATCH($B84,LE_Curves!$J$5:$J$205,1)+1)-INDEX(LE_Curves!$J$5:$J$205,MATCH($B84,LE_Curves!$J$5:$J$205,1))))))</f>
        <v/>
      </c>
      <c r="K84" s="11">
        <f>IF(Inputs!$D$31=0,0,IF($B84&lt;=Inputs!$C$31,0,IF($B84&gt;=INDEX(LE_Curves!$K$5:$K$205,201),INDEX(LE_Curves!$B$5:$B$205,201),INDEX(LE_Curves!$B$5:$B$205,MATCH($B84,LE_Curves!$K$5:$K$205,1))+($B84-INDEX(LE_Curves!$K$5:$K$205,MATCH($B84,LE_Curves!$K$5:$K$205,1)))*(INDEX(LE_Curves!$B$5:$B$205,MATCH($B84,LE_Curves!$K$5:$K$205,1)+1)-INDEX(LE_Curves!$B$5:$B$205,MATCH($B84,LE_Curves!$K$5:$K$205,1)))/(INDEX(LE_Curves!$K$5:$K$205,MATCH($B84,LE_Curves!$K$5:$K$205,1)+1)-INDEX(LE_Curves!$K$5:$K$205,MATCH($B84,LE_Curves!$K$5:$K$205,1))))))</f>
        <v/>
      </c>
      <c r="L84" s="11">
        <f>IF(Inputs!$D$32=0,0,IF($B84&lt;=Inputs!$C$32,0,IF($B84&gt;=INDEX(LE_Curves!$L$5:$L$205,201),INDEX(LE_Curves!$B$5:$B$205,201),INDEX(LE_Curves!$B$5:$B$205,MATCH($B84,LE_Curves!$L$5:$L$205,1))+($B84-INDEX(LE_Curves!$L$5:$L$205,MATCH($B84,LE_Curves!$L$5:$L$205,1)))*(INDEX(LE_Curves!$B$5:$B$205,MATCH($B84,LE_Curves!$L$5:$L$205,1)+1)-INDEX(LE_Curves!$B$5:$B$205,MATCH($B84,LE_Curves!$L$5:$L$205,1)))/(INDEX(LE_Curves!$L$5:$L$205,MATCH($B84,LE_Curves!$L$5:$L$205,1)+1)-INDEX(LE_Curves!$L$5:$L$205,MATCH($B84,LE_Curves!$L$5:$L$205,1))))))</f>
        <v/>
      </c>
      <c r="M84" s="11">
        <f>IF(Inputs!$D$33=0,0,IF($B84&lt;=Inputs!$C$33,0,IF($B84&gt;=INDEX(LE_Curves!$M$5:$M$205,201),INDEX(LE_Curves!$B$5:$B$205,201),INDEX(LE_Curves!$B$5:$B$205,MATCH($B84,LE_Curves!$M$5:$M$205,1))+($B84-INDEX(LE_Curves!$M$5:$M$205,MATCH($B84,LE_Curves!$M$5:$M$205,1)))*(INDEX(LE_Curves!$B$5:$B$205,MATCH($B84,LE_Curves!$M$5:$M$205,1)+1)-INDEX(LE_Curves!$B$5:$B$205,MATCH($B84,LE_Curves!$M$5:$M$205,1)))/(INDEX(LE_Curves!$M$5:$M$205,MATCH($B84,LE_Curves!$M$5:$M$205,1)+1)-INDEX(LE_Curves!$M$5:$M$205,MATCH($B84,LE_Curves!$M$5:$M$205,1))))))</f>
        <v/>
      </c>
      <c r="N84" s="11">
        <f>IF(Inputs!$D$34=0,0,IF($B84&lt;=Inputs!$C$34,0,IF($B84&gt;=INDEX(LE_Curves!$N$5:$N$205,201),INDEX(LE_Curves!$B$5:$B$205,201),INDEX(LE_Curves!$B$5:$B$205,MATCH($B84,LE_Curves!$N$5:$N$205,1))+($B84-INDEX(LE_Curves!$N$5:$N$205,MATCH($B84,LE_Curves!$N$5:$N$205,1)))*(INDEX(LE_Curves!$B$5:$B$205,MATCH($B84,LE_Curves!$N$5:$N$205,1)+1)-INDEX(LE_Curves!$B$5:$B$205,MATCH($B84,LE_Curves!$N$5:$N$205,1)))/(INDEX(LE_Curves!$N$5:$N$205,MATCH($B84,LE_Curves!$N$5:$N$205,1)+1)-INDEX(LE_Curves!$N$5:$N$205,MATCH($B84,LE_Curves!$N$5:$N$205,1))))))</f>
        <v/>
      </c>
      <c r="O84" s="11">
        <f>SUM(C84:N84)</f>
        <v/>
      </c>
      <c r="Q84" s="7" t="n">
        <v>53</v>
      </c>
      <c r="R84" s="23">
        <f>$B$6+($B$7-$B$6)*Q84/200</f>
        <v/>
      </c>
      <c r="S84" s="11">
        <f>IF(Inputs!$D$23=0,0,IF($R84&lt;=Inputs!$C$23,0,IF($R84&gt;=INDEX(LE_Curves!$C$5:$C$205,201),INDEX(LE_Curves!$B$5:$B$205,201),INDEX(LE_Curves!$B$5:$B$205,MATCH($R84,LE_Curves!$C$5:$C$205,1))+($R84-INDEX(LE_Curves!$C$5:$C$205,MATCH($R84,LE_Curves!$C$5:$C$205,1)))*(INDEX(LE_Curves!$B$5:$B$205,MATCH($R84,LE_Curves!$C$5:$C$205,1)+1)-INDEX(LE_Curves!$B$5:$B$205,MATCH($R84,LE_Curves!$C$5:$C$205,1)))/(INDEX(LE_Curves!$C$5:$C$205,MATCH($R84,LE_Curves!$C$5:$C$205,1)+1)-INDEX(LE_Curves!$C$5:$C$205,MATCH($R84,LE_Curves!$C$5:$C$205,1))))))</f>
        <v/>
      </c>
      <c r="T84" s="11">
        <f>IF(Inputs!$D$24=0,0,IF($R84&lt;=Inputs!$C$24,0,IF($R84&gt;=INDEX(LE_Curves!$D$5:$D$205,201),INDEX(LE_Curves!$B$5:$B$205,201),INDEX(LE_Curves!$B$5:$B$205,MATCH($R84,LE_Curves!$D$5:$D$205,1))+($R84-INDEX(LE_Curves!$D$5:$D$205,MATCH($R84,LE_Curves!$D$5:$D$205,1)))*(INDEX(LE_Curves!$B$5:$B$205,MATCH($R84,LE_Curves!$D$5:$D$205,1)+1)-INDEX(LE_Curves!$B$5:$B$205,MATCH($R84,LE_Curves!$D$5:$D$205,1)))/(INDEX(LE_Curves!$D$5:$D$205,MATCH($R84,LE_Curves!$D$5:$D$205,1)+1)-INDEX(LE_Curves!$D$5:$D$205,MATCH($R84,LE_Curves!$D$5:$D$205,1))))))</f>
        <v/>
      </c>
      <c r="U84" s="11">
        <f>IF(Inputs!$D$25=0,0,IF($R84&lt;=Inputs!$C$25,0,IF($R84&gt;=INDEX(LE_Curves!$E$5:$E$205,201),INDEX(LE_Curves!$B$5:$B$205,201),INDEX(LE_Curves!$B$5:$B$205,MATCH($R84,LE_Curves!$E$5:$E$205,1))+($R84-INDEX(LE_Curves!$E$5:$E$205,MATCH($R84,LE_Curves!$E$5:$E$205,1)))*(INDEX(LE_Curves!$B$5:$B$205,MATCH($R84,LE_Curves!$E$5:$E$205,1)+1)-INDEX(LE_Curves!$B$5:$B$205,MATCH($R84,LE_Curves!$E$5:$E$205,1)))/(INDEX(LE_Curves!$E$5:$E$205,MATCH($R84,LE_Curves!$E$5:$E$205,1)+1)-INDEX(LE_Curves!$E$5:$E$205,MATCH($R84,LE_Curves!$E$5:$E$205,1))))))</f>
        <v/>
      </c>
      <c r="V84" s="11">
        <f>IF(Inputs!$D$26=0,0,IF($R84&lt;=Inputs!$C$26,0,IF($R84&gt;=INDEX(LE_Curves!$F$5:$F$205,201),INDEX(LE_Curves!$B$5:$B$205,201),INDEX(LE_Curves!$B$5:$B$205,MATCH($R84,LE_Curves!$F$5:$F$205,1))+($R84-INDEX(LE_Curves!$F$5:$F$205,MATCH($R84,LE_Curves!$F$5:$F$205,1)))*(INDEX(LE_Curves!$B$5:$B$205,MATCH($R84,LE_Curves!$F$5:$F$205,1)+1)-INDEX(LE_Curves!$B$5:$B$205,MATCH($R84,LE_Curves!$F$5:$F$205,1)))/(INDEX(LE_Curves!$F$5:$F$205,MATCH($R84,LE_Curves!$F$5:$F$205,1)+1)-INDEX(LE_Curves!$F$5:$F$205,MATCH($R84,LE_Curves!$F$5:$F$205,1))))))</f>
        <v/>
      </c>
      <c r="W84" s="11">
        <f>IF(Inputs!$D$27=0,0,IF($R84&lt;=Inputs!$C$27,0,IF($R84&gt;=INDEX(LE_Curves!$G$5:$G$205,201),INDEX(LE_Curves!$B$5:$B$205,201),INDEX(LE_Curves!$B$5:$B$205,MATCH($R84,LE_Curves!$G$5:$G$205,1))+($R84-INDEX(LE_Curves!$G$5:$G$205,MATCH($R84,LE_Curves!$G$5:$G$205,1)))*(INDEX(LE_Curves!$B$5:$B$205,MATCH($R84,LE_Curves!$G$5:$G$205,1)+1)-INDEX(LE_Curves!$B$5:$B$205,MATCH($R84,LE_Curves!$G$5:$G$205,1)))/(INDEX(LE_Curves!$G$5:$G$205,MATCH($R84,LE_Curves!$G$5:$G$205,1)+1)-INDEX(LE_Curves!$G$5:$G$205,MATCH($R84,LE_Curves!$G$5:$G$205,1))))))</f>
        <v/>
      </c>
      <c r="X84" s="11">
        <f>IF(Inputs!$D$28=0,0,IF($R84&lt;=Inputs!$C$28,0,IF($R84&gt;=INDEX(LE_Curves!$H$5:$H$205,201),INDEX(LE_Curves!$B$5:$B$205,201),INDEX(LE_Curves!$B$5:$B$205,MATCH($R84,LE_Curves!$H$5:$H$205,1))+($R84-INDEX(LE_Curves!$H$5:$H$205,MATCH($R84,LE_Curves!$H$5:$H$205,1)))*(INDEX(LE_Curves!$B$5:$B$205,MATCH($R84,LE_Curves!$H$5:$H$205,1)+1)-INDEX(LE_Curves!$B$5:$B$205,MATCH($R84,LE_Curves!$H$5:$H$205,1)))/(INDEX(LE_Curves!$H$5:$H$205,MATCH($R84,LE_Curves!$H$5:$H$205,1)+1)-INDEX(LE_Curves!$H$5:$H$205,MATCH($R84,LE_Curves!$H$5:$H$205,1))))))</f>
        <v/>
      </c>
      <c r="Y84" s="11">
        <f>IF(Inputs!$D$29=0,0,IF($R84&lt;=Inputs!$C$29,0,IF($R84&gt;=INDEX(LE_Curves!$I$5:$I$205,201),INDEX(LE_Curves!$B$5:$B$205,201),INDEX(LE_Curves!$B$5:$B$205,MATCH($R84,LE_Curves!$I$5:$I$205,1))+($R84-INDEX(LE_Curves!$I$5:$I$205,MATCH($R84,LE_Curves!$I$5:$I$205,1)))*(INDEX(LE_Curves!$B$5:$B$205,MATCH($R84,LE_Curves!$I$5:$I$205,1)+1)-INDEX(LE_Curves!$B$5:$B$205,MATCH($R84,LE_Curves!$I$5:$I$205,1)))/(INDEX(LE_Curves!$I$5:$I$205,MATCH($R84,LE_Curves!$I$5:$I$205,1)+1)-INDEX(LE_Curves!$I$5:$I$205,MATCH($R84,LE_Curves!$I$5:$I$205,1))))))</f>
        <v/>
      </c>
      <c r="Z84" s="11">
        <f>IF(Inputs!$D$30=0,0,IF($R84&lt;=Inputs!$C$30,0,IF($R84&gt;=INDEX(LE_Curves!$J$5:$J$205,201),INDEX(LE_Curves!$B$5:$B$205,201),INDEX(LE_Curves!$B$5:$B$205,MATCH($R84,LE_Curves!$J$5:$J$205,1))+($R84-INDEX(LE_Curves!$J$5:$J$205,MATCH($R84,LE_Curves!$J$5:$J$205,1)))*(INDEX(LE_Curves!$B$5:$B$205,MATCH($R84,LE_Curves!$J$5:$J$205,1)+1)-INDEX(LE_Curves!$B$5:$B$205,MATCH($R84,LE_Curves!$J$5:$J$205,1)))/(INDEX(LE_Curves!$J$5:$J$205,MATCH($R84,LE_Curves!$J$5:$J$205,1)+1)-INDEX(LE_Curves!$J$5:$J$205,MATCH($R84,LE_Curves!$J$5:$J$205,1))))))</f>
        <v/>
      </c>
      <c r="AA84" s="11">
        <f>IF(Inputs!$D$31=0,0,IF($R84&lt;=Inputs!$C$31,0,IF($R84&gt;=INDEX(LE_Curves!$K$5:$K$205,201),INDEX(LE_Curves!$B$5:$B$205,201),INDEX(LE_Curves!$B$5:$B$205,MATCH($R84,LE_Curves!$K$5:$K$205,1))+($R84-INDEX(LE_Curves!$K$5:$K$205,MATCH($R84,LE_Curves!$K$5:$K$205,1)))*(INDEX(LE_Curves!$B$5:$B$205,MATCH($R84,LE_Curves!$K$5:$K$205,1)+1)-INDEX(LE_Curves!$B$5:$B$205,MATCH($R84,LE_Curves!$K$5:$K$205,1)))/(INDEX(LE_Curves!$K$5:$K$205,MATCH($R84,LE_Curves!$K$5:$K$205,1)+1)-INDEX(LE_Curves!$K$5:$K$205,MATCH($R84,LE_Curves!$K$5:$K$205,1))))))</f>
        <v/>
      </c>
      <c r="AB84" s="11">
        <f>IF(Inputs!$D$32=0,0,IF($R84&lt;=Inputs!$C$32,0,IF($R84&gt;=INDEX(LE_Curves!$L$5:$L$205,201),INDEX(LE_Curves!$B$5:$B$205,201),INDEX(LE_Curves!$B$5:$B$205,MATCH($R84,LE_Curves!$L$5:$L$205,1))+($R84-INDEX(LE_Curves!$L$5:$L$205,MATCH($R84,LE_Curves!$L$5:$L$205,1)))*(INDEX(LE_Curves!$B$5:$B$205,MATCH($R84,LE_Curves!$L$5:$L$205,1)+1)-INDEX(LE_Curves!$B$5:$B$205,MATCH($R84,LE_Curves!$L$5:$L$205,1)))/(INDEX(LE_Curves!$L$5:$L$205,MATCH($R84,LE_Curves!$L$5:$L$205,1)+1)-INDEX(LE_Curves!$L$5:$L$205,MATCH($R84,LE_Curves!$L$5:$L$205,1))))))</f>
        <v/>
      </c>
      <c r="AC84" s="11">
        <f>IF(Inputs!$D$33=0,0,IF($R84&lt;=Inputs!$C$33,0,IF($R84&gt;=INDEX(LE_Curves!$M$5:$M$205,201),INDEX(LE_Curves!$B$5:$B$205,201),INDEX(LE_Curves!$B$5:$B$205,MATCH($R84,LE_Curves!$M$5:$M$205,1))+($R84-INDEX(LE_Curves!$M$5:$M$205,MATCH($R84,LE_Curves!$M$5:$M$205,1)))*(INDEX(LE_Curves!$B$5:$B$205,MATCH($R84,LE_Curves!$M$5:$M$205,1)+1)-INDEX(LE_Curves!$B$5:$B$205,MATCH($R84,LE_Curves!$M$5:$M$205,1)))/(INDEX(LE_Curves!$M$5:$M$205,MATCH($R84,LE_Curves!$M$5:$M$205,1)+1)-INDEX(LE_Curves!$M$5:$M$205,MATCH($R84,LE_Curves!$M$5:$M$205,1))))))</f>
        <v/>
      </c>
      <c r="AD84" s="11">
        <f>IF(Inputs!$D$34=0,0,IF($R84&lt;=Inputs!$C$34,0,IF($R84&gt;=INDEX(LE_Curves!$N$5:$N$205,201),INDEX(LE_Curves!$B$5:$B$205,201),INDEX(LE_Curves!$B$5:$B$205,MATCH($R84,LE_Curves!$N$5:$N$205,1))+($R84-INDEX(LE_Curves!$N$5:$N$205,MATCH($R84,LE_Curves!$N$5:$N$205,1)))*(INDEX(LE_Curves!$B$5:$B$205,MATCH($R84,LE_Curves!$N$5:$N$205,1)+1)-INDEX(LE_Curves!$B$5:$B$205,MATCH($R84,LE_Curves!$N$5:$N$205,1)))/(INDEX(LE_Curves!$N$5:$N$205,MATCH($R84,LE_Curves!$N$5:$N$205,1)+1)-INDEX(LE_Curves!$N$5:$N$205,MATCH($R84,LE_Curves!$N$5:$N$205,1))))))</f>
        <v/>
      </c>
      <c r="AE84" s="37">
        <f>SUM(S84:AD84)</f>
        <v/>
      </c>
    </row>
    <row r="85">
      <c r="A85" s="7" t="n">
        <v>54</v>
      </c>
      <c r="B85" s="37">
        <f>$B$3+($B$4-$B$3)*A85/200</f>
        <v/>
      </c>
      <c r="C85" s="11">
        <f>IF(Inputs!$D$23=0,0,IF($B85&lt;=Inputs!$C$23,0,IF($B85&gt;=INDEX(LE_Curves!$C$5:$C$205,201),INDEX(LE_Curves!$B$5:$B$205,201),INDEX(LE_Curves!$B$5:$B$205,MATCH($B85,LE_Curves!$C$5:$C$205,1))+($B85-INDEX(LE_Curves!$C$5:$C$205,MATCH($B85,LE_Curves!$C$5:$C$205,1)))*(INDEX(LE_Curves!$B$5:$B$205,MATCH($B85,LE_Curves!$C$5:$C$205,1)+1)-INDEX(LE_Curves!$B$5:$B$205,MATCH($B85,LE_Curves!$C$5:$C$205,1)))/(INDEX(LE_Curves!$C$5:$C$205,MATCH($B85,LE_Curves!$C$5:$C$205,1)+1)-INDEX(LE_Curves!$C$5:$C$205,MATCH($B85,LE_Curves!$C$5:$C$205,1))))))</f>
        <v/>
      </c>
      <c r="D85" s="11">
        <f>IF(Inputs!$D$24=0,0,IF($B85&lt;=Inputs!$C$24,0,IF($B85&gt;=INDEX(LE_Curves!$D$5:$D$205,201),INDEX(LE_Curves!$B$5:$B$205,201),INDEX(LE_Curves!$B$5:$B$205,MATCH($B85,LE_Curves!$D$5:$D$205,1))+($B85-INDEX(LE_Curves!$D$5:$D$205,MATCH($B85,LE_Curves!$D$5:$D$205,1)))*(INDEX(LE_Curves!$B$5:$B$205,MATCH($B85,LE_Curves!$D$5:$D$205,1)+1)-INDEX(LE_Curves!$B$5:$B$205,MATCH($B85,LE_Curves!$D$5:$D$205,1)))/(INDEX(LE_Curves!$D$5:$D$205,MATCH($B85,LE_Curves!$D$5:$D$205,1)+1)-INDEX(LE_Curves!$D$5:$D$205,MATCH($B85,LE_Curves!$D$5:$D$205,1))))))</f>
        <v/>
      </c>
      <c r="E85" s="11">
        <f>IF(Inputs!$D$25=0,0,IF($B85&lt;=Inputs!$C$25,0,IF($B85&gt;=INDEX(LE_Curves!$E$5:$E$205,201),INDEX(LE_Curves!$B$5:$B$205,201),INDEX(LE_Curves!$B$5:$B$205,MATCH($B85,LE_Curves!$E$5:$E$205,1))+($B85-INDEX(LE_Curves!$E$5:$E$205,MATCH($B85,LE_Curves!$E$5:$E$205,1)))*(INDEX(LE_Curves!$B$5:$B$205,MATCH($B85,LE_Curves!$E$5:$E$205,1)+1)-INDEX(LE_Curves!$B$5:$B$205,MATCH($B85,LE_Curves!$E$5:$E$205,1)))/(INDEX(LE_Curves!$E$5:$E$205,MATCH($B85,LE_Curves!$E$5:$E$205,1)+1)-INDEX(LE_Curves!$E$5:$E$205,MATCH($B85,LE_Curves!$E$5:$E$205,1))))))</f>
        <v/>
      </c>
      <c r="F85" s="11">
        <f>IF(Inputs!$D$26=0,0,IF($B85&lt;=Inputs!$C$26,0,IF($B85&gt;=INDEX(LE_Curves!$F$5:$F$205,201),INDEX(LE_Curves!$B$5:$B$205,201),INDEX(LE_Curves!$B$5:$B$205,MATCH($B85,LE_Curves!$F$5:$F$205,1))+($B85-INDEX(LE_Curves!$F$5:$F$205,MATCH($B85,LE_Curves!$F$5:$F$205,1)))*(INDEX(LE_Curves!$B$5:$B$205,MATCH($B85,LE_Curves!$F$5:$F$205,1)+1)-INDEX(LE_Curves!$B$5:$B$205,MATCH($B85,LE_Curves!$F$5:$F$205,1)))/(INDEX(LE_Curves!$F$5:$F$205,MATCH($B85,LE_Curves!$F$5:$F$205,1)+1)-INDEX(LE_Curves!$F$5:$F$205,MATCH($B85,LE_Curves!$F$5:$F$205,1))))))</f>
        <v/>
      </c>
      <c r="G85" s="11">
        <f>IF(Inputs!$D$27=0,0,IF($B85&lt;=Inputs!$C$27,0,IF($B85&gt;=INDEX(LE_Curves!$G$5:$G$205,201),INDEX(LE_Curves!$B$5:$B$205,201),INDEX(LE_Curves!$B$5:$B$205,MATCH($B85,LE_Curves!$G$5:$G$205,1))+($B85-INDEX(LE_Curves!$G$5:$G$205,MATCH($B85,LE_Curves!$G$5:$G$205,1)))*(INDEX(LE_Curves!$B$5:$B$205,MATCH($B85,LE_Curves!$G$5:$G$205,1)+1)-INDEX(LE_Curves!$B$5:$B$205,MATCH($B85,LE_Curves!$G$5:$G$205,1)))/(INDEX(LE_Curves!$G$5:$G$205,MATCH($B85,LE_Curves!$G$5:$G$205,1)+1)-INDEX(LE_Curves!$G$5:$G$205,MATCH($B85,LE_Curves!$G$5:$G$205,1))))))</f>
        <v/>
      </c>
      <c r="H85" s="11">
        <f>IF(Inputs!$D$28=0,0,IF($B85&lt;=Inputs!$C$28,0,IF($B85&gt;=INDEX(LE_Curves!$H$5:$H$205,201),INDEX(LE_Curves!$B$5:$B$205,201),INDEX(LE_Curves!$B$5:$B$205,MATCH($B85,LE_Curves!$H$5:$H$205,1))+($B85-INDEX(LE_Curves!$H$5:$H$205,MATCH($B85,LE_Curves!$H$5:$H$205,1)))*(INDEX(LE_Curves!$B$5:$B$205,MATCH($B85,LE_Curves!$H$5:$H$205,1)+1)-INDEX(LE_Curves!$B$5:$B$205,MATCH($B85,LE_Curves!$H$5:$H$205,1)))/(INDEX(LE_Curves!$H$5:$H$205,MATCH($B85,LE_Curves!$H$5:$H$205,1)+1)-INDEX(LE_Curves!$H$5:$H$205,MATCH($B85,LE_Curves!$H$5:$H$205,1))))))</f>
        <v/>
      </c>
      <c r="I85" s="11">
        <f>IF(Inputs!$D$29=0,0,IF($B85&lt;=Inputs!$C$29,0,IF($B85&gt;=INDEX(LE_Curves!$I$5:$I$205,201),INDEX(LE_Curves!$B$5:$B$205,201),INDEX(LE_Curves!$B$5:$B$205,MATCH($B85,LE_Curves!$I$5:$I$205,1))+($B85-INDEX(LE_Curves!$I$5:$I$205,MATCH($B85,LE_Curves!$I$5:$I$205,1)))*(INDEX(LE_Curves!$B$5:$B$205,MATCH($B85,LE_Curves!$I$5:$I$205,1)+1)-INDEX(LE_Curves!$B$5:$B$205,MATCH($B85,LE_Curves!$I$5:$I$205,1)))/(INDEX(LE_Curves!$I$5:$I$205,MATCH($B85,LE_Curves!$I$5:$I$205,1)+1)-INDEX(LE_Curves!$I$5:$I$205,MATCH($B85,LE_Curves!$I$5:$I$205,1))))))</f>
        <v/>
      </c>
      <c r="J85" s="11">
        <f>IF(Inputs!$D$30=0,0,IF($B85&lt;=Inputs!$C$30,0,IF($B85&gt;=INDEX(LE_Curves!$J$5:$J$205,201),INDEX(LE_Curves!$B$5:$B$205,201),INDEX(LE_Curves!$B$5:$B$205,MATCH($B85,LE_Curves!$J$5:$J$205,1))+($B85-INDEX(LE_Curves!$J$5:$J$205,MATCH($B85,LE_Curves!$J$5:$J$205,1)))*(INDEX(LE_Curves!$B$5:$B$205,MATCH($B85,LE_Curves!$J$5:$J$205,1)+1)-INDEX(LE_Curves!$B$5:$B$205,MATCH($B85,LE_Curves!$J$5:$J$205,1)))/(INDEX(LE_Curves!$J$5:$J$205,MATCH($B85,LE_Curves!$J$5:$J$205,1)+1)-INDEX(LE_Curves!$J$5:$J$205,MATCH($B85,LE_Curves!$J$5:$J$205,1))))))</f>
        <v/>
      </c>
      <c r="K85" s="11">
        <f>IF(Inputs!$D$31=0,0,IF($B85&lt;=Inputs!$C$31,0,IF($B85&gt;=INDEX(LE_Curves!$K$5:$K$205,201),INDEX(LE_Curves!$B$5:$B$205,201),INDEX(LE_Curves!$B$5:$B$205,MATCH($B85,LE_Curves!$K$5:$K$205,1))+($B85-INDEX(LE_Curves!$K$5:$K$205,MATCH($B85,LE_Curves!$K$5:$K$205,1)))*(INDEX(LE_Curves!$B$5:$B$205,MATCH($B85,LE_Curves!$K$5:$K$205,1)+1)-INDEX(LE_Curves!$B$5:$B$205,MATCH($B85,LE_Curves!$K$5:$K$205,1)))/(INDEX(LE_Curves!$K$5:$K$205,MATCH($B85,LE_Curves!$K$5:$K$205,1)+1)-INDEX(LE_Curves!$K$5:$K$205,MATCH($B85,LE_Curves!$K$5:$K$205,1))))))</f>
        <v/>
      </c>
      <c r="L85" s="11">
        <f>IF(Inputs!$D$32=0,0,IF($B85&lt;=Inputs!$C$32,0,IF($B85&gt;=INDEX(LE_Curves!$L$5:$L$205,201),INDEX(LE_Curves!$B$5:$B$205,201),INDEX(LE_Curves!$B$5:$B$205,MATCH($B85,LE_Curves!$L$5:$L$205,1))+($B85-INDEX(LE_Curves!$L$5:$L$205,MATCH($B85,LE_Curves!$L$5:$L$205,1)))*(INDEX(LE_Curves!$B$5:$B$205,MATCH($B85,LE_Curves!$L$5:$L$205,1)+1)-INDEX(LE_Curves!$B$5:$B$205,MATCH($B85,LE_Curves!$L$5:$L$205,1)))/(INDEX(LE_Curves!$L$5:$L$205,MATCH($B85,LE_Curves!$L$5:$L$205,1)+1)-INDEX(LE_Curves!$L$5:$L$205,MATCH($B85,LE_Curves!$L$5:$L$205,1))))))</f>
        <v/>
      </c>
      <c r="M85" s="11">
        <f>IF(Inputs!$D$33=0,0,IF($B85&lt;=Inputs!$C$33,0,IF($B85&gt;=INDEX(LE_Curves!$M$5:$M$205,201),INDEX(LE_Curves!$B$5:$B$205,201),INDEX(LE_Curves!$B$5:$B$205,MATCH($B85,LE_Curves!$M$5:$M$205,1))+($B85-INDEX(LE_Curves!$M$5:$M$205,MATCH($B85,LE_Curves!$M$5:$M$205,1)))*(INDEX(LE_Curves!$B$5:$B$205,MATCH($B85,LE_Curves!$M$5:$M$205,1)+1)-INDEX(LE_Curves!$B$5:$B$205,MATCH($B85,LE_Curves!$M$5:$M$205,1)))/(INDEX(LE_Curves!$M$5:$M$205,MATCH($B85,LE_Curves!$M$5:$M$205,1)+1)-INDEX(LE_Curves!$M$5:$M$205,MATCH($B85,LE_Curves!$M$5:$M$205,1))))))</f>
        <v/>
      </c>
      <c r="N85" s="11">
        <f>IF(Inputs!$D$34=0,0,IF($B85&lt;=Inputs!$C$34,0,IF($B85&gt;=INDEX(LE_Curves!$N$5:$N$205,201),INDEX(LE_Curves!$B$5:$B$205,201),INDEX(LE_Curves!$B$5:$B$205,MATCH($B85,LE_Curves!$N$5:$N$205,1))+($B85-INDEX(LE_Curves!$N$5:$N$205,MATCH($B85,LE_Curves!$N$5:$N$205,1)))*(INDEX(LE_Curves!$B$5:$B$205,MATCH($B85,LE_Curves!$N$5:$N$205,1)+1)-INDEX(LE_Curves!$B$5:$B$205,MATCH($B85,LE_Curves!$N$5:$N$205,1)))/(INDEX(LE_Curves!$N$5:$N$205,MATCH($B85,LE_Curves!$N$5:$N$205,1)+1)-INDEX(LE_Curves!$N$5:$N$205,MATCH($B85,LE_Curves!$N$5:$N$205,1))))))</f>
        <v/>
      </c>
      <c r="O85" s="11">
        <f>SUM(C85:N85)</f>
        <v/>
      </c>
      <c r="Q85" s="7" t="n">
        <v>54</v>
      </c>
      <c r="R85" s="23">
        <f>$B$6+($B$7-$B$6)*Q85/200</f>
        <v/>
      </c>
      <c r="S85" s="11">
        <f>IF(Inputs!$D$23=0,0,IF($R85&lt;=Inputs!$C$23,0,IF($R85&gt;=INDEX(LE_Curves!$C$5:$C$205,201),INDEX(LE_Curves!$B$5:$B$205,201),INDEX(LE_Curves!$B$5:$B$205,MATCH($R85,LE_Curves!$C$5:$C$205,1))+($R85-INDEX(LE_Curves!$C$5:$C$205,MATCH($R85,LE_Curves!$C$5:$C$205,1)))*(INDEX(LE_Curves!$B$5:$B$205,MATCH($R85,LE_Curves!$C$5:$C$205,1)+1)-INDEX(LE_Curves!$B$5:$B$205,MATCH($R85,LE_Curves!$C$5:$C$205,1)))/(INDEX(LE_Curves!$C$5:$C$205,MATCH($R85,LE_Curves!$C$5:$C$205,1)+1)-INDEX(LE_Curves!$C$5:$C$205,MATCH($R85,LE_Curves!$C$5:$C$205,1))))))</f>
        <v/>
      </c>
      <c r="T85" s="11">
        <f>IF(Inputs!$D$24=0,0,IF($R85&lt;=Inputs!$C$24,0,IF($R85&gt;=INDEX(LE_Curves!$D$5:$D$205,201),INDEX(LE_Curves!$B$5:$B$205,201),INDEX(LE_Curves!$B$5:$B$205,MATCH($R85,LE_Curves!$D$5:$D$205,1))+($R85-INDEX(LE_Curves!$D$5:$D$205,MATCH($R85,LE_Curves!$D$5:$D$205,1)))*(INDEX(LE_Curves!$B$5:$B$205,MATCH($R85,LE_Curves!$D$5:$D$205,1)+1)-INDEX(LE_Curves!$B$5:$B$205,MATCH($R85,LE_Curves!$D$5:$D$205,1)))/(INDEX(LE_Curves!$D$5:$D$205,MATCH($R85,LE_Curves!$D$5:$D$205,1)+1)-INDEX(LE_Curves!$D$5:$D$205,MATCH($R85,LE_Curves!$D$5:$D$205,1))))))</f>
        <v/>
      </c>
      <c r="U85" s="11">
        <f>IF(Inputs!$D$25=0,0,IF($R85&lt;=Inputs!$C$25,0,IF($R85&gt;=INDEX(LE_Curves!$E$5:$E$205,201),INDEX(LE_Curves!$B$5:$B$205,201),INDEX(LE_Curves!$B$5:$B$205,MATCH($R85,LE_Curves!$E$5:$E$205,1))+($R85-INDEX(LE_Curves!$E$5:$E$205,MATCH($R85,LE_Curves!$E$5:$E$205,1)))*(INDEX(LE_Curves!$B$5:$B$205,MATCH($R85,LE_Curves!$E$5:$E$205,1)+1)-INDEX(LE_Curves!$B$5:$B$205,MATCH($R85,LE_Curves!$E$5:$E$205,1)))/(INDEX(LE_Curves!$E$5:$E$205,MATCH($R85,LE_Curves!$E$5:$E$205,1)+1)-INDEX(LE_Curves!$E$5:$E$205,MATCH($R85,LE_Curves!$E$5:$E$205,1))))))</f>
        <v/>
      </c>
      <c r="V85" s="11">
        <f>IF(Inputs!$D$26=0,0,IF($R85&lt;=Inputs!$C$26,0,IF($R85&gt;=INDEX(LE_Curves!$F$5:$F$205,201),INDEX(LE_Curves!$B$5:$B$205,201),INDEX(LE_Curves!$B$5:$B$205,MATCH($R85,LE_Curves!$F$5:$F$205,1))+($R85-INDEX(LE_Curves!$F$5:$F$205,MATCH($R85,LE_Curves!$F$5:$F$205,1)))*(INDEX(LE_Curves!$B$5:$B$205,MATCH($R85,LE_Curves!$F$5:$F$205,1)+1)-INDEX(LE_Curves!$B$5:$B$205,MATCH($R85,LE_Curves!$F$5:$F$205,1)))/(INDEX(LE_Curves!$F$5:$F$205,MATCH($R85,LE_Curves!$F$5:$F$205,1)+1)-INDEX(LE_Curves!$F$5:$F$205,MATCH($R85,LE_Curves!$F$5:$F$205,1))))))</f>
        <v/>
      </c>
      <c r="W85" s="11">
        <f>IF(Inputs!$D$27=0,0,IF($R85&lt;=Inputs!$C$27,0,IF($R85&gt;=INDEX(LE_Curves!$G$5:$G$205,201),INDEX(LE_Curves!$B$5:$B$205,201),INDEX(LE_Curves!$B$5:$B$205,MATCH($R85,LE_Curves!$G$5:$G$205,1))+($R85-INDEX(LE_Curves!$G$5:$G$205,MATCH($R85,LE_Curves!$G$5:$G$205,1)))*(INDEX(LE_Curves!$B$5:$B$205,MATCH($R85,LE_Curves!$G$5:$G$205,1)+1)-INDEX(LE_Curves!$B$5:$B$205,MATCH($R85,LE_Curves!$G$5:$G$205,1)))/(INDEX(LE_Curves!$G$5:$G$205,MATCH($R85,LE_Curves!$G$5:$G$205,1)+1)-INDEX(LE_Curves!$G$5:$G$205,MATCH($R85,LE_Curves!$G$5:$G$205,1))))))</f>
        <v/>
      </c>
      <c r="X85" s="11">
        <f>IF(Inputs!$D$28=0,0,IF($R85&lt;=Inputs!$C$28,0,IF($R85&gt;=INDEX(LE_Curves!$H$5:$H$205,201),INDEX(LE_Curves!$B$5:$B$205,201),INDEX(LE_Curves!$B$5:$B$205,MATCH($R85,LE_Curves!$H$5:$H$205,1))+($R85-INDEX(LE_Curves!$H$5:$H$205,MATCH($R85,LE_Curves!$H$5:$H$205,1)))*(INDEX(LE_Curves!$B$5:$B$205,MATCH($R85,LE_Curves!$H$5:$H$205,1)+1)-INDEX(LE_Curves!$B$5:$B$205,MATCH($R85,LE_Curves!$H$5:$H$205,1)))/(INDEX(LE_Curves!$H$5:$H$205,MATCH($R85,LE_Curves!$H$5:$H$205,1)+1)-INDEX(LE_Curves!$H$5:$H$205,MATCH($R85,LE_Curves!$H$5:$H$205,1))))))</f>
        <v/>
      </c>
      <c r="Y85" s="11">
        <f>IF(Inputs!$D$29=0,0,IF($R85&lt;=Inputs!$C$29,0,IF($R85&gt;=INDEX(LE_Curves!$I$5:$I$205,201),INDEX(LE_Curves!$B$5:$B$205,201),INDEX(LE_Curves!$B$5:$B$205,MATCH($R85,LE_Curves!$I$5:$I$205,1))+($R85-INDEX(LE_Curves!$I$5:$I$205,MATCH($R85,LE_Curves!$I$5:$I$205,1)))*(INDEX(LE_Curves!$B$5:$B$205,MATCH($R85,LE_Curves!$I$5:$I$205,1)+1)-INDEX(LE_Curves!$B$5:$B$205,MATCH($R85,LE_Curves!$I$5:$I$205,1)))/(INDEX(LE_Curves!$I$5:$I$205,MATCH($R85,LE_Curves!$I$5:$I$205,1)+1)-INDEX(LE_Curves!$I$5:$I$205,MATCH($R85,LE_Curves!$I$5:$I$205,1))))))</f>
        <v/>
      </c>
      <c r="Z85" s="11">
        <f>IF(Inputs!$D$30=0,0,IF($R85&lt;=Inputs!$C$30,0,IF($R85&gt;=INDEX(LE_Curves!$J$5:$J$205,201),INDEX(LE_Curves!$B$5:$B$205,201),INDEX(LE_Curves!$B$5:$B$205,MATCH($R85,LE_Curves!$J$5:$J$205,1))+($R85-INDEX(LE_Curves!$J$5:$J$205,MATCH($R85,LE_Curves!$J$5:$J$205,1)))*(INDEX(LE_Curves!$B$5:$B$205,MATCH($R85,LE_Curves!$J$5:$J$205,1)+1)-INDEX(LE_Curves!$B$5:$B$205,MATCH($R85,LE_Curves!$J$5:$J$205,1)))/(INDEX(LE_Curves!$J$5:$J$205,MATCH($R85,LE_Curves!$J$5:$J$205,1)+1)-INDEX(LE_Curves!$J$5:$J$205,MATCH($R85,LE_Curves!$J$5:$J$205,1))))))</f>
        <v/>
      </c>
      <c r="AA85" s="11">
        <f>IF(Inputs!$D$31=0,0,IF($R85&lt;=Inputs!$C$31,0,IF($R85&gt;=INDEX(LE_Curves!$K$5:$K$205,201),INDEX(LE_Curves!$B$5:$B$205,201),INDEX(LE_Curves!$B$5:$B$205,MATCH($R85,LE_Curves!$K$5:$K$205,1))+($R85-INDEX(LE_Curves!$K$5:$K$205,MATCH($R85,LE_Curves!$K$5:$K$205,1)))*(INDEX(LE_Curves!$B$5:$B$205,MATCH($R85,LE_Curves!$K$5:$K$205,1)+1)-INDEX(LE_Curves!$B$5:$B$205,MATCH($R85,LE_Curves!$K$5:$K$205,1)))/(INDEX(LE_Curves!$K$5:$K$205,MATCH($R85,LE_Curves!$K$5:$K$205,1)+1)-INDEX(LE_Curves!$K$5:$K$205,MATCH($R85,LE_Curves!$K$5:$K$205,1))))))</f>
        <v/>
      </c>
      <c r="AB85" s="11">
        <f>IF(Inputs!$D$32=0,0,IF($R85&lt;=Inputs!$C$32,0,IF($R85&gt;=INDEX(LE_Curves!$L$5:$L$205,201),INDEX(LE_Curves!$B$5:$B$205,201),INDEX(LE_Curves!$B$5:$B$205,MATCH($R85,LE_Curves!$L$5:$L$205,1))+($R85-INDEX(LE_Curves!$L$5:$L$205,MATCH($R85,LE_Curves!$L$5:$L$205,1)))*(INDEX(LE_Curves!$B$5:$B$205,MATCH($R85,LE_Curves!$L$5:$L$205,1)+1)-INDEX(LE_Curves!$B$5:$B$205,MATCH($R85,LE_Curves!$L$5:$L$205,1)))/(INDEX(LE_Curves!$L$5:$L$205,MATCH($R85,LE_Curves!$L$5:$L$205,1)+1)-INDEX(LE_Curves!$L$5:$L$205,MATCH($R85,LE_Curves!$L$5:$L$205,1))))))</f>
        <v/>
      </c>
      <c r="AC85" s="11">
        <f>IF(Inputs!$D$33=0,0,IF($R85&lt;=Inputs!$C$33,0,IF($R85&gt;=INDEX(LE_Curves!$M$5:$M$205,201),INDEX(LE_Curves!$B$5:$B$205,201),INDEX(LE_Curves!$B$5:$B$205,MATCH($R85,LE_Curves!$M$5:$M$205,1))+($R85-INDEX(LE_Curves!$M$5:$M$205,MATCH($R85,LE_Curves!$M$5:$M$205,1)))*(INDEX(LE_Curves!$B$5:$B$205,MATCH($R85,LE_Curves!$M$5:$M$205,1)+1)-INDEX(LE_Curves!$B$5:$B$205,MATCH($R85,LE_Curves!$M$5:$M$205,1)))/(INDEX(LE_Curves!$M$5:$M$205,MATCH($R85,LE_Curves!$M$5:$M$205,1)+1)-INDEX(LE_Curves!$M$5:$M$205,MATCH($R85,LE_Curves!$M$5:$M$205,1))))))</f>
        <v/>
      </c>
      <c r="AD85" s="11">
        <f>IF(Inputs!$D$34=0,0,IF($R85&lt;=Inputs!$C$34,0,IF($R85&gt;=INDEX(LE_Curves!$N$5:$N$205,201),INDEX(LE_Curves!$B$5:$B$205,201),INDEX(LE_Curves!$B$5:$B$205,MATCH($R85,LE_Curves!$N$5:$N$205,1))+($R85-INDEX(LE_Curves!$N$5:$N$205,MATCH($R85,LE_Curves!$N$5:$N$205,1)))*(INDEX(LE_Curves!$B$5:$B$205,MATCH($R85,LE_Curves!$N$5:$N$205,1)+1)-INDEX(LE_Curves!$B$5:$B$205,MATCH($R85,LE_Curves!$N$5:$N$205,1)))/(INDEX(LE_Curves!$N$5:$N$205,MATCH($R85,LE_Curves!$N$5:$N$205,1)+1)-INDEX(LE_Curves!$N$5:$N$205,MATCH($R85,LE_Curves!$N$5:$N$205,1))))))</f>
        <v/>
      </c>
      <c r="AE85" s="37">
        <f>SUM(S85:AD85)</f>
        <v/>
      </c>
    </row>
    <row r="86">
      <c r="A86" s="7" t="n">
        <v>55</v>
      </c>
      <c r="B86" s="37">
        <f>$B$3+($B$4-$B$3)*A86/200</f>
        <v/>
      </c>
      <c r="C86" s="11">
        <f>IF(Inputs!$D$23=0,0,IF($B86&lt;=Inputs!$C$23,0,IF($B86&gt;=INDEX(LE_Curves!$C$5:$C$205,201),INDEX(LE_Curves!$B$5:$B$205,201),INDEX(LE_Curves!$B$5:$B$205,MATCH($B86,LE_Curves!$C$5:$C$205,1))+($B86-INDEX(LE_Curves!$C$5:$C$205,MATCH($B86,LE_Curves!$C$5:$C$205,1)))*(INDEX(LE_Curves!$B$5:$B$205,MATCH($B86,LE_Curves!$C$5:$C$205,1)+1)-INDEX(LE_Curves!$B$5:$B$205,MATCH($B86,LE_Curves!$C$5:$C$205,1)))/(INDEX(LE_Curves!$C$5:$C$205,MATCH($B86,LE_Curves!$C$5:$C$205,1)+1)-INDEX(LE_Curves!$C$5:$C$205,MATCH($B86,LE_Curves!$C$5:$C$205,1))))))</f>
        <v/>
      </c>
      <c r="D86" s="11">
        <f>IF(Inputs!$D$24=0,0,IF($B86&lt;=Inputs!$C$24,0,IF($B86&gt;=INDEX(LE_Curves!$D$5:$D$205,201),INDEX(LE_Curves!$B$5:$B$205,201),INDEX(LE_Curves!$B$5:$B$205,MATCH($B86,LE_Curves!$D$5:$D$205,1))+($B86-INDEX(LE_Curves!$D$5:$D$205,MATCH($B86,LE_Curves!$D$5:$D$205,1)))*(INDEX(LE_Curves!$B$5:$B$205,MATCH($B86,LE_Curves!$D$5:$D$205,1)+1)-INDEX(LE_Curves!$B$5:$B$205,MATCH($B86,LE_Curves!$D$5:$D$205,1)))/(INDEX(LE_Curves!$D$5:$D$205,MATCH($B86,LE_Curves!$D$5:$D$205,1)+1)-INDEX(LE_Curves!$D$5:$D$205,MATCH($B86,LE_Curves!$D$5:$D$205,1))))))</f>
        <v/>
      </c>
      <c r="E86" s="11">
        <f>IF(Inputs!$D$25=0,0,IF($B86&lt;=Inputs!$C$25,0,IF($B86&gt;=INDEX(LE_Curves!$E$5:$E$205,201),INDEX(LE_Curves!$B$5:$B$205,201),INDEX(LE_Curves!$B$5:$B$205,MATCH($B86,LE_Curves!$E$5:$E$205,1))+($B86-INDEX(LE_Curves!$E$5:$E$205,MATCH($B86,LE_Curves!$E$5:$E$205,1)))*(INDEX(LE_Curves!$B$5:$B$205,MATCH($B86,LE_Curves!$E$5:$E$205,1)+1)-INDEX(LE_Curves!$B$5:$B$205,MATCH($B86,LE_Curves!$E$5:$E$205,1)))/(INDEX(LE_Curves!$E$5:$E$205,MATCH($B86,LE_Curves!$E$5:$E$205,1)+1)-INDEX(LE_Curves!$E$5:$E$205,MATCH($B86,LE_Curves!$E$5:$E$205,1))))))</f>
        <v/>
      </c>
      <c r="F86" s="11">
        <f>IF(Inputs!$D$26=0,0,IF($B86&lt;=Inputs!$C$26,0,IF($B86&gt;=INDEX(LE_Curves!$F$5:$F$205,201),INDEX(LE_Curves!$B$5:$B$205,201),INDEX(LE_Curves!$B$5:$B$205,MATCH($B86,LE_Curves!$F$5:$F$205,1))+($B86-INDEX(LE_Curves!$F$5:$F$205,MATCH($B86,LE_Curves!$F$5:$F$205,1)))*(INDEX(LE_Curves!$B$5:$B$205,MATCH($B86,LE_Curves!$F$5:$F$205,1)+1)-INDEX(LE_Curves!$B$5:$B$205,MATCH($B86,LE_Curves!$F$5:$F$205,1)))/(INDEX(LE_Curves!$F$5:$F$205,MATCH($B86,LE_Curves!$F$5:$F$205,1)+1)-INDEX(LE_Curves!$F$5:$F$205,MATCH($B86,LE_Curves!$F$5:$F$205,1))))))</f>
        <v/>
      </c>
      <c r="G86" s="11">
        <f>IF(Inputs!$D$27=0,0,IF($B86&lt;=Inputs!$C$27,0,IF($B86&gt;=INDEX(LE_Curves!$G$5:$G$205,201),INDEX(LE_Curves!$B$5:$B$205,201),INDEX(LE_Curves!$B$5:$B$205,MATCH($B86,LE_Curves!$G$5:$G$205,1))+($B86-INDEX(LE_Curves!$G$5:$G$205,MATCH($B86,LE_Curves!$G$5:$G$205,1)))*(INDEX(LE_Curves!$B$5:$B$205,MATCH($B86,LE_Curves!$G$5:$G$205,1)+1)-INDEX(LE_Curves!$B$5:$B$205,MATCH($B86,LE_Curves!$G$5:$G$205,1)))/(INDEX(LE_Curves!$G$5:$G$205,MATCH($B86,LE_Curves!$G$5:$G$205,1)+1)-INDEX(LE_Curves!$G$5:$G$205,MATCH($B86,LE_Curves!$G$5:$G$205,1))))))</f>
        <v/>
      </c>
      <c r="H86" s="11">
        <f>IF(Inputs!$D$28=0,0,IF($B86&lt;=Inputs!$C$28,0,IF($B86&gt;=INDEX(LE_Curves!$H$5:$H$205,201),INDEX(LE_Curves!$B$5:$B$205,201),INDEX(LE_Curves!$B$5:$B$205,MATCH($B86,LE_Curves!$H$5:$H$205,1))+($B86-INDEX(LE_Curves!$H$5:$H$205,MATCH($B86,LE_Curves!$H$5:$H$205,1)))*(INDEX(LE_Curves!$B$5:$B$205,MATCH($B86,LE_Curves!$H$5:$H$205,1)+1)-INDEX(LE_Curves!$B$5:$B$205,MATCH($B86,LE_Curves!$H$5:$H$205,1)))/(INDEX(LE_Curves!$H$5:$H$205,MATCH($B86,LE_Curves!$H$5:$H$205,1)+1)-INDEX(LE_Curves!$H$5:$H$205,MATCH($B86,LE_Curves!$H$5:$H$205,1))))))</f>
        <v/>
      </c>
      <c r="I86" s="11">
        <f>IF(Inputs!$D$29=0,0,IF($B86&lt;=Inputs!$C$29,0,IF($B86&gt;=INDEX(LE_Curves!$I$5:$I$205,201),INDEX(LE_Curves!$B$5:$B$205,201),INDEX(LE_Curves!$B$5:$B$205,MATCH($B86,LE_Curves!$I$5:$I$205,1))+($B86-INDEX(LE_Curves!$I$5:$I$205,MATCH($B86,LE_Curves!$I$5:$I$205,1)))*(INDEX(LE_Curves!$B$5:$B$205,MATCH($B86,LE_Curves!$I$5:$I$205,1)+1)-INDEX(LE_Curves!$B$5:$B$205,MATCH($B86,LE_Curves!$I$5:$I$205,1)))/(INDEX(LE_Curves!$I$5:$I$205,MATCH($B86,LE_Curves!$I$5:$I$205,1)+1)-INDEX(LE_Curves!$I$5:$I$205,MATCH($B86,LE_Curves!$I$5:$I$205,1))))))</f>
        <v/>
      </c>
      <c r="J86" s="11">
        <f>IF(Inputs!$D$30=0,0,IF($B86&lt;=Inputs!$C$30,0,IF($B86&gt;=INDEX(LE_Curves!$J$5:$J$205,201),INDEX(LE_Curves!$B$5:$B$205,201),INDEX(LE_Curves!$B$5:$B$205,MATCH($B86,LE_Curves!$J$5:$J$205,1))+($B86-INDEX(LE_Curves!$J$5:$J$205,MATCH($B86,LE_Curves!$J$5:$J$205,1)))*(INDEX(LE_Curves!$B$5:$B$205,MATCH($B86,LE_Curves!$J$5:$J$205,1)+1)-INDEX(LE_Curves!$B$5:$B$205,MATCH($B86,LE_Curves!$J$5:$J$205,1)))/(INDEX(LE_Curves!$J$5:$J$205,MATCH($B86,LE_Curves!$J$5:$J$205,1)+1)-INDEX(LE_Curves!$J$5:$J$205,MATCH($B86,LE_Curves!$J$5:$J$205,1))))))</f>
        <v/>
      </c>
      <c r="K86" s="11">
        <f>IF(Inputs!$D$31=0,0,IF($B86&lt;=Inputs!$C$31,0,IF($B86&gt;=INDEX(LE_Curves!$K$5:$K$205,201),INDEX(LE_Curves!$B$5:$B$205,201),INDEX(LE_Curves!$B$5:$B$205,MATCH($B86,LE_Curves!$K$5:$K$205,1))+($B86-INDEX(LE_Curves!$K$5:$K$205,MATCH($B86,LE_Curves!$K$5:$K$205,1)))*(INDEX(LE_Curves!$B$5:$B$205,MATCH($B86,LE_Curves!$K$5:$K$205,1)+1)-INDEX(LE_Curves!$B$5:$B$205,MATCH($B86,LE_Curves!$K$5:$K$205,1)))/(INDEX(LE_Curves!$K$5:$K$205,MATCH($B86,LE_Curves!$K$5:$K$205,1)+1)-INDEX(LE_Curves!$K$5:$K$205,MATCH($B86,LE_Curves!$K$5:$K$205,1))))))</f>
        <v/>
      </c>
      <c r="L86" s="11">
        <f>IF(Inputs!$D$32=0,0,IF($B86&lt;=Inputs!$C$32,0,IF($B86&gt;=INDEX(LE_Curves!$L$5:$L$205,201),INDEX(LE_Curves!$B$5:$B$205,201),INDEX(LE_Curves!$B$5:$B$205,MATCH($B86,LE_Curves!$L$5:$L$205,1))+($B86-INDEX(LE_Curves!$L$5:$L$205,MATCH($B86,LE_Curves!$L$5:$L$205,1)))*(INDEX(LE_Curves!$B$5:$B$205,MATCH($B86,LE_Curves!$L$5:$L$205,1)+1)-INDEX(LE_Curves!$B$5:$B$205,MATCH($B86,LE_Curves!$L$5:$L$205,1)))/(INDEX(LE_Curves!$L$5:$L$205,MATCH($B86,LE_Curves!$L$5:$L$205,1)+1)-INDEX(LE_Curves!$L$5:$L$205,MATCH($B86,LE_Curves!$L$5:$L$205,1))))))</f>
        <v/>
      </c>
      <c r="M86" s="11">
        <f>IF(Inputs!$D$33=0,0,IF($B86&lt;=Inputs!$C$33,0,IF($B86&gt;=INDEX(LE_Curves!$M$5:$M$205,201),INDEX(LE_Curves!$B$5:$B$205,201),INDEX(LE_Curves!$B$5:$B$205,MATCH($B86,LE_Curves!$M$5:$M$205,1))+($B86-INDEX(LE_Curves!$M$5:$M$205,MATCH($B86,LE_Curves!$M$5:$M$205,1)))*(INDEX(LE_Curves!$B$5:$B$205,MATCH($B86,LE_Curves!$M$5:$M$205,1)+1)-INDEX(LE_Curves!$B$5:$B$205,MATCH($B86,LE_Curves!$M$5:$M$205,1)))/(INDEX(LE_Curves!$M$5:$M$205,MATCH($B86,LE_Curves!$M$5:$M$205,1)+1)-INDEX(LE_Curves!$M$5:$M$205,MATCH($B86,LE_Curves!$M$5:$M$205,1))))))</f>
        <v/>
      </c>
      <c r="N86" s="11">
        <f>IF(Inputs!$D$34=0,0,IF($B86&lt;=Inputs!$C$34,0,IF($B86&gt;=INDEX(LE_Curves!$N$5:$N$205,201),INDEX(LE_Curves!$B$5:$B$205,201),INDEX(LE_Curves!$B$5:$B$205,MATCH($B86,LE_Curves!$N$5:$N$205,1))+($B86-INDEX(LE_Curves!$N$5:$N$205,MATCH($B86,LE_Curves!$N$5:$N$205,1)))*(INDEX(LE_Curves!$B$5:$B$205,MATCH($B86,LE_Curves!$N$5:$N$205,1)+1)-INDEX(LE_Curves!$B$5:$B$205,MATCH($B86,LE_Curves!$N$5:$N$205,1)))/(INDEX(LE_Curves!$N$5:$N$205,MATCH($B86,LE_Curves!$N$5:$N$205,1)+1)-INDEX(LE_Curves!$N$5:$N$205,MATCH($B86,LE_Curves!$N$5:$N$205,1))))))</f>
        <v/>
      </c>
      <c r="O86" s="11">
        <f>SUM(C86:N86)</f>
        <v/>
      </c>
      <c r="Q86" s="7" t="n">
        <v>55</v>
      </c>
      <c r="R86" s="23">
        <f>$B$6+($B$7-$B$6)*Q86/200</f>
        <v/>
      </c>
      <c r="S86" s="11">
        <f>IF(Inputs!$D$23=0,0,IF($R86&lt;=Inputs!$C$23,0,IF($R86&gt;=INDEX(LE_Curves!$C$5:$C$205,201),INDEX(LE_Curves!$B$5:$B$205,201),INDEX(LE_Curves!$B$5:$B$205,MATCH($R86,LE_Curves!$C$5:$C$205,1))+($R86-INDEX(LE_Curves!$C$5:$C$205,MATCH($R86,LE_Curves!$C$5:$C$205,1)))*(INDEX(LE_Curves!$B$5:$B$205,MATCH($R86,LE_Curves!$C$5:$C$205,1)+1)-INDEX(LE_Curves!$B$5:$B$205,MATCH($R86,LE_Curves!$C$5:$C$205,1)))/(INDEX(LE_Curves!$C$5:$C$205,MATCH($R86,LE_Curves!$C$5:$C$205,1)+1)-INDEX(LE_Curves!$C$5:$C$205,MATCH($R86,LE_Curves!$C$5:$C$205,1))))))</f>
        <v/>
      </c>
      <c r="T86" s="11">
        <f>IF(Inputs!$D$24=0,0,IF($R86&lt;=Inputs!$C$24,0,IF($R86&gt;=INDEX(LE_Curves!$D$5:$D$205,201),INDEX(LE_Curves!$B$5:$B$205,201),INDEX(LE_Curves!$B$5:$B$205,MATCH($R86,LE_Curves!$D$5:$D$205,1))+($R86-INDEX(LE_Curves!$D$5:$D$205,MATCH($R86,LE_Curves!$D$5:$D$205,1)))*(INDEX(LE_Curves!$B$5:$B$205,MATCH($R86,LE_Curves!$D$5:$D$205,1)+1)-INDEX(LE_Curves!$B$5:$B$205,MATCH($R86,LE_Curves!$D$5:$D$205,1)))/(INDEX(LE_Curves!$D$5:$D$205,MATCH($R86,LE_Curves!$D$5:$D$205,1)+1)-INDEX(LE_Curves!$D$5:$D$205,MATCH($R86,LE_Curves!$D$5:$D$205,1))))))</f>
        <v/>
      </c>
      <c r="U86" s="11">
        <f>IF(Inputs!$D$25=0,0,IF($R86&lt;=Inputs!$C$25,0,IF($R86&gt;=INDEX(LE_Curves!$E$5:$E$205,201),INDEX(LE_Curves!$B$5:$B$205,201),INDEX(LE_Curves!$B$5:$B$205,MATCH($R86,LE_Curves!$E$5:$E$205,1))+($R86-INDEX(LE_Curves!$E$5:$E$205,MATCH($R86,LE_Curves!$E$5:$E$205,1)))*(INDEX(LE_Curves!$B$5:$B$205,MATCH($R86,LE_Curves!$E$5:$E$205,1)+1)-INDEX(LE_Curves!$B$5:$B$205,MATCH($R86,LE_Curves!$E$5:$E$205,1)))/(INDEX(LE_Curves!$E$5:$E$205,MATCH($R86,LE_Curves!$E$5:$E$205,1)+1)-INDEX(LE_Curves!$E$5:$E$205,MATCH($R86,LE_Curves!$E$5:$E$205,1))))))</f>
        <v/>
      </c>
      <c r="V86" s="11">
        <f>IF(Inputs!$D$26=0,0,IF($R86&lt;=Inputs!$C$26,0,IF($R86&gt;=INDEX(LE_Curves!$F$5:$F$205,201),INDEX(LE_Curves!$B$5:$B$205,201),INDEX(LE_Curves!$B$5:$B$205,MATCH($R86,LE_Curves!$F$5:$F$205,1))+($R86-INDEX(LE_Curves!$F$5:$F$205,MATCH($R86,LE_Curves!$F$5:$F$205,1)))*(INDEX(LE_Curves!$B$5:$B$205,MATCH($R86,LE_Curves!$F$5:$F$205,1)+1)-INDEX(LE_Curves!$B$5:$B$205,MATCH($R86,LE_Curves!$F$5:$F$205,1)))/(INDEX(LE_Curves!$F$5:$F$205,MATCH($R86,LE_Curves!$F$5:$F$205,1)+1)-INDEX(LE_Curves!$F$5:$F$205,MATCH($R86,LE_Curves!$F$5:$F$205,1))))))</f>
        <v/>
      </c>
      <c r="W86" s="11">
        <f>IF(Inputs!$D$27=0,0,IF($R86&lt;=Inputs!$C$27,0,IF($R86&gt;=INDEX(LE_Curves!$G$5:$G$205,201),INDEX(LE_Curves!$B$5:$B$205,201),INDEX(LE_Curves!$B$5:$B$205,MATCH($R86,LE_Curves!$G$5:$G$205,1))+($R86-INDEX(LE_Curves!$G$5:$G$205,MATCH($R86,LE_Curves!$G$5:$G$205,1)))*(INDEX(LE_Curves!$B$5:$B$205,MATCH($R86,LE_Curves!$G$5:$G$205,1)+1)-INDEX(LE_Curves!$B$5:$B$205,MATCH($R86,LE_Curves!$G$5:$G$205,1)))/(INDEX(LE_Curves!$G$5:$G$205,MATCH($R86,LE_Curves!$G$5:$G$205,1)+1)-INDEX(LE_Curves!$G$5:$G$205,MATCH($R86,LE_Curves!$G$5:$G$205,1))))))</f>
        <v/>
      </c>
      <c r="X86" s="11">
        <f>IF(Inputs!$D$28=0,0,IF($R86&lt;=Inputs!$C$28,0,IF($R86&gt;=INDEX(LE_Curves!$H$5:$H$205,201),INDEX(LE_Curves!$B$5:$B$205,201),INDEX(LE_Curves!$B$5:$B$205,MATCH($R86,LE_Curves!$H$5:$H$205,1))+($R86-INDEX(LE_Curves!$H$5:$H$205,MATCH($R86,LE_Curves!$H$5:$H$205,1)))*(INDEX(LE_Curves!$B$5:$B$205,MATCH($R86,LE_Curves!$H$5:$H$205,1)+1)-INDEX(LE_Curves!$B$5:$B$205,MATCH($R86,LE_Curves!$H$5:$H$205,1)))/(INDEX(LE_Curves!$H$5:$H$205,MATCH($R86,LE_Curves!$H$5:$H$205,1)+1)-INDEX(LE_Curves!$H$5:$H$205,MATCH($R86,LE_Curves!$H$5:$H$205,1))))))</f>
        <v/>
      </c>
      <c r="Y86" s="11">
        <f>IF(Inputs!$D$29=0,0,IF($R86&lt;=Inputs!$C$29,0,IF($R86&gt;=INDEX(LE_Curves!$I$5:$I$205,201),INDEX(LE_Curves!$B$5:$B$205,201),INDEX(LE_Curves!$B$5:$B$205,MATCH($R86,LE_Curves!$I$5:$I$205,1))+($R86-INDEX(LE_Curves!$I$5:$I$205,MATCH($R86,LE_Curves!$I$5:$I$205,1)))*(INDEX(LE_Curves!$B$5:$B$205,MATCH($R86,LE_Curves!$I$5:$I$205,1)+1)-INDEX(LE_Curves!$B$5:$B$205,MATCH($R86,LE_Curves!$I$5:$I$205,1)))/(INDEX(LE_Curves!$I$5:$I$205,MATCH($R86,LE_Curves!$I$5:$I$205,1)+1)-INDEX(LE_Curves!$I$5:$I$205,MATCH($R86,LE_Curves!$I$5:$I$205,1))))))</f>
        <v/>
      </c>
      <c r="Z86" s="11">
        <f>IF(Inputs!$D$30=0,0,IF($R86&lt;=Inputs!$C$30,0,IF($R86&gt;=INDEX(LE_Curves!$J$5:$J$205,201),INDEX(LE_Curves!$B$5:$B$205,201),INDEX(LE_Curves!$B$5:$B$205,MATCH($R86,LE_Curves!$J$5:$J$205,1))+($R86-INDEX(LE_Curves!$J$5:$J$205,MATCH($R86,LE_Curves!$J$5:$J$205,1)))*(INDEX(LE_Curves!$B$5:$B$205,MATCH($R86,LE_Curves!$J$5:$J$205,1)+1)-INDEX(LE_Curves!$B$5:$B$205,MATCH($R86,LE_Curves!$J$5:$J$205,1)))/(INDEX(LE_Curves!$J$5:$J$205,MATCH($R86,LE_Curves!$J$5:$J$205,1)+1)-INDEX(LE_Curves!$J$5:$J$205,MATCH($R86,LE_Curves!$J$5:$J$205,1))))))</f>
        <v/>
      </c>
      <c r="AA86" s="11">
        <f>IF(Inputs!$D$31=0,0,IF($R86&lt;=Inputs!$C$31,0,IF($R86&gt;=INDEX(LE_Curves!$K$5:$K$205,201),INDEX(LE_Curves!$B$5:$B$205,201),INDEX(LE_Curves!$B$5:$B$205,MATCH($R86,LE_Curves!$K$5:$K$205,1))+($R86-INDEX(LE_Curves!$K$5:$K$205,MATCH($R86,LE_Curves!$K$5:$K$205,1)))*(INDEX(LE_Curves!$B$5:$B$205,MATCH($R86,LE_Curves!$K$5:$K$205,1)+1)-INDEX(LE_Curves!$B$5:$B$205,MATCH($R86,LE_Curves!$K$5:$K$205,1)))/(INDEX(LE_Curves!$K$5:$K$205,MATCH($R86,LE_Curves!$K$5:$K$205,1)+1)-INDEX(LE_Curves!$K$5:$K$205,MATCH($R86,LE_Curves!$K$5:$K$205,1))))))</f>
        <v/>
      </c>
      <c r="AB86" s="11">
        <f>IF(Inputs!$D$32=0,0,IF($R86&lt;=Inputs!$C$32,0,IF($R86&gt;=INDEX(LE_Curves!$L$5:$L$205,201),INDEX(LE_Curves!$B$5:$B$205,201),INDEX(LE_Curves!$B$5:$B$205,MATCH($R86,LE_Curves!$L$5:$L$205,1))+($R86-INDEX(LE_Curves!$L$5:$L$205,MATCH($R86,LE_Curves!$L$5:$L$205,1)))*(INDEX(LE_Curves!$B$5:$B$205,MATCH($R86,LE_Curves!$L$5:$L$205,1)+1)-INDEX(LE_Curves!$B$5:$B$205,MATCH($R86,LE_Curves!$L$5:$L$205,1)))/(INDEX(LE_Curves!$L$5:$L$205,MATCH($R86,LE_Curves!$L$5:$L$205,1)+1)-INDEX(LE_Curves!$L$5:$L$205,MATCH($R86,LE_Curves!$L$5:$L$205,1))))))</f>
        <v/>
      </c>
      <c r="AC86" s="11">
        <f>IF(Inputs!$D$33=0,0,IF($R86&lt;=Inputs!$C$33,0,IF($R86&gt;=INDEX(LE_Curves!$M$5:$M$205,201),INDEX(LE_Curves!$B$5:$B$205,201),INDEX(LE_Curves!$B$5:$B$205,MATCH($R86,LE_Curves!$M$5:$M$205,1))+($R86-INDEX(LE_Curves!$M$5:$M$205,MATCH($R86,LE_Curves!$M$5:$M$205,1)))*(INDEX(LE_Curves!$B$5:$B$205,MATCH($R86,LE_Curves!$M$5:$M$205,1)+1)-INDEX(LE_Curves!$B$5:$B$205,MATCH($R86,LE_Curves!$M$5:$M$205,1)))/(INDEX(LE_Curves!$M$5:$M$205,MATCH($R86,LE_Curves!$M$5:$M$205,1)+1)-INDEX(LE_Curves!$M$5:$M$205,MATCH($R86,LE_Curves!$M$5:$M$205,1))))))</f>
        <v/>
      </c>
      <c r="AD86" s="11">
        <f>IF(Inputs!$D$34=0,0,IF($R86&lt;=Inputs!$C$34,0,IF($R86&gt;=INDEX(LE_Curves!$N$5:$N$205,201),INDEX(LE_Curves!$B$5:$B$205,201),INDEX(LE_Curves!$B$5:$B$205,MATCH($R86,LE_Curves!$N$5:$N$205,1))+($R86-INDEX(LE_Curves!$N$5:$N$205,MATCH($R86,LE_Curves!$N$5:$N$205,1)))*(INDEX(LE_Curves!$B$5:$B$205,MATCH($R86,LE_Curves!$N$5:$N$205,1)+1)-INDEX(LE_Curves!$B$5:$B$205,MATCH($R86,LE_Curves!$N$5:$N$205,1)))/(INDEX(LE_Curves!$N$5:$N$205,MATCH($R86,LE_Curves!$N$5:$N$205,1)+1)-INDEX(LE_Curves!$N$5:$N$205,MATCH($R86,LE_Curves!$N$5:$N$205,1))))))</f>
        <v/>
      </c>
      <c r="AE86" s="37">
        <f>SUM(S86:AD86)</f>
        <v/>
      </c>
    </row>
    <row r="87">
      <c r="A87" s="7" t="n">
        <v>56</v>
      </c>
      <c r="B87" s="37">
        <f>$B$3+($B$4-$B$3)*A87/200</f>
        <v/>
      </c>
      <c r="C87" s="11">
        <f>IF(Inputs!$D$23=0,0,IF($B87&lt;=Inputs!$C$23,0,IF($B87&gt;=INDEX(LE_Curves!$C$5:$C$205,201),INDEX(LE_Curves!$B$5:$B$205,201),INDEX(LE_Curves!$B$5:$B$205,MATCH($B87,LE_Curves!$C$5:$C$205,1))+($B87-INDEX(LE_Curves!$C$5:$C$205,MATCH($B87,LE_Curves!$C$5:$C$205,1)))*(INDEX(LE_Curves!$B$5:$B$205,MATCH($B87,LE_Curves!$C$5:$C$205,1)+1)-INDEX(LE_Curves!$B$5:$B$205,MATCH($B87,LE_Curves!$C$5:$C$205,1)))/(INDEX(LE_Curves!$C$5:$C$205,MATCH($B87,LE_Curves!$C$5:$C$205,1)+1)-INDEX(LE_Curves!$C$5:$C$205,MATCH($B87,LE_Curves!$C$5:$C$205,1))))))</f>
        <v/>
      </c>
      <c r="D87" s="11">
        <f>IF(Inputs!$D$24=0,0,IF($B87&lt;=Inputs!$C$24,0,IF($B87&gt;=INDEX(LE_Curves!$D$5:$D$205,201),INDEX(LE_Curves!$B$5:$B$205,201),INDEX(LE_Curves!$B$5:$B$205,MATCH($B87,LE_Curves!$D$5:$D$205,1))+($B87-INDEX(LE_Curves!$D$5:$D$205,MATCH($B87,LE_Curves!$D$5:$D$205,1)))*(INDEX(LE_Curves!$B$5:$B$205,MATCH($B87,LE_Curves!$D$5:$D$205,1)+1)-INDEX(LE_Curves!$B$5:$B$205,MATCH($B87,LE_Curves!$D$5:$D$205,1)))/(INDEX(LE_Curves!$D$5:$D$205,MATCH($B87,LE_Curves!$D$5:$D$205,1)+1)-INDEX(LE_Curves!$D$5:$D$205,MATCH($B87,LE_Curves!$D$5:$D$205,1))))))</f>
        <v/>
      </c>
      <c r="E87" s="11">
        <f>IF(Inputs!$D$25=0,0,IF($B87&lt;=Inputs!$C$25,0,IF($B87&gt;=INDEX(LE_Curves!$E$5:$E$205,201),INDEX(LE_Curves!$B$5:$B$205,201),INDEX(LE_Curves!$B$5:$B$205,MATCH($B87,LE_Curves!$E$5:$E$205,1))+($B87-INDEX(LE_Curves!$E$5:$E$205,MATCH($B87,LE_Curves!$E$5:$E$205,1)))*(INDEX(LE_Curves!$B$5:$B$205,MATCH($B87,LE_Curves!$E$5:$E$205,1)+1)-INDEX(LE_Curves!$B$5:$B$205,MATCH($B87,LE_Curves!$E$5:$E$205,1)))/(INDEX(LE_Curves!$E$5:$E$205,MATCH($B87,LE_Curves!$E$5:$E$205,1)+1)-INDEX(LE_Curves!$E$5:$E$205,MATCH($B87,LE_Curves!$E$5:$E$205,1))))))</f>
        <v/>
      </c>
      <c r="F87" s="11">
        <f>IF(Inputs!$D$26=0,0,IF($B87&lt;=Inputs!$C$26,0,IF($B87&gt;=INDEX(LE_Curves!$F$5:$F$205,201),INDEX(LE_Curves!$B$5:$B$205,201),INDEX(LE_Curves!$B$5:$B$205,MATCH($B87,LE_Curves!$F$5:$F$205,1))+($B87-INDEX(LE_Curves!$F$5:$F$205,MATCH($B87,LE_Curves!$F$5:$F$205,1)))*(INDEX(LE_Curves!$B$5:$B$205,MATCH($B87,LE_Curves!$F$5:$F$205,1)+1)-INDEX(LE_Curves!$B$5:$B$205,MATCH($B87,LE_Curves!$F$5:$F$205,1)))/(INDEX(LE_Curves!$F$5:$F$205,MATCH($B87,LE_Curves!$F$5:$F$205,1)+1)-INDEX(LE_Curves!$F$5:$F$205,MATCH($B87,LE_Curves!$F$5:$F$205,1))))))</f>
        <v/>
      </c>
      <c r="G87" s="11">
        <f>IF(Inputs!$D$27=0,0,IF($B87&lt;=Inputs!$C$27,0,IF($B87&gt;=INDEX(LE_Curves!$G$5:$G$205,201),INDEX(LE_Curves!$B$5:$B$205,201),INDEX(LE_Curves!$B$5:$B$205,MATCH($B87,LE_Curves!$G$5:$G$205,1))+($B87-INDEX(LE_Curves!$G$5:$G$205,MATCH($B87,LE_Curves!$G$5:$G$205,1)))*(INDEX(LE_Curves!$B$5:$B$205,MATCH($B87,LE_Curves!$G$5:$G$205,1)+1)-INDEX(LE_Curves!$B$5:$B$205,MATCH($B87,LE_Curves!$G$5:$G$205,1)))/(INDEX(LE_Curves!$G$5:$G$205,MATCH($B87,LE_Curves!$G$5:$G$205,1)+1)-INDEX(LE_Curves!$G$5:$G$205,MATCH($B87,LE_Curves!$G$5:$G$205,1))))))</f>
        <v/>
      </c>
      <c r="H87" s="11">
        <f>IF(Inputs!$D$28=0,0,IF($B87&lt;=Inputs!$C$28,0,IF($B87&gt;=INDEX(LE_Curves!$H$5:$H$205,201),INDEX(LE_Curves!$B$5:$B$205,201),INDEX(LE_Curves!$B$5:$B$205,MATCH($B87,LE_Curves!$H$5:$H$205,1))+($B87-INDEX(LE_Curves!$H$5:$H$205,MATCH($B87,LE_Curves!$H$5:$H$205,1)))*(INDEX(LE_Curves!$B$5:$B$205,MATCH($B87,LE_Curves!$H$5:$H$205,1)+1)-INDEX(LE_Curves!$B$5:$B$205,MATCH($B87,LE_Curves!$H$5:$H$205,1)))/(INDEX(LE_Curves!$H$5:$H$205,MATCH($B87,LE_Curves!$H$5:$H$205,1)+1)-INDEX(LE_Curves!$H$5:$H$205,MATCH($B87,LE_Curves!$H$5:$H$205,1))))))</f>
        <v/>
      </c>
      <c r="I87" s="11">
        <f>IF(Inputs!$D$29=0,0,IF($B87&lt;=Inputs!$C$29,0,IF($B87&gt;=INDEX(LE_Curves!$I$5:$I$205,201),INDEX(LE_Curves!$B$5:$B$205,201),INDEX(LE_Curves!$B$5:$B$205,MATCH($B87,LE_Curves!$I$5:$I$205,1))+($B87-INDEX(LE_Curves!$I$5:$I$205,MATCH($B87,LE_Curves!$I$5:$I$205,1)))*(INDEX(LE_Curves!$B$5:$B$205,MATCH($B87,LE_Curves!$I$5:$I$205,1)+1)-INDEX(LE_Curves!$B$5:$B$205,MATCH($B87,LE_Curves!$I$5:$I$205,1)))/(INDEX(LE_Curves!$I$5:$I$205,MATCH($B87,LE_Curves!$I$5:$I$205,1)+1)-INDEX(LE_Curves!$I$5:$I$205,MATCH($B87,LE_Curves!$I$5:$I$205,1))))))</f>
        <v/>
      </c>
      <c r="J87" s="11">
        <f>IF(Inputs!$D$30=0,0,IF($B87&lt;=Inputs!$C$30,0,IF($B87&gt;=INDEX(LE_Curves!$J$5:$J$205,201),INDEX(LE_Curves!$B$5:$B$205,201),INDEX(LE_Curves!$B$5:$B$205,MATCH($B87,LE_Curves!$J$5:$J$205,1))+($B87-INDEX(LE_Curves!$J$5:$J$205,MATCH($B87,LE_Curves!$J$5:$J$205,1)))*(INDEX(LE_Curves!$B$5:$B$205,MATCH($B87,LE_Curves!$J$5:$J$205,1)+1)-INDEX(LE_Curves!$B$5:$B$205,MATCH($B87,LE_Curves!$J$5:$J$205,1)))/(INDEX(LE_Curves!$J$5:$J$205,MATCH($B87,LE_Curves!$J$5:$J$205,1)+1)-INDEX(LE_Curves!$J$5:$J$205,MATCH($B87,LE_Curves!$J$5:$J$205,1))))))</f>
        <v/>
      </c>
      <c r="K87" s="11">
        <f>IF(Inputs!$D$31=0,0,IF($B87&lt;=Inputs!$C$31,0,IF($B87&gt;=INDEX(LE_Curves!$K$5:$K$205,201),INDEX(LE_Curves!$B$5:$B$205,201),INDEX(LE_Curves!$B$5:$B$205,MATCH($B87,LE_Curves!$K$5:$K$205,1))+($B87-INDEX(LE_Curves!$K$5:$K$205,MATCH($B87,LE_Curves!$K$5:$K$205,1)))*(INDEX(LE_Curves!$B$5:$B$205,MATCH($B87,LE_Curves!$K$5:$K$205,1)+1)-INDEX(LE_Curves!$B$5:$B$205,MATCH($B87,LE_Curves!$K$5:$K$205,1)))/(INDEX(LE_Curves!$K$5:$K$205,MATCH($B87,LE_Curves!$K$5:$K$205,1)+1)-INDEX(LE_Curves!$K$5:$K$205,MATCH($B87,LE_Curves!$K$5:$K$205,1))))))</f>
        <v/>
      </c>
      <c r="L87" s="11">
        <f>IF(Inputs!$D$32=0,0,IF($B87&lt;=Inputs!$C$32,0,IF($B87&gt;=INDEX(LE_Curves!$L$5:$L$205,201),INDEX(LE_Curves!$B$5:$B$205,201),INDEX(LE_Curves!$B$5:$B$205,MATCH($B87,LE_Curves!$L$5:$L$205,1))+($B87-INDEX(LE_Curves!$L$5:$L$205,MATCH($B87,LE_Curves!$L$5:$L$205,1)))*(INDEX(LE_Curves!$B$5:$B$205,MATCH($B87,LE_Curves!$L$5:$L$205,1)+1)-INDEX(LE_Curves!$B$5:$B$205,MATCH($B87,LE_Curves!$L$5:$L$205,1)))/(INDEX(LE_Curves!$L$5:$L$205,MATCH($B87,LE_Curves!$L$5:$L$205,1)+1)-INDEX(LE_Curves!$L$5:$L$205,MATCH($B87,LE_Curves!$L$5:$L$205,1))))))</f>
        <v/>
      </c>
      <c r="M87" s="11">
        <f>IF(Inputs!$D$33=0,0,IF($B87&lt;=Inputs!$C$33,0,IF($B87&gt;=INDEX(LE_Curves!$M$5:$M$205,201),INDEX(LE_Curves!$B$5:$B$205,201),INDEX(LE_Curves!$B$5:$B$205,MATCH($B87,LE_Curves!$M$5:$M$205,1))+($B87-INDEX(LE_Curves!$M$5:$M$205,MATCH($B87,LE_Curves!$M$5:$M$205,1)))*(INDEX(LE_Curves!$B$5:$B$205,MATCH($B87,LE_Curves!$M$5:$M$205,1)+1)-INDEX(LE_Curves!$B$5:$B$205,MATCH($B87,LE_Curves!$M$5:$M$205,1)))/(INDEX(LE_Curves!$M$5:$M$205,MATCH($B87,LE_Curves!$M$5:$M$205,1)+1)-INDEX(LE_Curves!$M$5:$M$205,MATCH($B87,LE_Curves!$M$5:$M$205,1))))))</f>
        <v/>
      </c>
      <c r="N87" s="11">
        <f>IF(Inputs!$D$34=0,0,IF($B87&lt;=Inputs!$C$34,0,IF($B87&gt;=INDEX(LE_Curves!$N$5:$N$205,201),INDEX(LE_Curves!$B$5:$B$205,201),INDEX(LE_Curves!$B$5:$B$205,MATCH($B87,LE_Curves!$N$5:$N$205,1))+($B87-INDEX(LE_Curves!$N$5:$N$205,MATCH($B87,LE_Curves!$N$5:$N$205,1)))*(INDEX(LE_Curves!$B$5:$B$205,MATCH($B87,LE_Curves!$N$5:$N$205,1)+1)-INDEX(LE_Curves!$B$5:$B$205,MATCH($B87,LE_Curves!$N$5:$N$205,1)))/(INDEX(LE_Curves!$N$5:$N$205,MATCH($B87,LE_Curves!$N$5:$N$205,1)+1)-INDEX(LE_Curves!$N$5:$N$205,MATCH($B87,LE_Curves!$N$5:$N$205,1))))))</f>
        <v/>
      </c>
      <c r="O87" s="11">
        <f>SUM(C87:N87)</f>
        <v/>
      </c>
      <c r="Q87" s="7" t="n">
        <v>56</v>
      </c>
      <c r="R87" s="23">
        <f>$B$6+($B$7-$B$6)*Q87/200</f>
        <v/>
      </c>
      <c r="S87" s="11">
        <f>IF(Inputs!$D$23=0,0,IF($R87&lt;=Inputs!$C$23,0,IF($R87&gt;=INDEX(LE_Curves!$C$5:$C$205,201),INDEX(LE_Curves!$B$5:$B$205,201),INDEX(LE_Curves!$B$5:$B$205,MATCH($R87,LE_Curves!$C$5:$C$205,1))+($R87-INDEX(LE_Curves!$C$5:$C$205,MATCH($R87,LE_Curves!$C$5:$C$205,1)))*(INDEX(LE_Curves!$B$5:$B$205,MATCH($R87,LE_Curves!$C$5:$C$205,1)+1)-INDEX(LE_Curves!$B$5:$B$205,MATCH($R87,LE_Curves!$C$5:$C$205,1)))/(INDEX(LE_Curves!$C$5:$C$205,MATCH($R87,LE_Curves!$C$5:$C$205,1)+1)-INDEX(LE_Curves!$C$5:$C$205,MATCH($R87,LE_Curves!$C$5:$C$205,1))))))</f>
        <v/>
      </c>
      <c r="T87" s="11">
        <f>IF(Inputs!$D$24=0,0,IF($R87&lt;=Inputs!$C$24,0,IF($R87&gt;=INDEX(LE_Curves!$D$5:$D$205,201),INDEX(LE_Curves!$B$5:$B$205,201),INDEX(LE_Curves!$B$5:$B$205,MATCH($R87,LE_Curves!$D$5:$D$205,1))+($R87-INDEX(LE_Curves!$D$5:$D$205,MATCH($R87,LE_Curves!$D$5:$D$205,1)))*(INDEX(LE_Curves!$B$5:$B$205,MATCH($R87,LE_Curves!$D$5:$D$205,1)+1)-INDEX(LE_Curves!$B$5:$B$205,MATCH($R87,LE_Curves!$D$5:$D$205,1)))/(INDEX(LE_Curves!$D$5:$D$205,MATCH($R87,LE_Curves!$D$5:$D$205,1)+1)-INDEX(LE_Curves!$D$5:$D$205,MATCH($R87,LE_Curves!$D$5:$D$205,1))))))</f>
        <v/>
      </c>
      <c r="U87" s="11">
        <f>IF(Inputs!$D$25=0,0,IF($R87&lt;=Inputs!$C$25,0,IF($R87&gt;=INDEX(LE_Curves!$E$5:$E$205,201),INDEX(LE_Curves!$B$5:$B$205,201),INDEX(LE_Curves!$B$5:$B$205,MATCH($R87,LE_Curves!$E$5:$E$205,1))+($R87-INDEX(LE_Curves!$E$5:$E$205,MATCH($R87,LE_Curves!$E$5:$E$205,1)))*(INDEX(LE_Curves!$B$5:$B$205,MATCH($R87,LE_Curves!$E$5:$E$205,1)+1)-INDEX(LE_Curves!$B$5:$B$205,MATCH($R87,LE_Curves!$E$5:$E$205,1)))/(INDEX(LE_Curves!$E$5:$E$205,MATCH($R87,LE_Curves!$E$5:$E$205,1)+1)-INDEX(LE_Curves!$E$5:$E$205,MATCH($R87,LE_Curves!$E$5:$E$205,1))))))</f>
        <v/>
      </c>
      <c r="V87" s="11">
        <f>IF(Inputs!$D$26=0,0,IF($R87&lt;=Inputs!$C$26,0,IF($R87&gt;=INDEX(LE_Curves!$F$5:$F$205,201),INDEX(LE_Curves!$B$5:$B$205,201),INDEX(LE_Curves!$B$5:$B$205,MATCH($R87,LE_Curves!$F$5:$F$205,1))+($R87-INDEX(LE_Curves!$F$5:$F$205,MATCH($R87,LE_Curves!$F$5:$F$205,1)))*(INDEX(LE_Curves!$B$5:$B$205,MATCH($R87,LE_Curves!$F$5:$F$205,1)+1)-INDEX(LE_Curves!$B$5:$B$205,MATCH($R87,LE_Curves!$F$5:$F$205,1)))/(INDEX(LE_Curves!$F$5:$F$205,MATCH($R87,LE_Curves!$F$5:$F$205,1)+1)-INDEX(LE_Curves!$F$5:$F$205,MATCH($R87,LE_Curves!$F$5:$F$205,1))))))</f>
        <v/>
      </c>
      <c r="W87" s="11">
        <f>IF(Inputs!$D$27=0,0,IF($R87&lt;=Inputs!$C$27,0,IF($R87&gt;=INDEX(LE_Curves!$G$5:$G$205,201),INDEX(LE_Curves!$B$5:$B$205,201),INDEX(LE_Curves!$B$5:$B$205,MATCH($R87,LE_Curves!$G$5:$G$205,1))+($R87-INDEX(LE_Curves!$G$5:$G$205,MATCH($R87,LE_Curves!$G$5:$G$205,1)))*(INDEX(LE_Curves!$B$5:$B$205,MATCH($R87,LE_Curves!$G$5:$G$205,1)+1)-INDEX(LE_Curves!$B$5:$B$205,MATCH($R87,LE_Curves!$G$5:$G$205,1)))/(INDEX(LE_Curves!$G$5:$G$205,MATCH($R87,LE_Curves!$G$5:$G$205,1)+1)-INDEX(LE_Curves!$G$5:$G$205,MATCH($R87,LE_Curves!$G$5:$G$205,1))))))</f>
        <v/>
      </c>
      <c r="X87" s="11">
        <f>IF(Inputs!$D$28=0,0,IF($R87&lt;=Inputs!$C$28,0,IF($R87&gt;=INDEX(LE_Curves!$H$5:$H$205,201),INDEX(LE_Curves!$B$5:$B$205,201),INDEX(LE_Curves!$B$5:$B$205,MATCH($R87,LE_Curves!$H$5:$H$205,1))+($R87-INDEX(LE_Curves!$H$5:$H$205,MATCH($R87,LE_Curves!$H$5:$H$205,1)))*(INDEX(LE_Curves!$B$5:$B$205,MATCH($R87,LE_Curves!$H$5:$H$205,1)+1)-INDEX(LE_Curves!$B$5:$B$205,MATCH($R87,LE_Curves!$H$5:$H$205,1)))/(INDEX(LE_Curves!$H$5:$H$205,MATCH($R87,LE_Curves!$H$5:$H$205,1)+1)-INDEX(LE_Curves!$H$5:$H$205,MATCH($R87,LE_Curves!$H$5:$H$205,1))))))</f>
        <v/>
      </c>
      <c r="Y87" s="11">
        <f>IF(Inputs!$D$29=0,0,IF($R87&lt;=Inputs!$C$29,0,IF($R87&gt;=INDEX(LE_Curves!$I$5:$I$205,201),INDEX(LE_Curves!$B$5:$B$205,201),INDEX(LE_Curves!$B$5:$B$205,MATCH($R87,LE_Curves!$I$5:$I$205,1))+($R87-INDEX(LE_Curves!$I$5:$I$205,MATCH($R87,LE_Curves!$I$5:$I$205,1)))*(INDEX(LE_Curves!$B$5:$B$205,MATCH($R87,LE_Curves!$I$5:$I$205,1)+1)-INDEX(LE_Curves!$B$5:$B$205,MATCH($R87,LE_Curves!$I$5:$I$205,1)))/(INDEX(LE_Curves!$I$5:$I$205,MATCH($R87,LE_Curves!$I$5:$I$205,1)+1)-INDEX(LE_Curves!$I$5:$I$205,MATCH($R87,LE_Curves!$I$5:$I$205,1))))))</f>
        <v/>
      </c>
      <c r="Z87" s="11">
        <f>IF(Inputs!$D$30=0,0,IF($R87&lt;=Inputs!$C$30,0,IF($R87&gt;=INDEX(LE_Curves!$J$5:$J$205,201),INDEX(LE_Curves!$B$5:$B$205,201),INDEX(LE_Curves!$B$5:$B$205,MATCH($R87,LE_Curves!$J$5:$J$205,1))+($R87-INDEX(LE_Curves!$J$5:$J$205,MATCH($R87,LE_Curves!$J$5:$J$205,1)))*(INDEX(LE_Curves!$B$5:$B$205,MATCH($R87,LE_Curves!$J$5:$J$205,1)+1)-INDEX(LE_Curves!$B$5:$B$205,MATCH($R87,LE_Curves!$J$5:$J$205,1)))/(INDEX(LE_Curves!$J$5:$J$205,MATCH($R87,LE_Curves!$J$5:$J$205,1)+1)-INDEX(LE_Curves!$J$5:$J$205,MATCH($R87,LE_Curves!$J$5:$J$205,1))))))</f>
        <v/>
      </c>
      <c r="AA87" s="11">
        <f>IF(Inputs!$D$31=0,0,IF($R87&lt;=Inputs!$C$31,0,IF($R87&gt;=INDEX(LE_Curves!$K$5:$K$205,201),INDEX(LE_Curves!$B$5:$B$205,201),INDEX(LE_Curves!$B$5:$B$205,MATCH($R87,LE_Curves!$K$5:$K$205,1))+($R87-INDEX(LE_Curves!$K$5:$K$205,MATCH($R87,LE_Curves!$K$5:$K$205,1)))*(INDEX(LE_Curves!$B$5:$B$205,MATCH($R87,LE_Curves!$K$5:$K$205,1)+1)-INDEX(LE_Curves!$B$5:$B$205,MATCH($R87,LE_Curves!$K$5:$K$205,1)))/(INDEX(LE_Curves!$K$5:$K$205,MATCH($R87,LE_Curves!$K$5:$K$205,1)+1)-INDEX(LE_Curves!$K$5:$K$205,MATCH($R87,LE_Curves!$K$5:$K$205,1))))))</f>
        <v/>
      </c>
      <c r="AB87" s="11">
        <f>IF(Inputs!$D$32=0,0,IF($R87&lt;=Inputs!$C$32,0,IF($R87&gt;=INDEX(LE_Curves!$L$5:$L$205,201),INDEX(LE_Curves!$B$5:$B$205,201),INDEX(LE_Curves!$B$5:$B$205,MATCH($R87,LE_Curves!$L$5:$L$205,1))+($R87-INDEX(LE_Curves!$L$5:$L$205,MATCH($R87,LE_Curves!$L$5:$L$205,1)))*(INDEX(LE_Curves!$B$5:$B$205,MATCH($R87,LE_Curves!$L$5:$L$205,1)+1)-INDEX(LE_Curves!$B$5:$B$205,MATCH($R87,LE_Curves!$L$5:$L$205,1)))/(INDEX(LE_Curves!$L$5:$L$205,MATCH($R87,LE_Curves!$L$5:$L$205,1)+1)-INDEX(LE_Curves!$L$5:$L$205,MATCH($R87,LE_Curves!$L$5:$L$205,1))))))</f>
        <v/>
      </c>
      <c r="AC87" s="11">
        <f>IF(Inputs!$D$33=0,0,IF($R87&lt;=Inputs!$C$33,0,IF($R87&gt;=INDEX(LE_Curves!$M$5:$M$205,201),INDEX(LE_Curves!$B$5:$B$205,201),INDEX(LE_Curves!$B$5:$B$205,MATCH($R87,LE_Curves!$M$5:$M$205,1))+($R87-INDEX(LE_Curves!$M$5:$M$205,MATCH($R87,LE_Curves!$M$5:$M$205,1)))*(INDEX(LE_Curves!$B$5:$B$205,MATCH($R87,LE_Curves!$M$5:$M$205,1)+1)-INDEX(LE_Curves!$B$5:$B$205,MATCH($R87,LE_Curves!$M$5:$M$205,1)))/(INDEX(LE_Curves!$M$5:$M$205,MATCH($R87,LE_Curves!$M$5:$M$205,1)+1)-INDEX(LE_Curves!$M$5:$M$205,MATCH($R87,LE_Curves!$M$5:$M$205,1))))))</f>
        <v/>
      </c>
      <c r="AD87" s="11">
        <f>IF(Inputs!$D$34=0,0,IF($R87&lt;=Inputs!$C$34,0,IF($R87&gt;=INDEX(LE_Curves!$N$5:$N$205,201),INDEX(LE_Curves!$B$5:$B$205,201),INDEX(LE_Curves!$B$5:$B$205,MATCH($R87,LE_Curves!$N$5:$N$205,1))+($R87-INDEX(LE_Curves!$N$5:$N$205,MATCH($R87,LE_Curves!$N$5:$N$205,1)))*(INDEX(LE_Curves!$B$5:$B$205,MATCH($R87,LE_Curves!$N$5:$N$205,1)+1)-INDEX(LE_Curves!$B$5:$B$205,MATCH($R87,LE_Curves!$N$5:$N$205,1)))/(INDEX(LE_Curves!$N$5:$N$205,MATCH($R87,LE_Curves!$N$5:$N$205,1)+1)-INDEX(LE_Curves!$N$5:$N$205,MATCH($R87,LE_Curves!$N$5:$N$205,1))))))</f>
        <v/>
      </c>
      <c r="AE87" s="37">
        <f>SUM(S87:AD87)</f>
        <v/>
      </c>
    </row>
    <row r="88">
      <c r="A88" s="7" t="n">
        <v>57</v>
      </c>
      <c r="B88" s="37">
        <f>$B$3+($B$4-$B$3)*A88/200</f>
        <v/>
      </c>
      <c r="C88" s="11">
        <f>IF(Inputs!$D$23=0,0,IF($B88&lt;=Inputs!$C$23,0,IF($B88&gt;=INDEX(LE_Curves!$C$5:$C$205,201),INDEX(LE_Curves!$B$5:$B$205,201),INDEX(LE_Curves!$B$5:$B$205,MATCH($B88,LE_Curves!$C$5:$C$205,1))+($B88-INDEX(LE_Curves!$C$5:$C$205,MATCH($B88,LE_Curves!$C$5:$C$205,1)))*(INDEX(LE_Curves!$B$5:$B$205,MATCH($B88,LE_Curves!$C$5:$C$205,1)+1)-INDEX(LE_Curves!$B$5:$B$205,MATCH($B88,LE_Curves!$C$5:$C$205,1)))/(INDEX(LE_Curves!$C$5:$C$205,MATCH($B88,LE_Curves!$C$5:$C$205,1)+1)-INDEX(LE_Curves!$C$5:$C$205,MATCH($B88,LE_Curves!$C$5:$C$205,1))))))</f>
        <v/>
      </c>
      <c r="D88" s="11">
        <f>IF(Inputs!$D$24=0,0,IF($B88&lt;=Inputs!$C$24,0,IF($B88&gt;=INDEX(LE_Curves!$D$5:$D$205,201),INDEX(LE_Curves!$B$5:$B$205,201),INDEX(LE_Curves!$B$5:$B$205,MATCH($B88,LE_Curves!$D$5:$D$205,1))+($B88-INDEX(LE_Curves!$D$5:$D$205,MATCH($B88,LE_Curves!$D$5:$D$205,1)))*(INDEX(LE_Curves!$B$5:$B$205,MATCH($B88,LE_Curves!$D$5:$D$205,1)+1)-INDEX(LE_Curves!$B$5:$B$205,MATCH($B88,LE_Curves!$D$5:$D$205,1)))/(INDEX(LE_Curves!$D$5:$D$205,MATCH($B88,LE_Curves!$D$5:$D$205,1)+1)-INDEX(LE_Curves!$D$5:$D$205,MATCH($B88,LE_Curves!$D$5:$D$205,1))))))</f>
        <v/>
      </c>
      <c r="E88" s="11">
        <f>IF(Inputs!$D$25=0,0,IF($B88&lt;=Inputs!$C$25,0,IF($B88&gt;=INDEX(LE_Curves!$E$5:$E$205,201),INDEX(LE_Curves!$B$5:$B$205,201),INDEX(LE_Curves!$B$5:$B$205,MATCH($B88,LE_Curves!$E$5:$E$205,1))+($B88-INDEX(LE_Curves!$E$5:$E$205,MATCH($B88,LE_Curves!$E$5:$E$205,1)))*(INDEX(LE_Curves!$B$5:$B$205,MATCH($B88,LE_Curves!$E$5:$E$205,1)+1)-INDEX(LE_Curves!$B$5:$B$205,MATCH($B88,LE_Curves!$E$5:$E$205,1)))/(INDEX(LE_Curves!$E$5:$E$205,MATCH($B88,LE_Curves!$E$5:$E$205,1)+1)-INDEX(LE_Curves!$E$5:$E$205,MATCH($B88,LE_Curves!$E$5:$E$205,1))))))</f>
        <v/>
      </c>
      <c r="F88" s="11">
        <f>IF(Inputs!$D$26=0,0,IF($B88&lt;=Inputs!$C$26,0,IF($B88&gt;=INDEX(LE_Curves!$F$5:$F$205,201),INDEX(LE_Curves!$B$5:$B$205,201),INDEX(LE_Curves!$B$5:$B$205,MATCH($B88,LE_Curves!$F$5:$F$205,1))+($B88-INDEX(LE_Curves!$F$5:$F$205,MATCH($B88,LE_Curves!$F$5:$F$205,1)))*(INDEX(LE_Curves!$B$5:$B$205,MATCH($B88,LE_Curves!$F$5:$F$205,1)+1)-INDEX(LE_Curves!$B$5:$B$205,MATCH($B88,LE_Curves!$F$5:$F$205,1)))/(INDEX(LE_Curves!$F$5:$F$205,MATCH($B88,LE_Curves!$F$5:$F$205,1)+1)-INDEX(LE_Curves!$F$5:$F$205,MATCH($B88,LE_Curves!$F$5:$F$205,1))))))</f>
        <v/>
      </c>
      <c r="G88" s="11">
        <f>IF(Inputs!$D$27=0,0,IF($B88&lt;=Inputs!$C$27,0,IF($B88&gt;=INDEX(LE_Curves!$G$5:$G$205,201),INDEX(LE_Curves!$B$5:$B$205,201),INDEX(LE_Curves!$B$5:$B$205,MATCH($B88,LE_Curves!$G$5:$G$205,1))+($B88-INDEX(LE_Curves!$G$5:$G$205,MATCH($B88,LE_Curves!$G$5:$G$205,1)))*(INDEX(LE_Curves!$B$5:$B$205,MATCH($B88,LE_Curves!$G$5:$G$205,1)+1)-INDEX(LE_Curves!$B$5:$B$205,MATCH($B88,LE_Curves!$G$5:$G$205,1)))/(INDEX(LE_Curves!$G$5:$G$205,MATCH($B88,LE_Curves!$G$5:$G$205,1)+1)-INDEX(LE_Curves!$G$5:$G$205,MATCH($B88,LE_Curves!$G$5:$G$205,1))))))</f>
        <v/>
      </c>
      <c r="H88" s="11">
        <f>IF(Inputs!$D$28=0,0,IF($B88&lt;=Inputs!$C$28,0,IF($B88&gt;=INDEX(LE_Curves!$H$5:$H$205,201),INDEX(LE_Curves!$B$5:$B$205,201),INDEX(LE_Curves!$B$5:$B$205,MATCH($B88,LE_Curves!$H$5:$H$205,1))+($B88-INDEX(LE_Curves!$H$5:$H$205,MATCH($B88,LE_Curves!$H$5:$H$205,1)))*(INDEX(LE_Curves!$B$5:$B$205,MATCH($B88,LE_Curves!$H$5:$H$205,1)+1)-INDEX(LE_Curves!$B$5:$B$205,MATCH($B88,LE_Curves!$H$5:$H$205,1)))/(INDEX(LE_Curves!$H$5:$H$205,MATCH($B88,LE_Curves!$H$5:$H$205,1)+1)-INDEX(LE_Curves!$H$5:$H$205,MATCH($B88,LE_Curves!$H$5:$H$205,1))))))</f>
        <v/>
      </c>
      <c r="I88" s="11">
        <f>IF(Inputs!$D$29=0,0,IF($B88&lt;=Inputs!$C$29,0,IF($B88&gt;=INDEX(LE_Curves!$I$5:$I$205,201),INDEX(LE_Curves!$B$5:$B$205,201),INDEX(LE_Curves!$B$5:$B$205,MATCH($B88,LE_Curves!$I$5:$I$205,1))+($B88-INDEX(LE_Curves!$I$5:$I$205,MATCH($B88,LE_Curves!$I$5:$I$205,1)))*(INDEX(LE_Curves!$B$5:$B$205,MATCH($B88,LE_Curves!$I$5:$I$205,1)+1)-INDEX(LE_Curves!$B$5:$B$205,MATCH($B88,LE_Curves!$I$5:$I$205,1)))/(INDEX(LE_Curves!$I$5:$I$205,MATCH($B88,LE_Curves!$I$5:$I$205,1)+1)-INDEX(LE_Curves!$I$5:$I$205,MATCH($B88,LE_Curves!$I$5:$I$205,1))))))</f>
        <v/>
      </c>
      <c r="J88" s="11">
        <f>IF(Inputs!$D$30=0,0,IF($B88&lt;=Inputs!$C$30,0,IF($B88&gt;=INDEX(LE_Curves!$J$5:$J$205,201),INDEX(LE_Curves!$B$5:$B$205,201),INDEX(LE_Curves!$B$5:$B$205,MATCH($B88,LE_Curves!$J$5:$J$205,1))+($B88-INDEX(LE_Curves!$J$5:$J$205,MATCH($B88,LE_Curves!$J$5:$J$205,1)))*(INDEX(LE_Curves!$B$5:$B$205,MATCH($B88,LE_Curves!$J$5:$J$205,1)+1)-INDEX(LE_Curves!$B$5:$B$205,MATCH($B88,LE_Curves!$J$5:$J$205,1)))/(INDEX(LE_Curves!$J$5:$J$205,MATCH($B88,LE_Curves!$J$5:$J$205,1)+1)-INDEX(LE_Curves!$J$5:$J$205,MATCH($B88,LE_Curves!$J$5:$J$205,1))))))</f>
        <v/>
      </c>
      <c r="K88" s="11">
        <f>IF(Inputs!$D$31=0,0,IF($B88&lt;=Inputs!$C$31,0,IF($B88&gt;=INDEX(LE_Curves!$K$5:$K$205,201),INDEX(LE_Curves!$B$5:$B$205,201),INDEX(LE_Curves!$B$5:$B$205,MATCH($B88,LE_Curves!$K$5:$K$205,1))+($B88-INDEX(LE_Curves!$K$5:$K$205,MATCH($B88,LE_Curves!$K$5:$K$205,1)))*(INDEX(LE_Curves!$B$5:$B$205,MATCH($B88,LE_Curves!$K$5:$K$205,1)+1)-INDEX(LE_Curves!$B$5:$B$205,MATCH($B88,LE_Curves!$K$5:$K$205,1)))/(INDEX(LE_Curves!$K$5:$K$205,MATCH($B88,LE_Curves!$K$5:$K$205,1)+1)-INDEX(LE_Curves!$K$5:$K$205,MATCH($B88,LE_Curves!$K$5:$K$205,1))))))</f>
        <v/>
      </c>
      <c r="L88" s="11">
        <f>IF(Inputs!$D$32=0,0,IF($B88&lt;=Inputs!$C$32,0,IF($B88&gt;=INDEX(LE_Curves!$L$5:$L$205,201),INDEX(LE_Curves!$B$5:$B$205,201),INDEX(LE_Curves!$B$5:$B$205,MATCH($B88,LE_Curves!$L$5:$L$205,1))+($B88-INDEX(LE_Curves!$L$5:$L$205,MATCH($B88,LE_Curves!$L$5:$L$205,1)))*(INDEX(LE_Curves!$B$5:$B$205,MATCH($B88,LE_Curves!$L$5:$L$205,1)+1)-INDEX(LE_Curves!$B$5:$B$205,MATCH($B88,LE_Curves!$L$5:$L$205,1)))/(INDEX(LE_Curves!$L$5:$L$205,MATCH($B88,LE_Curves!$L$5:$L$205,1)+1)-INDEX(LE_Curves!$L$5:$L$205,MATCH($B88,LE_Curves!$L$5:$L$205,1))))))</f>
        <v/>
      </c>
      <c r="M88" s="11">
        <f>IF(Inputs!$D$33=0,0,IF($B88&lt;=Inputs!$C$33,0,IF($B88&gt;=INDEX(LE_Curves!$M$5:$M$205,201),INDEX(LE_Curves!$B$5:$B$205,201),INDEX(LE_Curves!$B$5:$B$205,MATCH($B88,LE_Curves!$M$5:$M$205,1))+($B88-INDEX(LE_Curves!$M$5:$M$205,MATCH($B88,LE_Curves!$M$5:$M$205,1)))*(INDEX(LE_Curves!$B$5:$B$205,MATCH($B88,LE_Curves!$M$5:$M$205,1)+1)-INDEX(LE_Curves!$B$5:$B$205,MATCH($B88,LE_Curves!$M$5:$M$205,1)))/(INDEX(LE_Curves!$M$5:$M$205,MATCH($B88,LE_Curves!$M$5:$M$205,1)+1)-INDEX(LE_Curves!$M$5:$M$205,MATCH($B88,LE_Curves!$M$5:$M$205,1))))))</f>
        <v/>
      </c>
      <c r="N88" s="11">
        <f>IF(Inputs!$D$34=0,0,IF($B88&lt;=Inputs!$C$34,0,IF($B88&gt;=INDEX(LE_Curves!$N$5:$N$205,201),INDEX(LE_Curves!$B$5:$B$205,201),INDEX(LE_Curves!$B$5:$B$205,MATCH($B88,LE_Curves!$N$5:$N$205,1))+($B88-INDEX(LE_Curves!$N$5:$N$205,MATCH($B88,LE_Curves!$N$5:$N$205,1)))*(INDEX(LE_Curves!$B$5:$B$205,MATCH($B88,LE_Curves!$N$5:$N$205,1)+1)-INDEX(LE_Curves!$B$5:$B$205,MATCH($B88,LE_Curves!$N$5:$N$205,1)))/(INDEX(LE_Curves!$N$5:$N$205,MATCH($B88,LE_Curves!$N$5:$N$205,1)+1)-INDEX(LE_Curves!$N$5:$N$205,MATCH($B88,LE_Curves!$N$5:$N$205,1))))))</f>
        <v/>
      </c>
      <c r="O88" s="11">
        <f>SUM(C88:N88)</f>
        <v/>
      </c>
      <c r="Q88" s="7" t="n">
        <v>57</v>
      </c>
      <c r="R88" s="23">
        <f>$B$6+($B$7-$B$6)*Q88/200</f>
        <v/>
      </c>
      <c r="S88" s="11">
        <f>IF(Inputs!$D$23=0,0,IF($R88&lt;=Inputs!$C$23,0,IF($R88&gt;=INDEX(LE_Curves!$C$5:$C$205,201),INDEX(LE_Curves!$B$5:$B$205,201),INDEX(LE_Curves!$B$5:$B$205,MATCH($R88,LE_Curves!$C$5:$C$205,1))+($R88-INDEX(LE_Curves!$C$5:$C$205,MATCH($R88,LE_Curves!$C$5:$C$205,1)))*(INDEX(LE_Curves!$B$5:$B$205,MATCH($R88,LE_Curves!$C$5:$C$205,1)+1)-INDEX(LE_Curves!$B$5:$B$205,MATCH($R88,LE_Curves!$C$5:$C$205,1)))/(INDEX(LE_Curves!$C$5:$C$205,MATCH($R88,LE_Curves!$C$5:$C$205,1)+1)-INDEX(LE_Curves!$C$5:$C$205,MATCH($R88,LE_Curves!$C$5:$C$205,1))))))</f>
        <v/>
      </c>
      <c r="T88" s="11">
        <f>IF(Inputs!$D$24=0,0,IF($R88&lt;=Inputs!$C$24,0,IF($R88&gt;=INDEX(LE_Curves!$D$5:$D$205,201),INDEX(LE_Curves!$B$5:$B$205,201),INDEX(LE_Curves!$B$5:$B$205,MATCH($R88,LE_Curves!$D$5:$D$205,1))+($R88-INDEX(LE_Curves!$D$5:$D$205,MATCH($R88,LE_Curves!$D$5:$D$205,1)))*(INDEX(LE_Curves!$B$5:$B$205,MATCH($R88,LE_Curves!$D$5:$D$205,1)+1)-INDEX(LE_Curves!$B$5:$B$205,MATCH($R88,LE_Curves!$D$5:$D$205,1)))/(INDEX(LE_Curves!$D$5:$D$205,MATCH($R88,LE_Curves!$D$5:$D$205,1)+1)-INDEX(LE_Curves!$D$5:$D$205,MATCH($R88,LE_Curves!$D$5:$D$205,1))))))</f>
        <v/>
      </c>
      <c r="U88" s="11">
        <f>IF(Inputs!$D$25=0,0,IF($R88&lt;=Inputs!$C$25,0,IF($R88&gt;=INDEX(LE_Curves!$E$5:$E$205,201),INDEX(LE_Curves!$B$5:$B$205,201),INDEX(LE_Curves!$B$5:$B$205,MATCH($R88,LE_Curves!$E$5:$E$205,1))+($R88-INDEX(LE_Curves!$E$5:$E$205,MATCH($R88,LE_Curves!$E$5:$E$205,1)))*(INDEX(LE_Curves!$B$5:$B$205,MATCH($R88,LE_Curves!$E$5:$E$205,1)+1)-INDEX(LE_Curves!$B$5:$B$205,MATCH($R88,LE_Curves!$E$5:$E$205,1)))/(INDEX(LE_Curves!$E$5:$E$205,MATCH($R88,LE_Curves!$E$5:$E$205,1)+1)-INDEX(LE_Curves!$E$5:$E$205,MATCH($R88,LE_Curves!$E$5:$E$205,1))))))</f>
        <v/>
      </c>
      <c r="V88" s="11">
        <f>IF(Inputs!$D$26=0,0,IF($R88&lt;=Inputs!$C$26,0,IF($R88&gt;=INDEX(LE_Curves!$F$5:$F$205,201),INDEX(LE_Curves!$B$5:$B$205,201),INDEX(LE_Curves!$B$5:$B$205,MATCH($R88,LE_Curves!$F$5:$F$205,1))+($R88-INDEX(LE_Curves!$F$5:$F$205,MATCH($R88,LE_Curves!$F$5:$F$205,1)))*(INDEX(LE_Curves!$B$5:$B$205,MATCH($R88,LE_Curves!$F$5:$F$205,1)+1)-INDEX(LE_Curves!$B$5:$B$205,MATCH($R88,LE_Curves!$F$5:$F$205,1)))/(INDEX(LE_Curves!$F$5:$F$205,MATCH($R88,LE_Curves!$F$5:$F$205,1)+1)-INDEX(LE_Curves!$F$5:$F$205,MATCH($R88,LE_Curves!$F$5:$F$205,1))))))</f>
        <v/>
      </c>
      <c r="W88" s="11">
        <f>IF(Inputs!$D$27=0,0,IF($R88&lt;=Inputs!$C$27,0,IF($R88&gt;=INDEX(LE_Curves!$G$5:$G$205,201),INDEX(LE_Curves!$B$5:$B$205,201),INDEX(LE_Curves!$B$5:$B$205,MATCH($R88,LE_Curves!$G$5:$G$205,1))+($R88-INDEX(LE_Curves!$G$5:$G$205,MATCH($R88,LE_Curves!$G$5:$G$205,1)))*(INDEX(LE_Curves!$B$5:$B$205,MATCH($R88,LE_Curves!$G$5:$G$205,1)+1)-INDEX(LE_Curves!$B$5:$B$205,MATCH($R88,LE_Curves!$G$5:$G$205,1)))/(INDEX(LE_Curves!$G$5:$G$205,MATCH($R88,LE_Curves!$G$5:$G$205,1)+1)-INDEX(LE_Curves!$G$5:$G$205,MATCH($R88,LE_Curves!$G$5:$G$205,1))))))</f>
        <v/>
      </c>
      <c r="X88" s="11">
        <f>IF(Inputs!$D$28=0,0,IF($R88&lt;=Inputs!$C$28,0,IF($R88&gt;=INDEX(LE_Curves!$H$5:$H$205,201),INDEX(LE_Curves!$B$5:$B$205,201),INDEX(LE_Curves!$B$5:$B$205,MATCH($R88,LE_Curves!$H$5:$H$205,1))+($R88-INDEX(LE_Curves!$H$5:$H$205,MATCH($R88,LE_Curves!$H$5:$H$205,1)))*(INDEX(LE_Curves!$B$5:$B$205,MATCH($R88,LE_Curves!$H$5:$H$205,1)+1)-INDEX(LE_Curves!$B$5:$B$205,MATCH($R88,LE_Curves!$H$5:$H$205,1)))/(INDEX(LE_Curves!$H$5:$H$205,MATCH($R88,LE_Curves!$H$5:$H$205,1)+1)-INDEX(LE_Curves!$H$5:$H$205,MATCH($R88,LE_Curves!$H$5:$H$205,1))))))</f>
        <v/>
      </c>
      <c r="Y88" s="11">
        <f>IF(Inputs!$D$29=0,0,IF($R88&lt;=Inputs!$C$29,0,IF($R88&gt;=INDEX(LE_Curves!$I$5:$I$205,201),INDEX(LE_Curves!$B$5:$B$205,201),INDEX(LE_Curves!$B$5:$B$205,MATCH($R88,LE_Curves!$I$5:$I$205,1))+($R88-INDEX(LE_Curves!$I$5:$I$205,MATCH($R88,LE_Curves!$I$5:$I$205,1)))*(INDEX(LE_Curves!$B$5:$B$205,MATCH($R88,LE_Curves!$I$5:$I$205,1)+1)-INDEX(LE_Curves!$B$5:$B$205,MATCH($R88,LE_Curves!$I$5:$I$205,1)))/(INDEX(LE_Curves!$I$5:$I$205,MATCH($R88,LE_Curves!$I$5:$I$205,1)+1)-INDEX(LE_Curves!$I$5:$I$205,MATCH($R88,LE_Curves!$I$5:$I$205,1))))))</f>
        <v/>
      </c>
      <c r="Z88" s="11">
        <f>IF(Inputs!$D$30=0,0,IF($R88&lt;=Inputs!$C$30,0,IF($R88&gt;=INDEX(LE_Curves!$J$5:$J$205,201),INDEX(LE_Curves!$B$5:$B$205,201),INDEX(LE_Curves!$B$5:$B$205,MATCH($R88,LE_Curves!$J$5:$J$205,1))+($R88-INDEX(LE_Curves!$J$5:$J$205,MATCH($R88,LE_Curves!$J$5:$J$205,1)))*(INDEX(LE_Curves!$B$5:$B$205,MATCH($R88,LE_Curves!$J$5:$J$205,1)+1)-INDEX(LE_Curves!$B$5:$B$205,MATCH($R88,LE_Curves!$J$5:$J$205,1)))/(INDEX(LE_Curves!$J$5:$J$205,MATCH($R88,LE_Curves!$J$5:$J$205,1)+1)-INDEX(LE_Curves!$J$5:$J$205,MATCH($R88,LE_Curves!$J$5:$J$205,1))))))</f>
        <v/>
      </c>
      <c r="AA88" s="11">
        <f>IF(Inputs!$D$31=0,0,IF($R88&lt;=Inputs!$C$31,0,IF($R88&gt;=INDEX(LE_Curves!$K$5:$K$205,201),INDEX(LE_Curves!$B$5:$B$205,201),INDEX(LE_Curves!$B$5:$B$205,MATCH($R88,LE_Curves!$K$5:$K$205,1))+($R88-INDEX(LE_Curves!$K$5:$K$205,MATCH($R88,LE_Curves!$K$5:$K$205,1)))*(INDEX(LE_Curves!$B$5:$B$205,MATCH($R88,LE_Curves!$K$5:$K$205,1)+1)-INDEX(LE_Curves!$B$5:$B$205,MATCH($R88,LE_Curves!$K$5:$K$205,1)))/(INDEX(LE_Curves!$K$5:$K$205,MATCH($R88,LE_Curves!$K$5:$K$205,1)+1)-INDEX(LE_Curves!$K$5:$K$205,MATCH($R88,LE_Curves!$K$5:$K$205,1))))))</f>
        <v/>
      </c>
      <c r="AB88" s="11">
        <f>IF(Inputs!$D$32=0,0,IF($R88&lt;=Inputs!$C$32,0,IF($R88&gt;=INDEX(LE_Curves!$L$5:$L$205,201),INDEX(LE_Curves!$B$5:$B$205,201),INDEX(LE_Curves!$B$5:$B$205,MATCH($R88,LE_Curves!$L$5:$L$205,1))+($R88-INDEX(LE_Curves!$L$5:$L$205,MATCH($R88,LE_Curves!$L$5:$L$205,1)))*(INDEX(LE_Curves!$B$5:$B$205,MATCH($R88,LE_Curves!$L$5:$L$205,1)+1)-INDEX(LE_Curves!$B$5:$B$205,MATCH($R88,LE_Curves!$L$5:$L$205,1)))/(INDEX(LE_Curves!$L$5:$L$205,MATCH($R88,LE_Curves!$L$5:$L$205,1)+1)-INDEX(LE_Curves!$L$5:$L$205,MATCH($R88,LE_Curves!$L$5:$L$205,1))))))</f>
        <v/>
      </c>
      <c r="AC88" s="11">
        <f>IF(Inputs!$D$33=0,0,IF($R88&lt;=Inputs!$C$33,0,IF($R88&gt;=INDEX(LE_Curves!$M$5:$M$205,201),INDEX(LE_Curves!$B$5:$B$205,201),INDEX(LE_Curves!$B$5:$B$205,MATCH($R88,LE_Curves!$M$5:$M$205,1))+($R88-INDEX(LE_Curves!$M$5:$M$205,MATCH($R88,LE_Curves!$M$5:$M$205,1)))*(INDEX(LE_Curves!$B$5:$B$205,MATCH($R88,LE_Curves!$M$5:$M$205,1)+1)-INDEX(LE_Curves!$B$5:$B$205,MATCH($R88,LE_Curves!$M$5:$M$205,1)))/(INDEX(LE_Curves!$M$5:$M$205,MATCH($R88,LE_Curves!$M$5:$M$205,1)+1)-INDEX(LE_Curves!$M$5:$M$205,MATCH($R88,LE_Curves!$M$5:$M$205,1))))))</f>
        <v/>
      </c>
      <c r="AD88" s="11">
        <f>IF(Inputs!$D$34=0,0,IF($R88&lt;=Inputs!$C$34,0,IF($R88&gt;=INDEX(LE_Curves!$N$5:$N$205,201),INDEX(LE_Curves!$B$5:$B$205,201),INDEX(LE_Curves!$B$5:$B$205,MATCH($R88,LE_Curves!$N$5:$N$205,1))+($R88-INDEX(LE_Curves!$N$5:$N$205,MATCH($R88,LE_Curves!$N$5:$N$205,1)))*(INDEX(LE_Curves!$B$5:$B$205,MATCH($R88,LE_Curves!$N$5:$N$205,1)+1)-INDEX(LE_Curves!$B$5:$B$205,MATCH($R88,LE_Curves!$N$5:$N$205,1)))/(INDEX(LE_Curves!$N$5:$N$205,MATCH($R88,LE_Curves!$N$5:$N$205,1)+1)-INDEX(LE_Curves!$N$5:$N$205,MATCH($R88,LE_Curves!$N$5:$N$205,1))))))</f>
        <v/>
      </c>
      <c r="AE88" s="37">
        <f>SUM(S88:AD88)</f>
        <v/>
      </c>
    </row>
    <row r="89">
      <c r="A89" s="7" t="n">
        <v>58</v>
      </c>
      <c r="B89" s="37">
        <f>$B$3+($B$4-$B$3)*A89/200</f>
        <v/>
      </c>
      <c r="C89" s="11">
        <f>IF(Inputs!$D$23=0,0,IF($B89&lt;=Inputs!$C$23,0,IF($B89&gt;=INDEX(LE_Curves!$C$5:$C$205,201),INDEX(LE_Curves!$B$5:$B$205,201),INDEX(LE_Curves!$B$5:$B$205,MATCH($B89,LE_Curves!$C$5:$C$205,1))+($B89-INDEX(LE_Curves!$C$5:$C$205,MATCH($B89,LE_Curves!$C$5:$C$205,1)))*(INDEX(LE_Curves!$B$5:$B$205,MATCH($B89,LE_Curves!$C$5:$C$205,1)+1)-INDEX(LE_Curves!$B$5:$B$205,MATCH($B89,LE_Curves!$C$5:$C$205,1)))/(INDEX(LE_Curves!$C$5:$C$205,MATCH($B89,LE_Curves!$C$5:$C$205,1)+1)-INDEX(LE_Curves!$C$5:$C$205,MATCH($B89,LE_Curves!$C$5:$C$205,1))))))</f>
        <v/>
      </c>
      <c r="D89" s="11">
        <f>IF(Inputs!$D$24=0,0,IF($B89&lt;=Inputs!$C$24,0,IF($B89&gt;=INDEX(LE_Curves!$D$5:$D$205,201),INDEX(LE_Curves!$B$5:$B$205,201),INDEX(LE_Curves!$B$5:$B$205,MATCH($B89,LE_Curves!$D$5:$D$205,1))+($B89-INDEX(LE_Curves!$D$5:$D$205,MATCH($B89,LE_Curves!$D$5:$D$205,1)))*(INDEX(LE_Curves!$B$5:$B$205,MATCH($B89,LE_Curves!$D$5:$D$205,1)+1)-INDEX(LE_Curves!$B$5:$B$205,MATCH($B89,LE_Curves!$D$5:$D$205,1)))/(INDEX(LE_Curves!$D$5:$D$205,MATCH($B89,LE_Curves!$D$5:$D$205,1)+1)-INDEX(LE_Curves!$D$5:$D$205,MATCH($B89,LE_Curves!$D$5:$D$205,1))))))</f>
        <v/>
      </c>
      <c r="E89" s="11">
        <f>IF(Inputs!$D$25=0,0,IF($B89&lt;=Inputs!$C$25,0,IF($B89&gt;=INDEX(LE_Curves!$E$5:$E$205,201),INDEX(LE_Curves!$B$5:$B$205,201),INDEX(LE_Curves!$B$5:$B$205,MATCH($B89,LE_Curves!$E$5:$E$205,1))+($B89-INDEX(LE_Curves!$E$5:$E$205,MATCH($B89,LE_Curves!$E$5:$E$205,1)))*(INDEX(LE_Curves!$B$5:$B$205,MATCH($B89,LE_Curves!$E$5:$E$205,1)+1)-INDEX(LE_Curves!$B$5:$B$205,MATCH($B89,LE_Curves!$E$5:$E$205,1)))/(INDEX(LE_Curves!$E$5:$E$205,MATCH($B89,LE_Curves!$E$5:$E$205,1)+1)-INDEX(LE_Curves!$E$5:$E$205,MATCH($B89,LE_Curves!$E$5:$E$205,1))))))</f>
        <v/>
      </c>
      <c r="F89" s="11">
        <f>IF(Inputs!$D$26=0,0,IF($B89&lt;=Inputs!$C$26,0,IF($B89&gt;=INDEX(LE_Curves!$F$5:$F$205,201),INDEX(LE_Curves!$B$5:$B$205,201),INDEX(LE_Curves!$B$5:$B$205,MATCH($B89,LE_Curves!$F$5:$F$205,1))+($B89-INDEX(LE_Curves!$F$5:$F$205,MATCH($B89,LE_Curves!$F$5:$F$205,1)))*(INDEX(LE_Curves!$B$5:$B$205,MATCH($B89,LE_Curves!$F$5:$F$205,1)+1)-INDEX(LE_Curves!$B$5:$B$205,MATCH($B89,LE_Curves!$F$5:$F$205,1)))/(INDEX(LE_Curves!$F$5:$F$205,MATCH($B89,LE_Curves!$F$5:$F$205,1)+1)-INDEX(LE_Curves!$F$5:$F$205,MATCH($B89,LE_Curves!$F$5:$F$205,1))))))</f>
        <v/>
      </c>
      <c r="G89" s="11">
        <f>IF(Inputs!$D$27=0,0,IF($B89&lt;=Inputs!$C$27,0,IF($B89&gt;=INDEX(LE_Curves!$G$5:$G$205,201),INDEX(LE_Curves!$B$5:$B$205,201),INDEX(LE_Curves!$B$5:$B$205,MATCH($B89,LE_Curves!$G$5:$G$205,1))+($B89-INDEX(LE_Curves!$G$5:$G$205,MATCH($B89,LE_Curves!$G$5:$G$205,1)))*(INDEX(LE_Curves!$B$5:$B$205,MATCH($B89,LE_Curves!$G$5:$G$205,1)+1)-INDEX(LE_Curves!$B$5:$B$205,MATCH($B89,LE_Curves!$G$5:$G$205,1)))/(INDEX(LE_Curves!$G$5:$G$205,MATCH($B89,LE_Curves!$G$5:$G$205,1)+1)-INDEX(LE_Curves!$G$5:$G$205,MATCH($B89,LE_Curves!$G$5:$G$205,1))))))</f>
        <v/>
      </c>
      <c r="H89" s="11">
        <f>IF(Inputs!$D$28=0,0,IF($B89&lt;=Inputs!$C$28,0,IF($B89&gt;=INDEX(LE_Curves!$H$5:$H$205,201),INDEX(LE_Curves!$B$5:$B$205,201),INDEX(LE_Curves!$B$5:$B$205,MATCH($B89,LE_Curves!$H$5:$H$205,1))+($B89-INDEX(LE_Curves!$H$5:$H$205,MATCH($B89,LE_Curves!$H$5:$H$205,1)))*(INDEX(LE_Curves!$B$5:$B$205,MATCH($B89,LE_Curves!$H$5:$H$205,1)+1)-INDEX(LE_Curves!$B$5:$B$205,MATCH($B89,LE_Curves!$H$5:$H$205,1)))/(INDEX(LE_Curves!$H$5:$H$205,MATCH($B89,LE_Curves!$H$5:$H$205,1)+1)-INDEX(LE_Curves!$H$5:$H$205,MATCH($B89,LE_Curves!$H$5:$H$205,1))))))</f>
        <v/>
      </c>
      <c r="I89" s="11">
        <f>IF(Inputs!$D$29=0,0,IF($B89&lt;=Inputs!$C$29,0,IF($B89&gt;=INDEX(LE_Curves!$I$5:$I$205,201),INDEX(LE_Curves!$B$5:$B$205,201),INDEX(LE_Curves!$B$5:$B$205,MATCH($B89,LE_Curves!$I$5:$I$205,1))+($B89-INDEX(LE_Curves!$I$5:$I$205,MATCH($B89,LE_Curves!$I$5:$I$205,1)))*(INDEX(LE_Curves!$B$5:$B$205,MATCH($B89,LE_Curves!$I$5:$I$205,1)+1)-INDEX(LE_Curves!$B$5:$B$205,MATCH($B89,LE_Curves!$I$5:$I$205,1)))/(INDEX(LE_Curves!$I$5:$I$205,MATCH($B89,LE_Curves!$I$5:$I$205,1)+1)-INDEX(LE_Curves!$I$5:$I$205,MATCH($B89,LE_Curves!$I$5:$I$205,1))))))</f>
        <v/>
      </c>
      <c r="J89" s="11">
        <f>IF(Inputs!$D$30=0,0,IF($B89&lt;=Inputs!$C$30,0,IF($B89&gt;=INDEX(LE_Curves!$J$5:$J$205,201),INDEX(LE_Curves!$B$5:$B$205,201),INDEX(LE_Curves!$B$5:$B$205,MATCH($B89,LE_Curves!$J$5:$J$205,1))+($B89-INDEX(LE_Curves!$J$5:$J$205,MATCH($B89,LE_Curves!$J$5:$J$205,1)))*(INDEX(LE_Curves!$B$5:$B$205,MATCH($B89,LE_Curves!$J$5:$J$205,1)+1)-INDEX(LE_Curves!$B$5:$B$205,MATCH($B89,LE_Curves!$J$5:$J$205,1)))/(INDEX(LE_Curves!$J$5:$J$205,MATCH($B89,LE_Curves!$J$5:$J$205,1)+1)-INDEX(LE_Curves!$J$5:$J$205,MATCH($B89,LE_Curves!$J$5:$J$205,1))))))</f>
        <v/>
      </c>
      <c r="K89" s="11">
        <f>IF(Inputs!$D$31=0,0,IF($B89&lt;=Inputs!$C$31,0,IF($B89&gt;=INDEX(LE_Curves!$K$5:$K$205,201),INDEX(LE_Curves!$B$5:$B$205,201),INDEX(LE_Curves!$B$5:$B$205,MATCH($B89,LE_Curves!$K$5:$K$205,1))+($B89-INDEX(LE_Curves!$K$5:$K$205,MATCH($B89,LE_Curves!$K$5:$K$205,1)))*(INDEX(LE_Curves!$B$5:$B$205,MATCH($B89,LE_Curves!$K$5:$K$205,1)+1)-INDEX(LE_Curves!$B$5:$B$205,MATCH($B89,LE_Curves!$K$5:$K$205,1)))/(INDEX(LE_Curves!$K$5:$K$205,MATCH($B89,LE_Curves!$K$5:$K$205,1)+1)-INDEX(LE_Curves!$K$5:$K$205,MATCH($B89,LE_Curves!$K$5:$K$205,1))))))</f>
        <v/>
      </c>
      <c r="L89" s="11">
        <f>IF(Inputs!$D$32=0,0,IF($B89&lt;=Inputs!$C$32,0,IF($B89&gt;=INDEX(LE_Curves!$L$5:$L$205,201),INDEX(LE_Curves!$B$5:$B$205,201),INDEX(LE_Curves!$B$5:$B$205,MATCH($B89,LE_Curves!$L$5:$L$205,1))+($B89-INDEX(LE_Curves!$L$5:$L$205,MATCH($B89,LE_Curves!$L$5:$L$205,1)))*(INDEX(LE_Curves!$B$5:$B$205,MATCH($B89,LE_Curves!$L$5:$L$205,1)+1)-INDEX(LE_Curves!$B$5:$B$205,MATCH($B89,LE_Curves!$L$5:$L$205,1)))/(INDEX(LE_Curves!$L$5:$L$205,MATCH($B89,LE_Curves!$L$5:$L$205,1)+1)-INDEX(LE_Curves!$L$5:$L$205,MATCH($B89,LE_Curves!$L$5:$L$205,1))))))</f>
        <v/>
      </c>
      <c r="M89" s="11">
        <f>IF(Inputs!$D$33=0,0,IF($B89&lt;=Inputs!$C$33,0,IF($B89&gt;=INDEX(LE_Curves!$M$5:$M$205,201),INDEX(LE_Curves!$B$5:$B$205,201),INDEX(LE_Curves!$B$5:$B$205,MATCH($B89,LE_Curves!$M$5:$M$205,1))+($B89-INDEX(LE_Curves!$M$5:$M$205,MATCH($B89,LE_Curves!$M$5:$M$205,1)))*(INDEX(LE_Curves!$B$5:$B$205,MATCH($B89,LE_Curves!$M$5:$M$205,1)+1)-INDEX(LE_Curves!$B$5:$B$205,MATCH($B89,LE_Curves!$M$5:$M$205,1)))/(INDEX(LE_Curves!$M$5:$M$205,MATCH($B89,LE_Curves!$M$5:$M$205,1)+1)-INDEX(LE_Curves!$M$5:$M$205,MATCH($B89,LE_Curves!$M$5:$M$205,1))))))</f>
        <v/>
      </c>
      <c r="N89" s="11">
        <f>IF(Inputs!$D$34=0,0,IF($B89&lt;=Inputs!$C$34,0,IF($B89&gt;=INDEX(LE_Curves!$N$5:$N$205,201),INDEX(LE_Curves!$B$5:$B$205,201),INDEX(LE_Curves!$B$5:$B$205,MATCH($B89,LE_Curves!$N$5:$N$205,1))+($B89-INDEX(LE_Curves!$N$5:$N$205,MATCH($B89,LE_Curves!$N$5:$N$205,1)))*(INDEX(LE_Curves!$B$5:$B$205,MATCH($B89,LE_Curves!$N$5:$N$205,1)+1)-INDEX(LE_Curves!$B$5:$B$205,MATCH($B89,LE_Curves!$N$5:$N$205,1)))/(INDEX(LE_Curves!$N$5:$N$205,MATCH($B89,LE_Curves!$N$5:$N$205,1)+1)-INDEX(LE_Curves!$N$5:$N$205,MATCH($B89,LE_Curves!$N$5:$N$205,1))))))</f>
        <v/>
      </c>
      <c r="O89" s="11">
        <f>SUM(C89:N89)</f>
        <v/>
      </c>
      <c r="Q89" s="7" t="n">
        <v>58</v>
      </c>
      <c r="R89" s="23">
        <f>$B$6+($B$7-$B$6)*Q89/200</f>
        <v/>
      </c>
      <c r="S89" s="11">
        <f>IF(Inputs!$D$23=0,0,IF($R89&lt;=Inputs!$C$23,0,IF($R89&gt;=INDEX(LE_Curves!$C$5:$C$205,201),INDEX(LE_Curves!$B$5:$B$205,201),INDEX(LE_Curves!$B$5:$B$205,MATCH($R89,LE_Curves!$C$5:$C$205,1))+($R89-INDEX(LE_Curves!$C$5:$C$205,MATCH($R89,LE_Curves!$C$5:$C$205,1)))*(INDEX(LE_Curves!$B$5:$B$205,MATCH($R89,LE_Curves!$C$5:$C$205,1)+1)-INDEX(LE_Curves!$B$5:$B$205,MATCH($R89,LE_Curves!$C$5:$C$205,1)))/(INDEX(LE_Curves!$C$5:$C$205,MATCH($R89,LE_Curves!$C$5:$C$205,1)+1)-INDEX(LE_Curves!$C$5:$C$205,MATCH($R89,LE_Curves!$C$5:$C$205,1))))))</f>
        <v/>
      </c>
      <c r="T89" s="11">
        <f>IF(Inputs!$D$24=0,0,IF($R89&lt;=Inputs!$C$24,0,IF($R89&gt;=INDEX(LE_Curves!$D$5:$D$205,201),INDEX(LE_Curves!$B$5:$B$205,201),INDEX(LE_Curves!$B$5:$B$205,MATCH($R89,LE_Curves!$D$5:$D$205,1))+($R89-INDEX(LE_Curves!$D$5:$D$205,MATCH($R89,LE_Curves!$D$5:$D$205,1)))*(INDEX(LE_Curves!$B$5:$B$205,MATCH($R89,LE_Curves!$D$5:$D$205,1)+1)-INDEX(LE_Curves!$B$5:$B$205,MATCH($R89,LE_Curves!$D$5:$D$205,1)))/(INDEX(LE_Curves!$D$5:$D$205,MATCH($R89,LE_Curves!$D$5:$D$205,1)+1)-INDEX(LE_Curves!$D$5:$D$205,MATCH($R89,LE_Curves!$D$5:$D$205,1))))))</f>
        <v/>
      </c>
      <c r="U89" s="11">
        <f>IF(Inputs!$D$25=0,0,IF($R89&lt;=Inputs!$C$25,0,IF($R89&gt;=INDEX(LE_Curves!$E$5:$E$205,201),INDEX(LE_Curves!$B$5:$B$205,201),INDEX(LE_Curves!$B$5:$B$205,MATCH($R89,LE_Curves!$E$5:$E$205,1))+($R89-INDEX(LE_Curves!$E$5:$E$205,MATCH($R89,LE_Curves!$E$5:$E$205,1)))*(INDEX(LE_Curves!$B$5:$B$205,MATCH($R89,LE_Curves!$E$5:$E$205,1)+1)-INDEX(LE_Curves!$B$5:$B$205,MATCH($R89,LE_Curves!$E$5:$E$205,1)))/(INDEX(LE_Curves!$E$5:$E$205,MATCH($R89,LE_Curves!$E$5:$E$205,1)+1)-INDEX(LE_Curves!$E$5:$E$205,MATCH($R89,LE_Curves!$E$5:$E$205,1))))))</f>
        <v/>
      </c>
      <c r="V89" s="11">
        <f>IF(Inputs!$D$26=0,0,IF($R89&lt;=Inputs!$C$26,0,IF($R89&gt;=INDEX(LE_Curves!$F$5:$F$205,201),INDEX(LE_Curves!$B$5:$B$205,201),INDEX(LE_Curves!$B$5:$B$205,MATCH($R89,LE_Curves!$F$5:$F$205,1))+($R89-INDEX(LE_Curves!$F$5:$F$205,MATCH($R89,LE_Curves!$F$5:$F$205,1)))*(INDEX(LE_Curves!$B$5:$B$205,MATCH($R89,LE_Curves!$F$5:$F$205,1)+1)-INDEX(LE_Curves!$B$5:$B$205,MATCH($R89,LE_Curves!$F$5:$F$205,1)))/(INDEX(LE_Curves!$F$5:$F$205,MATCH($R89,LE_Curves!$F$5:$F$205,1)+1)-INDEX(LE_Curves!$F$5:$F$205,MATCH($R89,LE_Curves!$F$5:$F$205,1))))))</f>
        <v/>
      </c>
      <c r="W89" s="11">
        <f>IF(Inputs!$D$27=0,0,IF($R89&lt;=Inputs!$C$27,0,IF($R89&gt;=INDEX(LE_Curves!$G$5:$G$205,201),INDEX(LE_Curves!$B$5:$B$205,201),INDEX(LE_Curves!$B$5:$B$205,MATCH($R89,LE_Curves!$G$5:$G$205,1))+($R89-INDEX(LE_Curves!$G$5:$G$205,MATCH($R89,LE_Curves!$G$5:$G$205,1)))*(INDEX(LE_Curves!$B$5:$B$205,MATCH($R89,LE_Curves!$G$5:$G$205,1)+1)-INDEX(LE_Curves!$B$5:$B$205,MATCH($R89,LE_Curves!$G$5:$G$205,1)))/(INDEX(LE_Curves!$G$5:$G$205,MATCH($R89,LE_Curves!$G$5:$G$205,1)+1)-INDEX(LE_Curves!$G$5:$G$205,MATCH($R89,LE_Curves!$G$5:$G$205,1))))))</f>
        <v/>
      </c>
      <c r="X89" s="11">
        <f>IF(Inputs!$D$28=0,0,IF($R89&lt;=Inputs!$C$28,0,IF($R89&gt;=INDEX(LE_Curves!$H$5:$H$205,201),INDEX(LE_Curves!$B$5:$B$205,201),INDEX(LE_Curves!$B$5:$B$205,MATCH($R89,LE_Curves!$H$5:$H$205,1))+($R89-INDEX(LE_Curves!$H$5:$H$205,MATCH($R89,LE_Curves!$H$5:$H$205,1)))*(INDEX(LE_Curves!$B$5:$B$205,MATCH($R89,LE_Curves!$H$5:$H$205,1)+1)-INDEX(LE_Curves!$B$5:$B$205,MATCH($R89,LE_Curves!$H$5:$H$205,1)))/(INDEX(LE_Curves!$H$5:$H$205,MATCH($R89,LE_Curves!$H$5:$H$205,1)+1)-INDEX(LE_Curves!$H$5:$H$205,MATCH($R89,LE_Curves!$H$5:$H$205,1))))))</f>
        <v/>
      </c>
      <c r="Y89" s="11">
        <f>IF(Inputs!$D$29=0,0,IF($R89&lt;=Inputs!$C$29,0,IF($R89&gt;=INDEX(LE_Curves!$I$5:$I$205,201),INDEX(LE_Curves!$B$5:$B$205,201),INDEX(LE_Curves!$B$5:$B$205,MATCH($R89,LE_Curves!$I$5:$I$205,1))+($R89-INDEX(LE_Curves!$I$5:$I$205,MATCH($R89,LE_Curves!$I$5:$I$205,1)))*(INDEX(LE_Curves!$B$5:$B$205,MATCH($R89,LE_Curves!$I$5:$I$205,1)+1)-INDEX(LE_Curves!$B$5:$B$205,MATCH($R89,LE_Curves!$I$5:$I$205,1)))/(INDEX(LE_Curves!$I$5:$I$205,MATCH($R89,LE_Curves!$I$5:$I$205,1)+1)-INDEX(LE_Curves!$I$5:$I$205,MATCH($R89,LE_Curves!$I$5:$I$205,1))))))</f>
        <v/>
      </c>
      <c r="Z89" s="11">
        <f>IF(Inputs!$D$30=0,0,IF($R89&lt;=Inputs!$C$30,0,IF($R89&gt;=INDEX(LE_Curves!$J$5:$J$205,201),INDEX(LE_Curves!$B$5:$B$205,201),INDEX(LE_Curves!$B$5:$B$205,MATCH($R89,LE_Curves!$J$5:$J$205,1))+($R89-INDEX(LE_Curves!$J$5:$J$205,MATCH($R89,LE_Curves!$J$5:$J$205,1)))*(INDEX(LE_Curves!$B$5:$B$205,MATCH($R89,LE_Curves!$J$5:$J$205,1)+1)-INDEX(LE_Curves!$B$5:$B$205,MATCH($R89,LE_Curves!$J$5:$J$205,1)))/(INDEX(LE_Curves!$J$5:$J$205,MATCH($R89,LE_Curves!$J$5:$J$205,1)+1)-INDEX(LE_Curves!$J$5:$J$205,MATCH($R89,LE_Curves!$J$5:$J$205,1))))))</f>
        <v/>
      </c>
      <c r="AA89" s="11">
        <f>IF(Inputs!$D$31=0,0,IF($R89&lt;=Inputs!$C$31,0,IF($R89&gt;=INDEX(LE_Curves!$K$5:$K$205,201),INDEX(LE_Curves!$B$5:$B$205,201),INDEX(LE_Curves!$B$5:$B$205,MATCH($R89,LE_Curves!$K$5:$K$205,1))+($R89-INDEX(LE_Curves!$K$5:$K$205,MATCH($R89,LE_Curves!$K$5:$K$205,1)))*(INDEX(LE_Curves!$B$5:$B$205,MATCH($R89,LE_Curves!$K$5:$K$205,1)+1)-INDEX(LE_Curves!$B$5:$B$205,MATCH($R89,LE_Curves!$K$5:$K$205,1)))/(INDEX(LE_Curves!$K$5:$K$205,MATCH($R89,LE_Curves!$K$5:$K$205,1)+1)-INDEX(LE_Curves!$K$5:$K$205,MATCH($R89,LE_Curves!$K$5:$K$205,1))))))</f>
        <v/>
      </c>
      <c r="AB89" s="11">
        <f>IF(Inputs!$D$32=0,0,IF($R89&lt;=Inputs!$C$32,0,IF($R89&gt;=INDEX(LE_Curves!$L$5:$L$205,201),INDEX(LE_Curves!$B$5:$B$205,201),INDEX(LE_Curves!$B$5:$B$205,MATCH($R89,LE_Curves!$L$5:$L$205,1))+($R89-INDEX(LE_Curves!$L$5:$L$205,MATCH($R89,LE_Curves!$L$5:$L$205,1)))*(INDEX(LE_Curves!$B$5:$B$205,MATCH($R89,LE_Curves!$L$5:$L$205,1)+1)-INDEX(LE_Curves!$B$5:$B$205,MATCH($R89,LE_Curves!$L$5:$L$205,1)))/(INDEX(LE_Curves!$L$5:$L$205,MATCH($R89,LE_Curves!$L$5:$L$205,1)+1)-INDEX(LE_Curves!$L$5:$L$205,MATCH($R89,LE_Curves!$L$5:$L$205,1))))))</f>
        <v/>
      </c>
      <c r="AC89" s="11">
        <f>IF(Inputs!$D$33=0,0,IF($R89&lt;=Inputs!$C$33,0,IF($R89&gt;=INDEX(LE_Curves!$M$5:$M$205,201),INDEX(LE_Curves!$B$5:$B$205,201),INDEX(LE_Curves!$B$5:$B$205,MATCH($R89,LE_Curves!$M$5:$M$205,1))+($R89-INDEX(LE_Curves!$M$5:$M$205,MATCH($R89,LE_Curves!$M$5:$M$205,1)))*(INDEX(LE_Curves!$B$5:$B$205,MATCH($R89,LE_Curves!$M$5:$M$205,1)+1)-INDEX(LE_Curves!$B$5:$B$205,MATCH($R89,LE_Curves!$M$5:$M$205,1)))/(INDEX(LE_Curves!$M$5:$M$205,MATCH($R89,LE_Curves!$M$5:$M$205,1)+1)-INDEX(LE_Curves!$M$5:$M$205,MATCH($R89,LE_Curves!$M$5:$M$205,1))))))</f>
        <v/>
      </c>
      <c r="AD89" s="11">
        <f>IF(Inputs!$D$34=0,0,IF($R89&lt;=Inputs!$C$34,0,IF($R89&gt;=INDEX(LE_Curves!$N$5:$N$205,201),INDEX(LE_Curves!$B$5:$B$205,201),INDEX(LE_Curves!$B$5:$B$205,MATCH($R89,LE_Curves!$N$5:$N$205,1))+($R89-INDEX(LE_Curves!$N$5:$N$205,MATCH($R89,LE_Curves!$N$5:$N$205,1)))*(INDEX(LE_Curves!$B$5:$B$205,MATCH($R89,LE_Curves!$N$5:$N$205,1)+1)-INDEX(LE_Curves!$B$5:$B$205,MATCH($R89,LE_Curves!$N$5:$N$205,1)))/(INDEX(LE_Curves!$N$5:$N$205,MATCH($R89,LE_Curves!$N$5:$N$205,1)+1)-INDEX(LE_Curves!$N$5:$N$205,MATCH($R89,LE_Curves!$N$5:$N$205,1))))))</f>
        <v/>
      </c>
      <c r="AE89" s="37">
        <f>SUM(S89:AD89)</f>
        <v/>
      </c>
    </row>
    <row r="90">
      <c r="A90" s="7" t="n">
        <v>59</v>
      </c>
      <c r="B90" s="37">
        <f>$B$3+($B$4-$B$3)*A90/200</f>
        <v/>
      </c>
      <c r="C90" s="11">
        <f>IF(Inputs!$D$23=0,0,IF($B90&lt;=Inputs!$C$23,0,IF($B90&gt;=INDEX(LE_Curves!$C$5:$C$205,201),INDEX(LE_Curves!$B$5:$B$205,201),INDEX(LE_Curves!$B$5:$B$205,MATCH($B90,LE_Curves!$C$5:$C$205,1))+($B90-INDEX(LE_Curves!$C$5:$C$205,MATCH($B90,LE_Curves!$C$5:$C$205,1)))*(INDEX(LE_Curves!$B$5:$B$205,MATCH($B90,LE_Curves!$C$5:$C$205,1)+1)-INDEX(LE_Curves!$B$5:$B$205,MATCH($B90,LE_Curves!$C$5:$C$205,1)))/(INDEX(LE_Curves!$C$5:$C$205,MATCH($B90,LE_Curves!$C$5:$C$205,1)+1)-INDEX(LE_Curves!$C$5:$C$205,MATCH($B90,LE_Curves!$C$5:$C$205,1))))))</f>
        <v/>
      </c>
      <c r="D90" s="11">
        <f>IF(Inputs!$D$24=0,0,IF($B90&lt;=Inputs!$C$24,0,IF($B90&gt;=INDEX(LE_Curves!$D$5:$D$205,201),INDEX(LE_Curves!$B$5:$B$205,201),INDEX(LE_Curves!$B$5:$B$205,MATCH($B90,LE_Curves!$D$5:$D$205,1))+($B90-INDEX(LE_Curves!$D$5:$D$205,MATCH($B90,LE_Curves!$D$5:$D$205,1)))*(INDEX(LE_Curves!$B$5:$B$205,MATCH($B90,LE_Curves!$D$5:$D$205,1)+1)-INDEX(LE_Curves!$B$5:$B$205,MATCH($B90,LE_Curves!$D$5:$D$205,1)))/(INDEX(LE_Curves!$D$5:$D$205,MATCH($B90,LE_Curves!$D$5:$D$205,1)+1)-INDEX(LE_Curves!$D$5:$D$205,MATCH($B90,LE_Curves!$D$5:$D$205,1))))))</f>
        <v/>
      </c>
      <c r="E90" s="11">
        <f>IF(Inputs!$D$25=0,0,IF($B90&lt;=Inputs!$C$25,0,IF($B90&gt;=INDEX(LE_Curves!$E$5:$E$205,201),INDEX(LE_Curves!$B$5:$B$205,201),INDEX(LE_Curves!$B$5:$B$205,MATCH($B90,LE_Curves!$E$5:$E$205,1))+($B90-INDEX(LE_Curves!$E$5:$E$205,MATCH($B90,LE_Curves!$E$5:$E$205,1)))*(INDEX(LE_Curves!$B$5:$B$205,MATCH($B90,LE_Curves!$E$5:$E$205,1)+1)-INDEX(LE_Curves!$B$5:$B$205,MATCH($B90,LE_Curves!$E$5:$E$205,1)))/(INDEX(LE_Curves!$E$5:$E$205,MATCH($B90,LE_Curves!$E$5:$E$205,1)+1)-INDEX(LE_Curves!$E$5:$E$205,MATCH($B90,LE_Curves!$E$5:$E$205,1))))))</f>
        <v/>
      </c>
      <c r="F90" s="11">
        <f>IF(Inputs!$D$26=0,0,IF($B90&lt;=Inputs!$C$26,0,IF($B90&gt;=INDEX(LE_Curves!$F$5:$F$205,201),INDEX(LE_Curves!$B$5:$B$205,201),INDEX(LE_Curves!$B$5:$B$205,MATCH($B90,LE_Curves!$F$5:$F$205,1))+($B90-INDEX(LE_Curves!$F$5:$F$205,MATCH($B90,LE_Curves!$F$5:$F$205,1)))*(INDEX(LE_Curves!$B$5:$B$205,MATCH($B90,LE_Curves!$F$5:$F$205,1)+1)-INDEX(LE_Curves!$B$5:$B$205,MATCH($B90,LE_Curves!$F$5:$F$205,1)))/(INDEX(LE_Curves!$F$5:$F$205,MATCH($B90,LE_Curves!$F$5:$F$205,1)+1)-INDEX(LE_Curves!$F$5:$F$205,MATCH($B90,LE_Curves!$F$5:$F$205,1))))))</f>
        <v/>
      </c>
      <c r="G90" s="11">
        <f>IF(Inputs!$D$27=0,0,IF($B90&lt;=Inputs!$C$27,0,IF($B90&gt;=INDEX(LE_Curves!$G$5:$G$205,201),INDEX(LE_Curves!$B$5:$B$205,201),INDEX(LE_Curves!$B$5:$B$205,MATCH($B90,LE_Curves!$G$5:$G$205,1))+($B90-INDEX(LE_Curves!$G$5:$G$205,MATCH($B90,LE_Curves!$G$5:$G$205,1)))*(INDEX(LE_Curves!$B$5:$B$205,MATCH($B90,LE_Curves!$G$5:$G$205,1)+1)-INDEX(LE_Curves!$B$5:$B$205,MATCH($B90,LE_Curves!$G$5:$G$205,1)))/(INDEX(LE_Curves!$G$5:$G$205,MATCH($B90,LE_Curves!$G$5:$G$205,1)+1)-INDEX(LE_Curves!$G$5:$G$205,MATCH($B90,LE_Curves!$G$5:$G$205,1))))))</f>
        <v/>
      </c>
      <c r="H90" s="11">
        <f>IF(Inputs!$D$28=0,0,IF($B90&lt;=Inputs!$C$28,0,IF($B90&gt;=INDEX(LE_Curves!$H$5:$H$205,201),INDEX(LE_Curves!$B$5:$B$205,201),INDEX(LE_Curves!$B$5:$B$205,MATCH($B90,LE_Curves!$H$5:$H$205,1))+($B90-INDEX(LE_Curves!$H$5:$H$205,MATCH($B90,LE_Curves!$H$5:$H$205,1)))*(INDEX(LE_Curves!$B$5:$B$205,MATCH($B90,LE_Curves!$H$5:$H$205,1)+1)-INDEX(LE_Curves!$B$5:$B$205,MATCH($B90,LE_Curves!$H$5:$H$205,1)))/(INDEX(LE_Curves!$H$5:$H$205,MATCH($B90,LE_Curves!$H$5:$H$205,1)+1)-INDEX(LE_Curves!$H$5:$H$205,MATCH($B90,LE_Curves!$H$5:$H$205,1))))))</f>
        <v/>
      </c>
      <c r="I90" s="11">
        <f>IF(Inputs!$D$29=0,0,IF($B90&lt;=Inputs!$C$29,0,IF($B90&gt;=INDEX(LE_Curves!$I$5:$I$205,201),INDEX(LE_Curves!$B$5:$B$205,201),INDEX(LE_Curves!$B$5:$B$205,MATCH($B90,LE_Curves!$I$5:$I$205,1))+($B90-INDEX(LE_Curves!$I$5:$I$205,MATCH($B90,LE_Curves!$I$5:$I$205,1)))*(INDEX(LE_Curves!$B$5:$B$205,MATCH($B90,LE_Curves!$I$5:$I$205,1)+1)-INDEX(LE_Curves!$B$5:$B$205,MATCH($B90,LE_Curves!$I$5:$I$205,1)))/(INDEX(LE_Curves!$I$5:$I$205,MATCH($B90,LE_Curves!$I$5:$I$205,1)+1)-INDEX(LE_Curves!$I$5:$I$205,MATCH($B90,LE_Curves!$I$5:$I$205,1))))))</f>
        <v/>
      </c>
      <c r="J90" s="11">
        <f>IF(Inputs!$D$30=0,0,IF($B90&lt;=Inputs!$C$30,0,IF($B90&gt;=INDEX(LE_Curves!$J$5:$J$205,201),INDEX(LE_Curves!$B$5:$B$205,201),INDEX(LE_Curves!$B$5:$B$205,MATCH($B90,LE_Curves!$J$5:$J$205,1))+($B90-INDEX(LE_Curves!$J$5:$J$205,MATCH($B90,LE_Curves!$J$5:$J$205,1)))*(INDEX(LE_Curves!$B$5:$B$205,MATCH($B90,LE_Curves!$J$5:$J$205,1)+1)-INDEX(LE_Curves!$B$5:$B$205,MATCH($B90,LE_Curves!$J$5:$J$205,1)))/(INDEX(LE_Curves!$J$5:$J$205,MATCH($B90,LE_Curves!$J$5:$J$205,1)+1)-INDEX(LE_Curves!$J$5:$J$205,MATCH($B90,LE_Curves!$J$5:$J$205,1))))))</f>
        <v/>
      </c>
      <c r="K90" s="11">
        <f>IF(Inputs!$D$31=0,0,IF($B90&lt;=Inputs!$C$31,0,IF($B90&gt;=INDEX(LE_Curves!$K$5:$K$205,201),INDEX(LE_Curves!$B$5:$B$205,201),INDEX(LE_Curves!$B$5:$B$205,MATCH($B90,LE_Curves!$K$5:$K$205,1))+($B90-INDEX(LE_Curves!$K$5:$K$205,MATCH($B90,LE_Curves!$K$5:$K$205,1)))*(INDEX(LE_Curves!$B$5:$B$205,MATCH($B90,LE_Curves!$K$5:$K$205,1)+1)-INDEX(LE_Curves!$B$5:$B$205,MATCH($B90,LE_Curves!$K$5:$K$205,1)))/(INDEX(LE_Curves!$K$5:$K$205,MATCH($B90,LE_Curves!$K$5:$K$205,1)+1)-INDEX(LE_Curves!$K$5:$K$205,MATCH($B90,LE_Curves!$K$5:$K$205,1))))))</f>
        <v/>
      </c>
      <c r="L90" s="11">
        <f>IF(Inputs!$D$32=0,0,IF($B90&lt;=Inputs!$C$32,0,IF($B90&gt;=INDEX(LE_Curves!$L$5:$L$205,201),INDEX(LE_Curves!$B$5:$B$205,201),INDEX(LE_Curves!$B$5:$B$205,MATCH($B90,LE_Curves!$L$5:$L$205,1))+($B90-INDEX(LE_Curves!$L$5:$L$205,MATCH($B90,LE_Curves!$L$5:$L$205,1)))*(INDEX(LE_Curves!$B$5:$B$205,MATCH($B90,LE_Curves!$L$5:$L$205,1)+1)-INDEX(LE_Curves!$B$5:$B$205,MATCH($B90,LE_Curves!$L$5:$L$205,1)))/(INDEX(LE_Curves!$L$5:$L$205,MATCH($B90,LE_Curves!$L$5:$L$205,1)+1)-INDEX(LE_Curves!$L$5:$L$205,MATCH($B90,LE_Curves!$L$5:$L$205,1))))))</f>
        <v/>
      </c>
      <c r="M90" s="11">
        <f>IF(Inputs!$D$33=0,0,IF($B90&lt;=Inputs!$C$33,0,IF($B90&gt;=INDEX(LE_Curves!$M$5:$M$205,201),INDEX(LE_Curves!$B$5:$B$205,201),INDEX(LE_Curves!$B$5:$B$205,MATCH($B90,LE_Curves!$M$5:$M$205,1))+($B90-INDEX(LE_Curves!$M$5:$M$205,MATCH($B90,LE_Curves!$M$5:$M$205,1)))*(INDEX(LE_Curves!$B$5:$B$205,MATCH($B90,LE_Curves!$M$5:$M$205,1)+1)-INDEX(LE_Curves!$B$5:$B$205,MATCH($B90,LE_Curves!$M$5:$M$205,1)))/(INDEX(LE_Curves!$M$5:$M$205,MATCH($B90,LE_Curves!$M$5:$M$205,1)+1)-INDEX(LE_Curves!$M$5:$M$205,MATCH($B90,LE_Curves!$M$5:$M$205,1))))))</f>
        <v/>
      </c>
      <c r="N90" s="11">
        <f>IF(Inputs!$D$34=0,0,IF($B90&lt;=Inputs!$C$34,0,IF($B90&gt;=INDEX(LE_Curves!$N$5:$N$205,201),INDEX(LE_Curves!$B$5:$B$205,201),INDEX(LE_Curves!$B$5:$B$205,MATCH($B90,LE_Curves!$N$5:$N$205,1))+($B90-INDEX(LE_Curves!$N$5:$N$205,MATCH($B90,LE_Curves!$N$5:$N$205,1)))*(INDEX(LE_Curves!$B$5:$B$205,MATCH($B90,LE_Curves!$N$5:$N$205,1)+1)-INDEX(LE_Curves!$B$5:$B$205,MATCH($B90,LE_Curves!$N$5:$N$205,1)))/(INDEX(LE_Curves!$N$5:$N$205,MATCH($B90,LE_Curves!$N$5:$N$205,1)+1)-INDEX(LE_Curves!$N$5:$N$205,MATCH($B90,LE_Curves!$N$5:$N$205,1))))))</f>
        <v/>
      </c>
      <c r="O90" s="11">
        <f>SUM(C90:N90)</f>
        <v/>
      </c>
      <c r="Q90" s="7" t="n">
        <v>59</v>
      </c>
      <c r="R90" s="23">
        <f>$B$6+($B$7-$B$6)*Q90/200</f>
        <v/>
      </c>
      <c r="S90" s="11">
        <f>IF(Inputs!$D$23=0,0,IF($R90&lt;=Inputs!$C$23,0,IF($R90&gt;=INDEX(LE_Curves!$C$5:$C$205,201),INDEX(LE_Curves!$B$5:$B$205,201),INDEX(LE_Curves!$B$5:$B$205,MATCH($R90,LE_Curves!$C$5:$C$205,1))+($R90-INDEX(LE_Curves!$C$5:$C$205,MATCH($R90,LE_Curves!$C$5:$C$205,1)))*(INDEX(LE_Curves!$B$5:$B$205,MATCH($R90,LE_Curves!$C$5:$C$205,1)+1)-INDEX(LE_Curves!$B$5:$B$205,MATCH($R90,LE_Curves!$C$5:$C$205,1)))/(INDEX(LE_Curves!$C$5:$C$205,MATCH($R90,LE_Curves!$C$5:$C$205,1)+1)-INDEX(LE_Curves!$C$5:$C$205,MATCH($R90,LE_Curves!$C$5:$C$205,1))))))</f>
        <v/>
      </c>
      <c r="T90" s="11">
        <f>IF(Inputs!$D$24=0,0,IF($R90&lt;=Inputs!$C$24,0,IF($R90&gt;=INDEX(LE_Curves!$D$5:$D$205,201),INDEX(LE_Curves!$B$5:$B$205,201),INDEX(LE_Curves!$B$5:$B$205,MATCH($R90,LE_Curves!$D$5:$D$205,1))+($R90-INDEX(LE_Curves!$D$5:$D$205,MATCH($R90,LE_Curves!$D$5:$D$205,1)))*(INDEX(LE_Curves!$B$5:$B$205,MATCH($R90,LE_Curves!$D$5:$D$205,1)+1)-INDEX(LE_Curves!$B$5:$B$205,MATCH($R90,LE_Curves!$D$5:$D$205,1)))/(INDEX(LE_Curves!$D$5:$D$205,MATCH($R90,LE_Curves!$D$5:$D$205,1)+1)-INDEX(LE_Curves!$D$5:$D$205,MATCH($R90,LE_Curves!$D$5:$D$205,1))))))</f>
        <v/>
      </c>
      <c r="U90" s="11">
        <f>IF(Inputs!$D$25=0,0,IF($R90&lt;=Inputs!$C$25,0,IF($R90&gt;=INDEX(LE_Curves!$E$5:$E$205,201),INDEX(LE_Curves!$B$5:$B$205,201),INDEX(LE_Curves!$B$5:$B$205,MATCH($R90,LE_Curves!$E$5:$E$205,1))+($R90-INDEX(LE_Curves!$E$5:$E$205,MATCH($R90,LE_Curves!$E$5:$E$205,1)))*(INDEX(LE_Curves!$B$5:$B$205,MATCH($R90,LE_Curves!$E$5:$E$205,1)+1)-INDEX(LE_Curves!$B$5:$B$205,MATCH($R90,LE_Curves!$E$5:$E$205,1)))/(INDEX(LE_Curves!$E$5:$E$205,MATCH($R90,LE_Curves!$E$5:$E$205,1)+1)-INDEX(LE_Curves!$E$5:$E$205,MATCH($R90,LE_Curves!$E$5:$E$205,1))))))</f>
        <v/>
      </c>
      <c r="V90" s="11">
        <f>IF(Inputs!$D$26=0,0,IF($R90&lt;=Inputs!$C$26,0,IF($R90&gt;=INDEX(LE_Curves!$F$5:$F$205,201),INDEX(LE_Curves!$B$5:$B$205,201),INDEX(LE_Curves!$B$5:$B$205,MATCH($R90,LE_Curves!$F$5:$F$205,1))+($R90-INDEX(LE_Curves!$F$5:$F$205,MATCH($R90,LE_Curves!$F$5:$F$205,1)))*(INDEX(LE_Curves!$B$5:$B$205,MATCH($R90,LE_Curves!$F$5:$F$205,1)+1)-INDEX(LE_Curves!$B$5:$B$205,MATCH($R90,LE_Curves!$F$5:$F$205,1)))/(INDEX(LE_Curves!$F$5:$F$205,MATCH($R90,LE_Curves!$F$5:$F$205,1)+1)-INDEX(LE_Curves!$F$5:$F$205,MATCH($R90,LE_Curves!$F$5:$F$205,1))))))</f>
        <v/>
      </c>
      <c r="W90" s="11">
        <f>IF(Inputs!$D$27=0,0,IF($R90&lt;=Inputs!$C$27,0,IF($R90&gt;=INDEX(LE_Curves!$G$5:$G$205,201),INDEX(LE_Curves!$B$5:$B$205,201),INDEX(LE_Curves!$B$5:$B$205,MATCH($R90,LE_Curves!$G$5:$G$205,1))+($R90-INDEX(LE_Curves!$G$5:$G$205,MATCH($R90,LE_Curves!$G$5:$G$205,1)))*(INDEX(LE_Curves!$B$5:$B$205,MATCH($R90,LE_Curves!$G$5:$G$205,1)+1)-INDEX(LE_Curves!$B$5:$B$205,MATCH($R90,LE_Curves!$G$5:$G$205,1)))/(INDEX(LE_Curves!$G$5:$G$205,MATCH($R90,LE_Curves!$G$5:$G$205,1)+1)-INDEX(LE_Curves!$G$5:$G$205,MATCH($R90,LE_Curves!$G$5:$G$205,1))))))</f>
        <v/>
      </c>
      <c r="X90" s="11">
        <f>IF(Inputs!$D$28=0,0,IF($R90&lt;=Inputs!$C$28,0,IF($R90&gt;=INDEX(LE_Curves!$H$5:$H$205,201),INDEX(LE_Curves!$B$5:$B$205,201),INDEX(LE_Curves!$B$5:$B$205,MATCH($R90,LE_Curves!$H$5:$H$205,1))+($R90-INDEX(LE_Curves!$H$5:$H$205,MATCH($R90,LE_Curves!$H$5:$H$205,1)))*(INDEX(LE_Curves!$B$5:$B$205,MATCH($R90,LE_Curves!$H$5:$H$205,1)+1)-INDEX(LE_Curves!$B$5:$B$205,MATCH($R90,LE_Curves!$H$5:$H$205,1)))/(INDEX(LE_Curves!$H$5:$H$205,MATCH($R90,LE_Curves!$H$5:$H$205,1)+1)-INDEX(LE_Curves!$H$5:$H$205,MATCH($R90,LE_Curves!$H$5:$H$205,1))))))</f>
        <v/>
      </c>
      <c r="Y90" s="11">
        <f>IF(Inputs!$D$29=0,0,IF($R90&lt;=Inputs!$C$29,0,IF($R90&gt;=INDEX(LE_Curves!$I$5:$I$205,201),INDEX(LE_Curves!$B$5:$B$205,201),INDEX(LE_Curves!$B$5:$B$205,MATCH($R90,LE_Curves!$I$5:$I$205,1))+($R90-INDEX(LE_Curves!$I$5:$I$205,MATCH($R90,LE_Curves!$I$5:$I$205,1)))*(INDEX(LE_Curves!$B$5:$B$205,MATCH($R90,LE_Curves!$I$5:$I$205,1)+1)-INDEX(LE_Curves!$B$5:$B$205,MATCH($R90,LE_Curves!$I$5:$I$205,1)))/(INDEX(LE_Curves!$I$5:$I$205,MATCH($R90,LE_Curves!$I$5:$I$205,1)+1)-INDEX(LE_Curves!$I$5:$I$205,MATCH($R90,LE_Curves!$I$5:$I$205,1))))))</f>
        <v/>
      </c>
      <c r="Z90" s="11">
        <f>IF(Inputs!$D$30=0,0,IF($R90&lt;=Inputs!$C$30,0,IF($R90&gt;=INDEX(LE_Curves!$J$5:$J$205,201),INDEX(LE_Curves!$B$5:$B$205,201),INDEX(LE_Curves!$B$5:$B$205,MATCH($R90,LE_Curves!$J$5:$J$205,1))+($R90-INDEX(LE_Curves!$J$5:$J$205,MATCH($R90,LE_Curves!$J$5:$J$205,1)))*(INDEX(LE_Curves!$B$5:$B$205,MATCH($R90,LE_Curves!$J$5:$J$205,1)+1)-INDEX(LE_Curves!$B$5:$B$205,MATCH($R90,LE_Curves!$J$5:$J$205,1)))/(INDEX(LE_Curves!$J$5:$J$205,MATCH($R90,LE_Curves!$J$5:$J$205,1)+1)-INDEX(LE_Curves!$J$5:$J$205,MATCH($R90,LE_Curves!$J$5:$J$205,1))))))</f>
        <v/>
      </c>
      <c r="AA90" s="11">
        <f>IF(Inputs!$D$31=0,0,IF($R90&lt;=Inputs!$C$31,0,IF($R90&gt;=INDEX(LE_Curves!$K$5:$K$205,201),INDEX(LE_Curves!$B$5:$B$205,201),INDEX(LE_Curves!$B$5:$B$205,MATCH($R90,LE_Curves!$K$5:$K$205,1))+($R90-INDEX(LE_Curves!$K$5:$K$205,MATCH($R90,LE_Curves!$K$5:$K$205,1)))*(INDEX(LE_Curves!$B$5:$B$205,MATCH($R90,LE_Curves!$K$5:$K$205,1)+1)-INDEX(LE_Curves!$B$5:$B$205,MATCH($R90,LE_Curves!$K$5:$K$205,1)))/(INDEX(LE_Curves!$K$5:$K$205,MATCH($R90,LE_Curves!$K$5:$K$205,1)+1)-INDEX(LE_Curves!$K$5:$K$205,MATCH($R90,LE_Curves!$K$5:$K$205,1))))))</f>
        <v/>
      </c>
      <c r="AB90" s="11">
        <f>IF(Inputs!$D$32=0,0,IF($R90&lt;=Inputs!$C$32,0,IF($R90&gt;=INDEX(LE_Curves!$L$5:$L$205,201),INDEX(LE_Curves!$B$5:$B$205,201),INDEX(LE_Curves!$B$5:$B$205,MATCH($R90,LE_Curves!$L$5:$L$205,1))+($R90-INDEX(LE_Curves!$L$5:$L$205,MATCH($R90,LE_Curves!$L$5:$L$205,1)))*(INDEX(LE_Curves!$B$5:$B$205,MATCH($R90,LE_Curves!$L$5:$L$205,1)+1)-INDEX(LE_Curves!$B$5:$B$205,MATCH($R90,LE_Curves!$L$5:$L$205,1)))/(INDEX(LE_Curves!$L$5:$L$205,MATCH($R90,LE_Curves!$L$5:$L$205,1)+1)-INDEX(LE_Curves!$L$5:$L$205,MATCH($R90,LE_Curves!$L$5:$L$205,1))))))</f>
        <v/>
      </c>
      <c r="AC90" s="11">
        <f>IF(Inputs!$D$33=0,0,IF($R90&lt;=Inputs!$C$33,0,IF($R90&gt;=INDEX(LE_Curves!$M$5:$M$205,201),INDEX(LE_Curves!$B$5:$B$205,201),INDEX(LE_Curves!$B$5:$B$205,MATCH($R90,LE_Curves!$M$5:$M$205,1))+($R90-INDEX(LE_Curves!$M$5:$M$205,MATCH($R90,LE_Curves!$M$5:$M$205,1)))*(INDEX(LE_Curves!$B$5:$B$205,MATCH($R90,LE_Curves!$M$5:$M$205,1)+1)-INDEX(LE_Curves!$B$5:$B$205,MATCH($R90,LE_Curves!$M$5:$M$205,1)))/(INDEX(LE_Curves!$M$5:$M$205,MATCH($R90,LE_Curves!$M$5:$M$205,1)+1)-INDEX(LE_Curves!$M$5:$M$205,MATCH($R90,LE_Curves!$M$5:$M$205,1))))))</f>
        <v/>
      </c>
      <c r="AD90" s="11">
        <f>IF(Inputs!$D$34=0,0,IF($R90&lt;=Inputs!$C$34,0,IF($R90&gt;=INDEX(LE_Curves!$N$5:$N$205,201),INDEX(LE_Curves!$B$5:$B$205,201),INDEX(LE_Curves!$B$5:$B$205,MATCH($R90,LE_Curves!$N$5:$N$205,1))+($R90-INDEX(LE_Curves!$N$5:$N$205,MATCH($R90,LE_Curves!$N$5:$N$205,1)))*(INDEX(LE_Curves!$B$5:$B$205,MATCH($R90,LE_Curves!$N$5:$N$205,1)+1)-INDEX(LE_Curves!$B$5:$B$205,MATCH($R90,LE_Curves!$N$5:$N$205,1)))/(INDEX(LE_Curves!$N$5:$N$205,MATCH($R90,LE_Curves!$N$5:$N$205,1)+1)-INDEX(LE_Curves!$N$5:$N$205,MATCH($R90,LE_Curves!$N$5:$N$205,1))))))</f>
        <v/>
      </c>
      <c r="AE90" s="37">
        <f>SUM(S90:AD90)</f>
        <v/>
      </c>
    </row>
    <row r="91">
      <c r="A91" s="7" t="n">
        <v>60</v>
      </c>
      <c r="B91" s="37">
        <f>$B$3+($B$4-$B$3)*A91/200</f>
        <v/>
      </c>
      <c r="C91" s="11">
        <f>IF(Inputs!$D$23=0,0,IF($B91&lt;=Inputs!$C$23,0,IF($B91&gt;=INDEX(LE_Curves!$C$5:$C$205,201),INDEX(LE_Curves!$B$5:$B$205,201),INDEX(LE_Curves!$B$5:$B$205,MATCH($B91,LE_Curves!$C$5:$C$205,1))+($B91-INDEX(LE_Curves!$C$5:$C$205,MATCH($B91,LE_Curves!$C$5:$C$205,1)))*(INDEX(LE_Curves!$B$5:$B$205,MATCH($B91,LE_Curves!$C$5:$C$205,1)+1)-INDEX(LE_Curves!$B$5:$B$205,MATCH($B91,LE_Curves!$C$5:$C$205,1)))/(INDEX(LE_Curves!$C$5:$C$205,MATCH($B91,LE_Curves!$C$5:$C$205,1)+1)-INDEX(LE_Curves!$C$5:$C$205,MATCH($B91,LE_Curves!$C$5:$C$205,1))))))</f>
        <v/>
      </c>
      <c r="D91" s="11">
        <f>IF(Inputs!$D$24=0,0,IF($B91&lt;=Inputs!$C$24,0,IF($B91&gt;=INDEX(LE_Curves!$D$5:$D$205,201),INDEX(LE_Curves!$B$5:$B$205,201),INDEX(LE_Curves!$B$5:$B$205,MATCH($B91,LE_Curves!$D$5:$D$205,1))+($B91-INDEX(LE_Curves!$D$5:$D$205,MATCH($B91,LE_Curves!$D$5:$D$205,1)))*(INDEX(LE_Curves!$B$5:$B$205,MATCH($B91,LE_Curves!$D$5:$D$205,1)+1)-INDEX(LE_Curves!$B$5:$B$205,MATCH($B91,LE_Curves!$D$5:$D$205,1)))/(INDEX(LE_Curves!$D$5:$D$205,MATCH($B91,LE_Curves!$D$5:$D$205,1)+1)-INDEX(LE_Curves!$D$5:$D$205,MATCH($B91,LE_Curves!$D$5:$D$205,1))))))</f>
        <v/>
      </c>
      <c r="E91" s="11">
        <f>IF(Inputs!$D$25=0,0,IF($B91&lt;=Inputs!$C$25,0,IF($B91&gt;=INDEX(LE_Curves!$E$5:$E$205,201),INDEX(LE_Curves!$B$5:$B$205,201),INDEX(LE_Curves!$B$5:$B$205,MATCH($B91,LE_Curves!$E$5:$E$205,1))+($B91-INDEX(LE_Curves!$E$5:$E$205,MATCH($B91,LE_Curves!$E$5:$E$205,1)))*(INDEX(LE_Curves!$B$5:$B$205,MATCH($B91,LE_Curves!$E$5:$E$205,1)+1)-INDEX(LE_Curves!$B$5:$B$205,MATCH($B91,LE_Curves!$E$5:$E$205,1)))/(INDEX(LE_Curves!$E$5:$E$205,MATCH($B91,LE_Curves!$E$5:$E$205,1)+1)-INDEX(LE_Curves!$E$5:$E$205,MATCH($B91,LE_Curves!$E$5:$E$205,1))))))</f>
        <v/>
      </c>
      <c r="F91" s="11">
        <f>IF(Inputs!$D$26=0,0,IF($B91&lt;=Inputs!$C$26,0,IF($B91&gt;=INDEX(LE_Curves!$F$5:$F$205,201),INDEX(LE_Curves!$B$5:$B$205,201),INDEX(LE_Curves!$B$5:$B$205,MATCH($B91,LE_Curves!$F$5:$F$205,1))+($B91-INDEX(LE_Curves!$F$5:$F$205,MATCH($B91,LE_Curves!$F$5:$F$205,1)))*(INDEX(LE_Curves!$B$5:$B$205,MATCH($B91,LE_Curves!$F$5:$F$205,1)+1)-INDEX(LE_Curves!$B$5:$B$205,MATCH($B91,LE_Curves!$F$5:$F$205,1)))/(INDEX(LE_Curves!$F$5:$F$205,MATCH($B91,LE_Curves!$F$5:$F$205,1)+1)-INDEX(LE_Curves!$F$5:$F$205,MATCH($B91,LE_Curves!$F$5:$F$205,1))))))</f>
        <v/>
      </c>
      <c r="G91" s="11">
        <f>IF(Inputs!$D$27=0,0,IF($B91&lt;=Inputs!$C$27,0,IF($B91&gt;=INDEX(LE_Curves!$G$5:$G$205,201),INDEX(LE_Curves!$B$5:$B$205,201),INDEX(LE_Curves!$B$5:$B$205,MATCH($B91,LE_Curves!$G$5:$G$205,1))+($B91-INDEX(LE_Curves!$G$5:$G$205,MATCH($B91,LE_Curves!$G$5:$G$205,1)))*(INDEX(LE_Curves!$B$5:$B$205,MATCH($B91,LE_Curves!$G$5:$G$205,1)+1)-INDEX(LE_Curves!$B$5:$B$205,MATCH($B91,LE_Curves!$G$5:$G$205,1)))/(INDEX(LE_Curves!$G$5:$G$205,MATCH($B91,LE_Curves!$G$5:$G$205,1)+1)-INDEX(LE_Curves!$G$5:$G$205,MATCH($B91,LE_Curves!$G$5:$G$205,1))))))</f>
        <v/>
      </c>
      <c r="H91" s="11">
        <f>IF(Inputs!$D$28=0,0,IF($B91&lt;=Inputs!$C$28,0,IF($B91&gt;=INDEX(LE_Curves!$H$5:$H$205,201),INDEX(LE_Curves!$B$5:$B$205,201),INDEX(LE_Curves!$B$5:$B$205,MATCH($B91,LE_Curves!$H$5:$H$205,1))+($B91-INDEX(LE_Curves!$H$5:$H$205,MATCH($B91,LE_Curves!$H$5:$H$205,1)))*(INDEX(LE_Curves!$B$5:$B$205,MATCH($B91,LE_Curves!$H$5:$H$205,1)+1)-INDEX(LE_Curves!$B$5:$B$205,MATCH($B91,LE_Curves!$H$5:$H$205,1)))/(INDEX(LE_Curves!$H$5:$H$205,MATCH($B91,LE_Curves!$H$5:$H$205,1)+1)-INDEX(LE_Curves!$H$5:$H$205,MATCH($B91,LE_Curves!$H$5:$H$205,1))))))</f>
        <v/>
      </c>
      <c r="I91" s="11">
        <f>IF(Inputs!$D$29=0,0,IF($B91&lt;=Inputs!$C$29,0,IF($B91&gt;=INDEX(LE_Curves!$I$5:$I$205,201),INDEX(LE_Curves!$B$5:$B$205,201),INDEX(LE_Curves!$B$5:$B$205,MATCH($B91,LE_Curves!$I$5:$I$205,1))+($B91-INDEX(LE_Curves!$I$5:$I$205,MATCH($B91,LE_Curves!$I$5:$I$205,1)))*(INDEX(LE_Curves!$B$5:$B$205,MATCH($B91,LE_Curves!$I$5:$I$205,1)+1)-INDEX(LE_Curves!$B$5:$B$205,MATCH($B91,LE_Curves!$I$5:$I$205,1)))/(INDEX(LE_Curves!$I$5:$I$205,MATCH($B91,LE_Curves!$I$5:$I$205,1)+1)-INDEX(LE_Curves!$I$5:$I$205,MATCH($B91,LE_Curves!$I$5:$I$205,1))))))</f>
        <v/>
      </c>
      <c r="J91" s="11">
        <f>IF(Inputs!$D$30=0,0,IF($B91&lt;=Inputs!$C$30,0,IF($B91&gt;=INDEX(LE_Curves!$J$5:$J$205,201),INDEX(LE_Curves!$B$5:$B$205,201),INDEX(LE_Curves!$B$5:$B$205,MATCH($B91,LE_Curves!$J$5:$J$205,1))+($B91-INDEX(LE_Curves!$J$5:$J$205,MATCH($B91,LE_Curves!$J$5:$J$205,1)))*(INDEX(LE_Curves!$B$5:$B$205,MATCH($B91,LE_Curves!$J$5:$J$205,1)+1)-INDEX(LE_Curves!$B$5:$B$205,MATCH($B91,LE_Curves!$J$5:$J$205,1)))/(INDEX(LE_Curves!$J$5:$J$205,MATCH($B91,LE_Curves!$J$5:$J$205,1)+1)-INDEX(LE_Curves!$J$5:$J$205,MATCH($B91,LE_Curves!$J$5:$J$205,1))))))</f>
        <v/>
      </c>
      <c r="K91" s="11">
        <f>IF(Inputs!$D$31=0,0,IF($B91&lt;=Inputs!$C$31,0,IF($B91&gt;=INDEX(LE_Curves!$K$5:$K$205,201),INDEX(LE_Curves!$B$5:$B$205,201),INDEX(LE_Curves!$B$5:$B$205,MATCH($B91,LE_Curves!$K$5:$K$205,1))+($B91-INDEX(LE_Curves!$K$5:$K$205,MATCH($B91,LE_Curves!$K$5:$K$205,1)))*(INDEX(LE_Curves!$B$5:$B$205,MATCH($B91,LE_Curves!$K$5:$K$205,1)+1)-INDEX(LE_Curves!$B$5:$B$205,MATCH($B91,LE_Curves!$K$5:$K$205,1)))/(INDEX(LE_Curves!$K$5:$K$205,MATCH($B91,LE_Curves!$K$5:$K$205,1)+1)-INDEX(LE_Curves!$K$5:$K$205,MATCH($B91,LE_Curves!$K$5:$K$205,1))))))</f>
        <v/>
      </c>
      <c r="L91" s="11">
        <f>IF(Inputs!$D$32=0,0,IF($B91&lt;=Inputs!$C$32,0,IF($B91&gt;=INDEX(LE_Curves!$L$5:$L$205,201),INDEX(LE_Curves!$B$5:$B$205,201),INDEX(LE_Curves!$B$5:$B$205,MATCH($B91,LE_Curves!$L$5:$L$205,1))+($B91-INDEX(LE_Curves!$L$5:$L$205,MATCH($B91,LE_Curves!$L$5:$L$205,1)))*(INDEX(LE_Curves!$B$5:$B$205,MATCH($B91,LE_Curves!$L$5:$L$205,1)+1)-INDEX(LE_Curves!$B$5:$B$205,MATCH($B91,LE_Curves!$L$5:$L$205,1)))/(INDEX(LE_Curves!$L$5:$L$205,MATCH($B91,LE_Curves!$L$5:$L$205,1)+1)-INDEX(LE_Curves!$L$5:$L$205,MATCH($B91,LE_Curves!$L$5:$L$205,1))))))</f>
        <v/>
      </c>
      <c r="M91" s="11">
        <f>IF(Inputs!$D$33=0,0,IF($B91&lt;=Inputs!$C$33,0,IF($B91&gt;=INDEX(LE_Curves!$M$5:$M$205,201),INDEX(LE_Curves!$B$5:$B$205,201),INDEX(LE_Curves!$B$5:$B$205,MATCH($B91,LE_Curves!$M$5:$M$205,1))+($B91-INDEX(LE_Curves!$M$5:$M$205,MATCH($B91,LE_Curves!$M$5:$M$205,1)))*(INDEX(LE_Curves!$B$5:$B$205,MATCH($B91,LE_Curves!$M$5:$M$205,1)+1)-INDEX(LE_Curves!$B$5:$B$205,MATCH($B91,LE_Curves!$M$5:$M$205,1)))/(INDEX(LE_Curves!$M$5:$M$205,MATCH($B91,LE_Curves!$M$5:$M$205,1)+1)-INDEX(LE_Curves!$M$5:$M$205,MATCH($B91,LE_Curves!$M$5:$M$205,1))))))</f>
        <v/>
      </c>
      <c r="N91" s="11">
        <f>IF(Inputs!$D$34=0,0,IF($B91&lt;=Inputs!$C$34,0,IF($B91&gt;=INDEX(LE_Curves!$N$5:$N$205,201),INDEX(LE_Curves!$B$5:$B$205,201),INDEX(LE_Curves!$B$5:$B$205,MATCH($B91,LE_Curves!$N$5:$N$205,1))+($B91-INDEX(LE_Curves!$N$5:$N$205,MATCH($B91,LE_Curves!$N$5:$N$205,1)))*(INDEX(LE_Curves!$B$5:$B$205,MATCH($B91,LE_Curves!$N$5:$N$205,1)+1)-INDEX(LE_Curves!$B$5:$B$205,MATCH($B91,LE_Curves!$N$5:$N$205,1)))/(INDEX(LE_Curves!$N$5:$N$205,MATCH($B91,LE_Curves!$N$5:$N$205,1)+1)-INDEX(LE_Curves!$N$5:$N$205,MATCH($B91,LE_Curves!$N$5:$N$205,1))))))</f>
        <v/>
      </c>
      <c r="O91" s="11">
        <f>SUM(C91:N91)</f>
        <v/>
      </c>
      <c r="Q91" s="7" t="n">
        <v>60</v>
      </c>
      <c r="R91" s="23">
        <f>$B$6+($B$7-$B$6)*Q91/200</f>
        <v/>
      </c>
      <c r="S91" s="11">
        <f>IF(Inputs!$D$23=0,0,IF($R91&lt;=Inputs!$C$23,0,IF($R91&gt;=INDEX(LE_Curves!$C$5:$C$205,201),INDEX(LE_Curves!$B$5:$B$205,201),INDEX(LE_Curves!$B$5:$B$205,MATCH($R91,LE_Curves!$C$5:$C$205,1))+($R91-INDEX(LE_Curves!$C$5:$C$205,MATCH($R91,LE_Curves!$C$5:$C$205,1)))*(INDEX(LE_Curves!$B$5:$B$205,MATCH($R91,LE_Curves!$C$5:$C$205,1)+1)-INDEX(LE_Curves!$B$5:$B$205,MATCH($R91,LE_Curves!$C$5:$C$205,1)))/(INDEX(LE_Curves!$C$5:$C$205,MATCH($R91,LE_Curves!$C$5:$C$205,1)+1)-INDEX(LE_Curves!$C$5:$C$205,MATCH($R91,LE_Curves!$C$5:$C$205,1))))))</f>
        <v/>
      </c>
      <c r="T91" s="11">
        <f>IF(Inputs!$D$24=0,0,IF($R91&lt;=Inputs!$C$24,0,IF($R91&gt;=INDEX(LE_Curves!$D$5:$D$205,201),INDEX(LE_Curves!$B$5:$B$205,201),INDEX(LE_Curves!$B$5:$B$205,MATCH($R91,LE_Curves!$D$5:$D$205,1))+($R91-INDEX(LE_Curves!$D$5:$D$205,MATCH($R91,LE_Curves!$D$5:$D$205,1)))*(INDEX(LE_Curves!$B$5:$B$205,MATCH($R91,LE_Curves!$D$5:$D$205,1)+1)-INDEX(LE_Curves!$B$5:$B$205,MATCH($R91,LE_Curves!$D$5:$D$205,1)))/(INDEX(LE_Curves!$D$5:$D$205,MATCH($R91,LE_Curves!$D$5:$D$205,1)+1)-INDEX(LE_Curves!$D$5:$D$205,MATCH($R91,LE_Curves!$D$5:$D$205,1))))))</f>
        <v/>
      </c>
      <c r="U91" s="11">
        <f>IF(Inputs!$D$25=0,0,IF($R91&lt;=Inputs!$C$25,0,IF($R91&gt;=INDEX(LE_Curves!$E$5:$E$205,201),INDEX(LE_Curves!$B$5:$B$205,201),INDEX(LE_Curves!$B$5:$B$205,MATCH($R91,LE_Curves!$E$5:$E$205,1))+($R91-INDEX(LE_Curves!$E$5:$E$205,MATCH($R91,LE_Curves!$E$5:$E$205,1)))*(INDEX(LE_Curves!$B$5:$B$205,MATCH($R91,LE_Curves!$E$5:$E$205,1)+1)-INDEX(LE_Curves!$B$5:$B$205,MATCH($R91,LE_Curves!$E$5:$E$205,1)))/(INDEX(LE_Curves!$E$5:$E$205,MATCH($R91,LE_Curves!$E$5:$E$205,1)+1)-INDEX(LE_Curves!$E$5:$E$205,MATCH($R91,LE_Curves!$E$5:$E$205,1))))))</f>
        <v/>
      </c>
      <c r="V91" s="11">
        <f>IF(Inputs!$D$26=0,0,IF($R91&lt;=Inputs!$C$26,0,IF($R91&gt;=INDEX(LE_Curves!$F$5:$F$205,201),INDEX(LE_Curves!$B$5:$B$205,201),INDEX(LE_Curves!$B$5:$B$205,MATCH($R91,LE_Curves!$F$5:$F$205,1))+($R91-INDEX(LE_Curves!$F$5:$F$205,MATCH($R91,LE_Curves!$F$5:$F$205,1)))*(INDEX(LE_Curves!$B$5:$B$205,MATCH($R91,LE_Curves!$F$5:$F$205,1)+1)-INDEX(LE_Curves!$B$5:$B$205,MATCH($R91,LE_Curves!$F$5:$F$205,1)))/(INDEX(LE_Curves!$F$5:$F$205,MATCH($R91,LE_Curves!$F$5:$F$205,1)+1)-INDEX(LE_Curves!$F$5:$F$205,MATCH($R91,LE_Curves!$F$5:$F$205,1))))))</f>
        <v/>
      </c>
      <c r="W91" s="11">
        <f>IF(Inputs!$D$27=0,0,IF($R91&lt;=Inputs!$C$27,0,IF($R91&gt;=INDEX(LE_Curves!$G$5:$G$205,201),INDEX(LE_Curves!$B$5:$B$205,201),INDEX(LE_Curves!$B$5:$B$205,MATCH($R91,LE_Curves!$G$5:$G$205,1))+($R91-INDEX(LE_Curves!$G$5:$G$205,MATCH($R91,LE_Curves!$G$5:$G$205,1)))*(INDEX(LE_Curves!$B$5:$B$205,MATCH($R91,LE_Curves!$G$5:$G$205,1)+1)-INDEX(LE_Curves!$B$5:$B$205,MATCH($R91,LE_Curves!$G$5:$G$205,1)))/(INDEX(LE_Curves!$G$5:$G$205,MATCH($R91,LE_Curves!$G$5:$G$205,1)+1)-INDEX(LE_Curves!$G$5:$G$205,MATCH($R91,LE_Curves!$G$5:$G$205,1))))))</f>
        <v/>
      </c>
      <c r="X91" s="11">
        <f>IF(Inputs!$D$28=0,0,IF($R91&lt;=Inputs!$C$28,0,IF($R91&gt;=INDEX(LE_Curves!$H$5:$H$205,201),INDEX(LE_Curves!$B$5:$B$205,201),INDEX(LE_Curves!$B$5:$B$205,MATCH($R91,LE_Curves!$H$5:$H$205,1))+($R91-INDEX(LE_Curves!$H$5:$H$205,MATCH($R91,LE_Curves!$H$5:$H$205,1)))*(INDEX(LE_Curves!$B$5:$B$205,MATCH($R91,LE_Curves!$H$5:$H$205,1)+1)-INDEX(LE_Curves!$B$5:$B$205,MATCH($R91,LE_Curves!$H$5:$H$205,1)))/(INDEX(LE_Curves!$H$5:$H$205,MATCH($R91,LE_Curves!$H$5:$H$205,1)+1)-INDEX(LE_Curves!$H$5:$H$205,MATCH($R91,LE_Curves!$H$5:$H$205,1))))))</f>
        <v/>
      </c>
      <c r="Y91" s="11">
        <f>IF(Inputs!$D$29=0,0,IF($R91&lt;=Inputs!$C$29,0,IF($R91&gt;=INDEX(LE_Curves!$I$5:$I$205,201),INDEX(LE_Curves!$B$5:$B$205,201),INDEX(LE_Curves!$B$5:$B$205,MATCH($R91,LE_Curves!$I$5:$I$205,1))+($R91-INDEX(LE_Curves!$I$5:$I$205,MATCH($R91,LE_Curves!$I$5:$I$205,1)))*(INDEX(LE_Curves!$B$5:$B$205,MATCH($R91,LE_Curves!$I$5:$I$205,1)+1)-INDEX(LE_Curves!$B$5:$B$205,MATCH($R91,LE_Curves!$I$5:$I$205,1)))/(INDEX(LE_Curves!$I$5:$I$205,MATCH($R91,LE_Curves!$I$5:$I$205,1)+1)-INDEX(LE_Curves!$I$5:$I$205,MATCH($R91,LE_Curves!$I$5:$I$205,1))))))</f>
        <v/>
      </c>
      <c r="Z91" s="11">
        <f>IF(Inputs!$D$30=0,0,IF($R91&lt;=Inputs!$C$30,0,IF($R91&gt;=INDEX(LE_Curves!$J$5:$J$205,201),INDEX(LE_Curves!$B$5:$B$205,201),INDEX(LE_Curves!$B$5:$B$205,MATCH($R91,LE_Curves!$J$5:$J$205,1))+($R91-INDEX(LE_Curves!$J$5:$J$205,MATCH($R91,LE_Curves!$J$5:$J$205,1)))*(INDEX(LE_Curves!$B$5:$B$205,MATCH($R91,LE_Curves!$J$5:$J$205,1)+1)-INDEX(LE_Curves!$B$5:$B$205,MATCH($R91,LE_Curves!$J$5:$J$205,1)))/(INDEX(LE_Curves!$J$5:$J$205,MATCH($R91,LE_Curves!$J$5:$J$205,1)+1)-INDEX(LE_Curves!$J$5:$J$205,MATCH($R91,LE_Curves!$J$5:$J$205,1))))))</f>
        <v/>
      </c>
      <c r="AA91" s="11">
        <f>IF(Inputs!$D$31=0,0,IF($R91&lt;=Inputs!$C$31,0,IF($R91&gt;=INDEX(LE_Curves!$K$5:$K$205,201),INDEX(LE_Curves!$B$5:$B$205,201),INDEX(LE_Curves!$B$5:$B$205,MATCH($R91,LE_Curves!$K$5:$K$205,1))+($R91-INDEX(LE_Curves!$K$5:$K$205,MATCH($R91,LE_Curves!$K$5:$K$205,1)))*(INDEX(LE_Curves!$B$5:$B$205,MATCH($R91,LE_Curves!$K$5:$K$205,1)+1)-INDEX(LE_Curves!$B$5:$B$205,MATCH($R91,LE_Curves!$K$5:$K$205,1)))/(INDEX(LE_Curves!$K$5:$K$205,MATCH($R91,LE_Curves!$K$5:$K$205,1)+1)-INDEX(LE_Curves!$K$5:$K$205,MATCH($R91,LE_Curves!$K$5:$K$205,1))))))</f>
        <v/>
      </c>
      <c r="AB91" s="11">
        <f>IF(Inputs!$D$32=0,0,IF($R91&lt;=Inputs!$C$32,0,IF($R91&gt;=INDEX(LE_Curves!$L$5:$L$205,201),INDEX(LE_Curves!$B$5:$B$205,201),INDEX(LE_Curves!$B$5:$B$205,MATCH($R91,LE_Curves!$L$5:$L$205,1))+($R91-INDEX(LE_Curves!$L$5:$L$205,MATCH($R91,LE_Curves!$L$5:$L$205,1)))*(INDEX(LE_Curves!$B$5:$B$205,MATCH($R91,LE_Curves!$L$5:$L$205,1)+1)-INDEX(LE_Curves!$B$5:$B$205,MATCH($R91,LE_Curves!$L$5:$L$205,1)))/(INDEX(LE_Curves!$L$5:$L$205,MATCH($R91,LE_Curves!$L$5:$L$205,1)+1)-INDEX(LE_Curves!$L$5:$L$205,MATCH($R91,LE_Curves!$L$5:$L$205,1))))))</f>
        <v/>
      </c>
      <c r="AC91" s="11">
        <f>IF(Inputs!$D$33=0,0,IF($R91&lt;=Inputs!$C$33,0,IF($R91&gt;=INDEX(LE_Curves!$M$5:$M$205,201),INDEX(LE_Curves!$B$5:$B$205,201),INDEX(LE_Curves!$B$5:$B$205,MATCH($R91,LE_Curves!$M$5:$M$205,1))+($R91-INDEX(LE_Curves!$M$5:$M$205,MATCH($R91,LE_Curves!$M$5:$M$205,1)))*(INDEX(LE_Curves!$B$5:$B$205,MATCH($R91,LE_Curves!$M$5:$M$205,1)+1)-INDEX(LE_Curves!$B$5:$B$205,MATCH($R91,LE_Curves!$M$5:$M$205,1)))/(INDEX(LE_Curves!$M$5:$M$205,MATCH($R91,LE_Curves!$M$5:$M$205,1)+1)-INDEX(LE_Curves!$M$5:$M$205,MATCH($R91,LE_Curves!$M$5:$M$205,1))))))</f>
        <v/>
      </c>
      <c r="AD91" s="11">
        <f>IF(Inputs!$D$34=0,0,IF($R91&lt;=Inputs!$C$34,0,IF($R91&gt;=INDEX(LE_Curves!$N$5:$N$205,201),INDEX(LE_Curves!$B$5:$B$205,201),INDEX(LE_Curves!$B$5:$B$205,MATCH($R91,LE_Curves!$N$5:$N$205,1))+($R91-INDEX(LE_Curves!$N$5:$N$205,MATCH($R91,LE_Curves!$N$5:$N$205,1)))*(INDEX(LE_Curves!$B$5:$B$205,MATCH($R91,LE_Curves!$N$5:$N$205,1)+1)-INDEX(LE_Curves!$B$5:$B$205,MATCH($R91,LE_Curves!$N$5:$N$205,1)))/(INDEX(LE_Curves!$N$5:$N$205,MATCH($R91,LE_Curves!$N$5:$N$205,1)+1)-INDEX(LE_Curves!$N$5:$N$205,MATCH($R91,LE_Curves!$N$5:$N$205,1))))))</f>
        <v/>
      </c>
      <c r="AE91" s="37">
        <f>SUM(S91:AD91)</f>
        <v/>
      </c>
    </row>
    <row r="92">
      <c r="A92" s="7" t="n">
        <v>61</v>
      </c>
      <c r="B92" s="37">
        <f>$B$3+($B$4-$B$3)*A92/200</f>
        <v/>
      </c>
      <c r="C92" s="11">
        <f>IF(Inputs!$D$23=0,0,IF($B92&lt;=Inputs!$C$23,0,IF($B92&gt;=INDEX(LE_Curves!$C$5:$C$205,201),INDEX(LE_Curves!$B$5:$B$205,201),INDEX(LE_Curves!$B$5:$B$205,MATCH($B92,LE_Curves!$C$5:$C$205,1))+($B92-INDEX(LE_Curves!$C$5:$C$205,MATCH($B92,LE_Curves!$C$5:$C$205,1)))*(INDEX(LE_Curves!$B$5:$B$205,MATCH($B92,LE_Curves!$C$5:$C$205,1)+1)-INDEX(LE_Curves!$B$5:$B$205,MATCH($B92,LE_Curves!$C$5:$C$205,1)))/(INDEX(LE_Curves!$C$5:$C$205,MATCH($B92,LE_Curves!$C$5:$C$205,1)+1)-INDEX(LE_Curves!$C$5:$C$205,MATCH($B92,LE_Curves!$C$5:$C$205,1))))))</f>
        <v/>
      </c>
      <c r="D92" s="11">
        <f>IF(Inputs!$D$24=0,0,IF($B92&lt;=Inputs!$C$24,0,IF($B92&gt;=INDEX(LE_Curves!$D$5:$D$205,201),INDEX(LE_Curves!$B$5:$B$205,201),INDEX(LE_Curves!$B$5:$B$205,MATCH($B92,LE_Curves!$D$5:$D$205,1))+($B92-INDEX(LE_Curves!$D$5:$D$205,MATCH($B92,LE_Curves!$D$5:$D$205,1)))*(INDEX(LE_Curves!$B$5:$B$205,MATCH($B92,LE_Curves!$D$5:$D$205,1)+1)-INDEX(LE_Curves!$B$5:$B$205,MATCH($B92,LE_Curves!$D$5:$D$205,1)))/(INDEX(LE_Curves!$D$5:$D$205,MATCH($B92,LE_Curves!$D$5:$D$205,1)+1)-INDEX(LE_Curves!$D$5:$D$205,MATCH($B92,LE_Curves!$D$5:$D$205,1))))))</f>
        <v/>
      </c>
      <c r="E92" s="11">
        <f>IF(Inputs!$D$25=0,0,IF($B92&lt;=Inputs!$C$25,0,IF($B92&gt;=INDEX(LE_Curves!$E$5:$E$205,201),INDEX(LE_Curves!$B$5:$B$205,201),INDEX(LE_Curves!$B$5:$B$205,MATCH($B92,LE_Curves!$E$5:$E$205,1))+($B92-INDEX(LE_Curves!$E$5:$E$205,MATCH($B92,LE_Curves!$E$5:$E$205,1)))*(INDEX(LE_Curves!$B$5:$B$205,MATCH($B92,LE_Curves!$E$5:$E$205,1)+1)-INDEX(LE_Curves!$B$5:$B$205,MATCH($B92,LE_Curves!$E$5:$E$205,1)))/(INDEX(LE_Curves!$E$5:$E$205,MATCH($B92,LE_Curves!$E$5:$E$205,1)+1)-INDEX(LE_Curves!$E$5:$E$205,MATCH($B92,LE_Curves!$E$5:$E$205,1))))))</f>
        <v/>
      </c>
      <c r="F92" s="11">
        <f>IF(Inputs!$D$26=0,0,IF($B92&lt;=Inputs!$C$26,0,IF($B92&gt;=INDEX(LE_Curves!$F$5:$F$205,201),INDEX(LE_Curves!$B$5:$B$205,201),INDEX(LE_Curves!$B$5:$B$205,MATCH($B92,LE_Curves!$F$5:$F$205,1))+($B92-INDEX(LE_Curves!$F$5:$F$205,MATCH($B92,LE_Curves!$F$5:$F$205,1)))*(INDEX(LE_Curves!$B$5:$B$205,MATCH($B92,LE_Curves!$F$5:$F$205,1)+1)-INDEX(LE_Curves!$B$5:$B$205,MATCH($B92,LE_Curves!$F$5:$F$205,1)))/(INDEX(LE_Curves!$F$5:$F$205,MATCH($B92,LE_Curves!$F$5:$F$205,1)+1)-INDEX(LE_Curves!$F$5:$F$205,MATCH($B92,LE_Curves!$F$5:$F$205,1))))))</f>
        <v/>
      </c>
      <c r="G92" s="11">
        <f>IF(Inputs!$D$27=0,0,IF($B92&lt;=Inputs!$C$27,0,IF($B92&gt;=INDEX(LE_Curves!$G$5:$G$205,201),INDEX(LE_Curves!$B$5:$B$205,201),INDEX(LE_Curves!$B$5:$B$205,MATCH($B92,LE_Curves!$G$5:$G$205,1))+($B92-INDEX(LE_Curves!$G$5:$G$205,MATCH($B92,LE_Curves!$G$5:$G$205,1)))*(INDEX(LE_Curves!$B$5:$B$205,MATCH($B92,LE_Curves!$G$5:$G$205,1)+1)-INDEX(LE_Curves!$B$5:$B$205,MATCH($B92,LE_Curves!$G$5:$G$205,1)))/(INDEX(LE_Curves!$G$5:$G$205,MATCH($B92,LE_Curves!$G$5:$G$205,1)+1)-INDEX(LE_Curves!$G$5:$G$205,MATCH($B92,LE_Curves!$G$5:$G$205,1))))))</f>
        <v/>
      </c>
      <c r="H92" s="11">
        <f>IF(Inputs!$D$28=0,0,IF($B92&lt;=Inputs!$C$28,0,IF($B92&gt;=INDEX(LE_Curves!$H$5:$H$205,201),INDEX(LE_Curves!$B$5:$B$205,201),INDEX(LE_Curves!$B$5:$B$205,MATCH($B92,LE_Curves!$H$5:$H$205,1))+($B92-INDEX(LE_Curves!$H$5:$H$205,MATCH($B92,LE_Curves!$H$5:$H$205,1)))*(INDEX(LE_Curves!$B$5:$B$205,MATCH($B92,LE_Curves!$H$5:$H$205,1)+1)-INDEX(LE_Curves!$B$5:$B$205,MATCH($B92,LE_Curves!$H$5:$H$205,1)))/(INDEX(LE_Curves!$H$5:$H$205,MATCH($B92,LE_Curves!$H$5:$H$205,1)+1)-INDEX(LE_Curves!$H$5:$H$205,MATCH($B92,LE_Curves!$H$5:$H$205,1))))))</f>
        <v/>
      </c>
      <c r="I92" s="11">
        <f>IF(Inputs!$D$29=0,0,IF($B92&lt;=Inputs!$C$29,0,IF($B92&gt;=INDEX(LE_Curves!$I$5:$I$205,201),INDEX(LE_Curves!$B$5:$B$205,201),INDEX(LE_Curves!$B$5:$B$205,MATCH($B92,LE_Curves!$I$5:$I$205,1))+($B92-INDEX(LE_Curves!$I$5:$I$205,MATCH($B92,LE_Curves!$I$5:$I$205,1)))*(INDEX(LE_Curves!$B$5:$B$205,MATCH($B92,LE_Curves!$I$5:$I$205,1)+1)-INDEX(LE_Curves!$B$5:$B$205,MATCH($B92,LE_Curves!$I$5:$I$205,1)))/(INDEX(LE_Curves!$I$5:$I$205,MATCH($B92,LE_Curves!$I$5:$I$205,1)+1)-INDEX(LE_Curves!$I$5:$I$205,MATCH($B92,LE_Curves!$I$5:$I$205,1))))))</f>
        <v/>
      </c>
      <c r="J92" s="11">
        <f>IF(Inputs!$D$30=0,0,IF($B92&lt;=Inputs!$C$30,0,IF($B92&gt;=INDEX(LE_Curves!$J$5:$J$205,201),INDEX(LE_Curves!$B$5:$B$205,201),INDEX(LE_Curves!$B$5:$B$205,MATCH($B92,LE_Curves!$J$5:$J$205,1))+($B92-INDEX(LE_Curves!$J$5:$J$205,MATCH($B92,LE_Curves!$J$5:$J$205,1)))*(INDEX(LE_Curves!$B$5:$B$205,MATCH($B92,LE_Curves!$J$5:$J$205,1)+1)-INDEX(LE_Curves!$B$5:$B$205,MATCH($B92,LE_Curves!$J$5:$J$205,1)))/(INDEX(LE_Curves!$J$5:$J$205,MATCH($B92,LE_Curves!$J$5:$J$205,1)+1)-INDEX(LE_Curves!$J$5:$J$205,MATCH($B92,LE_Curves!$J$5:$J$205,1))))))</f>
        <v/>
      </c>
      <c r="K92" s="11">
        <f>IF(Inputs!$D$31=0,0,IF($B92&lt;=Inputs!$C$31,0,IF($B92&gt;=INDEX(LE_Curves!$K$5:$K$205,201),INDEX(LE_Curves!$B$5:$B$205,201),INDEX(LE_Curves!$B$5:$B$205,MATCH($B92,LE_Curves!$K$5:$K$205,1))+($B92-INDEX(LE_Curves!$K$5:$K$205,MATCH($B92,LE_Curves!$K$5:$K$205,1)))*(INDEX(LE_Curves!$B$5:$B$205,MATCH($B92,LE_Curves!$K$5:$K$205,1)+1)-INDEX(LE_Curves!$B$5:$B$205,MATCH($B92,LE_Curves!$K$5:$K$205,1)))/(INDEX(LE_Curves!$K$5:$K$205,MATCH($B92,LE_Curves!$K$5:$K$205,1)+1)-INDEX(LE_Curves!$K$5:$K$205,MATCH($B92,LE_Curves!$K$5:$K$205,1))))))</f>
        <v/>
      </c>
      <c r="L92" s="11">
        <f>IF(Inputs!$D$32=0,0,IF($B92&lt;=Inputs!$C$32,0,IF($B92&gt;=INDEX(LE_Curves!$L$5:$L$205,201),INDEX(LE_Curves!$B$5:$B$205,201),INDEX(LE_Curves!$B$5:$B$205,MATCH($B92,LE_Curves!$L$5:$L$205,1))+($B92-INDEX(LE_Curves!$L$5:$L$205,MATCH($B92,LE_Curves!$L$5:$L$205,1)))*(INDEX(LE_Curves!$B$5:$B$205,MATCH($B92,LE_Curves!$L$5:$L$205,1)+1)-INDEX(LE_Curves!$B$5:$B$205,MATCH($B92,LE_Curves!$L$5:$L$205,1)))/(INDEX(LE_Curves!$L$5:$L$205,MATCH($B92,LE_Curves!$L$5:$L$205,1)+1)-INDEX(LE_Curves!$L$5:$L$205,MATCH($B92,LE_Curves!$L$5:$L$205,1))))))</f>
        <v/>
      </c>
      <c r="M92" s="11">
        <f>IF(Inputs!$D$33=0,0,IF($B92&lt;=Inputs!$C$33,0,IF($B92&gt;=INDEX(LE_Curves!$M$5:$M$205,201),INDEX(LE_Curves!$B$5:$B$205,201),INDEX(LE_Curves!$B$5:$B$205,MATCH($B92,LE_Curves!$M$5:$M$205,1))+($B92-INDEX(LE_Curves!$M$5:$M$205,MATCH($B92,LE_Curves!$M$5:$M$205,1)))*(INDEX(LE_Curves!$B$5:$B$205,MATCH($B92,LE_Curves!$M$5:$M$205,1)+1)-INDEX(LE_Curves!$B$5:$B$205,MATCH($B92,LE_Curves!$M$5:$M$205,1)))/(INDEX(LE_Curves!$M$5:$M$205,MATCH($B92,LE_Curves!$M$5:$M$205,1)+1)-INDEX(LE_Curves!$M$5:$M$205,MATCH($B92,LE_Curves!$M$5:$M$205,1))))))</f>
        <v/>
      </c>
      <c r="N92" s="11">
        <f>IF(Inputs!$D$34=0,0,IF($B92&lt;=Inputs!$C$34,0,IF($B92&gt;=INDEX(LE_Curves!$N$5:$N$205,201),INDEX(LE_Curves!$B$5:$B$205,201),INDEX(LE_Curves!$B$5:$B$205,MATCH($B92,LE_Curves!$N$5:$N$205,1))+($B92-INDEX(LE_Curves!$N$5:$N$205,MATCH($B92,LE_Curves!$N$5:$N$205,1)))*(INDEX(LE_Curves!$B$5:$B$205,MATCH($B92,LE_Curves!$N$5:$N$205,1)+1)-INDEX(LE_Curves!$B$5:$B$205,MATCH($B92,LE_Curves!$N$5:$N$205,1)))/(INDEX(LE_Curves!$N$5:$N$205,MATCH($B92,LE_Curves!$N$5:$N$205,1)+1)-INDEX(LE_Curves!$N$5:$N$205,MATCH($B92,LE_Curves!$N$5:$N$205,1))))))</f>
        <v/>
      </c>
      <c r="O92" s="11">
        <f>SUM(C92:N92)</f>
        <v/>
      </c>
      <c r="Q92" s="7" t="n">
        <v>61</v>
      </c>
      <c r="R92" s="23">
        <f>$B$6+($B$7-$B$6)*Q92/200</f>
        <v/>
      </c>
      <c r="S92" s="11">
        <f>IF(Inputs!$D$23=0,0,IF($R92&lt;=Inputs!$C$23,0,IF($R92&gt;=INDEX(LE_Curves!$C$5:$C$205,201),INDEX(LE_Curves!$B$5:$B$205,201),INDEX(LE_Curves!$B$5:$B$205,MATCH($R92,LE_Curves!$C$5:$C$205,1))+($R92-INDEX(LE_Curves!$C$5:$C$205,MATCH($R92,LE_Curves!$C$5:$C$205,1)))*(INDEX(LE_Curves!$B$5:$B$205,MATCH($R92,LE_Curves!$C$5:$C$205,1)+1)-INDEX(LE_Curves!$B$5:$B$205,MATCH($R92,LE_Curves!$C$5:$C$205,1)))/(INDEX(LE_Curves!$C$5:$C$205,MATCH($R92,LE_Curves!$C$5:$C$205,1)+1)-INDEX(LE_Curves!$C$5:$C$205,MATCH($R92,LE_Curves!$C$5:$C$205,1))))))</f>
        <v/>
      </c>
      <c r="T92" s="11">
        <f>IF(Inputs!$D$24=0,0,IF($R92&lt;=Inputs!$C$24,0,IF($R92&gt;=INDEX(LE_Curves!$D$5:$D$205,201),INDEX(LE_Curves!$B$5:$B$205,201),INDEX(LE_Curves!$B$5:$B$205,MATCH($R92,LE_Curves!$D$5:$D$205,1))+($R92-INDEX(LE_Curves!$D$5:$D$205,MATCH($R92,LE_Curves!$D$5:$D$205,1)))*(INDEX(LE_Curves!$B$5:$B$205,MATCH($R92,LE_Curves!$D$5:$D$205,1)+1)-INDEX(LE_Curves!$B$5:$B$205,MATCH($R92,LE_Curves!$D$5:$D$205,1)))/(INDEX(LE_Curves!$D$5:$D$205,MATCH($R92,LE_Curves!$D$5:$D$205,1)+1)-INDEX(LE_Curves!$D$5:$D$205,MATCH($R92,LE_Curves!$D$5:$D$205,1))))))</f>
        <v/>
      </c>
      <c r="U92" s="11">
        <f>IF(Inputs!$D$25=0,0,IF($R92&lt;=Inputs!$C$25,0,IF($R92&gt;=INDEX(LE_Curves!$E$5:$E$205,201),INDEX(LE_Curves!$B$5:$B$205,201),INDEX(LE_Curves!$B$5:$B$205,MATCH($R92,LE_Curves!$E$5:$E$205,1))+($R92-INDEX(LE_Curves!$E$5:$E$205,MATCH($R92,LE_Curves!$E$5:$E$205,1)))*(INDEX(LE_Curves!$B$5:$B$205,MATCH($R92,LE_Curves!$E$5:$E$205,1)+1)-INDEX(LE_Curves!$B$5:$B$205,MATCH($R92,LE_Curves!$E$5:$E$205,1)))/(INDEX(LE_Curves!$E$5:$E$205,MATCH($R92,LE_Curves!$E$5:$E$205,1)+1)-INDEX(LE_Curves!$E$5:$E$205,MATCH($R92,LE_Curves!$E$5:$E$205,1))))))</f>
        <v/>
      </c>
      <c r="V92" s="11">
        <f>IF(Inputs!$D$26=0,0,IF($R92&lt;=Inputs!$C$26,0,IF($R92&gt;=INDEX(LE_Curves!$F$5:$F$205,201),INDEX(LE_Curves!$B$5:$B$205,201),INDEX(LE_Curves!$B$5:$B$205,MATCH($R92,LE_Curves!$F$5:$F$205,1))+($R92-INDEX(LE_Curves!$F$5:$F$205,MATCH($R92,LE_Curves!$F$5:$F$205,1)))*(INDEX(LE_Curves!$B$5:$B$205,MATCH($R92,LE_Curves!$F$5:$F$205,1)+1)-INDEX(LE_Curves!$B$5:$B$205,MATCH($R92,LE_Curves!$F$5:$F$205,1)))/(INDEX(LE_Curves!$F$5:$F$205,MATCH($R92,LE_Curves!$F$5:$F$205,1)+1)-INDEX(LE_Curves!$F$5:$F$205,MATCH($R92,LE_Curves!$F$5:$F$205,1))))))</f>
        <v/>
      </c>
      <c r="W92" s="11">
        <f>IF(Inputs!$D$27=0,0,IF($R92&lt;=Inputs!$C$27,0,IF($R92&gt;=INDEX(LE_Curves!$G$5:$G$205,201),INDEX(LE_Curves!$B$5:$B$205,201),INDEX(LE_Curves!$B$5:$B$205,MATCH($R92,LE_Curves!$G$5:$G$205,1))+($R92-INDEX(LE_Curves!$G$5:$G$205,MATCH($R92,LE_Curves!$G$5:$G$205,1)))*(INDEX(LE_Curves!$B$5:$B$205,MATCH($R92,LE_Curves!$G$5:$G$205,1)+1)-INDEX(LE_Curves!$B$5:$B$205,MATCH($R92,LE_Curves!$G$5:$G$205,1)))/(INDEX(LE_Curves!$G$5:$G$205,MATCH($R92,LE_Curves!$G$5:$G$205,1)+1)-INDEX(LE_Curves!$G$5:$G$205,MATCH($R92,LE_Curves!$G$5:$G$205,1))))))</f>
        <v/>
      </c>
      <c r="X92" s="11">
        <f>IF(Inputs!$D$28=0,0,IF($R92&lt;=Inputs!$C$28,0,IF($R92&gt;=INDEX(LE_Curves!$H$5:$H$205,201),INDEX(LE_Curves!$B$5:$B$205,201),INDEX(LE_Curves!$B$5:$B$205,MATCH($R92,LE_Curves!$H$5:$H$205,1))+($R92-INDEX(LE_Curves!$H$5:$H$205,MATCH($R92,LE_Curves!$H$5:$H$205,1)))*(INDEX(LE_Curves!$B$5:$B$205,MATCH($R92,LE_Curves!$H$5:$H$205,1)+1)-INDEX(LE_Curves!$B$5:$B$205,MATCH($R92,LE_Curves!$H$5:$H$205,1)))/(INDEX(LE_Curves!$H$5:$H$205,MATCH($R92,LE_Curves!$H$5:$H$205,1)+1)-INDEX(LE_Curves!$H$5:$H$205,MATCH($R92,LE_Curves!$H$5:$H$205,1))))))</f>
        <v/>
      </c>
      <c r="Y92" s="11">
        <f>IF(Inputs!$D$29=0,0,IF($R92&lt;=Inputs!$C$29,0,IF($R92&gt;=INDEX(LE_Curves!$I$5:$I$205,201),INDEX(LE_Curves!$B$5:$B$205,201),INDEX(LE_Curves!$B$5:$B$205,MATCH($R92,LE_Curves!$I$5:$I$205,1))+($R92-INDEX(LE_Curves!$I$5:$I$205,MATCH($R92,LE_Curves!$I$5:$I$205,1)))*(INDEX(LE_Curves!$B$5:$B$205,MATCH($R92,LE_Curves!$I$5:$I$205,1)+1)-INDEX(LE_Curves!$B$5:$B$205,MATCH($R92,LE_Curves!$I$5:$I$205,1)))/(INDEX(LE_Curves!$I$5:$I$205,MATCH($R92,LE_Curves!$I$5:$I$205,1)+1)-INDEX(LE_Curves!$I$5:$I$205,MATCH($R92,LE_Curves!$I$5:$I$205,1))))))</f>
        <v/>
      </c>
      <c r="Z92" s="11">
        <f>IF(Inputs!$D$30=0,0,IF($R92&lt;=Inputs!$C$30,0,IF($R92&gt;=INDEX(LE_Curves!$J$5:$J$205,201),INDEX(LE_Curves!$B$5:$B$205,201),INDEX(LE_Curves!$B$5:$B$205,MATCH($R92,LE_Curves!$J$5:$J$205,1))+($R92-INDEX(LE_Curves!$J$5:$J$205,MATCH($R92,LE_Curves!$J$5:$J$205,1)))*(INDEX(LE_Curves!$B$5:$B$205,MATCH($R92,LE_Curves!$J$5:$J$205,1)+1)-INDEX(LE_Curves!$B$5:$B$205,MATCH($R92,LE_Curves!$J$5:$J$205,1)))/(INDEX(LE_Curves!$J$5:$J$205,MATCH($R92,LE_Curves!$J$5:$J$205,1)+1)-INDEX(LE_Curves!$J$5:$J$205,MATCH($R92,LE_Curves!$J$5:$J$205,1))))))</f>
        <v/>
      </c>
      <c r="AA92" s="11">
        <f>IF(Inputs!$D$31=0,0,IF($R92&lt;=Inputs!$C$31,0,IF($R92&gt;=INDEX(LE_Curves!$K$5:$K$205,201),INDEX(LE_Curves!$B$5:$B$205,201),INDEX(LE_Curves!$B$5:$B$205,MATCH($R92,LE_Curves!$K$5:$K$205,1))+($R92-INDEX(LE_Curves!$K$5:$K$205,MATCH($R92,LE_Curves!$K$5:$K$205,1)))*(INDEX(LE_Curves!$B$5:$B$205,MATCH($R92,LE_Curves!$K$5:$K$205,1)+1)-INDEX(LE_Curves!$B$5:$B$205,MATCH($R92,LE_Curves!$K$5:$K$205,1)))/(INDEX(LE_Curves!$K$5:$K$205,MATCH($R92,LE_Curves!$K$5:$K$205,1)+1)-INDEX(LE_Curves!$K$5:$K$205,MATCH($R92,LE_Curves!$K$5:$K$205,1))))))</f>
        <v/>
      </c>
      <c r="AB92" s="11">
        <f>IF(Inputs!$D$32=0,0,IF($R92&lt;=Inputs!$C$32,0,IF($R92&gt;=INDEX(LE_Curves!$L$5:$L$205,201),INDEX(LE_Curves!$B$5:$B$205,201),INDEX(LE_Curves!$B$5:$B$205,MATCH($R92,LE_Curves!$L$5:$L$205,1))+($R92-INDEX(LE_Curves!$L$5:$L$205,MATCH($R92,LE_Curves!$L$5:$L$205,1)))*(INDEX(LE_Curves!$B$5:$B$205,MATCH($R92,LE_Curves!$L$5:$L$205,1)+1)-INDEX(LE_Curves!$B$5:$B$205,MATCH($R92,LE_Curves!$L$5:$L$205,1)))/(INDEX(LE_Curves!$L$5:$L$205,MATCH($R92,LE_Curves!$L$5:$L$205,1)+1)-INDEX(LE_Curves!$L$5:$L$205,MATCH($R92,LE_Curves!$L$5:$L$205,1))))))</f>
        <v/>
      </c>
      <c r="AC92" s="11">
        <f>IF(Inputs!$D$33=0,0,IF($R92&lt;=Inputs!$C$33,0,IF($R92&gt;=INDEX(LE_Curves!$M$5:$M$205,201),INDEX(LE_Curves!$B$5:$B$205,201),INDEX(LE_Curves!$B$5:$B$205,MATCH($R92,LE_Curves!$M$5:$M$205,1))+($R92-INDEX(LE_Curves!$M$5:$M$205,MATCH($R92,LE_Curves!$M$5:$M$205,1)))*(INDEX(LE_Curves!$B$5:$B$205,MATCH($R92,LE_Curves!$M$5:$M$205,1)+1)-INDEX(LE_Curves!$B$5:$B$205,MATCH($R92,LE_Curves!$M$5:$M$205,1)))/(INDEX(LE_Curves!$M$5:$M$205,MATCH($R92,LE_Curves!$M$5:$M$205,1)+1)-INDEX(LE_Curves!$M$5:$M$205,MATCH($R92,LE_Curves!$M$5:$M$205,1))))))</f>
        <v/>
      </c>
      <c r="AD92" s="11">
        <f>IF(Inputs!$D$34=0,0,IF($R92&lt;=Inputs!$C$34,0,IF($R92&gt;=INDEX(LE_Curves!$N$5:$N$205,201),INDEX(LE_Curves!$B$5:$B$205,201),INDEX(LE_Curves!$B$5:$B$205,MATCH($R92,LE_Curves!$N$5:$N$205,1))+($R92-INDEX(LE_Curves!$N$5:$N$205,MATCH($R92,LE_Curves!$N$5:$N$205,1)))*(INDEX(LE_Curves!$B$5:$B$205,MATCH($R92,LE_Curves!$N$5:$N$205,1)+1)-INDEX(LE_Curves!$B$5:$B$205,MATCH($R92,LE_Curves!$N$5:$N$205,1)))/(INDEX(LE_Curves!$N$5:$N$205,MATCH($R92,LE_Curves!$N$5:$N$205,1)+1)-INDEX(LE_Curves!$N$5:$N$205,MATCH($R92,LE_Curves!$N$5:$N$205,1))))))</f>
        <v/>
      </c>
      <c r="AE92" s="37">
        <f>SUM(S92:AD92)</f>
        <v/>
      </c>
    </row>
    <row r="93">
      <c r="A93" s="7" t="n">
        <v>62</v>
      </c>
      <c r="B93" s="37">
        <f>$B$3+($B$4-$B$3)*A93/200</f>
        <v/>
      </c>
      <c r="C93" s="11">
        <f>IF(Inputs!$D$23=0,0,IF($B93&lt;=Inputs!$C$23,0,IF($B93&gt;=INDEX(LE_Curves!$C$5:$C$205,201),INDEX(LE_Curves!$B$5:$B$205,201),INDEX(LE_Curves!$B$5:$B$205,MATCH($B93,LE_Curves!$C$5:$C$205,1))+($B93-INDEX(LE_Curves!$C$5:$C$205,MATCH($B93,LE_Curves!$C$5:$C$205,1)))*(INDEX(LE_Curves!$B$5:$B$205,MATCH($B93,LE_Curves!$C$5:$C$205,1)+1)-INDEX(LE_Curves!$B$5:$B$205,MATCH($B93,LE_Curves!$C$5:$C$205,1)))/(INDEX(LE_Curves!$C$5:$C$205,MATCH($B93,LE_Curves!$C$5:$C$205,1)+1)-INDEX(LE_Curves!$C$5:$C$205,MATCH($B93,LE_Curves!$C$5:$C$205,1))))))</f>
        <v/>
      </c>
      <c r="D93" s="11">
        <f>IF(Inputs!$D$24=0,0,IF($B93&lt;=Inputs!$C$24,0,IF($B93&gt;=INDEX(LE_Curves!$D$5:$D$205,201),INDEX(LE_Curves!$B$5:$B$205,201),INDEX(LE_Curves!$B$5:$B$205,MATCH($B93,LE_Curves!$D$5:$D$205,1))+($B93-INDEX(LE_Curves!$D$5:$D$205,MATCH($B93,LE_Curves!$D$5:$D$205,1)))*(INDEX(LE_Curves!$B$5:$B$205,MATCH($B93,LE_Curves!$D$5:$D$205,1)+1)-INDEX(LE_Curves!$B$5:$B$205,MATCH($B93,LE_Curves!$D$5:$D$205,1)))/(INDEX(LE_Curves!$D$5:$D$205,MATCH($B93,LE_Curves!$D$5:$D$205,1)+1)-INDEX(LE_Curves!$D$5:$D$205,MATCH($B93,LE_Curves!$D$5:$D$205,1))))))</f>
        <v/>
      </c>
      <c r="E93" s="11">
        <f>IF(Inputs!$D$25=0,0,IF($B93&lt;=Inputs!$C$25,0,IF($B93&gt;=INDEX(LE_Curves!$E$5:$E$205,201),INDEX(LE_Curves!$B$5:$B$205,201),INDEX(LE_Curves!$B$5:$B$205,MATCH($B93,LE_Curves!$E$5:$E$205,1))+($B93-INDEX(LE_Curves!$E$5:$E$205,MATCH($B93,LE_Curves!$E$5:$E$205,1)))*(INDEX(LE_Curves!$B$5:$B$205,MATCH($B93,LE_Curves!$E$5:$E$205,1)+1)-INDEX(LE_Curves!$B$5:$B$205,MATCH($B93,LE_Curves!$E$5:$E$205,1)))/(INDEX(LE_Curves!$E$5:$E$205,MATCH($B93,LE_Curves!$E$5:$E$205,1)+1)-INDEX(LE_Curves!$E$5:$E$205,MATCH($B93,LE_Curves!$E$5:$E$205,1))))))</f>
        <v/>
      </c>
      <c r="F93" s="11">
        <f>IF(Inputs!$D$26=0,0,IF($B93&lt;=Inputs!$C$26,0,IF($B93&gt;=INDEX(LE_Curves!$F$5:$F$205,201),INDEX(LE_Curves!$B$5:$B$205,201),INDEX(LE_Curves!$B$5:$B$205,MATCH($B93,LE_Curves!$F$5:$F$205,1))+($B93-INDEX(LE_Curves!$F$5:$F$205,MATCH($B93,LE_Curves!$F$5:$F$205,1)))*(INDEX(LE_Curves!$B$5:$B$205,MATCH($B93,LE_Curves!$F$5:$F$205,1)+1)-INDEX(LE_Curves!$B$5:$B$205,MATCH($B93,LE_Curves!$F$5:$F$205,1)))/(INDEX(LE_Curves!$F$5:$F$205,MATCH($B93,LE_Curves!$F$5:$F$205,1)+1)-INDEX(LE_Curves!$F$5:$F$205,MATCH($B93,LE_Curves!$F$5:$F$205,1))))))</f>
        <v/>
      </c>
      <c r="G93" s="11">
        <f>IF(Inputs!$D$27=0,0,IF($B93&lt;=Inputs!$C$27,0,IF($B93&gt;=INDEX(LE_Curves!$G$5:$G$205,201),INDEX(LE_Curves!$B$5:$B$205,201),INDEX(LE_Curves!$B$5:$B$205,MATCH($B93,LE_Curves!$G$5:$G$205,1))+($B93-INDEX(LE_Curves!$G$5:$G$205,MATCH($B93,LE_Curves!$G$5:$G$205,1)))*(INDEX(LE_Curves!$B$5:$B$205,MATCH($B93,LE_Curves!$G$5:$G$205,1)+1)-INDEX(LE_Curves!$B$5:$B$205,MATCH($B93,LE_Curves!$G$5:$G$205,1)))/(INDEX(LE_Curves!$G$5:$G$205,MATCH($B93,LE_Curves!$G$5:$G$205,1)+1)-INDEX(LE_Curves!$G$5:$G$205,MATCH($B93,LE_Curves!$G$5:$G$205,1))))))</f>
        <v/>
      </c>
      <c r="H93" s="11">
        <f>IF(Inputs!$D$28=0,0,IF($B93&lt;=Inputs!$C$28,0,IF($B93&gt;=INDEX(LE_Curves!$H$5:$H$205,201),INDEX(LE_Curves!$B$5:$B$205,201),INDEX(LE_Curves!$B$5:$B$205,MATCH($B93,LE_Curves!$H$5:$H$205,1))+($B93-INDEX(LE_Curves!$H$5:$H$205,MATCH($B93,LE_Curves!$H$5:$H$205,1)))*(INDEX(LE_Curves!$B$5:$B$205,MATCH($B93,LE_Curves!$H$5:$H$205,1)+1)-INDEX(LE_Curves!$B$5:$B$205,MATCH($B93,LE_Curves!$H$5:$H$205,1)))/(INDEX(LE_Curves!$H$5:$H$205,MATCH($B93,LE_Curves!$H$5:$H$205,1)+1)-INDEX(LE_Curves!$H$5:$H$205,MATCH($B93,LE_Curves!$H$5:$H$205,1))))))</f>
        <v/>
      </c>
      <c r="I93" s="11">
        <f>IF(Inputs!$D$29=0,0,IF($B93&lt;=Inputs!$C$29,0,IF($B93&gt;=INDEX(LE_Curves!$I$5:$I$205,201),INDEX(LE_Curves!$B$5:$B$205,201),INDEX(LE_Curves!$B$5:$B$205,MATCH($B93,LE_Curves!$I$5:$I$205,1))+($B93-INDEX(LE_Curves!$I$5:$I$205,MATCH($B93,LE_Curves!$I$5:$I$205,1)))*(INDEX(LE_Curves!$B$5:$B$205,MATCH($B93,LE_Curves!$I$5:$I$205,1)+1)-INDEX(LE_Curves!$B$5:$B$205,MATCH($B93,LE_Curves!$I$5:$I$205,1)))/(INDEX(LE_Curves!$I$5:$I$205,MATCH($B93,LE_Curves!$I$5:$I$205,1)+1)-INDEX(LE_Curves!$I$5:$I$205,MATCH($B93,LE_Curves!$I$5:$I$205,1))))))</f>
        <v/>
      </c>
      <c r="J93" s="11">
        <f>IF(Inputs!$D$30=0,0,IF($B93&lt;=Inputs!$C$30,0,IF($B93&gt;=INDEX(LE_Curves!$J$5:$J$205,201),INDEX(LE_Curves!$B$5:$B$205,201),INDEX(LE_Curves!$B$5:$B$205,MATCH($B93,LE_Curves!$J$5:$J$205,1))+($B93-INDEX(LE_Curves!$J$5:$J$205,MATCH($B93,LE_Curves!$J$5:$J$205,1)))*(INDEX(LE_Curves!$B$5:$B$205,MATCH($B93,LE_Curves!$J$5:$J$205,1)+1)-INDEX(LE_Curves!$B$5:$B$205,MATCH($B93,LE_Curves!$J$5:$J$205,1)))/(INDEX(LE_Curves!$J$5:$J$205,MATCH($B93,LE_Curves!$J$5:$J$205,1)+1)-INDEX(LE_Curves!$J$5:$J$205,MATCH($B93,LE_Curves!$J$5:$J$205,1))))))</f>
        <v/>
      </c>
      <c r="K93" s="11">
        <f>IF(Inputs!$D$31=0,0,IF($B93&lt;=Inputs!$C$31,0,IF($B93&gt;=INDEX(LE_Curves!$K$5:$K$205,201),INDEX(LE_Curves!$B$5:$B$205,201),INDEX(LE_Curves!$B$5:$B$205,MATCH($B93,LE_Curves!$K$5:$K$205,1))+($B93-INDEX(LE_Curves!$K$5:$K$205,MATCH($B93,LE_Curves!$K$5:$K$205,1)))*(INDEX(LE_Curves!$B$5:$B$205,MATCH($B93,LE_Curves!$K$5:$K$205,1)+1)-INDEX(LE_Curves!$B$5:$B$205,MATCH($B93,LE_Curves!$K$5:$K$205,1)))/(INDEX(LE_Curves!$K$5:$K$205,MATCH($B93,LE_Curves!$K$5:$K$205,1)+1)-INDEX(LE_Curves!$K$5:$K$205,MATCH($B93,LE_Curves!$K$5:$K$205,1))))))</f>
        <v/>
      </c>
      <c r="L93" s="11">
        <f>IF(Inputs!$D$32=0,0,IF($B93&lt;=Inputs!$C$32,0,IF($B93&gt;=INDEX(LE_Curves!$L$5:$L$205,201),INDEX(LE_Curves!$B$5:$B$205,201),INDEX(LE_Curves!$B$5:$B$205,MATCH($B93,LE_Curves!$L$5:$L$205,1))+($B93-INDEX(LE_Curves!$L$5:$L$205,MATCH($B93,LE_Curves!$L$5:$L$205,1)))*(INDEX(LE_Curves!$B$5:$B$205,MATCH($B93,LE_Curves!$L$5:$L$205,1)+1)-INDEX(LE_Curves!$B$5:$B$205,MATCH($B93,LE_Curves!$L$5:$L$205,1)))/(INDEX(LE_Curves!$L$5:$L$205,MATCH($B93,LE_Curves!$L$5:$L$205,1)+1)-INDEX(LE_Curves!$L$5:$L$205,MATCH($B93,LE_Curves!$L$5:$L$205,1))))))</f>
        <v/>
      </c>
      <c r="M93" s="11">
        <f>IF(Inputs!$D$33=0,0,IF($B93&lt;=Inputs!$C$33,0,IF($B93&gt;=INDEX(LE_Curves!$M$5:$M$205,201),INDEX(LE_Curves!$B$5:$B$205,201),INDEX(LE_Curves!$B$5:$B$205,MATCH($B93,LE_Curves!$M$5:$M$205,1))+($B93-INDEX(LE_Curves!$M$5:$M$205,MATCH($B93,LE_Curves!$M$5:$M$205,1)))*(INDEX(LE_Curves!$B$5:$B$205,MATCH($B93,LE_Curves!$M$5:$M$205,1)+1)-INDEX(LE_Curves!$B$5:$B$205,MATCH($B93,LE_Curves!$M$5:$M$205,1)))/(INDEX(LE_Curves!$M$5:$M$205,MATCH($B93,LE_Curves!$M$5:$M$205,1)+1)-INDEX(LE_Curves!$M$5:$M$205,MATCH($B93,LE_Curves!$M$5:$M$205,1))))))</f>
        <v/>
      </c>
      <c r="N93" s="11">
        <f>IF(Inputs!$D$34=0,0,IF($B93&lt;=Inputs!$C$34,0,IF($B93&gt;=INDEX(LE_Curves!$N$5:$N$205,201),INDEX(LE_Curves!$B$5:$B$205,201),INDEX(LE_Curves!$B$5:$B$205,MATCH($B93,LE_Curves!$N$5:$N$205,1))+($B93-INDEX(LE_Curves!$N$5:$N$205,MATCH($B93,LE_Curves!$N$5:$N$205,1)))*(INDEX(LE_Curves!$B$5:$B$205,MATCH($B93,LE_Curves!$N$5:$N$205,1)+1)-INDEX(LE_Curves!$B$5:$B$205,MATCH($B93,LE_Curves!$N$5:$N$205,1)))/(INDEX(LE_Curves!$N$5:$N$205,MATCH($B93,LE_Curves!$N$5:$N$205,1)+1)-INDEX(LE_Curves!$N$5:$N$205,MATCH($B93,LE_Curves!$N$5:$N$205,1))))))</f>
        <v/>
      </c>
      <c r="O93" s="11">
        <f>SUM(C93:N93)</f>
        <v/>
      </c>
      <c r="Q93" s="7" t="n">
        <v>62</v>
      </c>
      <c r="R93" s="23">
        <f>$B$6+($B$7-$B$6)*Q93/200</f>
        <v/>
      </c>
      <c r="S93" s="11">
        <f>IF(Inputs!$D$23=0,0,IF($R93&lt;=Inputs!$C$23,0,IF($R93&gt;=INDEX(LE_Curves!$C$5:$C$205,201),INDEX(LE_Curves!$B$5:$B$205,201),INDEX(LE_Curves!$B$5:$B$205,MATCH($R93,LE_Curves!$C$5:$C$205,1))+($R93-INDEX(LE_Curves!$C$5:$C$205,MATCH($R93,LE_Curves!$C$5:$C$205,1)))*(INDEX(LE_Curves!$B$5:$B$205,MATCH($R93,LE_Curves!$C$5:$C$205,1)+1)-INDEX(LE_Curves!$B$5:$B$205,MATCH($R93,LE_Curves!$C$5:$C$205,1)))/(INDEX(LE_Curves!$C$5:$C$205,MATCH($R93,LE_Curves!$C$5:$C$205,1)+1)-INDEX(LE_Curves!$C$5:$C$205,MATCH($R93,LE_Curves!$C$5:$C$205,1))))))</f>
        <v/>
      </c>
      <c r="T93" s="11">
        <f>IF(Inputs!$D$24=0,0,IF($R93&lt;=Inputs!$C$24,0,IF($R93&gt;=INDEX(LE_Curves!$D$5:$D$205,201),INDEX(LE_Curves!$B$5:$B$205,201),INDEX(LE_Curves!$B$5:$B$205,MATCH($R93,LE_Curves!$D$5:$D$205,1))+($R93-INDEX(LE_Curves!$D$5:$D$205,MATCH($R93,LE_Curves!$D$5:$D$205,1)))*(INDEX(LE_Curves!$B$5:$B$205,MATCH($R93,LE_Curves!$D$5:$D$205,1)+1)-INDEX(LE_Curves!$B$5:$B$205,MATCH($R93,LE_Curves!$D$5:$D$205,1)))/(INDEX(LE_Curves!$D$5:$D$205,MATCH($R93,LE_Curves!$D$5:$D$205,1)+1)-INDEX(LE_Curves!$D$5:$D$205,MATCH($R93,LE_Curves!$D$5:$D$205,1))))))</f>
        <v/>
      </c>
      <c r="U93" s="11">
        <f>IF(Inputs!$D$25=0,0,IF($R93&lt;=Inputs!$C$25,0,IF($R93&gt;=INDEX(LE_Curves!$E$5:$E$205,201),INDEX(LE_Curves!$B$5:$B$205,201),INDEX(LE_Curves!$B$5:$B$205,MATCH($R93,LE_Curves!$E$5:$E$205,1))+($R93-INDEX(LE_Curves!$E$5:$E$205,MATCH($R93,LE_Curves!$E$5:$E$205,1)))*(INDEX(LE_Curves!$B$5:$B$205,MATCH($R93,LE_Curves!$E$5:$E$205,1)+1)-INDEX(LE_Curves!$B$5:$B$205,MATCH($R93,LE_Curves!$E$5:$E$205,1)))/(INDEX(LE_Curves!$E$5:$E$205,MATCH($R93,LE_Curves!$E$5:$E$205,1)+1)-INDEX(LE_Curves!$E$5:$E$205,MATCH($R93,LE_Curves!$E$5:$E$205,1))))))</f>
        <v/>
      </c>
      <c r="V93" s="11">
        <f>IF(Inputs!$D$26=0,0,IF($R93&lt;=Inputs!$C$26,0,IF($R93&gt;=INDEX(LE_Curves!$F$5:$F$205,201),INDEX(LE_Curves!$B$5:$B$205,201),INDEX(LE_Curves!$B$5:$B$205,MATCH($R93,LE_Curves!$F$5:$F$205,1))+($R93-INDEX(LE_Curves!$F$5:$F$205,MATCH($R93,LE_Curves!$F$5:$F$205,1)))*(INDEX(LE_Curves!$B$5:$B$205,MATCH($R93,LE_Curves!$F$5:$F$205,1)+1)-INDEX(LE_Curves!$B$5:$B$205,MATCH($R93,LE_Curves!$F$5:$F$205,1)))/(INDEX(LE_Curves!$F$5:$F$205,MATCH($R93,LE_Curves!$F$5:$F$205,1)+1)-INDEX(LE_Curves!$F$5:$F$205,MATCH($R93,LE_Curves!$F$5:$F$205,1))))))</f>
        <v/>
      </c>
      <c r="W93" s="11">
        <f>IF(Inputs!$D$27=0,0,IF($R93&lt;=Inputs!$C$27,0,IF($R93&gt;=INDEX(LE_Curves!$G$5:$G$205,201),INDEX(LE_Curves!$B$5:$B$205,201),INDEX(LE_Curves!$B$5:$B$205,MATCH($R93,LE_Curves!$G$5:$G$205,1))+($R93-INDEX(LE_Curves!$G$5:$G$205,MATCH($R93,LE_Curves!$G$5:$G$205,1)))*(INDEX(LE_Curves!$B$5:$B$205,MATCH($R93,LE_Curves!$G$5:$G$205,1)+1)-INDEX(LE_Curves!$B$5:$B$205,MATCH($R93,LE_Curves!$G$5:$G$205,1)))/(INDEX(LE_Curves!$G$5:$G$205,MATCH($R93,LE_Curves!$G$5:$G$205,1)+1)-INDEX(LE_Curves!$G$5:$G$205,MATCH($R93,LE_Curves!$G$5:$G$205,1))))))</f>
        <v/>
      </c>
      <c r="X93" s="11">
        <f>IF(Inputs!$D$28=0,0,IF($R93&lt;=Inputs!$C$28,0,IF($R93&gt;=INDEX(LE_Curves!$H$5:$H$205,201),INDEX(LE_Curves!$B$5:$B$205,201),INDEX(LE_Curves!$B$5:$B$205,MATCH($R93,LE_Curves!$H$5:$H$205,1))+($R93-INDEX(LE_Curves!$H$5:$H$205,MATCH($R93,LE_Curves!$H$5:$H$205,1)))*(INDEX(LE_Curves!$B$5:$B$205,MATCH($R93,LE_Curves!$H$5:$H$205,1)+1)-INDEX(LE_Curves!$B$5:$B$205,MATCH($R93,LE_Curves!$H$5:$H$205,1)))/(INDEX(LE_Curves!$H$5:$H$205,MATCH($R93,LE_Curves!$H$5:$H$205,1)+1)-INDEX(LE_Curves!$H$5:$H$205,MATCH($R93,LE_Curves!$H$5:$H$205,1))))))</f>
        <v/>
      </c>
      <c r="Y93" s="11">
        <f>IF(Inputs!$D$29=0,0,IF($R93&lt;=Inputs!$C$29,0,IF($R93&gt;=INDEX(LE_Curves!$I$5:$I$205,201),INDEX(LE_Curves!$B$5:$B$205,201),INDEX(LE_Curves!$B$5:$B$205,MATCH($R93,LE_Curves!$I$5:$I$205,1))+($R93-INDEX(LE_Curves!$I$5:$I$205,MATCH($R93,LE_Curves!$I$5:$I$205,1)))*(INDEX(LE_Curves!$B$5:$B$205,MATCH($R93,LE_Curves!$I$5:$I$205,1)+1)-INDEX(LE_Curves!$B$5:$B$205,MATCH($R93,LE_Curves!$I$5:$I$205,1)))/(INDEX(LE_Curves!$I$5:$I$205,MATCH($R93,LE_Curves!$I$5:$I$205,1)+1)-INDEX(LE_Curves!$I$5:$I$205,MATCH($R93,LE_Curves!$I$5:$I$205,1))))))</f>
        <v/>
      </c>
      <c r="Z93" s="11">
        <f>IF(Inputs!$D$30=0,0,IF($R93&lt;=Inputs!$C$30,0,IF($R93&gt;=INDEX(LE_Curves!$J$5:$J$205,201),INDEX(LE_Curves!$B$5:$B$205,201),INDEX(LE_Curves!$B$5:$B$205,MATCH($R93,LE_Curves!$J$5:$J$205,1))+($R93-INDEX(LE_Curves!$J$5:$J$205,MATCH($R93,LE_Curves!$J$5:$J$205,1)))*(INDEX(LE_Curves!$B$5:$B$205,MATCH($R93,LE_Curves!$J$5:$J$205,1)+1)-INDEX(LE_Curves!$B$5:$B$205,MATCH($R93,LE_Curves!$J$5:$J$205,1)))/(INDEX(LE_Curves!$J$5:$J$205,MATCH($R93,LE_Curves!$J$5:$J$205,1)+1)-INDEX(LE_Curves!$J$5:$J$205,MATCH($R93,LE_Curves!$J$5:$J$205,1))))))</f>
        <v/>
      </c>
      <c r="AA93" s="11">
        <f>IF(Inputs!$D$31=0,0,IF($R93&lt;=Inputs!$C$31,0,IF($R93&gt;=INDEX(LE_Curves!$K$5:$K$205,201),INDEX(LE_Curves!$B$5:$B$205,201),INDEX(LE_Curves!$B$5:$B$205,MATCH($R93,LE_Curves!$K$5:$K$205,1))+($R93-INDEX(LE_Curves!$K$5:$K$205,MATCH($R93,LE_Curves!$K$5:$K$205,1)))*(INDEX(LE_Curves!$B$5:$B$205,MATCH($R93,LE_Curves!$K$5:$K$205,1)+1)-INDEX(LE_Curves!$B$5:$B$205,MATCH($R93,LE_Curves!$K$5:$K$205,1)))/(INDEX(LE_Curves!$K$5:$K$205,MATCH($R93,LE_Curves!$K$5:$K$205,1)+1)-INDEX(LE_Curves!$K$5:$K$205,MATCH($R93,LE_Curves!$K$5:$K$205,1))))))</f>
        <v/>
      </c>
      <c r="AB93" s="11">
        <f>IF(Inputs!$D$32=0,0,IF($R93&lt;=Inputs!$C$32,0,IF($R93&gt;=INDEX(LE_Curves!$L$5:$L$205,201),INDEX(LE_Curves!$B$5:$B$205,201),INDEX(LE_Curves!$B$5:$B$205,MATCH($R93,LE_Curves!$L$5:$L$205,1))+($R93-INDEX(LE_Curves!$L$5:$L$205,MATCH($R93,LE_Curves!$L$5:$L$205,1)))*(INDEX(LE_Curves!$B$5:$B$205,MATCH($R93,LE_Curves!$L$5:$L$205,1)+1)-INDEX(LE_Curves!$B$5:$B$205,MATCH($R93,LE_Curves!$L$5:$L$205,1)))/(INDEX(LE_Curves!$L$5:$L$205,MATCH($R93,LE_Curves!$L$5:$L$205,1)+1)-INDEX(LE_Curves!$L$5:$L$205,MATCH($R93,LE_Curves!$L$5:$L$205,1))))))</f>
        <v/>
      </c>
      <c r="AC93" s="11">
        <f>IF(Inputs!$D$33=0,0,IF($R93&lt;=Inputs!$C$33,0,IF($R93&gt;=INDEX(LE_Curves!$M$5:$M$205,201),INDEX(LE_Curves!$B$5:$B$205,201),INDEX(LE_Curves!$B$5:$B$205,MATCH($R93,LE_Curves!$M$5:$M$205,1))+($R93-INDEX(LE_Curves!$M$5:$M$205,MATCH($R93,LE_Curves!$M$5:$M$205,1)))*(INDEX(LE_Curves!$B$5:$B$205,MATCH($R93,LE_Curves!$M$5:$M$205,1)+1)-INDEX(LE_Curves!$B$5:$B$205,MATCH($R93,LE_Curves!$M$5:$M$205,1)))/(INDEX(LE_Curves!$M$5:$M$205,MATCH($R93,LE_Curves!$M$5:$M$205,1)+1)-INDEX(LE_Curves!$M$5:$M$205,MATCH($R93,LE_Curves!$M$5:$M$205,1))))))</f>
        <v/>
      </c>
      <c r="AD93" s="11">
        <f>IF(Inputs!$D$34=0,0,IF($R93&lt;=Inputs!$C$34,0,IF($R93&gt;=INDEX(LE_Curves!$N$5:$N$205,201),INDEX(LE_Curves!$B$5:$B$205,201),INDEX(LE_Curves!$B$5:$B$205,MATCH($R93,LE_Curves!$N$5:$N$205,1))+($R93-INDEX(LE_Curves!$N$5:$N$205,MATCH($R93,LE_Curves!$N$5:$N$205,1)))*(INDEX(LE_Curves!$B$5:$B$205,MATCH($R93,LE_Curves!$N$5:$N$205,1)+1)-INDEX(LE_Curves!$B$5:$B$205,MATCH($R93,LE_Curves!$N$5:$N$205,1)))/(INDEX(LE_Curves!$N$5:$N$205,MATCH($R93,LE_Curves!$N$5:$N$205,1)+1)-INDEX(LE_Curves!$N$5:$N$205,MATCH($R93,LE_Curves!$N$5:$N$205,1))))))</f>
        <v/>
      </c>
      <c r="AE93" s="37">
        <f>SUM(S93:AD93)</f>
        <v/>
      </c>
    </row>
    <row r="94">
      <c r="A94" s="7" t="n">
        <v>63</v>
      </c>
      <c r="B94" s="37">
        <f>$B$3+($B$4-$B$3)*A94/200</f>
        <v/>
      </c>
      <c r="C94" s="11">
        <f>IF(Inputs!$D$23=0,0,IF($B94&lt;=Inputs!$C$23,0,IF($B94&gt;=INDEX(LE_Curves!$C$5:$C$205,201),INDEX(LE_Curves!$B$5:$B$205,201),INDEX(LE_Curves!$B$5:$B$205,MATCH($B94,LE_Curves!$C$5:$C$205,1))+($B94-INDEX(LE_Curves!$C$5:$C$205,MATCH($B94,LE_Curves!$C$5:$C$205,1)))*(INDEX(LE_Curves!$B$5:$B$205,MATCH($B94,LE_Curves!$C$5:$C$205,1)+1)-INDEX(LE_Curves!$B$5:$B$205,MATCH($B94,LE_Curves!$C$5:$C$205,1)))/(INDEX(LE_Curves!$C$5:$C$205,MATCH($B94,LE_Curves!$C$5:$C$205,1)+1)-INDEX(LE_Curves!$C$5:$C$205,MATCH($B94,LE_Curves!$C$5:$C$205,1))))))</f>
        <v/>
      </c>
      <c r="D94" s="11">
        <f>IF(Inputs!$D$24=0,0,IF($B94&lt;=Inputs!$C$24,0,IF($B94&gt;=INDEX(LE_Curves!$D$5:$D$205,201),INDEX(LE_Curves!$B$5:$B$205,201),INDEX(LE_Curves!$B$5:$B$205,MATCH($B94,LE_Curves!$D$5:$D$205,1))+($B94-INDEX(LE_Curves!$D$5:$D$205,MATCH($B94,LE_Curves!$D$5:$D$205,1)))*(INDEX(LE_Curves!$B$5:$B$205,MATCH($B94,LE_Curves!$D$5:$D$205,1)+1)-INDEX(LE_Curves!$B$5:$B$205,MATCH($B94,LE_Curves!$D$5:$D$205,1)))/(INDEX(LE_Curves!$D$5:$D$205,MATCH($B94,LE_Curves!$D$5:$D$205,1)+1)-INDEX(LE_Curves!$D$5:$D$205,MATCH($B94,LE_Curves!$D$5:$D$205,1))))))</f>
        <v/>
      </c>
      <c r="E94" s="11">
        <f>IF(Inputs!$D$25=0,0,IF($B94&lt;=Inputs!$C$25,0,IF($B94&gt;=INDEX(LE_Curves!$E$5:$E$205,201),INDEX(LE_Curves!$B$5:$B$205,201),INDEX(LE_Curves!$B$5:$B$205,MATCH($B94,LE_Curves!$E$5:$E$205,1))+($B94-INDEX(LE_Curves!$E$5:$E$205,MATCH($B94,LE_Curves!$E$5:$E$205,1)))*(INDEX(LE_Curves!$B$5:$B$205,MATCH($B94,LE_Curves!$E$5:$E$205,1)+1)-INDEX(LE_Curves!$B$5:$B$205,MATCH($B94,LE_Curves!$E$5:$E$205,1)))/(INDEX(LE_Curves!$E$5:$E$205,MATCH($B94,LE_Curves!$E$5:$E$205,1)+1)-INDEX(LE_Curves!$E$5:$E$205,MATCH($B94,LE_Curves!$E$5:$E$205,1))))))</f>
        <v/>
      </c>
      <c r="F94" s="11">
        <f>IF(Inputs!$D$26=0,0,IF($B94&lt;=Inputs!$C$26,0,IF($B94&gt;=INDEX(LE_Curves!$F$5:$F$205,201),INDEX(LE_Curves!$B$5:$B$205,201),INDEX(LE_Curves!$B$5:$B$205,MATCH($B94,LE_Curves!$F$5:$F$205,1))+($B94-INDEX(LE_Curves!$F$5:$F$205,MATCH($B94,LE_Curves!$F$5:$F$205,1)))*(INDEX(LE_Curves!$B$5:$B$205,MATCH($B94,LE_Curves!$F$5:$F$205,1)+1)-INDEX(LE_Curves!$B$5:$B$205,MATCH($B94,LE_Curves!$F$5:$F$205,1)))/(INDEX(LE_Curves!$F$5:$F$205,MATCH($B94,LE_Curves!$F$5:$F$205,1)+1)-INDEX(LE_Curves!$F$5:$F$205,MATCH($B94,LE_Curves!$F$5:$F$205,1))))))</f>
        <v/>
      </c>
      <c r="G94" s="11">
        <f>IF(Inputs!$D$27=0,0,IF($B94&lt;=Inputs!$C$27,0,IF($B94&gt;=INDEX(LE_Curves!$G$5:$G$205,201),INDEX(LE_Curves!$B$5:$B$205,201),INDEX(LE_Curves!$B$5:$B$205,MATCH($B94,LE_Curves!$G$5:$G$205,1))+($B94-INDEX(LE_Curves!$G$5:$G$205,MATCH($B94,LE_Curves!$G$5:$G$205,1)))*(INDEX(LE_Curves!$B$5:$B$205,MATCH($B94,LE_Curves!$G$5:$G$205,1)+1)-INDEX(LE_Curves!$B$5:$B$205,MATCH($B94,LE_Curves!$G$5:$G$205,1)))/(INDEX(LE_Curves!$G$5:$G$205,MATCH($B94,LE_Curves!$G$5:$G$205,1)+1)-INDEX(LE_Curves!$G$5:$G$205,MATCH($B94,LE_Curves!$G$5:$G$205,1))))))</f>
        <v/>
      </c>
      <c r="H94" s="11">
        <f>IF(Inputs!$D$28=0,0,IF($B94&lt;=Inputs!$C$28,0,IF($B94&gt;=INDEX(LE_Curves!$H$5:$H$205,201),INDEX(LE_Curves!$B$5:$B$205,201),INDEX(LE_Curves!$B$5:$B$205,MATCH($B94,LE_Curves!$H$5:$H$205,1))+($B94-INDEX(LE_Curves!$H$5:$H$205,MATCH($B94,LE_Curves!$H$5:$H$205,1)))*(INDEX(LE_Curves!$B$5:$B$205,MATCH($B94,LE_Curves!$H$5:$H$205,1)+1)-INDEX(LE_Curves!$B$5:$B$205,MATCH($B94,LE_Curves!$H$5:$H$205,1)))/(INDEX(LE_Curves!$H$5:$H$205,MATCH($B94,LE_Curves!$H$5:$H$205,1)+1)-INDEX(LE_Curves!$H$5:$H$205,MATCH($B94,LE_Curves!$H$5:$H$205,1))))))</f>
        <v/>
      </c>
      <c r="I94" s="11">
        <f>IF(Inputs!$D$29=0,0,IF($B94&lt;=Inputs!$C$29,0,IF($B94&gt;=INDEX(LE_Curves!$I$5:$I$205,201),INDEX(LE_Curves!$B$5:$B$205,201),INDEX(LE_Curves!$B$5:$B$205,MATCH($B94,LE_Curves!$I$5:$I$205,1))+($B94-INDEX(LE_Curves!$I$5:$I$205,MATCH($B94,LE_Curves!$I$5:$I$205,1)))*(INDEX(LE_Curves!$B$5:$B$205,MATCH($B94,LE_Curves!$I$5:$I$205,1)+1)-INDEX(LE_Curves!$B$5:$B$205,MATCH($B94,LE_Curves!$I$5:$I$205,1)))/(INDEX(LE_Curves!$I$5:$I$205,MATCH($B94,LE_Curves!$I$5:$I$205,1)+1)-INDEX(LE_Curves!$I$5:$I$205,MATCH($B94,LE_Curves!$I$5:$I$205,1))))))</f>
        <v/>
      </c>
      <c r="J94" s="11">
        <f>IF(Inputs!$D$30=0,0,IF($B94&lt;=Inputs!$C$30,0,IF($B94&gt;=INDEX(LE_Curves!$J$5:$J$205,201),INDEX(LE_Curves!$B$5:$B$205,201),INDEX(LE_Curves!$B$5:$B$205,MATCH($B94,LE_Curves!$J$5:$J$205,1))+($B94-INDEX(LE_Curves!$J$5:$J$205,MATCH($B94,LE_Curves!$J$5:$J$205,1)))*(INDEX(LE_Curves!$B$5:$B$205,MATCH($B94,LE_Curves!$J$5:$J$205,1)+1)-INDEX(LE_Curves!$B$5:$B$205,MATCH($B94,LE_Curves!$J$5:$J$205,1)))/(INDEX(LE_Curves!$J$5:$J$205,MATCH($B94,LE_Curves!$J$5:$J$205,1)+1)-INDEX(LE_Curves!$J$5:$J$205,MATCH($B94,LE_Curves!$J$5:$J$205,1))))))</f>
        <v/>
      </c>
      <c r="K94" s="11">
        <f>IF(Inputs!$D$31=0,0,IF($B94&lt;=Inputs!$C$31,0,IF($B94&gt;=INDEX(LE_Curves!$K$5:$K$205,201),INDEX(LE_Curves!$B$5:$B$205,201),INDEX(LE_Curves!$B$5:$B$205,MATCH($B94,LE_Curves!$K$5:$K$205,1))+($B94-INDEX(LE_Curves!$K$5:$K$205,MATCH($B94,LE_Curves!$K$5:$K$205,1)))*(INDEX(LE_Curves!$B$5:$B$205,MATCH($B94,LE_Curves!$K$5:$K$205,1)+1)-INDEX(LE_Curves!$B$5:$B$205,MATCH($B94,LE_Curves!$K$5:$K$205,1)))/(INDEX(LE_Curves!$K$5:$K$205,MATCH($B94,LE_Curves!$K$5:$K$205,1)+1)-INDEX(LE_Curves!$K$5:$K$205,MATCH($B94,LE_Curves!$K$5:$K$205,1))))))</f>
        <v/>
      </c>
      <c r="L94" s="11">
        <f>IF(Inputs!$D$32=0,0,IF($B94&lt;=Inputs!$C$32,0,IF($B94&gt;=INDEX(LE_Curves!$L$5:$L$205,201),INDEX(LE_Curves!$B$5:$B$205,201),INDEX(LE_Curves!$B$5:$B$205,MATCH($B94,LE_Curves!$L$5:$L$205,1))+($B94-INDEX(LE_Curves!$L$5:$L$205,MATCH($B94,LE_Curves!$L$5:$L$205,1)))*(INDEX(LE_Curves!$B$5:$B$205,MATCH($B94,LE_Curves!$L$5:$L$205,1)+1)-INDEX(LE_Curves!$B$5:$B$205,MATCH($B94,LE_Curves!$L$5:$L$205,1)))/(INDEX(LE_Curves!$L$5:$L$205,MATCH($B94,LE_Curves!$L$5:$L$205,1)+1)-INDEX(LE_Curves!$L$5:$L$205,MATCH($B94,LE_Curves!$L$5:$L$205,1))))))</f>
        <v/>
      </c>
      <c r="M94" s="11">
        <f>IF(Inputs!$D$33=0,0,IF($B94&lt;=Inputs!$C$33,0,IF($B94&gt;=INDEX(LE_Curves!$M$5:$M$205,201),INDEX(LE_Curves!$B$5:$B$205,201),INDEX(LE_Curves!$B$5:$B$205,MATCH($B94,LE_Curves!$M$5:$M$205,1))+($B94-INDEX(LE_Curves!$M$5:$M$205,MATCH($B94,LE_Curves!$M$5:$M$205,1)))*(INDEX(LE_Curves!$B$5:$B$205,MATCH($B94,LE_Curves!$M$5:$M$205,1)+1)-INDEX(LE_Curves!$B$5:$B$205,MATCH($B94,LE_Curves!$M$5:$M$205,1)))/(INDEX(LE_Curves!$M$5:$M$205,MATCH($B94,LE_Curves!$M$5:$M$205,1)+1)-INDEX(LE_Curves!$M$5:$M$205,MATCH($B94,LE_Curves!$M$5:$M$205,1))))))</f>
        <v/>
      </c>
      <c r="N94" s="11">
        <f>IF(Inputs!$D$34=0,0,IF($B94&lt;=Inputs!$C$34,0,IF($B94&gt;=INDEX(LE_Curves!$N$5:$N$205,201),INDEX(LE_Curves!$B$5:$B$205,201),INDEX(LE_Curves!$B$5:$B$205,MATCH($B94,LE_Curves!$N$5:$N$205,1))+($B94-INDEX(LE_Curves!$N$5:$N$205,MATCH($B94,LE_Curves!$N$5:$N$205,1)))*(INDEX(LE_Curves!$B$5:$B$205,MATCH($B94,LE_Curves!$N$5:$N$205,1)+1)-INDEX(LE_Curves!$B$5:$B$205,MATCH($B94,LE_Curves!$N$5:$N$205,1)))/(INDEX(LE_Curves!$N$5:$N$205,MATCH($B94,LE_Curves!$N$5:$N$205,1)+1)-INDEX(LE_Curves!$N$5:$N$205,MATCH($B94,LE_Curves!$N$5:$N$205,1))))))</f>
        <v/>
      </c>
      <c r="O94" s="11">
        <f>SUM(C94:N94)</f>
        <v/>
      </c>
      <c r="Q94" s="7" t="n">
        <v>63</v>
      </c>
      <c r="R94" s="23">
        <f>$B$6+($B$7-$B$6)*Q94/200</f>
        <v/>
      </c>
      <c r="S94" s="11">
        <f>IF(Inputs!$D$23=0,0,IF($R94&lt;=Inputs!$C$23,0,IF($R94&gt;=INDEX(LE_Curves!$C$5:$C$205,201),INDEX(LE_Curves!$B$5:$B$205,201),INDEX(LE_Curves!$B$5:$B$205,MATCH($R94,LE_Curves!$C$5:$C$205,1))+($R94-INDEX(LE_Curves!$C$5:$C$205,MATCH($R94,LE_Curves!$C$5:$C$205,1)))*(INDEX(LE_Curves!$B$5:$B$205,MATCH($R94,LE_Curves!$C$5:$C$205,1)+1)-INDEX(LE_Curves!$B$5:$B$205,MATCH($R94,LE_Curves!$C$5:$C$205,1)))/(INDEX(LE_Curves!$C$5:$C$205,MATCH($R94,LE_Curves!$C$5:$C$205,1)+1)-INDEX(LE_Curves!$C$5:$C$205,MATCH($R94,LE_Curves!$C$5:$C$205,1))))))</f>
        <v/>
      </c>
      <c r="T94" s="11">
        <f>IF(Inputs!$D$24=0,0,IF($R94&lt;=Inputs!$C$24,0,IF($R94&gt;=INDEX(LE_Curves!$D$5:$D$205,201),INDEX(LE_Curves!$B$5:$B$205,201),INDEX(LE_Curves!$B$5:$B$205,MATCH($R94,LE_Curves!$D$5:$D$205,1))+($R94-INDEX(LE_Curves!$D$5:$D$205,MATCH($R94,LE_Curves!$D$5:$D$205,1)))*(INDEX(LE_Curves!$B$5:$B$205,MATCH($R94,LE_Curves!$D$5:$D$205,1)+1)-INDEX(LE_Curves!$B$5:$B$205,MATCH($R94,LE_Curves!$D$5:$D$205,1)))/(INDEX(LE_Curves!$D$5:$D$205,MATCH($R94,LE_Curves!$D$5:$D$205,1)+1)-INDEX(LE_Curves!$D$5:$D$205,MATCH($R94,LE_Curves!$D$5:$D$205,1))))))</f>
        <v/>
      </c>
      <c r="U94" s="11">
        <f>IF(Inputs!$D$25=0,0,IF($R94&lt;=Inputs!$C$25,0,IF($R94&gt;=INDEX(LE_Curves!$E$5:$E$205,201),INDEX(LE_Curves!$B$5:$B$205,201),INDEX(LE_Curves!$B$5:$B$205,MATCH($R94,LE_Curves!$E$5:$E$205,1))+($R94-INDEX(LE_Curves!$E$5:$E$205,MATCH($R94,LE_Curves!$E$5:$E$205,1)))*(INDEX(LE_Curves!$B$5:$B$205,MATCH($R94,LE_Curves!$E$5:$E$205,1)+1)-INDEX(LE_Curves!$B$5:$B$205,MATCH($R94,LE_Curves!$E$5:$E$205,1)))/(INDEX(LE_Curves!$E$5:$E$205,MATCH($R94,LE_Curves!$E$5:$E$205,1)+1)-INDEX(LE_Curves!$E$5:$E$205,MATCH($R94,LE_Curves!$E$5:$E$205,1))))))</f>
        <v/>
      </c>
      <c r="V94" s="11">
        <f>IF(Inputs!$D$26=0,0,IF($R94&lt;=Inputs!$C$26,0,IF($R94&gt;=INDEX(LE_Curves!$F$5:$F$205,201),INDEX(LE_Curves!$B$5:$B$205,201),INDEX(LE_Curves!$B$5:$B$205,MATCH($R94,LE_Curves!$F$5:$F$205,1))+($R94-INDEX(LE_Curves!$F$5:$F$205,MATCH($R94,LE_Curves!$F$5:$F$205,1)))*(INDEX(LE_Curves!$B$5:$B$205,MATCH($R94,LE_Curves!$F$5:$F$205,1)+1)-INDEX(LE_Curves!$B$5:$B$205,MATCH($R94,LE_Curves!$F$5:$F$205,1)))/(INDEX(LE_Curves!$F$5:$F$205,MATCH($R94,LE_Curves!$F$5:$F$205,1)+1)-INDEX(LE_Curves!$F$5:$F$205,MATCH($R94,LE_Curves!$F$5:$F$205,1))))))</f>
        <v/>
      </c>
      <c r="W94" s="11">
        <f>IF(Inputs!$D$27=0,0,IF($R94&lt;=Inputs!$C$27,0,IF($R94&gt;=INDEX(LE_Curves!$G$5:$G$205,201),INDEX(LE_Curves!$B$5:$B$205,201),INDEX(LE_Curves!$B$5:$B$205,MATCH($R94,LE_Curves!$G$5:$G$205,1))+($R94-INDEX(LE_Curves!$G$5:$G$205,MATCH($R94,LE_Curves!$G$5:$G$205,1)))*(INDEX(LE_Curves!$B$5:$B$205,MATCH($R94,LE_Curves!$G$5:$G$205,1)+1)-INDEX(LE_Curves!$B$5:$B$205,MATCH($R94,LE_Curves!$G$5:$G$205,1)))/(INDEX(LE_Curves!$G$5:$G$205,MATCH($R94,LE_Curves!$G$5:$G$205,1)+1)-INDEX(LE_Curves!$G$5:$G$205,MATCH($R94,LE_Curves!$G$5:$G$205,1))))))</f>
        <v/>
      </c>
      <c r="X94" s="11">
        <f>IF(Inputs!$D$28=0,0,IF($R94&lt;=Inputs!$C$28,0,IF($R94&gt;=INDEX(LE_Curves!$H$5:$H$205,201),INDEX(LE_Curves!$B$5:$B$205,201),INDEX(LE_Curves!$B$5:$B$205,MATCH($R94,LE_Curves!$H$5:$H$205,1))+($R94-INDEX(LE_Curves!$H$5:$H$205,MATCH($R94,LE_Curves!$H$5:$H$205,1)))*(INDEX(LE_Curves!$B$5:$B$205,MATCH($R94,LE_Curves!$H$5:$H$205,1)+1)-INDEX(LE_Curves!$B$5:$B$205,MATCH($R94,LE_Curves!$H$5:$H$205,1)))/(INDEX(LE_Curves!$H$5:$H$205,MATCH($R94,LE_Curves!$H$5:$H$205,1)+1)-INDEX(LE_Curves!$H$5:$H$205,MATCH($R94,LE_Curves!$H$5:$H$205,1))))))</f>
        <v/>
      </c>
      <c r="Y94" s="11">
        <f>IF(Inputs!$D$29=0,0,IF($R94&lt;=Inputs!$C$29,0,IF($R94&gt;=INDEX(LE_Curves!$I$5:$I$205,201),INDEX(LE_Curves!$B$5:$B$205,201),INDEX(LE_Curves!$B$5:$B$205,MATCH($R94,LE_Curves!$I$5:$I$205,1))+($R94-INDEX(LE_Curves!$I$5:$I$205,MATCH($R94,LE_Curves!$I$5:$I$205,1)))*(INDEX(LE_Curves!$B$5:$B$205,MATCH($R94,LE_Curves!$I$5:$I$205,1)+1)-INDEX(LE_Curves!$B$5:$B$205,MATCH($R94,LE_Curves!$I$5:$I$205,1)))/(INDEX(LE_Curves!$I$5:$I$205,MATCH($R94,LE_Curves!$I$5:$I$205,1)+1)-INDEX(LE_Curves!$I$5:$I$205,MATCH($R94,LE_Curves!$I$5:$I$205,1))))))</f>
        <v/>
      </c>
      <c r="Z94" s="11">
        <f>IF(Inputs!$D$30=0,0,IF($R94&lt;=Inputs!$C$30,0,IF($R94&gt;=INDEX(LE_Curves!$J$5:$J$205,201),INDEX(LE_Curves!$B$5:$B$205,201),INDEX(LE_Curves!$B$5:$B$205,MATCH($R94,LE_Curves!$J$5:$J$205,1))+($R94-INDEX(LE_Curves!$J$5:$J$205,MATCH($R94,LE_Curves!$J$5:$J$205,1)))*(INDEX(LE_Curves!$B$5:$B$205,MATCH($R94,LE_Curves!$J$5:$J$205,1)+1)-INDEX(LE_Curves!$B$5:$B$205,MATCH($R94,LE_Curves!$J$5:$J$205,1)))/(INDEX(LE_Curves!$J$5:$J$205,MATCH($R94,LE_Curves!$J$5:$J$205,1)+1)-INDEX(LE_Curves!$J$5:$J$205,MATCH($R94,LE_Curves!$J$5:$J$205,1))))))</f>
        <v/>
      </c>
      <c r="AA94" s="11">
        <f>IF(Inputs!$D$31=0,0,IF($R94&lt;=Inputs!$C$31,0,IF($R94&gt;=INDEX(LE_Curves!$K$5:$K$205,201),INDEX(LE_Curves!$B$5:$B$205,201),INDEX(LE_Curves!$B$5:$B$205,MATCH($R94,LE_Curves!$K$5:$K$205,1))+($R94-INDEX(LE_Curves!$K$5:$K$205,MATCH($R94,LE_Curves!$K$5:$K$205,1)))*(INDEX(LE_Curves!$B$5:$B$205,MATCH($R94,LE_Curves!$K$5:$K$205,1)+1)-INDEX(LE_Curves!$B$5:$B$205,MATCH($R94,LE_Curves!$K$5:$K$205,1)))/(INDEX(LE_Curves!$K$5:$K$205,MATCH($R94,LE_Curves!$K$5:$K$205,1)+1)-INDEX(LE_Curves!$K$5:$K$205,MATCH($R94,LE_Curves!$K$5:$K$205,1))))))</f>
        <v/>
      </c>
      <c r="AB94" s="11">
        <f>IF(Inputs!$D$32=0,0,IF($R94&lt;=Inputs!$C$32,0,IF($R94&gt;=INDEX(LE_Curves!$L$5:$L$205,201),INDEX(LE_Curves!$B$5:$B$205,201),INDEX(LE_Curves!$B$5:$B$205,MATCH($R94,LE_Curves!$L$5:$L$205,1))+($R94-INDEX(LE_Curves!$L$5:$L$205,MATCH($R94,LE_Curves!$L$5:$L$205,1)))*(INDEX(LE_Curves!$B$5:$B$205,MATCH($R94,LE_Curves!$L$5:$L$205,1)+1)-INDEX(LE_Curves!$B$5:$B$205,MATCH($R94,LE_Curves!$L$5:$L$205,1)))/(INDEX(LE_Curves!$L$5:$L$205,MATCH($R94,LE_Curves!$L$5:$L$205,1)+1)-INDEX(LE_Curves!$L$5:$L$205,MATCH($R94,LE_Curves!$L$5:$L$205,1))))))</f>
        <v/>
      </c>
      <c r="AC94" s="11">
        <f>IF(Inputs!$D$33=0,0,IF($R94&lt;=Inputs!$C$33,0,IF($R94&gt;=INDEX(LE_Curves!$M$5:$M$205,201),INDEX(LE_Curves!$B$5:$B$205,201),INDEX(LE_Curves!$B$5:$B$205,MATCH($R94,LE_Curves!$M$5:$M$205,1))+($R94-INDEX(LE_Curves!$M$5:$M$205,MATCH($R94,LE_Curves!$M$5:$M$205,1)))*(INDEX(LE_Curves!$B$5:$B$205,MATCH($R94,LE_Curves!$M$5:$M$205,1)+1)-INDEX(LE_Curves!$B$5:$B$205,MATCH($R94,LE_Curves!$M$5:$M$205,1)))/(INDEX(LE_Curves!$M$5:$M$205,MATCH($R94,LE_Curves!$M$5:$M$205,1)+1)-INDEX(LE_Curves!$M$5:$M$205,MATCH($R94,LE_Curves!$M$5:$M$205,1))))))</f>
        <v/>
      </c>
      <c r="AD94" s="11">
        <f>IF(Inputs!$D$34=0,0,IF($R94&lt;=Inputs!$C$34,0,IF($R94&gt;=INDEX(LE_Curves!$N$5:$N$205,201),INDEX(LE_Curves!$B$5:$B$205,201),INDEX(LE_Curves!$B$5:$B$205,MATCH($R94,LE_Curves!$N$5:$N$205,1))+($R94-INDEX(LE_Curves!$N$5:$N$205,MATCH($R94,LE_Curves!$N$5:$N$205,1)))*(INDEX(LE_Curves!$B$5:$B$205,MATCH($R94,LE_Curves!$N$5:$N$205,1)+1)-INDEX(LE_Curves!$B$5:$B$205,MATCH($R94,LE_Curves!$N$5:$N$205,1)))/(INDEX(LE_Curves!$N$5:$N$205,MATCH($R94,LE_Curves!$N$5:$N$205,1)+1)-INDEX(LE_Curves!$N$5:$N$205,MATCH($R94,LE_Curves!$N$5:$N$205,1))))))</f>
        <v/>
      </c>
      <c r="AE94" s="37">
        <f>SUM(S94:AD94)</f>
        <v/>
      </c>
    </row>
    <row r="95">
      <c r="A95" s="7" t="n">
        <v>64</v>
      </c>
      <c r="B95" s="37">
        <f>$B$3+($B$4-$B$3)*A95/200</f>
        <v/>
      </c>
      <c r="C95" s="11">
        <f>IF(Inputs!$D$23=0,0,IF($B95&lt;=Inputs!$C$23,0,IF($B95&gt;=INDEX(LE_Curves!$C$5:$C$205,201),INDEX(LE_Curves!$B$5:$B$205,201),INDEX(LE_Curves!$B$5:$B$205,MATCH($B95,LE_Curves!$C$5:$C$205,1))+($B95-INDEX(LE_Curves!$C$5:$C$205,MATCH($B95,LE_Curves!$C$5:$C$205,1)))*(INDEX(LE_Curves!$B$5:$B$205,MATCH($B95,LE_Curves!$C$5:$C$205,1)+1)-INDEX(LE_Curves!$B$5:$B$205,MATCH($B95,LE_Curves!$C$5:$C$205,1)))/(INDEX(LE_Curves!$C$5:$C$205,MATCH($B95,LE_Curves!$C$5:$C$205,1)+1)-INDEX(LE_Curves!$C$5:$C$205,MATCH($B95,LE_Curves!$C$5:$C$205,1))))))</f>
        <v/>
      </c>
      <c r="D95" s="11">
        <f>IF(Inputs!$D$24=0,0,IF($B95&lt;=Inputs!$C$24,0,IF($B95&gt;=INDEX(LE_Curves!$D$5:$D$205,201),INDEX(LE_Curves!$B$5:$B$205,201),INDEX(LE_Curves!$B$5:$B$205,MATCH($B95,LE_Curves!$D$5:$D$205,1))+($B95-INDEX(LE_Curves!$D$5:$D$205,MATCH($B95,LE_Curves!$D$5:$D$205,1)))*(INDEX(LE_Curves!$B$5:$B$205,MATCH($B95,LE_Curves!$D$5:$D$205,1)+1)-INDEX(LE_Curves!$B$5:$B$205,MATCH($B95,LE_Curves!$D$5:$D$205,1)))/(INDEX(LE_Curves!$D$5:$D$205,MATCH($B95,LE_Curves!$D$5:$D$205,1)+1)-INDEX(LE_Curves!$D$5:$D$205,MATCH($B95,LE_Curves!$D$5:$D$205,1))))))</f>
        <v/>
      </c>
      <c r="E95" s="11">
        <f>IF(Inputs!$D$25=0,0,IF($B95&lt;=Inputs!$C$25,0,IF($B95&gt;=INDEX(LE_Curves!$E$5:$E$205,201),INDEX(LE_Curves!$B$5:$B$205,201),INDEX(LE_Curves!$B$5:$B$205,MATCH($B95,LE_Curves!$E$5:$E$205,1))+($B95-INDEX(LE_Curves!$E$5:$E$205,MATCH($B95,LE_Curves!$E$5:$E$205,1)))*(INDEX(LE_Curves!$B$5:$B$205,MATCH($B95,LE_Curves!$E$5:$E$205,1)+1)-INDEX(LE_Curves!$B$5:$B$205,MATCH($B95,LE_Curves!$E$5:$E$205,1)))/(INDEX(LE_Curves!$E$5:$E$205,MATCH($B95,LE_Curves!$E$5:$E$205,1)+1)-INDEX(LE_Curves!$E$5:$E$205,MATCH($B95,LE_Curves!$E$5:$E$205,1))))))</f>
        <v/>
      </c>
      <c r="F95" s="11">
        <f>IF(Inputs!$D$26=0,0,IF($B95&lt;=Inputs!$C$26,0,IF($B95&gt;=INDEX(LE_Curves!$F$5:$F$205,201),INDEX(LE_Curves!$B$5:$B$205,201),INDEX(LE_Curves!$B$5:$B$205,MATCH($B95,LE_Curves!$F$5:$F$205,1))+($B95-INDEX(LE_Curves!$F$5:$F$205,MATCH($B95,LE_Curves!$F$5:$F$205,1)))*(INDEX(LE_Curves!$B$5:$B$205,MATCH($B95,LE_Curves!$F$5:$F$205,1)+1)-INDEX(LE_Curves!$B$5:$B$205,MATCH($B95,LE_Curves!$F$5:$F$205,1)))/(INDEX(LE_Curves!$F$5:$F$205,MATCH($B95,LE_Curves!$F$5:$F$205,1)+1)-INDEX(LE_Curves!$F$5:$F$205,MATCH($B95,LE_Curves!$F$5:$F$205,1))))))</f>
        <v/>
      </c>
      <c r="G95" s="11">
        <f>IF(Inputs!$D$27=0,0,IF($B95&lt;=Inputs!$C$27,0,IF($B95&gt;=INDEX(LE_Curves!$G$5:$G$205,201),INDEX(LE_Curves!$B$5:$B$205,201),INDEX(LE_Curves!$B$5:$B$205,MATCH($B95,LE_Curves!$G$5:$G$205,1))+($B95-INDEX(LE_Curves!$G$5:$G$205,MATCH($B95,LE_Curves!$G$5:$G$205,1)))*(INDEX(LE_Curves!$B$5:$B$205,MATCH($B95,LE_Curves!$G$5:$G$205,1)+1)-INDEX(LE_Curves!$B$5:$B$205,MATCH($B95,LE_Curves!$G$5:$G$205,1)))/(INDEX(LE_Curves!$G$5:$G$205,MATCH($B95,LE_Curves!$G$5:$G$205,1)+1)-INDEX(LE_Curves!$G$5:$G$205,MATCH($B95,LE_Curves!$G$5:$G$205,1))))))</f>
        <v/>
      </c>
      <c r="H95" s="11">
        <f>IF(Inputs!$D$28=0,0,IF($B95&lt;=Inputs!$C$28,0,IF($B95&gt;=INDEX(LE_Curves!$H$5:$H$205,201),INDEX(LE_Curves!$B$5:$B$205,201),INDEX(LE_Curves!$B$5:$B$205,MATCH($B95,LE_Curves!$H$5:$H$205,1))+($B95-INDEX(LE_Curves!$H$5:$H$205,MATCH($B95,LE_Curves!$H$5:$H$205,1)))*(INDEX(LE_Curves!$B$5:$B$205,MATCH($B95,LE_Curves!$H$5:$H$205,1)+1)-INDEX(LE_Curves!$B$5:$B$205,MATCH($B95,LE_Curves!$H$5:$H$205,1)))/(INDEX(LE_Curves!$H$5:$H$205,MATCH($B95,LE_Curves!$H$5:$H$205,1)+1)-INDEX(LE_Curves!$H$5:$H$205,MATCH($B95,LE_Curves!$H$5:$H$205,1))))))</f>
        <v/>
      </c>
      <c r="I95" s="11">
        <f>IF(Inputs!$D$29=0,0,IF($B95&lt;=Inputs!$C$29,0,IF($B95&gt;=INDEX(LE_Curves!$I$5:$I$205,201),INDEX(LE_Curves!$B$5:$B$205,201),INDEX(LE_Curves!$B$5:$B$205,MATCH($B95,LE_Curves!$I$5:$I$205,1))+($B95-INDEX(LE_Curves!$I$5:$I$205,MATCH($B95,LE_Curves!$I$5:$I$205,1)))*(INDEX(LE_Curves!$B$5:$B$205,MATCH($B95,LE_Curves!$I$5:$I$205,1)+1)-INDEX(LE_Curves!$B$5:$B$205,MATCH($B95,LE_Curves!$I$5:$I$205,1)))/(INDEX(LE_Curves!$I$5:$I$205,MATCH($B95,LE_Curves!$I$5:$I$205,1)+1)-INDEX(LE_Curves!$I$5:$I$205,MATCH($B95,LE_Curves!$I$5:$I$205,1))))))</f>
        <v/>
      </c>
      <c r="J95" s="11">
        <f>IF(Inputs!$D$30=0,0,IF($B95&lt;=Inputs!$C$30,0,IF($B95&gt;=INDEX(LE_Curves!$J$5:$J$205,201),INDEX(LE_Curves!$B$5:$B$205,201),INDEX(LE_Curves!$B$5:$B$205,MATCH($B95,LE_Curves!$J$5:$J$205,1))+($B95-INDEX(LE_Curves!$J$5:$J$205,MATCH($B95,LE_Curves!$J$5:$J$205,1)))*(INDEX(LE_Curves!$B$5:$B$205,MATCH($B95,LE_Curves!$J$5:$J$205,1)+1)-INDEX(LE_Curves!$B$5:$B$205,MATCH($B95,LE_Curves!$J$5:$J$205,1)))/(INDEX(LE_Curves!$J$5:$J$205,MATCH($B95,LE_Curves!$J$5:$J$205,1)+1)-INDEX(LE_Curves!$J$5:$J$205,MATCH($B95,LE_Curves!$J$5:$J$205,1))))))</f>
        <v/>
      </c>
      <c r="K95" s="11">
        <f>IF(Inputs!$D$31=0,0,IF($B95&lt;=Inputs!$C$31,0,IF($B95&gt;=INDEX(LE_Curves!$K$5:$K$205,201),INDEX(LE_Curves!$B$5:$B$205,201),INDEX(LE_Curves!$B$5:$B$205,MATCH($B95,LE_Curves!$K$5:$K$205,1))+($B95-INDEX(LE_Curves!$K$5:$K$205,MATCH($B95,LE_Curves!$K$5:$K$205,1)))*(INDEX(LE_Curves!$B$5:$B$205,MATCH($B95,LE_Curves!$K$5:$K$205,1)+1)-INDEX(LE_Curves!$B$5:$B$205,MATCH($B95,LE_Curves!$K$5:$K$205,1)))/(INDEX(LE_Curves!$K$5:$K$205,MATCH($B95,LE_Curves!$K$5:$K$205,1)+1)-INDEX(LE_Curves!$K$5:$K$205,MATCH($B95,LE_Curves!$K$5:$K$205,1))))))</f>
        <v/>
      </c>
      <c r="L95" s="11">
        <f>IF(Inputs!$D$32=0,0,IF($B95&lt;=Inputs!$C$32,0,IF($B95&gt;=INDEX(LE_Curves!$L$5:$L$205,201),INDEX(LE_Curves!$B$5:$B$205,201),INDEX(LE_Curves!$B$5:$B$205,MATCH($B95,LE_Curves!$L$5:$L$205,1))+($B95-INDEX(LE_Curves!$L$5:$L$205,MATCH($B95,LE_Curves!$L$5:$L$205,1)))*(INDEX(LE_Curves!$B$5:$B$205,MATCH($B95,LE_Curves!$L$5:$L$205,1)+1)-INDEX(LE_Curves!$B$5:$B$205,MATCH($B95,LE_Curves!$L$5:$L$205,1)))/(INDEX(LE_Curves!$L$5:$L$205,MATCH($B95,LE_Curves!$L$5:$L$205,1)+1)-INDEX(LE_Curves!$L$5:$L$205,MATCH($B95,LE_Curves!$L$5:$L$205,1))))))</f>
        <v/>
      </c>
      <c r="M95" s="11">
        <f>IF(Inputs!$D$33=0,0,IF($B95&lt;=Inputs!$C$33,0,IF($B95&gt;=INDEX(LE_Curves!$M$5:$M$205,201),INDEX(LE_Curves!$B$5:$B$205,201),INDEX(LE_Curves!$B$5:$B$205,MATCH($B95,LE_Curves!$M$5:$M$205,1))+($B95-INDEX(LE_Curves!$M$5:$M$205,MATCH($B95,LE_Curves!$M$5:$M$205,1)))*(INDEX(LE_Curves!$B$5:$B$205,MATCH($B95,LE_Curves!$M$5:$M$205,1)+1)-INDEX(LE_Curves!$B$5:$B$205,MATCH($B95,LE_Curves!$M$5:$M$205,1)))/(INDEX(LE_Curves!$M$5:$M$205,MATCH($B95,LE_Curves!$M$5:$M$205,1)+1)-INDEX(LE_Curves!$M$5:$M$205,MATCH($B95,LE_Curves!$M$5:$M$205,1))))))</f>
        <v/>
      </c>
      <c r="N95" s="11">
        <f>IF(Inputs!$D$34=0,0,IF($B95&lt;=Inputs!$C$34,0,IF($B95&gt;=INDEX(LE_Curves!$N$5:$N$205,201),INDEX(LE_Curves!$B$5:$B$205,201),INDEX(LE_Curves!$B$5:$B$205,MATCH($B95,LE_Curves!$N$5:$N$205,1))+($B95-INDEX(LE_Curves!$N$5:$N$205,MATCH($B95,LE_Curves!$N$5:$N$205,1)))*(INDEX(LE_Curves!$B$5:$B$205,MATCH($B95,LE_Curves!$N$5:$N$205,1)+1)-INDEX(LE_Curves!$B$5:$B$205,MATCH($B95,LE_Curves!$N$5:$N$205,1)))/(INDEX(LE_Curves!$N$5:$N$205,MATCH($B95,LE_Curves!$N$5:$N$205,1)+1)-INDEX(LE_Curves!$N$5:$N$205,MATCH($B95,LE_Curves!$N$5:$N$205,1))))))</f>
        <v/>
      </c>
      <c r="O95" s="11">
        <f>SUM(C95:N95)</f>
        <v/>
      </c>
      <c r="Q95" s="7" t="n">
        <v>64</v>
      </c>
      <c r="R95" s="23">
        <f>$B$6+($B$7-$B$6)*Q95/200</f>
        <v/>
      </c>
      <c r="S95" s="11">
        <f>IF(Inputs!$D$23=0,0,IF($R95&lt;=Inputs!$C$23,0,IF($R95&gt;=INDEX(LE_Curves!$C$5:$C$205,201),INDEX(LE_Curves!$B$5:$B$205,201),INDEX(LE_Curves!$B$5:$B$205,MATCH($R95,LE_Curves!$C$5:$C$205,1))+($R95-INDEX(LE_Curves!$C$5:$C$205,MATCH($R95,LE_Curves!$C$5:$C$205,1)))*(INDEX(LE_Curves!$B$5:$B$205,MATCH($R95,LE_Curves!$C$5:$C$205,1)+1)-INDEX(LE_Curves!$B$5:$B$205,MATCH($R95,LE_Curves!$C$5:$C$205,1)))/(INDEX(LE_Curves!$C$5:$C$205,MATCH($R95,LE_Curves!$C$5:$C$205,1)+1)-INDEX(LE_Curves!$C$5:$C$205,MATCH($R95,LE_Curves!$C$5:$C$205,1))))))</f>
        <v/>
      </c>
      <c r="T95" s="11">
        <f>IF(Inputs!$D$24=0,0,IF($R95&lt;=Inputs!$C$24,0,IF($R95&gt;=INDEX(LE_Curves!$D$5:$D$205,201),INDEX(LE_Curves!$B$5:$B$205,201),INDEX(LE_Curves!$B$5:$B$205,MATCH($R95,LE_Curves!$D$5:$D$205,1))+($R95-INDEX(LE_Curves!$D$5:$D$205,MATCH($R95,LE_Curves!$D$5:$D$205,1)))*(INDEX(LE_Curves!$B$5:$B$205,MATCH($R95,LE_Curves!$D$5:$D$205,1)+1)-INDEX(LE_Curves!$B$5:$B$205,MATCH($R95,LE_Curves!$D$5:$D$205,1)))/(INDEX(LE_Curves!$D$5:$D$205,MATCH($R95,LE_Curves!$D$5:$D$205,1)+1)-INDEX(LE_Curves!$D$5:$D$205,MATCH($R95,LE_Curves!$D$5:$D$205,1))))))</f>
        <v/>
      </c>
      <c r="U95" s="11">
        <f>IF(Inputs!$D$25=0,0,IF($R95&lt;=Inputs!$C$25,0,IF($R95&gt;=INDEX(LE_Curves!$E$5:$E$205,201),INDEX(LE_Curves!$B$5:$B$205,201),INDEX(LE_Curves!$B$5:$B$205,MATCH($R95,LE_Curves!$E$5:$E$205,1))+($R95-INDEX(LE_Curves!$E$5:$E$205,MATCH($R95,LE_Curves!$E$5:$E$205,1)))*(INDEX(LE_Curves!$B$5:$B$205,MATCH($R95,LE_Curves!$E$5:$E$205,1)+1)-INDEX(LE_Curves!$B$5:$B$205,MATCH($R95,LE_Curves!$E$5:$E$205,1)))/(INDEX(LE_Curves!$E$5:$E$205,MATCH($R95,LE_Curves!$E$5:$E$205,1)+1)-INDEX(LE_Curves!$E$5:$E$205,MATCH($R95,LE_Curves!$E$5:$E$205,1))))))</f>
        <v/>
      </c>
      <c r="V95" s="11">
        <f>IF(Inputs!$D$26=0,0,IF($R95&lt;=Inputs!$C$26,0,IF($R95&gt;=INDEX(LE_Curves!$F$5:$F$205,201),INDEX(LE_Curves!$B$5:$B$205,201),INDEX(LE_Curves!$B$5:$B$205,MATCH($R95,LE_Curves!$F$5:$F$205,1))+($R95-INDEX(LE_Curves!$F$5:$F$205,MATCH($R95,LE_Curves!$F$5:$F$205,1)))*(INDEX(LE_Curves!$B$5:$B$205,MATCH($R95,LE_Curves!$F$5:$F$205,1)+1)-INDEX(LE_Curves!$B$5:$B$205,MATCH($R95,LE_Curves!$F$5:$F$205,1)))/(INDEX(LE_Curves!$F$5:$F$205,MATCH($R95,LE_Curves!$F$5:$F$205,1)+1)-INDEX(LE_Curves!$F$5:$F$205,MATCH($R95,LE_Curves!$F$5:$F$205,1))))))</f>
        <v/>
      </c>
      <c r="W95" s="11">
        <f>IF(Inputs!$D$27=0,0,IF($R95&lt;=Inputs!$C$27,0,IF($R95&gt;=INDEX(LE_Curves!$G$5:$G$205,201),INDEX(LE_Curves!$B$5:$B$205,201),INDEX(LE_Curves!$B$5:$B$205,MATCH($R95,LE_Curves!$G$5:$G$205,1))+($R95-INDEX(LE_Curves!$G$5:$G$205,MATCH($R95,LE_Curves!$G$5:$G$205,1)))*(INDEX(LE_Curves!$B$5:$B$205,MATCH($R95,LE_Curves!$G$5:$G$205,1)+1)-INDEX(LE_Curves!$B$5:$B$205,MATCH($R95,LE_Curves!$G$5:$G$205,1)))/(INDEX(LE_Curves!$G$5:$G$205,MATCH($R95,LE_Curves!$G$5:$G$205,1)+1)-INDEX(LE_Curves!$G$5:$G$205,MATCH($R95,LE_Curves!$G$5:$G$205,1))))))</f>
        <v/>
      </c>
      <c r="X95" s="11">
        <f>IF(Inputs!$D$28=0,0,IF($R95&lt;=Inputs!$C$28,0,IF($R95&gt;=INDEX(LE_Curves!$H$5:$H$205,201),INDEX(LE_Curves!$B$5:$B$205,201),INDEX(LE_Curves!$B$5:$B$205,MATCH($R95,LE_Curves!$H$5:$H$205,1))+($R95-INDEX(LE_Curves!$H$5:$H$205,MATCH($R95,LE_Curves!$H$5:$H$205,1)))*(INDEX(LE_Curves!$B$5:$B$205,MATCH($R95,LE_Curves!$H$5:$H$205,1)+1)-INDEX(LE_Curves!$B$5:$B$205,MATCH($R95,LE_Curves!$H$5:$H$205,1)))/(INDEX(LE_Curves!$H$5:$H$205,MATCH($R95,LE_Curves!$H$5:$H$205,1)+1)-INDEX(LE_Curves!$H$5:$H$205,MATCH($R95,LE_Curves!$H$5:$H$205,1))))))</f>
        <v/>
      </c>
      <c r="Y95" s="11">
        <f>IF(Inputs!$D$29=0,0,IF($R95&lt;=Inputs!$C$29,0,IF($R95&gt;=INDEX(LE_Curves!$I$5:$I$205,201),INDEX(LE_Curves!$B$5:$B$205,201),INDEX(LE_Curves!$B$5:$B$205,MATCH($R95,LE_Curves!$I$5:$I$205,1))+($R95-INDEX(LE_Curves!$I$5:$I$205,MATCH($R95,LE_Curves!$I$5:$I$205,1)))*(INDEX(LE_Curves!$B$5:$B$205,MATCH($R95,LE_Curves!$I$5:$I$205,1)+1)-INDEX(LE_Curves!$B$5:$B$205,MATCH($R95,LE_Curves!$I$5:$I$205,1)))/(INDEX(LE_Curves!$I$5:$I$205,MATCH($R95,LE_Curves!$I$5:$I$205,1)+1)-INDEX(LE_Curves!$I$5:$I$205,MATCH($R95,LE_Curves!$I$5:$I$205,1))))))</f>
        <v/>
      </c>
      <c r="Z95" s="11">
        <f>IF(Inputs!$D$30=0,0,IF($R95&lt;=Inputs!$C$30,0,IF($R95&gt;=INDEX(LE_Curves!$J$5:$J$205,201),INDEX(LE_Curves!$B$5:$B$205,201),INDEX(LE_Curves!$B$5:$B$205,MATCH($R95,LE_Curves!$J$5:$J$205,1))+($R95-INDEX(LE_Curves!$J$5:$J$205,MATCH($R95,LE_Curves!$J$5:$J$205,1)))*(INDEX(LE_Curves!$B$5:$B$205,MATCH($R95,LE_Curves!$J$5:$J$205,1)+1)-INDEX(LE_Curves!$B$5:$B$205,MATCH($R95,LE_Curves!$J$5:$J$205,1)))/(INDEX(LE_Curves!$J$5:$J$205,MATCH($R95,LE_Curves!$J$5:$J$205,1)+1)-INDEX(LE_Curves!$J$5:$J$205,MATCH($R95,LE_Curves!$J$5:$J$205,1))))))</f>
        <v/>
      </c>
      <c r="AA95" s="11">
        <f>IF(Inputs!$D$31=0,0,IF($R95&lt;=Inputs!$C$31,0,IF($R95&gt;=INDEX(LE_Curves!$K$5:$K$205,201),INDEX(LE_Curves!$B$5:$B$205,201),INDEX(LE_Curves!$B$5:$B$205,MATCH($R95,LE_Curves!$K$5:$K$205,1))+($R95-INDEX(LE_Curves!$K$5:$K$205,MATCH($R95,LE_Curves!$K$5:$K$205,1)))*(INDEX(LE_Curves!$B$5:$B$205,MATCH($R95,LE_Curves!$K$5:$K$205,1)+1)-INDEX(LE_Curves!$B$5:$B$205,MATCH($R95,LE_Curves!$K$5:$K$205,1)))/(INDEX(LE_Curves!$K$5:$K$205,MATCH($R95,LE_Curves!$K$5:$K$205,1)+1)-INDEX(LE_Curves!$K$5:$K$205,MATCH($R95,LE_Curves!$K$5:$K$205,1))))))</f>
        <v/>
      </c>
      <c r="AB95" s="11">
        <f>IF(Inputs!$D$32=0,0,IF($R95&lt;=Inputs!$C$32,0,IF($R95&gt;=INDEX(LE_Curves!$L$5:$L$205,201),INDEX(LE_Curves!$B$5:$B$205,201),INDEX(LE_Curves!$B$5:$B$205,MATCH($R95,LE_Curves!$L$5:$L$205,1))+($R95-INDEX(LE_Curves!$L$5:$L$205,MATCH($R95,LE_Curves!$L$5:$L$205,1)))*(INDEX(LE_Curves!$B$5:$B$205,MATCH($R95,LE_Curves!$L$5:$L$205,1)+1)-INDEX(LE_Curves!$B$5:$B$205,MATCH($R95,LE_Curves!$L$5:$L$205,1)))/(INDEX(LE_Curves!$L$5:$L$205,MATCH($R95,LE_Curves!$L$5:$L$205,1)+1)-INDEX(LE_Curves!$L$5:$L$205,MATCH($R95,LE_Curves!$L$5:$L$205,1))))))</f>
        <v/>
      </c>
      <c r="AC95" s="11">
        <f>IF(Inputs!$D$33=0,0,IF($R95&lt;=Inputs!$C$33,0,IF($R95&gt;=INDEX(LE_Curves!$M$5:$M$205,201),INDEX(LE_Curves!$B$5:$B$205,201),INDEX(LE_Curves!$B$5:$B$205,MATCH($R95,LE_Curves!$M$5:$M$205,1))+($R95-INDEX(LE_Curves!$M$5:$M$205,MATCH($R95,LE_Curves!$M$5:$M$205,1)))*(INDEX(LE_Curves!$B$5:$B$205,MATCH($R95,LE_Curves!$M$5:$M$205,1)+1)-INDEX(LE_Curves!$B$5:$B$205,MATCH($R95,LE_Curves!$M$5:$M$205,1)))/(INDEX(LE_Curves!$M$5:$M$205,MATCH($R95,LE_Curves!$M$5:$M$205,1)+1)-INDEX(LE_Curves!$M$5:$M$205,MATCH($R95,LE_Curves!$M$5:$M$205,1))))))</f>
        <v/>
      </c>
      <c r="AD95" s="11">
        <f>IF(Inputs!$D$34=0,0,IF($R95&lt;=Inputs!$C$34,0,IF($R95&gt;=INDEX(LE_Curves!$N$5:$N$205,201),INDEX(LE_Curves!$B$5:$B$205,201),INDEX(LE_Curves!$B$5:$B$205,MATCH($R95,LE_Curves!$N$5:$N$205,1))+($R95-INDEX(LE_Curves!$N$5:$N$205,MATCH($R95,LE_Curves!$N$5:$N$205,1)))*(INDEX(LE_Curves!$B$5:$B$205,MATCH($R95,LE_Curves!$N$5:$N$205,1)+1)-INDEX(LE_Curves!$B$5:$B$205,MATCH($R95,LE_Curves!$N$5:$N$205,1)))/(INDEX(LE_Curves!$N$5:$N$205,MATCH($R95,LE_Curves!$N$5:$N$205,1)+1)-INDEX(LE_Curves!$N$5:$N$205,MATCH($R95,LE_Curves!$N$5:$N$205,1))))))</f>
        <v/>
      </c>
      <c r="AE95" s="37">
        <f>SUM(S95:AD95)</f>
        <v/>
      </c>
    </row>
    <row r="96">
      <c r="A96" s="7" t="n">
        <v>65</v>
      </c>
      <c r="B96" s="37">
        <f>$B$3+($B$4-$B$3)*A96/200</f>
        <v/>
      </c>
      <c r="C96" s="11">
        <f>IF(Inputs!$D$23=0,0,IF($B96&lt;=Inputs!$C$23,0,IF($B96&gt;=INDEX(LE_Curves!$C$5:$C$205,201),INDEX(LE_Curves!$B$5:$B$205,201),INDEX(LE_Curves!$B$5:$B$205,MATCH($B96,LE_Curves!$C$5:$C$205,1))+($B96-INDEX(LE_Curves!$C$5:$C$205,MATCH($B96,LE_Curves!$C$5:$C$205,1)))*(INDEX(LE_Curves!$B$5:$B$205,MATCH($B96,LE_Curves!$C$5:$C$205,1)+1)-INDEX(LE_Curves!$B$5:$B$205,MATCH($B96,LE_Curves!$C$5:$C$205,1)))/(INDEX(LE_Curves!$C$5:$C$205,MATCH($B96,LE_Curves!$C$5:$C$205,1)+1)-INDEX(LE_Curves!$C$5:$C$205,MATCH($B96,LE_Curves!$C$5:$C$205,1))))))</f>
        <v/>
      </c>
      <c r="D96" s="11">
        <f>IF(Inputs!$D$24=0,0,IF($B96&lt;=Inputs!$C$24,0,IF($B96&gt;=INDEX(LE_Curves!$D$5:$D$205,201),INDEX(LE_Curves!$B$5:$B$205,201),INDEX(LE_Curves!$B$5:$B$205,MATCH($B96,LE_Curves!$D$5:$D$205,1))+($B96-INDEX(LE_Curves!$D$5:$D$205,MATCH($B96,LE_Curves!$D$5:$D$205,1)))*(INDEX(LE_Curves!$B$5:$B$205,MATCH($B96,LE_Curves!$D$5:$D$205,1)+1)-INDEX(LE_Curves!$B$5:$B$205,MATCH($B96,LE_Curves!$D$5:$D$205,1)))/(INDEX(LE_Curves!$D$5:$D$205,MATCH($B96,LE_Curves!$D$5:$D$205,1)+1)-INDEX(LE_Curves!$D$5:$D$205,MATCH($B96,LE_Curves!$D$5:$D$205,1))))))</f>
        <v/>
      </c>
      <c r="E96" s="11">
        <f>IF(Inputs!$D$25=0,0,IF($B96&lt;=Inputs!$C$25,0,IF($B96&gt;=INDEX(LE_Curves!$E$5:$E$205,201),INDEX(LE_Curves!$B$5:$B$205,201),INDEX(LE_Curves!$B$5:$B$205,MATCH($B96,LE_Curves!$E$5:$E$205,1))+($B96-INDEX(LE_Curves!$E$5:$E$205,MATCH($B96,LE_Curves!$E$5:$E$205,1)))*(INDEX(LE_Curves!$B$5:$B$205,MATCH($B96,LE_Curves!$E$5:$E$205,1)+1)-INDEX(LE_Curves!$B$5:$B$205,MATCH($B96,LE_Curves!$E$5:$E$205,1)))/(INDEX(LE_Curves!$E$5:$E$205,MATCH($B96,LE_Curves!$E$5:$E$205,1)+1)-INDEX(LE_Curves!$E$5:$E$205,MATCH($B96,LE_Curves!$E$5:$E$205,1))))))</f>
        <v/>
      </c>
      <c r="F96" s="11">
        <f>IF(Inputs!$D$26=0,0,IF($B96&lt;=Inputs!$C$26,0,IF($B96&gt;=INDEX(LE_Curves!$F$5:$F$205,201),INDEX(LE_Curves!$B$5:$B$205,201),INDEX(LE_Curves!$B$5:$B$205,MATCH($B96,LE_Curves!$F$5:$F$205,1))+($B96-INDEX(LE_Curves!$F$5:$F$205,MATCH($B96,LE_Curves!$F$5:$F$205,1)))*(INDEX(LE_Curves!$B$5:$B$205,MATCH($B96,LE_Curves!$F$5:$F$205,1)+1)-INDEX(LE_Curves!$B$5:$B$205,MATCH($B96,LE_Curves!$F$5:$F$205,1)))/(INDEX(LE_Curves!$F$5:$F$205,MATCH($B96,LE_Curves!$F$5:$F$205,1)+1)-INDEX(LE_Curves!$F$5:$F$205,MATCH($B96,LE_Curves!$F$5:$F$205,1))))))</f>
        <v/>
      </c>
      <c r="G96" s="11">
        <f>IF(Inputs!$D$27=0,0,IF($B96&lt;=Inputs!$C$27,0,IF($B96&gt;=INDEX(LE_Curves!$G$5:$G$205,201),INDEX(LE_Curves!$B$5:$B$205,201),INDEX(LE_Curves!$B$5:$B$205,MATCH($B96,LE_Curves!$G$5:$G$205,1))+($B96-INDEX(LE_Curves!$G$5:$G$205,MATCH($B96,LE_Curves!$G$5:$G$205,1)))*(INDEX(LE_Curves!$B$5:$B$205,MATCH($B96,LE_Curves!$G$5:$G$205,1)+1)-INDEX(LE_Curves!$B$5:$B$205,MATCH($B96,LE_Curves!$G$5:$G$205,1)))/(INDEX(LE_Curves!$G$5:$G$205,MATCH($B96,LE_Curves!$G$5:$G$205,1)+1)-INDEX(LE_Curves!$G$5:$G$205,MATCH($B96,LE_Curves!$G$5:$G$205,1))))))</f>
        <v/>
      </c>
      <c r="H96" s="11">
        <f>IF(Inputs!$D$28=0,0,IF($B96&lt;=Inputs!$C$28,0,IF($B96&gt;=INDEX(LE_Curves!$H$5:$H$205,201),INDEX(LE_Curves!$B$5:$B$205,201),INDEX(LE_Curves!$B$5:$B$205,MATCH($B96,LE_Curves!$H$5:$H$205,1))+($B96-INDEX(LE_Curves!$H$5:$H$205,MATCH($B96,LE_Curves!$H$5:$H$205,1)))*(INDEX(LE_Curves!$B$5:$B$205,MATCH($B96,LE_Curves!$H$5:$H$205,1)+1)-INDEX(LE_Curves!$B$5:$B$205,MATCH($B96,LE_Curves!$H$5:$H$205,1)))/(INDEX(LE_Curves!$H$5:$H$205,MATCH($B96,LE_Curves!$H$5:$H$205,1)+1)-INDEX(LE_Curves!$H$5:$H$205,MATCH($B96,LE_Curves!$H$5:$H$205,1))))))</f>
        <v/>
      </c>
      <c r="I96" s="11">
        <f>IF(Inputs!$D$29=0,0,IF($B96&lt;=Inputs!$C$29,0,IF($B96&gt;=INDEX(LE_Curves!$I$5:$I$205,201),INDEX(LE_Curves!$B$5:$B$205,201),INDEX(LE_Curves!$B$5:$B$205,MATCH($B96,LE_Curves!$I$5:$I$205,1))+($B96-INDEX(LE_Curves!$I$5:$I$205,MATCH($B96,LE_Curves!$I$5:$I$205,1)))*(INDEX(LE_Curves!$B$5:$B$205,MATCH($B96,LE_Curves!$I$5:$I$205,1)+1)-INDEX(LE_Curves!$B$5:$B$205,MATCH($B96,LE_Curves!$I$5:$I$205,1)))/(INDEX(LE_Curves!$I$5:$I$205,MATCH($B96,LE_Curves!$I$5:$I$205,1)+1)-INDEX(LE_Curves!$I$5:$I$205,MATCH($B96,LE_Curves!$I$5:$I$205,1))))))</f>
        <v/>
      </c>
      <c r="J96" s="11">
        <f>IF(Inputs!$D$30=0,0,IF($B96&lt;=Inputs!$C$30,0,IF($B96&gt;=INDEX(LE_Curves!$J$5:$J$205,201),INDEX(LE_Curves!$B$5:$B$205,201),INDEX(LE_Curves!$B$5:$B$205,MATCH($B96,LE_Curves!$J$5:$J$205,1))+($B96-INDEX(LE_Curves!$J$5:$J$205,MATCH($B96,LE_Curves!$J$5:$J$205,1)))*(INDEX(LE_Curves!$B$5:$B$205,MATCH($B96,LE_Curves!$J$5:$J$205,1)+1)-INDEX(LE_Curves!$B$5:$B$205,MATCH($B96,LE_Curves!$J$5:$J$205,1)))/(INDEX(LE_Curves!$J$5:$J$205,MATCH($B96,LE_Curves!$J$5:$J$205,1)+1)-INDEX(LE_Curves!$J$5:$J$205,MATCH($B96,LE_Curves!$J$5:$J$205,1))))))</f>
        <v/>
      </c>
      <c r="K96" s="11">
        <f>IF(Inputs!$D$31=0,0,IF($B96&lt;=Inputs!$C$31,0,IF($B96&gt;=INDEX(LE_Curves!$K$5:$K$205,201),INDEX(LE_Curves!$B$5:$B$205,201),INDEX(LE_Curves!$B$5:$B$205,MATCH($B96,LE_Curves!$K$5:$K$205,1))+($B96-INDEX(LE_Curves!$K$5:$K$205,MATCH($B96,LE_Curves!$K$5:$K$205,1)))*(INDEX(LE_Curves!$B$5:$B$205,MATCH($B96,LE_Curves!$K$5:$K$205,1)+1)-INDEX(LE_Curves!$B$5:$B$205,MATCH($B96,LE_Curves!$K$5:$K$205,1)))/(INDEX(LE_Curves!$K$5:$K$205,MATCH($B96,LE_Curves!$K$5:$K$205,1)+1)-INDEX(LE_Curves!$K$5:$K$205,MATCH($B96,LE_Curves!$K$5:$K$205,1))))))</f>
        <v/>
      </c>
      <c r="L96" s="11">
        <f>IF(Inputs!$D$32=0,0,IF($B96&lt;=Inputs!$C$32,0,IF($B96&gt;=INDEX(LE_Curves!$L$5:$L$205,201),INDEX(LE_Curves!$B$5:$B$205,201),INDEX(LE_Curves!$B$5:$B$205,MATCH($B96,LE_Curves!$L$5:$L$205,1))+($B96-INDEX(LE_Curves!$L$5:$L$205,MATCH($B96,LE_Curves!$L$5:$L$205,1)))*(INDEX(LE_Curves!$B$5:$B$205,MATCH($B96,LE_Curves!$L$5:$L$205,1)+1)-INDEX(LE_Curves!$B$5:$B$205,MATCH($B96,LE_Curves!$L$5:$L$205,1)))/(INDEX(LE_Curves!$L$5:$L$205,MATCH($B96,LE_Curves!$L$5:$L$205,1)+1)-INDEX(LE_Curves!$L$5:$L$205,MATCH($B96,LE_Curves!$L$5:$L$205,1))))))</f>
        <v/>
      </c>
      <c r="M96" s="11">
        <f>IF(Inputs!$D$33=0,0,IF($B96&lt;=Inputs!$C$33,0,IF($B96&gt;=INDEX(LE_Curves!$M$5:$M$205,201),INDEX(LE_Curves!$B$5:$B$205,201),INDEX(LE_Curves!$B$5:$B$205,MATCH($B96,LE_Curves!$M$5:$M$205,1))+($B96-INDEX(LE_Curves!$M$5:$M$205,MATCH($B96,LE_Curves!$M$5:$M$205,1)))*(INDEX(LE_Curves!$B$5:$B$205,MATCH($B96,LE_Curves!$M$5:$M$205,1)+1)-INDEX(LE_Curves!$B$5:$B$205,MATCH($B96,LE_Curves!$M$5:$M$205,1)))/(INDEX(LE_Curves!$M$5:$M$205,MATCH($B96,LE_Curves!$M$5:$M$205,1)+1)-INDEX(LE_Curves!$M$5:$M$205,MATCH($B96,LE_Curves!$M$5:$M$205,1))))))</f>
        <v/>
      </c>
      <c r="N96" s="11">
        <f>IF(Inputs!$D$34=0,0,IF($B96&lt;=Inputs!$C$34,0,IF($B96&gt;=INDEX(LE_Curves!$N$5:$N$205,201),INDEX(LE_Curves!$B$5:$B$205,201),INDEX(LE_Curves!$B$5:$B$205,MATCH($B96,LE_Curves!$N$5:$N$205,1))+($B96-INDEX(LE_Curves!$N$5:$N$205,MATCH($B96,LE_Curves!$N$5:$N$205,1)))*(INDEX(LE_Curves!$B$5:$B$205,MATCH($B96,LE_Curves!$N$5:$N$205,1)+1)-INDEX(LE_Curves!$B$5:$B$205,MATCH($B96,LE_Curves!$N$5:$N$205,1)))/(INDEX(LE_Curves!$N$5:$N$205,MATCH($B96,LE_Curves!$N$5:$N$205,1)+1)-INDEX(LE_Curves!$N$5:$N$205,MATCH($B96,LE_Curves!$N$5:$N$205,1))))))</f>
        <v/>
      </c>
      <c r="O96" s="11">
        <f>SUM(C96:N96)</f>
        <v/>
      </c>
      <c r="Q96" s="7" t="n">
        <v>65</v>
      </c>
      <c r="R96" s="23">
        <f>$B$6+($B$7-$B$6)*Q96/200</f>
        <v/>
      </c>
      <c r="S96" s="11">
        <f>IF(Inputs!$D$23=0,0,IF($R96&lt;=Inputs!$C$23,0,IF($R96&gt;=INDEX(LE_Curves!$C$5:$C$205,201),INDEX(LE_Curves!$B$5:$B$205,201),INDEX(LE_Curves!$B$5:$B$205,MATCH($R96,LE_Curves!$C$5:$C$205,1))+($R96-INDEX(LE_Curves!$C$5:$C$205,MATCH($R96,LE_Curves!$C$5:$C$205,1)))*(INDEX(LE_Curves!$B$5:$B$205,MATCH($R96,LE_Curves!$C$5:$C$205,1)+1)-INDEX(LE_Curves!$B$5:$B$205,MATCH($R96,LE_Curves!$C$5:$C$205,1)))/(INDEX(LE_Curves!$C$5:$C$205,MATCH($R96,LE_Curves!$C$5:$C$205,1)+1)-INDEX(LE_Curves!$C$5:$C$205,MATCH($R96,LE_Curves!$C$5:$C$205,1))))))</f>
        <v/>
      </c>
      <c r="T96" s="11">
        <f>IF(Inputs!$D$24=0,0,IF($R96&lt;=Inputs!$C$24,0,IF($R96&gt;=INDEX(LE_Curves!$D$5:$D$205,201),INDEX(LE_Curves!$B$5:$B$205,201),INDEX(LE_Curves!$B$5:$B$205,MATCH($R96,LE_Curves!$D$5:$D$205,1))+($R96-INDEX(LE_Curves!$D$5:$D$205,MATCH($R96,LE_Curves!$D$5:$D$205,1)))*(INDEX(LE_Curves!$B$5:$B$205,MATCH($R96,LE_Curves!$D$5:$D$205,1)+1)-INDEX(LE_Curves!$B$5:$B$205,MATCH($R96,LE_Curves!$D$5:$D$205,1)))/(INDEX(LE_Curves!$D$5:$D$205,MATCH($R96,LE_Curves!$D$5:$D$205,1)+1)-INDEX(LE_Curves!$D$5:$D$205,MATCH($R96,LE_Curves!$D$5:$D$205,1))))))</f>
        <v/>
      </c>
      <c r="U96" s="11">
        <f>IF(Inputs!$D$25=0,0,IF($R96&lt;=Inputs!$C$25,0,IF($R96&gt;=INDEX(LE_Curves!$E$5:$E$205,201),INDEX(LE_Curves!$B$5:$B$205,201),INDEX(LE_Curves!$B$5:$B$205,MATCH($R96,LE_Curves!$E$5:$E$205,1))+($R96-INDEX(LE_Curves!$E$5:$E$205,MATCH($R96,LE_Curves!$E$5:$E$205,1)))*(INDEX(LE_Curves!$B$5:$B$205,MATCH($R96,LE_Curves!$E$5:$E$205,1)+1)-INDEX(LE_Curves!$B$5:$B$205,MATCH($R96,LE_Curves!$E$5:$E$205,1)))/(INDEX(LE_Curves!$E$5:$E$205,MATCH($R96,LE_Curves!$E$5:$E$205,1)+1)-INDEX(LE_Curves!$E$5:$E$205,MATCH($R96,LE_Curves!$E$5:$E$205,1))))))</f>
        <v/>
      </c>
      <c r="V96" s="11">
        <f>IF(Inputs!$D$26=0,0,IF($R96&lt;=Inputs!$C$26,0,IF($R96&gt;=INDEX(LE_Curves!$F$5:$F$205,201),INDEX(LE_Curves!$B$5:$B$205,201),INDEX(LE_Curves!$B$5:$B$205,MATCH($R96,LE_Curves!$F$5:$F$205,1))+($R96-INDEX(LE_Curves!$F$5:$F$205,MATCH($R96,LE_Curves!$F$5:$F$205,1)))*(INDEX(LE_Curves!$B$5:$B$205,MATCH($R96,LE_Curves!$F$5:$F$205,1)+1)-INDEX(LE_Curves!$B$5:$B$205,MATCH($R96,LE_Curves!$F$5:$F$205,1)))/(INDEX(LE_Curves!$F$5:$F$205,MATCH($R96,LE_Curves!$F$5:$F$205,1)+1)-INDEX(LE_Curves!$F$5:$F$205,MATCH($R96,LE_Curves!$F$5:$F$205,1))))))</f>
        <v/>
      </c>
      <c r="W96" s="11">
        <f>IF(Inputs!$D$27=0,0,IF($R96&lt;=Inputs!$C$27,0,IF($R96&gt;=INDEX(LE_Curves!$G$5:$G$205,201),INDEX(LE_Curves!$B$5:$B$205,201),INDEX(LE_Curves!$B$5:$B$205,MATCH($R96,LE_Curves!$G$5:$G$205,1))+($R96-INDEX(LE_Curves!$G$5:$G$205,MATCH($R96,LE_Curves!$G$5:$G$205,1)))*(INDEX(LE_Curves!$B$5:$B$205,MATCH($R96,LE_Curves!$G$5:$G$205,1)+1)-INDEX(LE_Curves!$B$5:$B$205,MATCH($R96,LE_Curves!$G$5:$G$205,1)))/(INDEX(LE_Curves!$G$5:$G$205,MATCH($R96,LE_Curves!$G$5:$G$205,1)+1)-INDEX(LE_Curves!$G$5:$G$205,MATCH($R96,LE_Curves!$G$5:$G$205,1))))))</f>
        <v/>
      </c>
      <c r="X96" s="11">
        <f>IF(Inputs!$D$28=0,0,IF($R96&lt;=Inputs!$C$28,0,IF($R96&gt;=INDEX(LE_Curves!$H$5:$H$205,201),INDEX(LE_Curves!$B$5:$B$205,201),INDEX(LE_Curves!$B$5:$B$205,MATCH($R96,LE_Curves!$H$5:$H$205,1))+($R96-INDEX(LE_Curves!$H$5:$H$205,MATCH($R96,LE_Curves!$H$5:$H$205,1)))*(INDEX(LE_Curves!$B$5:$B$205,MATCH($R96,LE_Curves!$H$5:$H$205,1)+1)-INDEX(LE_Curves!$B$5:$B$205,MATCH($R96,LE_Curves!$H$5:$H$205,1)))/(INDEX(LE_Curves!$H$5:$H$205,MATCH($R96,LE_Curves!$H$5:$H$205,1)+1)-INDEX(LE_Curves!$H$5:$H$205,MATCH($R96,LE_Curves!$H$5:$H$205,1))))))</f>
        <v/>
      </c>
      <c r="Y96" s="11">
        <f>IF(Inputs!$D$29=0,0,IF($R96&lt;=Inputs!$C$29,0,IF($R96&gt;=INDEX(LE_Curves!$I$5:$I$205,201),INDEX(LE_Curves!$B$5:$B$205,201),INDEX(LE_Curves!$B$5:$B$205,MATCH($R96,LE_Curves!$I$5:$I$205,1))+($R96-INDEX(LE_Curves!$I$5:$I$205,MATCH($R96,LE_Curves!$I$5:$I$205,1)))*(INDEX(LE_Curves!$B$5:$B$205,MATCH($R96,LE_Curves!$I$5:$I$205,1)+1)-INDEX(LE_Curves!$B$5:$B$205,MATCH($R96,LE_Curves!$I$5:$I$205,1)))/(INDEX(LE_Curves!$I$5:$I$205,MATCH($R96,LE_Curves!$I$5:$I$205,1)+1)-INDEX(LE_Curves!$I$5:$I$205,MATCH($R96,LE_Curves!$I$5:$I$205,1))))))</f>
        <v/>
      </c>
      <c r="Z96" s="11">
        <f>IF(Inputs!$D$30=0,0,IF($R96&lt;=Inputs!$C$30,0,IF($R96&gt;=INDEX(LE_Curves!$J$5:$J$205,201),INDEX(LE_Curves!$B$5:$B$205,201),INDEX(LE_Curves!$B$5:$B$205,MATCH($R96,LE_Curves!$J$5:$J$205,1))+($R96-INDEX(LE_Curves!$J$5:$J$205,MATCH($R96,LE_Curves!$J$5:$J$205,1)))*(INDEX(LE_Curves!$B$5:$B$205,MATCH($R96,LE_Curves!$J$5:$J$205,1)+1)-INDEX(LE_Curves!$B$5:$B$205,MATCH($R96,LE_Curves!$J$5:$J$205,1)))/(INDEX(LE_Curves!$J$5:$J$205,MATCH($R96,LE_Curves!$J$5:$J$205,1)+1)-INDEX(LE_Curves!$J$5:$J$205,MATCH($R96,LE_Curves!$J$5:$J$205,1))))))</f>
        <v/>
      </c>
      <c r="AA96" s="11">
        <f>IF(Inputs!$D$31=0,0,IF($R96&lt;=Inputs!$C$31,0,IF($R96&gt;=INDEX(LE_Curves!$K$5:$K$205,201),INDEX(LE_Curves!$B$5:$B$205,201),INDEX(LE_Curves!$B$5:$B$205,MATCH($R96,LE_Curves!$K$5:$K$205,1))+($R96-INDEX(LE_Curves!$K$5:$K$205,MATCH($R96,LE_Curves!$K$5:$K$205,1)))*(INDEX(LE_Curves!$B$5:$B$205,MATCH($R96,LE_Curves!$K$5:$K$205,1)+1)-INDEX(LE_Curves!$B$5:$B$205,MATCH($R96,LE_Curves!$K$5:$K$205,1)))/(INDEX(LE_Curves!$K$5:$K$205,MATCH($R96,LE_Curves!$K$5:$K$205,1)+1)-INDEX(LE_Curves!$K$5:$K$205,MATCH($R96,LE_Curves!$K$5:$K$205,1))))))</f>
        <v/>
      </c>
      <c r="AB96" s="11">
        <f>IF(Inputs!$D$32=0,0,IF($R96&lt;=Inputs!$C$32,0,IF($R96&gt;=INDEX(LE_Curves!$L$5:$L$205,201),INDEX(LE_Curves!$B$5:$B$205,201),INDEX(LE_Curves!$B$5:$B$205,MATCH($R96,LE_Curves!$L$5:$L$205,1))+($R96-INDEX(LE_Curves!$L$5:$L$205,MATCH($R96,LE_Curves!$L$5:$L$205,1)))*(INDEX(LE_Curves!$B$5:$B$205,MATCH($R96,LE_Curves!$L$5:$L$205,1)+1)-INDEX(LE_Curves!$B$5:$B$205,MATCH($R96,LE_Curves!$L$5:$L$205,1)))/(INDEX(LE_Curves!$L$5:$L$205,MATCH($R96,LE_Curves!$L$5:$L$205,1)+1)-INDEX(LE_Curves!$L$5:$L$205,MATCH($R96,LE_Curves!$L$5:$L$205,1))))))</f>
        <v/>
      </c>
      <c r="AC96" s="11">
        <f>IF(Inputs!$D$33=0,0,IF($R96&lt;=Inputs!$C$33,0,IF($R96&gt;=INDEX(LE_Curves!$M$5:$M$205,201),INDEX(LE_Curves!$B$5:$B$205,201),INDEX(LE_Curves!$B$5:$B$205,MATCH($R96,LE_Curves!$M$5:$M$205,1))+($R96-INDEX(LE_Curves!$M$5:$M$205,MATCH($R96,LE_Curves!$M$5:$M$205,1)))*(INDEX(LE_Curves!$B$5:$B$205,MATCH($R96,LE_Curves!$M$5:$M$205,1)+1)-INDEX(LE_Curves!$B$5:$B$205,MATCH($R96,LE_Curves!$M$5:$M$205,1)))/(INDEX(LE_Curves!$M$5:$M$205,MATCH($R96,LE_Curves!$M$5:$M$205,1)+1)-INDEX(LE_Curves!$M$5:$M$205,MATCH($R96,LE_Curves!$M$5:$M$205,1))))))</f>
        <v/>
      </c>
      <c r="AD96" s="11">
        <f>IF(Inputs!$D$34=0,0,IF($R96&lt;=Inputs!$C$34,0,IF($R96&gt;=INDEX(LE_Curves!$N$5:$N$205,201),INDEX(LE_Curves!$B$5:$B$205,201),INDEX(LE_Curves!$B$5:$B$205,MATCH($R96,LE_Curves!$N$5:$N$205,1))+($R96-INDEX(LE_Curves!$N$5:$N$205,MATCH($R96,LE_Curves!$N$5:$N$205,1)))*(INDEX(LE_Curves!$B$5:$B$205,MATCH($R96,LE_Curves!$N$5:$N$205,1)+1)-INDEX(LE_Curves!$B$5:$B$205,MATCH($R96,LE_Curves!$N$5:$N$205,1)))/(INDEX(LE_Curves!$N$5:$N$205,MATCH($R96,LE_Curves!$N$5:$N$205,1)+1)-INDEX(LE_Curves!$N$5:$N$205,MATCH($R96,LE_Curves!$N$5:$N$205,1))))))</f>
        <v/>
      </c>
      <c r="AE96" s="37">
        <f>SUM(S96:AD96)</f>
        <v/>
      </c>
    </row>
    <row r="97">
      <c r="A97" s="7" t="n">
        <v>66</v>
      </c>
      <c r="B97" s="37">
        <f>$B$3+($B$4-$B$3)*A97/200</f>
        <v/>
      </c>
      <c r="C97" s="11">
        <f>IF(Inputs!$D$23=0,0,IF($B97&lt;=Inputs!$C$23,0,IF($B97&gt;=INDEX(LE_Curves!$C$5:$C$205,201),INDEX(LE_Curves!$B$5:$B$205,201),INDEX(LE_Curves!$B$5:$B$205,MATCH($B97,LE_Curves!$C$5:$C$205,1))+($B97-INDEX(LE_Curves!$C$5:$C$205,MATCH($B97,LE_Curves!$C$5:$C$205,1)))*(INDEX(LE_Curves!$B$5:$B$205,MATCH($B97,LE_Curves!$C$5:$C$205,1)+1)-INDEX(LE_Curves!$B$5:$B$205,MATCH($B97,LE_Curves!$C$5:$C$205,1)))/(INDEX(LE_Curves!$C$5:$C$205,MATCH($B97,LE_Curves!$C$5:$C$205,1)+1)-INDEX(LE_Curves!$C$5:$C$205,MATCH($B97,LE_Curves!$C$5:$C$205,1))))))</f>
        <v/>
      </c>
      <c r="D97" s="11">
        <f>IF(Inputs!$D$24=0,0,IF($B97&lt;=Inputs!$C$24,0,IF($B97&gt;=INDEX(LE_Curves!$D$5:$D$205,201),INDEX(LE_Curves!$B$5:$B$205,201),INDEX(LE_Curves!$B$5:$B$205,MATCH($B97,LE_Curves!$D$5:$D$205,1))+($B97-INDEX(LE_Curves!$D$5:$D$205,MATCH($B97,LE_Curves!$D$5:$D$205,1)))*(INDEX(LE_Curves!$B$5:$B$205,MATCH($B97,LE_Curves!$D$5:$D$205,1)+1)-INDEX(LE_Curves!$B$5:$B$205,MATCH($B97,LE_Curves!$D$5:$D$205,1)))/(INDEX(LE_Curves!$D$5:$D$205,MATCH($B97,LE_Curves!$D$5:$D$205,1)+1)-INDEX(LE_Curves!$D$5:$D$205,MATCH($B97,LE_Curves!$D$5:$D$205,1))))))</f>
        <v/>
      </c>
      <c r="E97" s="11">
        <f>IF(Inputs!$D$25=0,0,IF($B97&lt;=Inputs!$C$25,0,IF($B97&gt;=INDEX(LE_Curves!$E$5:$E$205,201),INDEX(LE_Curves!$B$5:$B$205,201),INDEX(LE_Curves!$B$5:$B$205,MATCH($B97,LE_Curves!$E$5:$E$205,1))+($B97-INDEX(LE_Curves!$E$5:$E$205,MATCH($B97,LE_Curves!$E$5:$E$205,1)))*(INDEX(LE_Curves!$B$5:$B$205,MATCH($B97,LE_Curves!$E$5:$E$205,1)+1)-INDEX(LE_Curves!$B$5:$B$205,MATCH($B97,LE_Curves!$E$5:$E$205,1)))/(INDEX(LE_Curves!$E$5:$E$205,MATCH($B97,LE_Curves!$E$5:$E$205,1)+1)-INDEX(LE_Curves!$E$5:$E$205,MATCH($B97,LE_Curves!$E$5:$E$205,1))))))</f>
        <v/>
      </c>
      <c r="F97" s="11">
        <f>IF(Inputs!$D$26=0,0,IF($B97&lt;=Inputs!$C$26,0,IF($B97&gt;=INDEX(LE_Curves!$F$5:$F$205,201),INDEX(LE_Curves!$B$5:$B$205,201),INDEX(LE_Curves!$B$5:$B$205,MATCH($B97,LE_Curves!$F$5:$F$205,1))+($B97-INDEX(LE_Curves!$F$5:$F$205,MATCH($B97,LE_Curves!$F$5:$F$205,1)))*(INDEX(LE_Curves!$B$5:$B$205,MATCH($B97,LE_Curves!$F$5:$F$205,1)+1)-INDEX(LE_Curves!$B$5:$B$205,MATCH($B97,LE_Curves!$F$5:$F$205,1)))/(INDEX(LE_Curves!$F$5:$F$205,MATCH($B97,LE_Curves!$F$5:$F$205,1)+1)-INDEX(LE_Curves!$F$5:$F$205,MATCH($B97,LE_Curves!$F$5:$F$205,1))))))</f>
        <v/>
      </c>
      <c r="G97" s="11">
        <f>IF(Inputs!$D$27=0,0,IF($B97&lt;=Inputs!$C$27,0,IF($B97&gt;=INDEX(LE_Curves!$G$5:$G$205,201),INDEX(LE_Curves!$B$5:$B$205,201),INDEX(LE_Curves!$B$5:$B$205,MATCH($B97,LE_Curves!$G$5:$G$205,1))+($B97-INDEX(LE_Curves!$G$5:$G$205,MATCH($B97,LE_Curves!$G$5:$G$205,1)))*(INDEX(LE_Curves!$B$5:$B$205,MATCH($B97,LE_Curves!$G$5:$G$205,1)+1)-INDEX(LE_Curves!$B$5:$B$205,MATCH($B97,LE_Curves!$G$5:$G$205,1)))/(INDEX(LE_Curves!$G$5:$G$205,MATCH($B97,LE_Curves!$G$5:$G$205,1)+1)-INDEX(LE_Curves!$G$5:$G$205,MATCH($B97,LE_Curves!$G$5:$G$205,1))))))</f>
        <v/>
      </c>
      <c r="H97" s="11">
        <f>IF(Inputs!$D$28=0,0,IF($B97&lt;=Inputs!$C$28,0,IF($B97&gt;=INDEX(LE_Curves!$H$5:$H$205,201),INDEX(LE_Curves!$B$5:$B$205,201),INDEX(LE_Curves!$B$5:$B$205,MATCH($B97,LE_Curves!$H$5:$H$205,1))+($B97-INDEX(LE_Curves!$H$5:$H$205,MATCH($B97,LE_Curves!$H$5:$H$205,1)))*(INDEX(LE_Curves!$B$5:$B$205,MATCH($B97,LE_Curves!$H$5:$H$205,1)+1)-INDEX(LE_Curves!$B$5:$B$205,MATCH($B97,LE_Curves!$H$5:$H$205,1)))/(INDEX(LE_Curves!$H$5:$H$205,MATCH($B97,LE_Curves!$H$5:$H$205,1)+1)-INDEX(LE_Curves!$H$5:$H$205,MATCH($B97,LE_Curves!$H$5:$H$205,1))))))</f>
        <v/>
      </c>
      <c r="I97" s="11">
        <f>IF(Inputs!$D$29=0,0,IF($B97&lt;=Inputs!$C$29,0,IF($B97&gt;=INDEX(LE_Curves!$I$5:$I$205,201),INDEX(LE_Curves!$B$5:$B$205,201),INDEX(LE_Curves!$B$5:$B$205,MATCH($B97,LE_Curves!$I$5:$I$205,1))+($B97-INDEX(LE_Curves!$I$5:$I$205,MATCH($B97,LE_Curves!$I$5:$I$205,1)))*(INDEX(LE_Curves!$B$5:$B$205,MATCH($B97,LE_Curves!$I$5:$I$205,1)+1)-INDEX(LE_Curves!$B$5:$B$205,MATCH($B97,LE_Curves!$I$5:$I$205,1)))/(INDEX(LE_Curves!$I$5:$I$205,MATCH($B97,LE_Curves!$I$5:$I$205,1)+1)-INDEX(LE_Curves!$I$5:$I$205,MATCH($B97,LE_Curves!$I$5:$I$205,1))))))</f>
        <v/>
      </c>
      <c r="J97" s="11">
        <f>IF(Inputs!$D$30=0,0,IF($B97&lt;=Inputs!$C$30,0,IF($B97&gt;=INDEX(LE_Curves!$J$5:$J$205,201),INDEX(LE_Curves!$B$5:$B$205,201),INDEX(LE_Curves!$B$5:$B$205,MATCH($B97,LE_Curves!$J$5:$J$205,1))+($B97-INDEX(LE_Curves!$J$5:$J$205,MATCH($B97,LE_Curves!$J$5:$J$205,1)))*(INDEX(LE_Curves!$B$5:$B$205,MATCH($B97,LE_Curves!$J$5:$J$205,1)+1)-INDEX(LE_Curves!$B$5:$B$205,MATCH($B97,LE_Curves!$J$5:$J$205,1)))/(INDEX(LE_Curves!$J$5:$J$205,MATCH($B97,LE_Curves!$J$5:$J$205,1)+1)-INDEX(LE_Curves!$J$5:$J$205,MATCH($B97,LE_Curves!$J$5:$J$205,1))))))</f>
        <v/>
      </c>
      <c r="K97" s="11">
        <f>IF(Inputs!$D$31=0,0,IF($B97&lt;=Inputs!$C$31,0,IF($B97&gt;=INDEX(LE_Curves!$K$5:$K$205,201),INDEX(LE_Curves!$B$5:$B$205,201),INDEX(LE_Curves!$B$5:$B$205,MATCH($B97,LE_Curves!$K$5:$K$205,1))+($B97-INDEX(LE_Curves!$K$5:$K$205,MATCH($B97,LE_Curves!$K$5:$K$205,1)))*(INDEX(LE_Curves!$B$5:$B$205,MATCH($B97,LE_Curves!$K$5:$K$205,1)+1)-INDEX(LE_Curves!$B$5:$B$205,MATCH($B97,LE_Curves!$K$5:$K$205,1)))/(INDEX(LE_Curves!$K$5:$K$205,MATCH($B97,LE_Curves!$K$5:$K$205,1)+1)-INDEX(LE_Curves!$K$5:$K$205,MATCH($B97,LE_Curves!$K$5:$K$205,1))))))</f>
        <v/>
      </c>
      <c r="L97" s="11">
        <f>IF(Inputs!$D$32=0,0,IF($B97&lt;=Inputs!$C$32,0,IF($B97&gt;=INDEX(LE_Curves!$L$5:$L$205,201),INDEX(LE_Curves!$B$5:$B$205,201),INDEX(LE_Curves!$B$5:$B$205,MATCH($B97,LE_Curves!$L$5:$L$205,1))+($B97-INDEX(LE_Curves!$L$5:$L$205,MATCH($B97,LE_Curves!$L$5:$L$205,1)))*(INDEX(LE_Curves!$B$5:$B$205,MATCH($B97,LE_Curves!$L$5:$L$205,1)+1)-INDEX(LE_Curves!$B$5:$B$205,MATCH($B97,LE_Curves!$L$5:$L$205,1)))/(INDEX(LE_Curves!$L$5:$L$205,MATCH($B97,LE_Curves!$L$5:$L$205,1)+1)-INDEX(LE_Curves!$L$5:$L$205,MATCH($B97,LE_Curves!$L$5:$L$205,1))))))</f>
        <v/>
      </c>
      <c r="M97" s="11">
        <f>IF(Inputs!$D$33=0,0,IF($B97&lt;=Inputs!$C$33,0,IF($B97&gt;=INDEX(LE_Curves!$M$5:$M$205,201),INDEX(LE_Curves!$B$5:$B$205,201),INDEX(LE_Curves!$B$5:$B$205,MATCH($B97,LE_Curves!$M$5:$M$205,1))+($B97-INDEX(LE_Curves!$M$5:$M$205,MATCH($B97,LE_Curves!$M$5:$M$205,1)))*(INDEX(LE_Curves!$B$5:$B$205,MATCH($B97,LE_Curves!$M$5:$M$205,1)+1)-INDEX(LE_Curves!$B$5:$B$205,MATCH($B97,LE_Curves!$M$5:$M$205,1)))/(INDEX(LE_Curves!$M$5:$M$205,MATCH($B97,LE_Curves!$M$5:$M$205,1)+1)-INDEX(LE_Curves!$M$5:$M$205,MATCH($B97,LE_Curves!$M$5:$M$205,1))))))</f>
        <v/>
      </c>
      <c r="N97" s="11">
        <f>IF(Inputs!$D$34=0,0,IF($B97&lt;=Inputs!$C$34,0,IF($B97&gt;=INDEX(LE_Curves!$N$5:$N$205,201),INDEX(LE_Curves!$B$5:$B$205,201),INDEX(LE_Curves!$B$5:$B$205,MATCH($B97,LE_Curves!$N$5:$N$205,1))+($B97-INDEX(LE_Curves!$N$5:$N$205,MATCH($B97,LE_Curves!$N$5:$N$205,1)))*(INDEX(LE_Curves!$B$5:$B$205,MATCH($B97,LE_Curves!$N$5:$N$205,1)+1)-INDEX(LE_Curves!$B$5:$B$205,MATCH($B97,LE_Curves!$N$5:$N$205,1)))/(INDEX(LE_Curves!$N$5:$N$205,MATCH($B97,LE_Curves!$N$5:$N$205,1)+1)-INDEX(LE_Curves!$N$5:$N$205,MATCH($B97,LE_Curves!$N$5:$N$205,1))))))</f>
        <v/>
      </c>
      <c r="O97" s="11">
        <f>SUM(C97:N97)</f>
        <v/>
      </c>
      <c r="Q97" s="7" t="n">
        <v>66</v>
      </c>
      <c r="R97" s="23">
        <f>$B$6+($B$7-$B$6)*Q97/200</f>
        <v/>
      </c>
      <c r="S97" s="11">
        <f>IF(Inputs!$D$23=0,0,IF($R97&lt;=Inputs!$C$23,0,IF($R97&gt;=INDEX(LE_Curves!$C$5:$C$205,201),INDEX(LE_Curves!$B$5:$B$205,201),INDEX(LE_Curves!$B$5:$B$205,MATCH($R97,LE_Curves!$C$5:$C$205,1))+($R97-INDEX(LE_Curves!$C$5:$C$205,MATCH($R97,LE_Curves!$C$5:$C$205,1)))*(INDEX(LE_Curves!$B$5:$B$205,MATCH($R97,LE_Curves!$C$5:$C$205,1)+1)-INDEX(LE_Curves!$B$5:$B$205,MATCH($R97,LE_Curves!$C$5:$C$205,1)))/(INDEX(LE_Curves!$C$5:$C$205,MATCH($R97,LE_Curves!$C$5:$C$205,1)+1)-INDEX(LE_Curves!$C$5:$C$205,MATCH($R97,LE_Curves!$C$5:$C$205,1))))))</f>
        <v/>
      </c>
      <c r="T97" s="11">
        <f>IF(Inputs!$D$24=0,0,IF($R97&lt;=Inputs!$C$24,0,IF($R97&gt;=INDEX(LE_Curves!$D$5:$D$205,201),INDEX(LE_Curves!$B$5:$B$205,201),INDEX(LE_Curves!$B$5:$B$205,MATCH($R97,LE_Curves!$D$5:$D$205,1))+($R97-INDEX(LE_Curves!$D$5:$D$205,MATCH($R97,LE_Curves!$D$5:$D$205,1)))*(INDEX(LE_Curves!$B$5:$B$205,MATCH($R97,LE_Curves!$D$5:$D$205,1)+1)-INDEX(LE_Curves!$B$5:$B$205,MATCH($R97,LE_Curves!$D$5:$D$205,1)))/(INDEX(LE_Curves!$D$5:$D$205,MATCH($R97,LE_Curves!$D$5:$D$205,1)+1)-INDEX(LE_Curves!$D$5:$D$205,MATCH($R97,LE_Curves!$D$5:$D$205,1))))))</f>
        <v/>
      </c>
      <c r="U97" s="11">
        <f>IF(Inputs!$D$25=0,0,IF($R97&lt;=Inputs!$C$25,0,IF($R97&gt;=INDEX(LE_Curves!$E$5:$E$205,201),INDEX(LE_Curves!$B$5:$B$205,201),INDEX(LE_Curves!$B$5:$B$205,MATCH($R97,LE_Curves!$E$5:$E$205,1))+($R97-INDEX(LE_Curves!$E$5:$E$205,MATCH($R97,LE_Curves!$E$5:$E$205,1)))*(INDEX(LE_Curves!$B$5:$B$205,MATCH($R97,LE_Curves!$E$5:$E$205,1)+1)-INDEX(LE_Curves!$B$5:$B$205,MATCH($R97,LE_Curves!$E$5:$E$205,1)))/(INDEX(LE_Curves!$E$5:$E$205,MATCH($R97,LE_Curves!$E$5:$E$205,1)+1)-INDEX(LE_Curves!$E$5:$E$205,MATCH($R97,LE_Curves!$E$5:$E$205,1))))))</f>
        <v/>
      </c>
      <c r="V97" s="11">
        <f>IF(Inputs!$D$26=0,0,IF($R97&lt;=Inputs!$C$26,0,IF($R97&gt;=INDEX(LE_Curves!$F$5:$F$205,201),INDEX(LE_Curves!$B$5:$B$205,201),INDEX(LE_Curves!$B$5:$B$205,MATCH($R97,LE_Curves!$F$5:$F$205,1))+($R97-INDEX(LE_Curves!$F$5:$F$205,MATCH($R97,LE_Curves!$F$5:$F$205,1)))*(INDEX(LE_Curves!$B$5:$B$205,MATCH($R97,LE_Curves!$F$5:$F$205,1)+1)-INDEX(LE_Curves!$B$5:$B$205,MATCH($R97,LE_Curves!$F$5:$F$205,1)))/(INDEX(LE_Curves!$F$5:$F$205,MATCH($R97,LE_Curves!$F$5:$F$205,1)+1)-INDEX(LE_Curves!$F$5:$F$205,MATCH($R97,LE_Curves!$F$5:$F$205,1))))))</f>
        <v/>
      </c>
      <c r="W97" s="11">
        <f>IF(Inputs!$D$27=0,0,IF($R97&lt;=Inputs!$C$27,0,IF($R97&gt;=INDEX(LE_Curves!$G$5:$G$205,201),INDEX(LE_Curves!$B$5:$B$205,201),INDEX(LE_Curves!$B$5:$B$205,MATCH($R97,LE_Curves!$G$5:$G$205,1))+($R97-INDEX(LE_Curves!$G$5:$G$205,MATCH($R97,LE_Curves!$G$5:$G$205,1)))*(INDEX(LE_Curves!$B$5:$B$205,MATCH($R97,LE_Curves!$G$5:$G$205,1)+1)-INDEX(LE_Curves!$B$5:$B$205,MATCH($R97,LE_Curves!$G$5:$G$205,1)))/(INDEX(LE_Curves!$G$5:$G$205,MATCH($R97,LE_Curves!$G$5:$G$205,1)+1)-INDEX(LE_Curves!$G$5:$G$205,MATCH($R97,LE_Curves!$G$5:$G$205,1))))))</f>
        <v/>
      </c>
      <c r="X97" s="11">
        <f>IF(Inputs!$D$28=0,0,IF($R97&lt;=Inputs!$C$28,0,IF($R97&gt;=INDEX(LE_Curves!$H$5:$H$205,201),INDEX(LE_Curves!$B$5:$B$205,201),INDEX(LE_Curves!$B$5:$B$205,MATCH($R97,LE_Curves!$H$5:$H$205,1))+($R97-INDEX(LE_Curves!$H$5:$H$205,MATCH($R97,LE_Curves!$H$5:$H$205,1)))*(INDEX(LE_Curves!$B$5:$B$205,MATCH($R97,LE_Curves!$H$5:$H$205,1)+1)-INDEX(LE_Curves!$B$5:$B$205,MATCH($R97,LE_Curves!$H$5:$H$205,1)))/(INDEX(LE_Curves!$H$5:$H$205,MATCH($R97,LE_Curves!$H$5:$H$205,1)+1)-INDEX(LE_Curves!$H$5:$H$205,MATCH($R97,LE_Curves!$H$5:$H$205,1))))))</f>
        <v/>
      </c>
      <c r="Y97" s="11">
        <f>IF(Inputs!$D$29=0,0,IF($R97&lt;=Inputs!$C$29,0,IF($R97&gt;=INDEX(LE_Curves!$I$5:$I$205,201),INDEX(LE_Curves!$B$5:$B$205,201),INDEX(LE_Curves!$B$5:$B$205,MATCH($R97,LE_Curves!$I$5:$I$205,1))+($R97-INDEX(LE_Curves!$I$5:$I$205,MATCH($R97,LE_Curves!$I$5:$I$205,1)))*(INDEX(LE_Curves!$B$5:$B$205,MATCH($R97,LE_Curves!$I$5:$I$205,1)+1)-INDEX(LE_Curves!$B$5:$B$205,MATCH($R97,LE_Curves!$I$5:$I$205,1)))/(INDEX(LE_Curves!$I$5:$I$205,MATCH($R97,LE_Curves!$I$5:$I$205,1)+1)-INDEX(LE_Curves!$I$5:$I$205,MATCH($R97,LE_Curves!$I$5:$I$205,1))))))</f>
        <v/>
      </c>
      <c r="Z97" s="11">
        <f>IF(Inputs!$D$30=0,0,IF($R97&lt;=Inputs!$C$30,0,IF($R97&gt;=INDEX(LE_Curves!$J$5:$J$205,201),INDEX(LE_Curves!$B$5:$B$205,201),INDEX(LE_Curves!$B$5:$B$205,MATCH($R97,LE_Curves!$J$5:$J$205,1))+($R97-INDEX(LE_Curves!$J$5:$J$205,MATCH($R97,LE_Curves!$J$5:$J$205,1)))*(INDEX(LE_Curves!$B$5:$B$205,MATCH($R97,LE_Curves!$J$5:$J$205,1)+1)-INDEX(LE_Curves!$B$5:$B$205,MATCH($R97,LE_Curves!$J$5:$J$205,1)))/(INDEX(LE_Curves!$J$5:$J$205,MATCH($R97,LE_Curves!$J$5:$J$205,1)+1)-INDEX(LE_Curves!$J$5:$J$205,MATCH($R97,LE_Curves!$J$5:$J$205,1))))))</f>
        <v/>
      </c>
      <c r="AA97" s="11">
        <f>IF(Inputs!$D$31=0,0,IF($R97&lt;=Inputs!$C$31,0,IF($R97&gt;=INDEX(LE_Curves!$K$5:$K$205,201),INDEX(LE_Curves!$B$5:$B$205,201),INDEX(LE_Curves!$B$5:$B$205,MATCH($R97,LE_Curves!$K$5:$K$205,1))+($R97-INDEX(LE_Curves!$K$5:$K$205,MATCH($R97,LE_Curves!$K$5:$K$205,1)))*(INDEX(LE_Curves!$B$5:$B$205,MATCH($R97,LE_Curves!$K$5:$K$205,1)+1)-INDEX(LE_Curves!$B$5:$B$205,MATCH($R97,LE_Curves!$K$5:$K$205,1)))/(INDEX(LE_Curves!$K$5:$K$205,MATCH($R97,LE_Curves!$K$5:$K$205,1)+1)-INDEX(LE_Curves!$K$5:$K$205,MATCH($R97,LE_Curves!$K$5:$K$205,1))))))</f>
        <v/>
      </c>
      <c r="AB97" s="11">
        <f>IF(Inputs!$D$32=0,0,IF($R97&lt;=Inputs!$C$32,0,IF($R97&gt;=INDEX(LE_Curves!$L$5:$L$205,201),INDEX(LE_Curves!$B$5:$B$205,201),INDEX(LE_Curves!$B$5:$B$205,MATCH($R97,LE_Curves!$L$5:$L$205,1))+($R97-INDEX(LE_Curves!$L$5:$L$205,MATCH($R97,LE_Curves!$L$5:$L$205,1)))*(INDEX(LE_Curves!$B$5:$B$205,MATCH($R97,LE_Curves!$L$5:$L$205,1)+1)-INDEX(LE_Curves!$B$5:$B$205,MATCH($R97,LE_Curves!$L$5:$L$205,1)))/(INDEX(LE_Curves!$L$5:$L$205,MATCH($R97,LE_Curves!$L$5:$L$205,1)+1)-INDEX(LE_Curves!$L$5:$L$205,MATCH($R97,LE_Curves!$L$5:$L$205,1))))))</f>
        <v/>
      </c>
      <c r="AC97" s="11">
        <f>IF(Inputs!$D$33=0,0,IF($R97&lt;=Inputs!$C$33,0,IF($R97&gt;=INDEX(LE_Curves!$M$5:$M$205,201),INDEX(LE_Curves!$B$5:$B$205,201),INDEX(LE_Curves!$B$5:$B$205,MATCH($R97,LE_Curves!$M$5:$M$205,1))+($R97-INDEX(LE_Curves!$M$5:$M$205,MATCH($R97,LE_Curves!$M$5:$M$205,1)))*(INDEX(LE_Curves!$B$5:$B$205,MATCH($R97,LE_Curves!$M$5:$M$205,1)+1)-INDEX(LE_Curves!$B$5:$B$205,MATCH($R97,LE_Curves!$M$5:$M$205,1)))/(INDEX(LE_Curves!$M$5:$M$205,MATCH($R97,LE_Curves!$M$5:$M$205,1)+1)-INDEX(LE_Curves!$M$5:$M$205,MATCH($R97,LE_Curves!$M$5:$M$205,1))))))</f>
        <v/>
      </c>
      <c r="AD97" s="11">
        <f>IF(Inputs!$D$34=0,0,IF($R97&lt;=Inputs!$C$34,0,IF($R97&gt;=INDEX(LE_Curves!$N$5:$N$205,201),INDEX(LE_Curves!$B$5:$B$205,201),INDEX(LE_Curves!$B$5:$B$205,MATCH($R97,LE_Curves!$N$5:$N$205,1))+($R97-INDEX(LE_Curves!$N$5:$N$205,MATCH($R97,LE_Curves!$N$5:$N$205,1)))*(INDEX(LE_Curves!$B$5:$B$205,MATCH($R97,LE_Curves!$N$5:$N$205,1)+1)-INDEX(LE_Curves!$B$5:$B$205,MATCH($R97,LE_Curves!$N$5:$N$205,1)))/(INDEX(LE_Curves!$N$5:$N$205,MATCH($R97,LE_Curves!$N$5:$N$205,1)+1)-INDEX(LE_Curves!$N$5:$N$205,MATCH($R97,LE_Curves!$N$5:$N$205,1))))))</f>
        <v/>
      </c>
      <c r="AE97" s="37">
        <f>SUM(S97:AD97)</f>
        <v/>
      </c>
    </row>
    <row r="98">
      <c r="A98" s="7" t="n">
        <v>67</v>
      </c>
      <c r="B98" s="37">
        <f>$B$3+($B$4-$B$3)*A98/200</f>
        <v/>
      </c>
      <c r="C98" s="11">
        <f>IF(Inputs!$D$23=0,0,IF($B98&lt;=Inputs!$C$23,0,IF($B98&gt;=INDEX(LE_Curves!$C$5:$C$205,201),INDEX(LE_Curves!$B$5:$B$205,201),INDEX(LE_Curves!$B$5:$B$205,MATCH($B98,LE_Curves!$C$5:$C$205,1))+($B98-INDEX(LE_Curves!$C$5:$C$205,MATCH($B98,LE_Curves!$C$5:$C$205,1)))*(INDEX(LE_Curves!$B$5:$B$205,MATCH($B98,LE_Curves!$C$5:$C$205,1)+1)-INDEX(LE_Curves!$B$5:$B$205,MATCH($B98,LE_Curves!$C$5:$C$205,1)))/(INDEX(LE_Curves!$C$5:$C$205,MATCH($B98,LE_Curves!$C$5:$C$205,1)+1)-INDEX(LE_Curves!$C$5:$C$205,MATCH($B98,LE_Curves!$C$5:$C$205,1))))))</f>
        <v/>
      </c>
      <c r="D98" s="11">
        <f>IF(Inputs!$D$24=0,0,IF($B98&lt;=Inputs!$C$24,0,IF($B98&gt;=INDEX(LE_Curves!$D$5:$D$205,201),INDEX(LE_Curves!$B$5:$B$205,201),INDEX(LE_Curves!$B$5:$B$205,MATCH($B98,LE_Curves!$D$5:$D$205,1))+($B98-INDEX(LE_Curves!$D$5:$D$205,MATCH($B98,LE_Curves!$D$5:$D$205,1)))*(INDEX(LE_Curves!$B$5:$B$205,MATCH($B98,LE_Curves!$D$5:$D$205,1)+1)-INDEX(LE_Curves!$B$5:$B$205,MATCH($B98,LE_Curves!$D$5:$D$205,1)))/(INDEX(LE_Curves!$D$5:$D$205,MATCH($B98,LE_Curves!$D$5:$D$205,1)+1)-INDEX(LE_Curves!$D$5:$D$205,MATCH($B98,LE_Curves!$D$5:$D$205,1))))))</f>
        <v/>
      </c>
      <c r="E98" s="11">
        <f>IF(Inputs!$D$25=0,0,IF($B98&lt;=Inputs!$C$25,0,IF($B98&gt;=INDEX(LE_Curves!$E$5:$E$205,201),INDEX(LE_Curves!$B$5:$B$205,201),INDEX(LE_Curves!$B$5:$B$205,MATCH($B98,LE_Curves!$E$5:$E$205,1))+($B98-INDEX(LE_Curves!$E$5:$E$205,MATCH($B98,LE_Curves!$E$5:$E$205,1)))*(INDEX(LE_Curves!$B$5:$B$205,MATCH($B98,LE_Curves!$E$5:$E$205,1)+1)-INDEX(LE_Curves!$B$5:$B$205,MATCH($B98,LE_Curves!$E$5:$E$205,1)))/(INDEX(LE_Curves!$E$5:$E$205,MATCH($B98,LE_Curves!$E$5:$E$205,1)+1)-INDEX(LE_Curves!$E$5:$E$205,MATCH($B98,LE_Curves!$E$5:$E$205,1))))))</f>
        <v/>
      </c>
      <c r="F98" s="11">
        <f>IF(Inputs!$D$26=0,0,IF($B98&lt;=Inputs!$C$26,0,IF($B98&gt;=INDEX(LE_Curves!$F$5:$F$205,201),INDEX(LE_Curves!$B$5:$B$205,201),INDEX(LE_Curves!$B$5:$B$205,MATCH($B98,LE_Curves!$F$5:$F$205,1))+($B98-INDEX(LE_Curves!$F$5:$F$205,MATCH($B98,LE_Curves!$F$5:$F$205,1)))*(INDEX(LE_Curves!$B$5:$B$205,MATCH($B98,LE_Curves!$F$5:$F$205,1)+1)-INDEX(LE_Curves!$B$5:$B$205,MATCH($B98,LE_Curves!$F$5:$F$205,1)))/(INDEX(LE_Curves!$F$5:$F$205,MATCH($B98,LE_Curves!$F$5:$F$205,1)+1)-INDEX(LE_Curves!$F$5:$F$205,MATCH($B98,LE_Curves!$F$5:$F$205,1))))))</f>
        <v/>
      </c>
      <c r="G98" s="11">
        <f>IF(Inputs!$D$27=0,0,IF($B98&lt;=Inputs!$C$27,0,IF($B98&gt;=INDEX(LE_Curves!$G$5:$G$205,201),INDEX(LE_Curves!$B$5:$B$205,201),INDEX(LE_Curves!$B$5:$B$205,MATCH($B98,LE_Curves!$G$5:$G$205,1))+($B98-INDEX(LE_Curves!$G$5:$G$205,MATCH($B98,LE_Curves!$G$5:$G$205,1)))*(INDEX(LE_Curves!$B$5:$B$205,MATCH($B98,LE_Curves!$G$5:$G$205,1)+1)-INDEX(LE_Curves!$B$5:$B$205,MATCH($B98,LE_Curves!$G$5:$G$205,1)))/(INDEX(LE_Curves!$G$5:$G$205,MATCH($B98,LE_Curves!$G$5:$G$205,1)+1)-INDEX(LE_Curves!$G$5:$G$205,MATCH($B98,LE_Curves!$G$5:$G$205,1))))))</f>
        <v/>
      </c>
      <c r="H98" s="11">
        <f>IF(Inputs!$D$28=0,0,IF($B98&lt;=Inputs!$C$28,0,IF($B98&gt;=INDEX(LE_Curves!$H$5:$H$205,201),INDEX(LE_Curves!$B$5:$B$205,201),INDEX(LE_Curves!$B$5:$B$205,MATCH($B98,LE_Curves!$H$5:$H$205,1))+($B98-INDEX(LE_Curves!$H$5:$H$205,MATCH($B98,LE_Curves!$H$5:$H$205,1)))*(INDEX(LE_Curves!$B$5:$B$205,MATCH($B98,LE_Curves!$H$5:$H$205,1)+1)-INDEX(LE_Curves!$B$5:$B$205,MATCH($B98,LE_Curves!$H$5:$H$205,1)))/(INDEX(LE_Curves!$H$5:$H$205,MATCH($B98,LE_Curves!$H$5:$H$205,1)+1)-INDEX(LE_Curves!$H$5:$H$205,MATCH($B98,LE_Curves!$H$5:$H$205,1))))))</f>
        <v/>
      </c>
      <c r="I98" s="11">
        <f>IF(Inputs!$D$29=0,0,IF($B98&lt;=Inputs!$C$29,0,IF($B98&gt;=INDEX(LE_Curves!$I$5:$I$205,201),INDEX(LE_Curves!$B$5:$B$205,201),INDEX(LE_Curves!$B$5:$B$205,MATCH($B98,LE_Curves!$I$5:$I$205,1))+($B98-INDEX(LE_Curves!$I$5:$I$205,MATCH($B98,LE_Curves!$I$5:$I$205,1)))*(INDEX(LE_Curves!$B$5:$B$205,MATCH($B98,LE_Curves!$I$5:$I$205,1)+1)-INDEX(LE_Curves!$B$5:$B$205,MATCH($B98,LE_Curves!$I$5:$I$205,1)))/(INDEX(LE_Curves!$I$5:$I$205,MATCH($B98,LE_Curves!$I$5:$I$205,1)+1)-INDEX(LE_Curves!$I$5:$I$205,MATCH($B98,LE_Curves!$I$5:$I$205,1))))))</f>
        <v/>
      </c>
      <c r="J98" s="11">
        <f>IF(Inputs!$D$30=0,0,IF($B98&lt;=Inputs!$C$30,0,IF($B98&gt;=INDEX(LE_Curves!$J$5:$J$205,201),INDEX(LE_Curves!$B$5:$B$205,201),INDEX(LE_Curves!$B$5:$B$205,MATCH($B98,LE_Curves!$J$5:$J$205,1))+($B98-INDEX(LE_Curves!$J$5:$J$205,MATCH($B98,LE_Curves!$J$5:$J$205,1)))*(INDEX(LE_Curves!$B$5:$B$205,MATCH($B98,LE_Curves!$J$5:$J$205,1)+1)-INDEX(LE_Curves!$B$5:$B$205,MATCH($B98,LE_Curves!$J$5:$J$205,1)))/(INDEX(LE_Curves!$J$5:$J$205,MATCH($B98,LE_Curves!$J$5:$J$205,1)+1)-INDEX(LE_Curves!$J$5:$J$205,MATCH($B98,LE_Curves!$J$5:$J$205,1))))))</f>
        <v/>
      </c>
      <c r="K98" s="11">
        <f>IF(Inputs!$D$31=0,0,IF($B98&lt;=Inputs!$C$31,0,IF($B98&gt;=INDEX(LE_Curves!$K$5:$K$205,201),INDEX(LE_Curves!$B$5:$B$205,201),INDEX(LE_Curves!$B$5:$B$205,MATCH($B98,LE_Curves!$K$5:$K$205,1))+($B98-INDEX(LE_Curves!$K$5:$K$205,MATCH($B98,LE_Curves!$K$5:$K$205,1)))*(INDEX(LE_Curves!$B$5:$B$205,MATCH($B98,LE_Curves!$K$5:$K$205,1)+1)-INDEX(LE_Curves!$B$5:$B$205,MATCH($B98,LE_Curves!$K$5:$K$205,1)))/(INDEX(LE_Curves!$K$5:$K$205,MATCH($B98,LE_Curves!$K$5:$K$205,1)+1)-INDEX(LE_Curves!$K$5:$K$205,MATCH($B98,LE_Curves!$K$5:$K$205,1))))))</f>
        <v/>
      </c>
      <c r="L98" s="11">
        <f>IF(Inputs!$D$32=0,0,IF($B98&lt;=Inputs!$C$32,0,IF($B98&gt;=INDEX(LE_Curves!$L$5:$L$205,201),INDEX(LE_Curves!$B$5:$B$205,201),INDEX(LE_Curves!$B$5:$B$205,MATCH($B98,LE_Curves!$L$5:$L$205,1))+($B98-INDEX(LE_Curves!$L$5:$L$205,MATCH($B98,LE_Curves!$L$5:$L$205,1)))*(INDEX(LE_Curves!$B$5:$B$205,MATCH($B98,LE_Curves!$L$5:$L$205,1)+1)-INDEX(LE_Curves!$B$5:$B$205,MATCH($B98,LE_Curves!$L$5:$L$205,1)))/(INDEX(LE_Curves!$L$5:$L$205,MATCH($B98,LE_Curves!$L$5:$L$205,1)+1)-INDEX(LE_Curves!$L$5:$L$205,MATCH($B98,LE_Curves!$L$5:$L$205,1))))))</f>
        <v/>
      </c>
      <c r="M98" s="11">
        <f>IF(Inputs!$D$33=0,0,IF($B98&lt;=Inputs!$C$33,0,IF($B98&gt;=INDEX(LE_Curves!$M$5:$M$205,201),INDEX(LE_Curves!$B$5:$B$205,201),INDEX(LE_Curves!$B$5:$B$205,MATCH($B98,LE_Curves!$M$5:$M$205,1))+($B98-INDEX(LE_Curves!$M$5:$M$205,MATCH($B98,LE_Curves!$M$5:$M$205,1)))*(INDEX(LE_Curves!$B$5:$B$205,MATCH($B98,LE_Curves!$M$5:$M$205,1)+1)-INDEX(LE_Curves!$B$5:$B$205,MATCH($B98,LE_Curves!$M$5:$M$205,1)))/(INDEX(LE_Curves!$M$5:$M$205,MATCH($B98,LE_Curves!$M$5:$M$205,1)+1)-INDEX(LE_Curves!$M$5:$M$205,MATCH($B98,LE_Curves!$M$5:$M$205,1))))))</f>
        <v/>
      </c>
      <c r="N98" s="11">
        <f>IF(Inputs!$D$34=0,0,IF($B98&lt;=Inputs!$C$34,0,IF($B98&gt;=INDEX(LE_Curves!$N$5:$N$205,201),INDEX(LE_Curves!$B$5:$B$205,201),INDEX(LE_Curves!$B$5:$B$205,MATCH($B98,LE_Curves!$N$5:$N$205,1))+($B98-INDEX(LE_Curves!$N$5:$N$205,MATCH($B98,LE_Curves!$N$5:$N$205,1)))*(INDEX(LE_Curves!$B$5:$B$205,MATCH($B98,LE_Curves!$N$5:$N$205,1)+1)-INDEX(LE_Curves!$B$5:$B$205,MATCH($B98,LE_Curves!$N$5:$N$205,1)))/(INDEX(LE_Curves!$N$5:$N$205,MATCH($B98,LE_Curves!$N$5:$N$205,1)+1)-INDEX(LE_Curves!$N$5:$N$205,MATCH($B98,LE_Curves!$N$5:$N$205,1))))))</f>
        <v/>
      </c>
      <c r="O98" s="11">
        <f>SUM(C98:N98)</f>
        <v/>
      </c>
      <c r="Q98" s="7" t="n">
        <v>67</v>
      </c>
      <c r="R98" s="23">
        <f>$B$6+($B$7-$B$6)*Q98/200</f>
        <v/>
      </c>
      <c r="S98" s="11">
        <f>IF(Inputs!$D$23=0,0,IF($R98&lt;=Inputs!$C$23,0,IF($R98&gt;=INDEX(LE_Curves!$C$5:$C$205,201),INDEX(LE_Curves!$B$5:$B$205,201),INDEX(LE_Curves!$B$5:$B$205,MATCH($R98,LE_Curves!$C$5:$C$205,1))+($R98-INDEX(LE_Curves!$C$5:$C$205,MATCH($R98,LE_Curves!$C$5:$C$205,1)))*(INDEX(LE_Curves!$B$5:$B$205,MATCH($R98,LE_Curves!$C$5:$C$205,1)+1)-INDEX(LE_Curves!$B$5:$B$205,MATCH($R98,LE_Curves!$C$5:$C$205,1)))/(INDEX(LE_Curves!$C$5:$C$205,MATCH($R98,LE_Curves!$C$5:$C$205,1)+1)-INDEX(LE_Curves!$C$5:$C$205,MATCH($R98,LE_Curves!$C$5:$C$205,1))))))</f>
        <v/>
      </c>
      <c r="T98" s="11">
        <f>IF(Inputs!$D$24=0,0,IF($R98&lt;=Inputs!$C$24,0,IF($R98&gt;=INDEX(LE_Curves!$D$5:$D$205,201),INDEX(LE_Curves!$B$5:$B$205,201),INDEX(LE_Curves!$B$5:$B$205,MATCH($R98,LE_Curves!$D$5:$D$205,1))+($R98-INDEX(LE_Curves!$D$5:$D$205,MATCH($R98,LE_Curves!$D$5:$D$205,1)))*(INDEX(LE_Curves!$B$5:$B$205,MATCH($R98,LE_Curves!$D$5:$D$205,1)+1)-INDEX(LE_Curves!$B$5:$B$205,MATCH($R98,LE_Curves!$D$5:$D$205,1)))/(INDEX(LE_Curves!$D$5:$D$205,MATCH($R98,LE_Curves!$D$5:$D$205,1)+1)-INDEX(LE_Curves!$D$5:$D$205,MATCH($R98,LE_Curves!$D$5:$D$205,1))))))</f>
        <v/>
      </c>
      <c r="U98" s="11">
        <f>IF(Inputs!$D$25=0,0,IF($R98&lt;=Inputs!$C$25,0,IF($R98&gt;=INDEX(LE_Curves!$E$5:$E$205,201),INDEX(LE_Curves!$B$5:$B$205,201),INDEX(LE_Curves!$B$5:$B$205,MATCH($R98,LE_Curves!$E$5:$E$205,1))+($R98-INDEX(LE_Curves!$E$5:$E$205,MATCH($R98,LE_Curves!$E$5:$E$205,1)))*(INDEX(LE_Curves!$B$5:$B$205,MATCH($R98,LE_Curves!$E$5:$E$205,1)+1)-INDEX(LE_Curves!$B$5:$B$205,MATCH($R98,LE_Curves!$E$5:$E$205,1)))/(INDEX(LE_Curves!$E$5:$E$205,MATCH($R98,LE_Curves!$E$5:$E$205,1)+1)-INDEX(LE_Curves!$E$5:$E$205,MATCH($R98,LE_Curves!$E$5:$E$205,1))))))</f>
        <v/>
      </c>
      <c r="V98" s="11">
        <f>IF(Inputs!$D$26=0,0,IF($R98&lt;=Inputs!$C$26,0,IF($R98&gt;=INDEX(LE_Curves!$F$5:$F$205,201),INDEX(LE_Curves!$B$5:$B$205,201),INDEX(LE_Curves!$B$5:$B$205,MATCH($R98,LE_Curves!$F$5:$F$205,1))+($R98-INDEX(LE_Curves!$F$5:$F$205,MATCH($R98,LE_Curves!$F$5:$F$205,1)))*(INDEX(LE_Curves!$B$5:$B$205,MATCH($R98,LE_Curves!$F$5:$F$205,1)+1)-INDEX(LE_Curves!$B$5:$B$205,MATCH($R98,LE_Curves!$F$5:$F$205,1)))/(INDEX(LE_Curves!$F$5:$F$205,MATCH($R98,LE_Curves!$F$5:$F$205,1)+1)-INDEX(LE_Curves!$F$5:$F$205,MATCH($R98,LE_Curves!$F$5:$F$205,1))))))</f>
        <v/>
      </c>
      <c r="W98" s="11">
        <f>IF(Inputs!$D$27=0,0,IF($R98&lt;=Inputs!$C$27,0,IF($R98&gt;=INDEX(LE_Curves!$G$5:$G$205,201),INDEX(LE_Curves!$B$5:$B$205,201),INDEX(LE_Curves!$B$5:$B$205,MATCH($R98,LE_Curves!$G$5:$G$205,1))+($R98-INDEX(LE_Curves!$G$5:$G$205,MATCH($R98,LE_Curves!$G$5:$G$205,1)))*(INDEX(LE_Curves!$B$5:$B$205,MATCH($R98,LE_Curves!$G$5:$G$205,1)+1)-INDEX(LE_Curves!$B$5:$B$205,MATCH($R98,LE_Curves!$G$5:$G$205,1)))/(INDEX(LE_Curves!$G$5:$G$205,MATCH($R98,LE_Curves!$G$5:$G$205,1)+1)-INDEX(LE_Curves!$G$5:$G$205,MATCH($R98,LE_Curves!$G$5:$G$205,1))))))</f>
        <v/>
      </c>
      <c r="X98" s="11">
        <f>IF(Inputs!$D$28=0,0,IF($R98&lt;=Inputs!$C$28,0,IF($R98&gt;=INDEX(LE_Curves!$H$5:$H$205,201),INDEX(LE_Curves!$B$5:$B$205,201),INDEX(LE_Curves!$B$5:$B$205,MATCH($R98,LE_Curves!$H$5:$H$205,1))+($R98-INDEX(LE_Curves!$H$5:$H$205,MATCH($R98,LE_Curves!$H$5:$H$205,1)))*(INDEX(LE_Curves!$B$5:$B$205,MATCH($R98,LE_Curves!$H$5:$H$205,1)+1)-INDEX(LE_Curves!$B$5:$B$205,MATCH($R98,LE_Curves!$H$5:$H$205,1)))/(INDEX(LE_Curves!$H$5:$H$205,MATCH($R98,LE_Curves!$H$5:$H$205,1)+1)-INDEX(LE_Curves!$H$5:$H$205,MATCH($R98,LE_Curves!$H$5:$H$205,1))))))</f>
        <v/>
      </c>
      <c r="Y98" s="11">
        <f>IF(Inputs!$D$29=0,0,IF($R98&lt;=Inputs!$C$29,0,IF($R98&gt;=INDEX(LE_Curves!$I$5:$I$205,201),INDEX(LE_Curves!$B$5:$B$205,201),INDEX(LE_Curves!$B$5:$B$205,MATCH($R98,LE_Curves!$I$5:$I$205,1))+($R98-INDEX(LE_Curves!$I$5:$I$205,MATCH($R98,LE_Curves!$I$5:$I$205,1)))*(INDEX(LE_Curves!$B$5:$B$205,MATCH($R98,LE_Curves!$I$5:$I$205,1)+1)-INDEX(LE_Curves!$B$5:$B$205,MATCH($R98,LE_Curves!$I$5:$I$205,1)))/(INDEX(LE_Curves!$I$5:$I$205,MATCH($R98,LE_Curves!$I$5:$I$205,1)+1)-INDEX(LE_Curves!$I$5:$I$205,MATCH($R98,LE_Curves!$I$5:$I$205,1))))))</f>
        <v/>
      </c>
      <c r="Z98" s="11">
        <f>IF(Inputs!$D$30=0,0,IF($R98&lt;=Inputs!$C$30,0,IF($R98&gt;=INDEX(LE_Curves!$J$5:$J$205,201),INDEX(LE_Curves!$B$5:$B$205,201),INDEX(LE_Curves!$B$5:$B$205,MATCH($R98,LE_Curves!$J$5:$J$205,1))+($R98-INDEX(LE_Curves!$J$5:$J$205,MATCH($R98,LE_Curves!$J$5:$J$205,1)))*(INDEX(LE_Curves!$B$5:$B$205,MATCH($R98,LE_Curves!$J$5:$J$205,1)+1)-INDEX(LE_Curves!$B$5:$B$205,MATCH($R98,LE_Curves!$J$5:$J$205,1)))/(INDEX(LE_Curves!$J$5:$J$205,MATCH($R98,LE_Curves!$J$5:$J$205,1)+1)-INDEX(LE_Curves!$J$5:$J$205,MATCH($R98,LE_Curves!$J$5:$J$205,1))))))</f>
        <v/>
      </c>
      <c r="AA98" s="11">
        <f>IF(Inputs!$D$31=0,0,IF($R98&lt;=Inputs!$C$31,0,IF($R98&gt;=INDEX(LE_Curves!$K$5:$K$205,201),INDEX(LE_Curves!$B$5:$B$205,201),INDEX(LE_Curves!$B$5:$B$205,MATCH($R98,LE_Curves!$K$5:$K$205,1))+($R98-INDEX(LE_Curves!$K$5:$K$205,MATCH($R98,LE_Curves!$K$5:$K$205,1)))*(INDEX(LE_Curves!$B$5:$B$205,MATCH($R98,LE_Curves!$K$5:$K$205,1)+1)-INDEX(LE_Curves!$B$5:$B$205,MATCH($R98,LE_Curves!$K$5:$K$205,1)))/(INDEX(LE_Curves!$K$5:$K$205,MATCH($R98,LE_Curves!$K$5:$K$205,1)+1)-INDEX(LE_Curves!$K$5:$K$205,MATCH($R98,LE_Curves!$K$5:$K$205,1))))))</f>
        <v/>
      </c>
      <c r="AB98" s="11">
        <f>IF(Inputs!$D$32=0,0,IF($R98&lt;=Inputs!$C$32,0,IF($R98&gt;=INDEX(LE_Curves!$L$5:$L$205,201),INDEX(LE_Curves!$B$5:$B$205,201),INDEX(LE_Curves!$B$5:$B$205,MATCH($R98,LE_Curves!$L$5:$L$205,1))+($R98-INDEX(LE_Curves!$L$5:$L$205,MATCH($R98,LE_Curves!$L$5:$L$205,1)))*(INDEX(LE_Curves!$B$5:$B$205,MATCH($R98,LE_Curves!$L$5:$L$205,1)+1)-INDEX(LE_Curves!$B$5:$B$205,MATCH($R98,LE_Curves!$L$5:$L$205,1)))/(INDEX(LE_Curves!$L$5:$L$205,MATCH($R98,LE_Curves!$L$5:$L$205,1)+1)-INDEX(LE_Curves!$L$5:$L$205,MATCH($R98,LE_Curves!$L$5:$L$205,1))))))</f>
        <v/>
      </c>
      <c r="AC98" s="11">
        <f>IF(Inputs!$D$33=0,0,IF($R98&lt;=Inputs!$C$33,0,IF($R98&gt;=INDEX(LE_Curves!$M$5:$M$205,201),INDEX(LE_Curves!$B$5:$B$205,201),INDEX(LE_Curves!$B$5:$B$205,MATCH($R98,LE_Curves!$M$5:$M$205,1))+($R98-INDEX(LE_Curves!$M$5:$M$205,MATCH($R98,LE_Curves!$M$5:$M$205,1)))*(INDEX(LE_Curves!$B$5:$B$205,MATCH($R98,LE_Curves!$M$5:$M$205,1)+1)-INDEX(LE_Curves!$B$5:$B$205,MATCH($R98,LE_Curves!$M$5:$M$205,1)))/(INDEX(LE_Curves!$M$5:$M$205,MATCH($R98,LE_Curves!$M$5:$M$205,1)+1)-INDEX(LE_Curves!$M$5:$M$205,MATCH($R98,LE_Curves!$M$5:$M$205,1))))))</f>
        <v/>
      </c>
      <c r="AD98" s="11">
        <f>IF(Inputs!$D$34=0,0,IF($R98&lt;=Inputs!$C$34,0,IF($R98&gt;=INDEX(LE_Curves!$N$5:$N$205,201),INDEX(LE_Curves!$B$5:$B$205,201),INDEX(LE_Curves!$B$5:$B$205,MATCH($R98,LE_Curves!$N$5:$N$205,1))+($R98-INDEX(LE_Curves!$N$5:$N$205,MATCH($R98,LE_Curves!$N$5:$N$205,1)))*(INDEX(LE_Curves!$B$5:$B$205,MATCH($R98,LE_Curves!$N$5:$N$205,1)+1)-INDEX(LE_Curves!$B$5:$B$205,MATCH($R98,LE_Curves!$N$5:$N$205,1)))/(INDEX(LE_Curves!$N$5:$N$205,MATCH($R98,LE_Curves!$N$5:$N$205,1)+1)-INDEX(LE_Curves!$N$5:$N$205,MATCH($R98,LE_Curves!$N$5:$N$205,1))))))</f>
        <v/>
      </c>
      <c r="AE98" s="37">
        <f>SUM(S98:AD98)</f>
        <v/>
      </c>
    </row>
    <row r="99">
      <c r="A99" s="7" t="n">
        <v>68</v>
      </c>
      <c r="B99" s="37">
        <f>$B$3+($B$4-$B$3)*A99/200</f>
        <v/>
      </c>
      <c r="C99" s="11">
        <f>IF(Inputs!$D$23=0,0,IF($B99&lt;=Inputs!$C$23,0,IF($B99&gt;=INDEX(LE_Curves!$C$5:$C$205,201),INDEX(LE_Curves!$B$5:$B$205,201),INDEX(LE_Curves!$B$5:$B$205,MATCH($B99,LE_Curves!$C$5:$C$205,1))+($B99-INDEX(LE_Curves!$C$5:$C$205,MATCH($B99,LE_Curves!$C$5:$C$205,1)))*(INDEX(LE_Curves!$B$5:$B$205,MATCH($B99,LE_Curves!$C$5:$C$205,1)+1)-INDEX(LE_Curves!$B$5:$B$205,MATCH($B99,LE_Curves!$C$5:$C$205,1)))/(INDEX(LE_Curves!$C$5:$C$205,MATCH($B99,LE_Curves!$C$5:$C$205,1)+1)-INDEX(LE_Curves!$C$5:$C$205,MATCH($B99,LE_Curves!$C$5:$C$205,1))))))</f>
        <v/>
      </c>
      <c r="D99" s="11">
        <f>IF(Inputs!$D$24=0,0,IF($B99&lt;=Inputs!$C$24,0,IF($B99&gt;=INDEX(LE_Curves!$D$5:$D$205,201),INDEX(LE_Curves!$B$5:$B$205,201),INDEX(LE_Curves!$B$5:$B$205,MATCH($B99,LE_Curves!$D$5:$D$205,1))+($B99-INDEX(LE_Curves!$D$5:$D$205,MATCH($B99,LE_Curves!$D$5:$D$205,1)))*(INDEX(LE_Curves!$B$5:$B$205,MATCH($B99,LE_Curves!$D$5:$D$205,1)+1)-INDEX(LE_Curves!$B$5:$B$205,MATCH($B99,LE_Curves!$D$5:$D$205,1)))/(INDEX(LE_Curves!$D$5:$D$205,MATCH($B99,LE_Curves!$D$5:$D$205,1)+1)-INDEX(LE_Curves!$D$5:$D$205,MATCH($B99,LE_Curves!$D$5:$D$205,1))))))</f>
        <v/>
      </c>
      <c r="E99" s="11">
        <f>IF(Inputs!$D$25=0,0,IF($B99&lt;=Inputs!$C$25,0,IF($B99&gt;=INDEX(LE_Curves!$E$5:$E$205,201),INDEX(LE_Curves!$B$5:$B$205,201),INDEX(LE_Curves!$B$5:$B$205,MATCH($B99,LE_Curves!$E$5:$E$205,1))+($B99-INDEX(LE_Curves!$E$5:$E$205,MATCH($B99,LE_Curves!$E$5:$E$205,1)))*(INDEX(LE_Curves!$B$5:$B$205,MATCH($B99,LE_Curves!$E$5:$E$205,1)+1)-INDEX(LE_Curves!$B$5:$B$205,MATCH($B99,LE_Curves!$E$5:$E$205,1)))/(INDEX(LE_Curves!$E$5:$E$205,MATCH($B99,LE_Curves!$E$5:$E$205,1)+1)-INDEX(LE_Curves!$E$5:$E$205,MATCH($B99,LE_Curves!$E$5:$E$205,1))))))</f>
        <v/>
      </c>
      <c r="F99" s="11">
        <f>IF(Inputs!$D$26=0,0,IF($B99&lt;=Inputs!$C$26,0,IF($B99&gt;=INDEX(LE_Curves!$F$5:$F$205,201),INDEX(LE_Curves!$B$5:$B$205,201),INDEX(LE_Curves!$B$5:$B$205,MATCH($B99,LE_Curves!$F$5:$F$205,1))+($B99-INDEX(LE_Curves!$F$5:$F$205,MATCH($B99,LE_Curves!$F$5:$F$205,1)))*(INDEX(LE_Curves!$B$5:$B$205,MATCH($B99,LE_Curves!$F$5:$F$205,1)+1)-INDEX(LE_Curves!$B$5:$B$205,MATCH($B99,LE_Curves!$F$5:$F$205,1)))/(INDEX(LE_Curves!$F$5:$F$205,MATCH($B99,LE_Curves!$F$5:$F$205,1)+1)-INDEX(LE_Curves!$F$5:$F$205,MATCH($B99,LE_Curves!$F$5:$F$205,1))))))</f>
        <v/>
      </c>
      <c r="G99" s="11">
        <f>IF(Inputs!$D$27=0,0,IF($B99&lt;=Inputs!$C$27,0,IF($B99&gt;=INDEX(LE_Curves!$G$5:$G$205,201),INDEX(LE_Curves!$B$5:$B$205,201),INDEX(LE_Curves!$B$5:$B$205,MATCH($B99,LE_Curves!$G$5:$G$205,1))+($B99-INDEX(LE_Curves!$G$5:$G$205,MATCH($B99,LE_Curves!$G$5:$G$205,1)))*(INDEX(LE_Curves!$B$5:$B$205,MATCH($B99,LE_Curves!$G$5:$G$205,1)+1)-INDEX(LE_Curves!$B$5:$B$205,MATCH($B99,LE_Curves!$G$5:$G$205,1)))/(INDEX(LE_Curves!$G$5:$G$205,MATCH($B99,LE_Curves!$G$5:$G$205,1)+1)-INDEX(LE_Curves!$G$5:$G$205,MATCH($B99,LE_Curves!$G$5:$G$205,1))))))</f>
        <v/>
      </c>
      <c r="H99" s="11">
        <f>IF(Inputs!$D$28=0,0,IF($B99&lt;=Inputs!$C$28,0,IF($B99&gt;=INDEX(LE_Curves!$H$5:$H$205,201),INDEX(LE_Curves!$B$5:$B$205,201),INDEX(LE_Curves!$B$5:$B$205,MATCH($B99,LE_Curves!$H$5:$H$205,1))+($B99-INDEX(LE_Curves!$H$5:$H$205,MATCH($B99,LE_Curves!$H$5:$H$205,1)))*(INDEX(LE_Curves!$B$5:$B$205,MATCH($B99,LE_Curves!$H$5:$H$205,1)+1)-INDEX(LE_Curves!$B$5:$B$205,MATCH($B99,LE_Curves!$H$5:$H$205,1)))/(INDEX(LE_Curves!$H$5:$H$205,MATCH($B99,LE_Curves!$H$5:$H$205,1)+1)-INDEX(LE_Curves!$H$5:$H$205,MATCH($B99,LE_Curves!$H$5:$H$205,1))))))</f>
        <v/>
      </c>
      <c r="I99" s="11">
        <f>IF(Inputs!$D$29=0,0,IF($B99&lt;=Inputs!$C$29,0,IF($B99&gt;=INDEX(LE_Curves!$I$5:$I$205,201),INDEX(LE_Curves!$B$5:$B$205,201),INDEX(LE_Curves!$B$5:$B$205,MATCH($B99,LE_Curves!$I$5:$I$205,1))+($B99-INDEX(LE_Curves!$I$5:$I$205,MATCH($B99,LE_Curves!$I$5:$I$205,1)))*(INDEX(LE_Curves!$B$5:$B$205,MATCH($B99,LE_Curves!$I$5:$I$205,1)+1)-INDEX(LE_Curves!$B$5:$B$205,MATCH($B99,LE_Curves!$I$5:$I$205,1)))/(INDEX(LE_Curves!$I$5:$I$205,MATCH($B99,LE_Curves!$I$5:$I$205,1)+1)-INDEX(LE_Curves!$I$5:$I$205,MATCH($B99,LE_Curves!$I$5:$I$205,1))))))</f>
        <v/>
      </c>
      <c r="J99" s="11">
        <f>IF(Inputs!$D$30=0,0,IF($B99&lt;=Inputs!$C$30,0,IF($B99&gt;=INDEX(LE_Curves!$J$5:$J$205,201),INDEX(LE_Curves!$B$5:$B$205,201),INDEX(LE_Curves!$B$5:$B$205,MATCH($B99,LE_Curves!$J$5:$J$205,1))+($B99-INDEX(LE_Curves!$J$5:$J$205,MATCH($B99,LE_Curves!$J$5:$J$205,1)))*(INDEX(LE_Curves!$B$5:$B$205,MATCH($B99,LE_Curves!$J$5:$J$205,1)+1)-INDEX(LE_Curves!$B$5:$B$205,MATCH($B99,LE_Curves!$J$5:$J$205,1)))/(INDEX(LE_Curves!$J$5:$J$205,MATCH($B99,LE_Curves!$J$5:$J$205,1)+1)-INDEX(LE_Curves!$J$5:$J$205,MATCH($B99,LE_Curves!$J$5:$J$205,1))))))</f>
        <v/>
      </c>
      <c r="K99" s="11">
        <f>IF(Inputs!$D$31=0,0,IF($B99&lt;=Inputs!$C$31,0,IF($B99&gt;=INDEX(LE_Curves!$K$5:$K$205,201),INDEX(LE_Curves!$B$5:$B$205,201),INDEX(LE_Curves!$B$5:$B$205,MATCH($B99,LE_Curves!$K$5:$K$205,1))+($B99-INDEX(LE_Curves!$K$5:$K$205,MATCH($B99,LE_Curves!$K$5:$K$205,1)))*(INDEX(LE_Curves!$B$5:$B$205,MATCH($B99,LE_Curves!$K$5:$K$205,1)+1)-INDEX(LE_Curves!$B$5:$B$205,MATCH($B99,LE_Curves!$K$5:$K$205,1)))/(INDEX(LE_Curves!$K$5:$K$205,MATCH($B99,LE_Curves!$K$5:$K$205,1)+1)-INDEX(LE_Curves!$K$5:$K$205,MATCH($B99,LE_Curves!$K$5:$K$205,1))))))</f>
        <v/>
      </c>
      <c r="L99" s="11">
        <f>IF(Inputs!$D$32=0,0,IF($B99&lt;=Inputs!$C$32,0,IF($B99&gt;=INDEX(LE_Curves!$L$5:$L$205,201),INDEX(LE_Curves!$B$5:$B$205,201),INDEX(LE_Curves!$B$5:$B$205,MATCH($B99,LE_Curves!$L$5:$L$205,1))+($B99-INDEX(LE_Curves!$L$5:$L$205,MATCH($B99,LE_Curves!$L$5:$L$205,1)))*(INDEX(LE_Curves!$B$5:$B$205,MATCH($B99,LE_Curves!$L$5:$L$205,1)+1)-INDEX(LE_Curves!$B$5:$B$205,MATCH($B99,LE_Curves!$L$5:$L$205,1)))/(INDEX(LE_Curves!$L$5:$L$205,MATCH($B99,LE_Curves!$L$5:$L$205,1)+1)-INDEX(LE_Curves!$L$5:$L$205,MATCH($B99,LE_Curves!$L$5:$L$205,1))))))</f>
        <v/>
      </c>
      <c r="M99" s="11">
        <f>IF(Inputs!$D$33=0,0,IF($B99&lt;=Inputs!$C$33,0,IF($B99&gt;=INDEX(LE_Curves!$M$5:$M$205,201),INDEX(LE_Curves!$B$5:$B$205,201),INDEX(LE_Curves!$B$5:$B$205,MATCH($B99,LE_Curves!$M$5:$M$205,1))+($B99-INDEX(LE_Curves!$M$5:$M$205,MATCH($B99,LE_Curves!$M$5:$M$205,1)))*(INDEX(LE_Curves!$B$5:$B$205,MATCH($B99,LE_Curves!$M$5:$M$205,1)+1)-INDEX(LE_Curves!$B$5:$B$205,MATCH($B99,LE_Curves!$M$5:$M$205,1)))/(INDEX(LE_Curves!$M$5:$M$205,MATCH($B99,LE_Curves!$M$5:$M$205,1)+1)-INDEX(LE_Curves!$M$5:$M$205,MATCH($B99,LE_Curves!$M$5:$M$205,1))))))</f>
        <v/>
      </c>
      <c r="N99" s="11">
        <f>IF(Inputs!$D$34=0,0,IF($B99&lt;=Inputs!$C$34,0,IF($B99&gt;=INDEX(LE_Curves!$N$5:$N$205,201),INDEX(LE_Curves!$B$5:$B$205,201),INDEX(LE_Curves!$B$5:$B$205,MATCH($B99,LE_Curves!$N$5:$N$205,1))+($B99-INDEX(LE_Curves!$N$5:$N$205,MATCH($B99,LE_Curves!$N$5:$N$205,1)))*(INDEX(LE_Curves!$B$5:$B$205,MATCH($B99,LE_Curves!$N$5:$N$205,1)+1)-INDEX(LE_Curves!$B$5:$B$205,MATCH($B99,LE_Curves!$N$5:$N$205,1)))/(INDEX(LE_Curves!$N$5:$N$205,MATCH($B99,LE_Curves!$N$5:$N$205,1)+1)-INDEX(LE_Curves!$N$5:$N$205,MATCH($B99,LE_Curves!$N$5:$N$205,1))))))</f>
        <v/>
      </c>
      <c r="O99" s="11">
        <f>SUM(C99:N99)</f>
        <v/>
      </c>
      <c r="Q99" s="7" t="n">
        <v>68</v>
      </c>
      <c r="R99" s="23">
        <f>$B$6+($B$7-$B$6)*Q99/200</f>
        <v/>
      </c>
      <c r="S99" s="11">
        <f>IF(Inputs!$D$23=0,0,IF($R99&lt;=Inputs!$C$23,0,IF($R99&gt;=INDEX(LE_Curves!$C$5:$C$205,201),INDEX(LE_Curves!$B$5:$B$205,201),INDEX(LE_Curves!$B$5:$B$205,MATCH($R99,LE_Curves!$C$5:$C$205,1))+($R99-INDEX(LE_Curves!$C$5:$C$205,MATCH($R99,LE_Curves!$C$5:$C$205,1)))*(INDEX(LE_Curves!$B$5:$B$205,MATCH($R99,LE_Curves!$C$5:$C$205,1)+1)-INDEX(LE_Curves!$B$5:$B$205,MATCH($R99,LE_Curves!$C$5:$C$205,1)))/(INDEX(LE_Curves!$C$5:$C$205,MATCH($R99,LE_Curves!$C$5:$C$205,1)+1)-INDEX(LE_Curves!$C$5:$C$205,MATCH($R99,LE_Curves!$C$5:$C$205,1))))))</f>
        <v/>
      </c>
      <c r="T99" s="11">
        <f>IF(Inputs!$D$24=0,0,IF($R99&lt;=Inputs!$C$24,0,IF($R99&gt;=INDEX(LE_Curves!$D$5:$D$205,201),INDEX(LE_Curves!$B$5:$B$205,201),INDEX(LE_Curves!$B$5:$B$205,MATCH($R99,LE_Curves!$D$5:$D$205,1))+($R99-INDEX(LE_Curves!$D$5:$D$205,MATCH($R99,LE_Curves!$D$5:$D$205,1)))*(INDEX(LE_Curves!$B$5:$B$205,MATCH($R99,LE_Curves!$D$5:$D$205,1)+1)-INDEX(LE_Curves!$B$5:$B$205,MATCH($R99,LE_Curves!$D$5:$D$205,1)))/(INDEX(LE_Curves!$D$5:$D$205,MATCH($R99,LE_Curves!$D$5:$D$205,1)+1)-INDEX(LE_Curves!$D$5:$D$205,MATCH($R99,LE_Curves!$D$5:$D$205,1))))))</f>
        <v/>
      </c>
      <c r="U99" s="11">
        <f>IF(Inputs!$D$25=0,0,IF($R99&lt;=Inputs!$C$25,0,IF($R99&gt;=INDEX(LE_Curves!$E$5:$E$205,201),INDEX(LE_Curves!$B$5:$B$205,201),INDEX(LE_Curves!$B$5:$B$205,MATCH($R99,LE_Curves!$E$5:$E$205,1))+($R99-INDEX(LE_Curves!$E$5:$E$205,MATCH($R99,LE_Curves!$E$5:$E$205,1)))*(INDEX(LE_Curves!$B$5:$B$205,MATCH($R99,LE_Curves!$E$5:$E$205,1)+1)-INDEX(LE_Curves!$B$5:$B$205,MATCH($R99,LE_Curves!$E$5:$E$205,1)))/(INDEX(LE_Curves!$E$5:$E$205,MATCH($R99,LE_Curves!$E$5:$E$205,1)+1)-INDEX(LE_Curves!$E$5:$E$205,MATCH($R99,LE_Curves!$E$5:$E$205,1))))))</f>
        <v/>
      </c>
      <c r="V99" s="11">
        <f>IF(Inputs!$D$26=0,0,IF($R99&lt;=Inputs!$C$26,0,IF($R99&gt;=INDEX(LE_Curves!$F$5:$F$205,201),INDEX(LE_Curves!$B$5:$B$205,201),INDEX(LE_Curves!$B$5:$B$205,MATCH($R99,LE_Curves!$F$5:$F$205,1))+($R99-INDEX(LE_Curves!$F$5:$F$205,MATCH($R99,LE_Curves!$F$5:$F$205,1)))*(INDEX(LE_Curves!$B$5:$B$205,MATCH($R99,LE_Curves!$F$5:$F$205,1)+1)-INDEX(LE_Curves!$B$5:$B$205,MATCH($R99,LE_Curves!$F$5:$F$205,1)))/(INDEX(LE_Curves!$F$5:$F$205,MATCH($R99,LE_Curves!$F$5:$F$205,1)+1)-INDEX(LE_Curves!$F$5:$F$205,MATCH($R99,LE_Curves!$F$5:$F$205,1))))))</f>
        <v/>
      </c>
      <c r="W99" s="11">
        <f>IF(Inputs!$D$27=0,0,IF($R99&lt;=Inputs!$C$27,0,IF($R99&gt;=INDEX(LE_Curves!$G$5:$G$205,201),INDEX(LE_Curves!$B$5:$B$205,201),INDEX(LE_Curves!$B$5:$B$205,MATCH($R99,LE_Curves!$G$5:$G$205,1))+($R99-INDEX(LE_Curves!$G$5:$G$205,MATCH($R99,LE_Curves!$G$5:$G$205,1)))*(INDEX(LE_Curves!$B$5:$B$205,MATCH($R99,LE_Curves!$G$5:$G$205,1)+1)-INDEX(LE_Curves!$B$5:$B$205,MATCH($R99,LE_Curves!$G$5:$G$205,1)))/(INDEX(LE_Curves!$G$5:$G$205,MATCH($R99,LE_Curves!$G$5:$G$205,1)+1)-INDEX(LE_Curves!$G$5:$G$205,MATCH($R99,LE_Curves!$G$5:$G$205,1))))))</f>
        <v/>
      </c>
      <c r="X99" s="11">
        <f>IF(Inputs!$D$28=0,0,IF($R99&lt;=Inputs!$C$28,0,IF($R99&gt;=INDEX(LE_Curves!$H$5:$H$205,201),INDEX(LE_Curves!$B$5:$B$205,201),INDEX(LE_Curves!$B$5:$B$205,MATCH($R99,LE_Curves!$H$5:$H$205,1))+($R99-INDEX(LE_Curves!$H$5:$H$205,MATCH($R99,LE_Curves!$H$5:$H$205,1)))*(INDEX(LE_Curves!$B$5:$B$205,MATCH($R99,LE_Curves!$H$5:$H$205,1)+1)-INDEX(LE_Curves!$B$5:$B$205,MATCH($R99,LE_Curves!$H$5:$H$205,1)))/(INDEX(LE_Curves!$H$5:$H$205,MATCH($R99,LE_Curves!$H$5:$H$205,1)+1)-INDEX(LE_Curves!$H$5:$H$205,MATCH($R99,LE_Curves!$H$5:$H$205,1))))))</f>
        <v/>
      </c>
      <c r="Y99" s="11">
        <f>IF(Inputs!$D$29=0,0,IF($R99&lt;=Inputs!$C$29,0,IF($R99&gt;=INDEX(LE_Curves!$I$5:$I$205,201),INDEX(LE_Curves!$B$5:$B$205,201),INDEX(LE_Curves!$B$5:$B$205,MATCH($R99,LE_Curves!$I$5:$I$205,1))+($R99-INDEX(LE_Curves!$I$5:$I$205,MATCH($R99,LE_Curves!$I$5:$I$205,1)))*(INDEX(LE_Curves!$B$5:$B$205,MATCH($R99,LE_Curves!$I$5:$I$205,1)+1)-INDEX(LE_Curves!$B$5:$B$205,MATCH($R99,LE_Curves!$I$5:$I$205,1)))/(INDEX(LE_Curves!$I$5:$I$205,MATCH($R99,LE_Curves!$I$5:$I$205,1)+1)-INDEX(LE_Curves!$I$5:$I$205,MATCH($R99,LE_Curves!$I$5:$I$205,1))))))</f>
        <v/>
      </c>
      <c r="Z99" s="11">
        <f>IF(Inputs!$D$30=0,0,IF($R99&lt;=Inputs!$C$30,0,IF($R99&gt;=INDEX(LE_Curves!$J$5:$J$205,201),INDEX(LE_Curves!$B$5:$B$205,201),INDEX(LE_Curves!$B$5:$B$205,MATCH($R99,LE_Curves!$J$5:$J$205,1))+($R99-INDEX(LE_Curves!$J$5:$J$205,MATCH($R99,LE_Curves!$J$5:$J$205,1)))*(INDEX(LE_Curves!$B$5:$B$205,MATCH($R99,LE_Curves!$J$5:$J$205,1)+1)-INDEX(LE_Curves!$B$5:$B$205,MATCH($R99,LE_Curves!$J$5:$J$205,1)))/(INDEX(LE_Curves!$J$5:$J$205,MATCH($R99,LE_Curves!$J$5:$J$205,1)+1)-INDEX(LE_Curves!$J$5:$J$205,MATCH($R99,LE_Curves!$J$5:$J$205,1))))))</f>
        <v/>
      </c>
      <c r="AA99" s="11">
        <f>IF(Inputs!$D$31=0,0,IF($R99&lt;=Inputs!$C$31,0,IF($R99&gt;=INDEX(LE_Curves!$K$5:$K$205,201),INDEX(LE_Curves!$B$5:$B$205,201),INDEX(LE_Curves!$B$5:$B$205,MATCH($R99,LE_Curves!$K$5:$K$205,1))+($R99-INDEX(LE_Curves!$K$5:$K$205,MATCH($R99,LE_Curves!$K$5:$K$205,1)))*(INDEX(LE_Curves!$B$5:$B$205,MATCH($R99,LE_Curves!$K$5:$K$205,1)+1)-INDEX(LE_Curves!$B$5:$B$205,MATCH($R99,LE_Curves!$K$5:$K$205,1)))/(INDEX(LE_Curves!$K$5:$K$205,MATCH($R99,LE_Curves!$K$5:$K$205,1)+1)-INDEX(LE_Curves!$K$5:$K$205,MATCH($R99,LE_Curves!$K$5:$K$205,1))))))</f>
        <v/>
      </c>
      <c r="AB99" s="11">
        <f>IF(Inputs!$D$32=0,0,IF($R99&lt;=Inputs!$C$32,0,IF($R99&gt;=INDEX(LE_Curves!$L$5:$L$205,201),INDEX(LE_Curves!$B$5:$B$205,201),INDEX(LE_Curves!$B$5:$B$205,MATCH($R99,LE_Curves!$L$5:$L$205,1))+($R99-INDEX(LE_Curves!$L$5:$L$205,MATCH($R99,LE_Curves!$L$5:$L$205,1)))*(INDEX(LE_Curves!$B$5:$B$205,MATCH($R99,LE_Curves!$L$5:$L$205,1)+1)-INDEX(LE_Curves!$B$5:$B$205,MATCH($R99,LE_Curves!$L$5:$L$205,1)))/(INDEX(LE_Curves!$L$5:$L$205,MATCH($R99,LE_Curves!$L$5:$L$205,1)+1)-INDEX(LE_Curves!$L$5:$L$205,MATCH($R99,LE_Curves!$L$5:$L$205,1))))))</f>
        <v/>
      </c>
      <c r="AC99" s="11">
        <f>IF(Inputs!$D$33=0,0,IF($R99&lt;=Inputs!$C$33,0,IF($R99&gt;=INDEX(LE_Curves!$M$5:$M$205,201),INDEX(LE_Curves!$B$5:$B$205,201),INDEX(LE_Curves!$B$5:$B$205,MATCH($R99,LE_Curves!$M$5:$M$205,1))+($R99-INDEX(LE_Curves!$M$5:$M$205,MATCH($R99,LE_Curves!$M$5:$M$205,1)))*(INDEX(LE_Curves!$B$5:$B$205,MATCH($R99,LE_Curves!$M$5:$M$205,1)+1)-INDEX(LE_Curves!$B$5:$B$205,MATCH($R99,LE_Curves!$M$5:$M$205,1)))/(INDEX(LE_Curves!$M$5:$M$205,MATCH($R99,LE_Curves!$M$5:$M$205,1)+1)-INDEX(LE_Curves!$M$5:$M$205,MATCH($R99,LE_Curves!$M$5:$M$205,1))))))</f>
        <v/>
      </c>
      <c r="AD99" s="11">
        <f>IF(Inputs!$D$34=0,0,IF($R99&lt;=Inputs!$C$34,0,IF($R99&gt;=INDEX(LE_Curves!$N$5:$N$205,201),INDEX(LE_Curves!$B$5:$B$205,201),INDEX(LE_Curves!$B$5:$B$205,MATCH($R99,LE_Curves!$N$5:$N$205,1))+($R99-INDEX(LE_Curves!$N$5:$N$205,MATCH($R99,LE_Curves!$N$5:$N$205,1)))*(INDEX(LE_Curves!$B$5:$B$205,MATCH($R99,LE_Curves!$N$5:$N$205,1)+1)-INDEX(LE_Curves!$B$5:$B$205,MATCH($R99,LE_Curves!$N$5:$N$205,1)))/(INDEX(LE_Curves!$N$5:$N$205,MATCH($R99,LE_Curves!$N$5:$N$205,1)+1)-INDEX(LE_Curves!$N$5:$N$205,MATCH($R99,LE_Curves!$N$5:$N$205,1))))))</f>
        <v/>
      </c>
      <c r="AE99" s="37">
        <f>SUM(S99:AD99)</f>
        <v/>
      </c>
    </row>
    <row r="100">
      <c r="A100" s="7" t="n">
        <v>69</v>
      </c>
      <c r="B100" s="37">
        <f>$B$3+($B$4-$B$3)*A100/200</f>
        <v/>
      </c>
      <c r="C100" s="11">
        <f>IF(Inputs!$D$23=0,0,IF($B100&lt;=Inputs!$C$23,0,IF($B100&gt;=INDEX(LE_Curves!$C$5:$C$205,201),INDEX(LE_Curves!$B$5:$B$205,201),INDEX(LE_Curves!$B$5:$B$205,MATCH($B100,LE_Curves!$C$5:$C$205,1))+($B100-INDEX(LE_Curves!$C$5:$C$205,MATCH($B100,LE_Curves!$C$5:$C$205,1)))*(INDEX(LE_Curves!$B$5:$B$205,MATCH($B100,LE_Curves!$C$5:$C$205,1)+1)-INDEX(LE_Curves!$B$5:$B$205,MATCH($B100,LE_Curves!$C$5:$C$205,1)))/(INDEX(LE_Curves!$C$5:$C$205,MATCH($B100,LE_Curves!$C$5:$C$205,1)+1)-INDEX(LE_Curves!$C$5:$C$205,MATCH($B100,LE_Curves!$C$5:$C$205,1))))))</f>
        <v/>
      </c>
      <c r="D100" s="11">
        <f>IF(Inputs!$D$24=0,0,IF($B100&lt;=Inputs!$C$24,0,IF($B100&gt;=INDEX(LE_Curves!$D$5:$D$205,201),INDEX(LE_Curves!$B$5:$B$205,201),INDEX(LE_Curves!$B$5:$B$205,MATCH($B100,LE_Curves!$D$5:$D$205,1))+($B100-INDEX(LE_Curves!$D$5:$D$205,MATCH($B100,LE_Curves!$D$5:$D$205,1)))*(INDEX(LE_Curves!$B$5:$B$205,MATCH($B100,LE_Curves!$D$5:$D$205,1)+1)-INDEX(LE_Curves!$B$5:$B$205,MATCH($B100,LE_Curves!$D$5:$D$205,1)))/(INDEX(LE_Curves!$D$5:$D$205,MATCH($B100,LE_Curves!$D$5:$D$205,1)+1)-INDEX(LE_Curves!$D$5:$D$205,MATCH($B100,LE_Curves!$D$5:$D$205,1))))))</f>
        <v/>
      </c>
      <c r="E100" s="11">
        <f>IF(Inputs!$D$25=0,0,IF($B100&lt;=Inputs!$C$25,0,IF($B100&gt;=INDEX(LE_Curves!$E$5:$E$205,201),INDEX(LE_Curves!$B$5:$B$205,201),INDEX(LE_Curves!$B$5:$B$205,MATCH($B100,LE_Curves!$E$5:$E$205,1))+($B100-INDEX(LE_Curves!$E$5:$E$205,MATCH($B100,LE_Curves!$E$5:$E$205,1)))*(INDEX(LE_Curves!$B$5:$B$205,MATCH($B100,LE_Curves!$E$5:$E$205,1)+1)-INDEX(LE_Curves!$B$5:$B$205,MATCH($B100,LE_Curves!$E$5:$E$205,1)))/(INDEX(LE_Curves!$E$5:$E$205,MATCH($B100,LE_Curves!$E$5:$E$205,1)+1)-INDEX(LE_Curves!$E$5:$E$205,MATCH($B100,LE_Curves!$E$5:$E$205,1))))))</f>
        <v/>
      </c>
      <c r="F100" s="11">
        <f>IF(Inputs!$D$26=0,0,IF($B100&lt;=Inputs!$C$26,0,IF($B100&gt;=INDEX(LE_Curves!$F$5:$F$205,201),INDEX(LE_Curves!$B$5:$B$205,201),INDEX(LE_Curves!$B$5:$B$205,MATCH($B100,LE_Curves!$F$5:$F$205,1))+($B100-INDEX(LE_Curves!$F$5:$F$205,MATCH($B100,LE_Curves!$F$5:$F$205,1)))*(INDEX(LE_Curves!$B$5:$B$205,MATCH($B100,LE_Curves!$F$5:$F$205,1)+1)-INDEX(LE_Curves!$B$5:$B$205,MATCH($B100,LE_Curves!$F$5:$F$205,1)))/(INDEX(LE_Curves!$F$5:$F$205,MATCH($B100,LE_Curves!$F$5:$F$205,1)+1)-INDEX(LE_Curves!$F$5:$F$205,MATCH($B100,LE_Curves!$F$5:$F$205,1))))))</f>
        <v/>
      </c>
      <c r="G100" s="11">
        <f>IF(Inputs!$D$27=0,0,IF($B100&lt;=Inputs!$C$27,0,IF($B100&gt;=INDEX(LE_Curves!$G$5:$G$205,201),INDEX(LE_Curves!$B$5:$B$205,201),INDEX(LE_Curves!$B$5:$B$205,MATCH($B100,LE_Curves!$G$5:$G$205,1))+($B100-INDEX(LE_Curves!$G$5:$G$205,MATCH($B100,LE_Curves!$G$5:$G$205,1)))*(INDEX(LE_Curves!$B$5:$B$205,MATCH($B100,LE_Curves!$G$5:$G$205,1)+1)-INDEX(LE_Curves!$B$5:$B$205,MATCH($B100,LE_Curves!$G$5:$G$205,1)))/(INDEX(LE_Curves!$G$5:$G$205,MATCH($B100,LE_Curves!$G$5:$G$205,1)+1)-INDEX(LE_Curves!$G$5:$G$205,MATCH($B100,LE_Curves!$G$5:$G$205,1))))))</f>
        <v/>
      </c>
      <c r="H100" s="11">
        <f>IF(Inputs!$D$28=0,0,IF($B100&lt;=Inputs!$C$28,0,IF($B100&gt;=INDEX(LE_Curves!$H$5:$H$205,201),INDEX(LE_Curves!$B$5:$B$205,201),INDEX(LE_Curves!$B$5:$B$205,MATCH($B100,LE_Curves!$H$5:$H$205,1))+($B100-INDEX(LE_Curves!$H$5:$H$205,MATCH($B100,LE_Curves!$H$5:$H$205,1)))*(INDEX(LE_Curves!$B$5:$B$205,MATCH($B100,LE_Curves!$H$5:$H$205,1)+1)-INDEX(LE_Curves!$B$5:$B$205,MATCH($B100,LE_Curves!$H$5:$H$205,1)))/(INDEX(LE_Curves!$H$5:$H$205,MATCH($B100,LE_Curves!$H$5:$H$205,1)+1)-INDEX(LE_Curves!$H$5:$H$205,MATCH($B100,LE_Curves!$H$5:$H$205,1))))))</f>
        <v/>
      </c>
      <c r="I100" s="11">
        <f>IF(Inputs!$D$29=0,0,IF($B100&lt;=Inputs!$C$29,0,IF($B100&gt;=INDEX(LE_Curves!$I$5:$I$205,201),INDEX(LE_Curves!$B$5:$B$205,201),INDEX(LE_Curves!$B$5:$B$205,MATCH($B100,LE_Curves!$I$5:$I$205,1))+($B100-INDEX(LE_Curves!$I$5:$I$205,MATCH($B100,LE_Curves!$I$5:$I$205,1)))*(INDEX(LE_Curves!$B$5:$B$205,MATCH($B100,LE_Curves!$I$5:$I$205,1)+1)-INDEX(LE_Curves!$B$5:$B$205,MATCH($B100,LE_Curves!$I$5:$I$205,1)))/(INDEX(LE_Curves!$I$5:$I$205,MATCH($B100,LE_Curves!$I$5:$I$205,1)+1)-INDEX(LE_Curves!$I$5:$I$205,MATCH($B100,LE_Curves!$I$5:$I$205,1))))))</f>
        <v/>
      </c>
      <c r="J100" s="11">
        <f>IF(Inputs!$D$30=0,0,IF($B100&lt;=Inputs!$C$30,0,IF($B100&gt;=INDEX(LE_Curves!$J$5:$J$205,201),INDEX(LE_Curves!$B$5:$B$205,201),INDEX(LE_Curves!$B$5:$B$205,MATCH($B100,LE_Curves!$J$5:$J$205,1))+($B100-INDEX(LE_Curves!$J$5:$J$205,MATCH($B100,LE_Curves!$J$5:$J$205,1)))*(INDEX(LE_Curves!$B$5:$B$205,MATCH($B100,LE_Curves!$J$5:$J$205,1)+1)-INDEX(LE_Curves!$B$5:$B$205,MATCH($B100,LE_Curves!$J$5:$J$205,1)))/(INDEX(LE_Curves!$J$5:$J$205,MATCH($B100,LE_Curves!$J$5:$J$205,1)+1)-INDEX(LE_Curves!$J$5:$J$205,MATCH($B100,LE_Curves!$J$5:$J$205,1))))))</f>
        <v/>
      </c>
      <c r="K100" s="11">
        <f>IF(Inputs!$D$31=0,0,IF($B100&lt;=Inputs!$C$31,0,IF($B100&gt;=INDEX(LE_Curves!$K$5:$K$205,201),INDEX(LE_Curves!$B$5:$B$205,201),INDEX(LE_Curves!$B$5:$B$205,MATCH($B100,LE_Curves!$K$5:$K$205,1))+($B100-INDEX(LE_Curves!$K$5:$K$205,MATCH($B100,LE_Curves!$K$5:$K$205,1)))*(INDEX(LE_Curves!$B$5:$B$205,MATCH($B100,LE_Curves!$K$5:$K$205,1)+1)-INDEX(LE_Curves!$B$5:$B$205,MATCH($B100,LE_Curves!$K$5:$K$205,1)))/(INDEX(LE_Curves!$K$5:$K$205,MATCH($B100,LE_Curves!$K$5:$K$205,1)+1)-INDEX(LE_Curves!$K$5:$K$205,MATCH($B100,LE_Curves!$K$5:$K$205,1))))))</f>
        <v/>
      </c>
      <c r="L100" s="11">
        <f>IF(Inputs!$D$32=0,0,IF($B100&lt;=Inputs!$C$32,0,IF($B100&gt;=INDEX(LE_Curves!$L$5:$L$205,201),INDEX(LE_Curves!$B$5:$B$205,201),INDEX(LE_Curves!$B$5:$B$205,MATCH($B100,LE_Curves!$L$5:$L$205,1))+($B100-INDEX(LE_Curves!$L$5:$L$205,MATCH($B100,LE_Curves!$L$5:$L$205,1)))*(INDEX(LE_Curves!$B$5:$B$205,MATCH($B100,LE_Curves!$L$5:$L$205,1)+1)-INDEX(LE_Curves!$B$5:$B$205,MATCH($B100,LE_Curves!$L$5:$L$205,1)))/(INDEX(LE_Curves!$L$5:$L$205,MATCH($B100,LE_Curves!$L$5:$L$205,1)+1)-INDEX(LE_Curves!$L$5:$L$205,MATCH($B100,LE_Curves!$L$5:$L$205,1))))))</f>
        <v/>
      </c>
      <c r="M100" s="11">
        <f>IF(Inputs!$D$33=0,0,IF($B100&lt;=Inputs!$C$33,0,IF($B100&gt;=INDEX(LE_Curves!$M$5:$M$205,201),INDEX(LE_Curves!$B$5:$B$205,201),INDEX(LE_Curves!$B$5:$B$205,MATCH($B100,LE_Curves!$M$5:$M$205,1))+($B100-INDEX(LE_Curves!$M$5:$M$205,MATCH($B100,LE_Curves!$M$5:$M$205,1)))*(INDEX(LE_Curves!$B$5:$B$205,MATCH($B100,LE_Curves!$M$5:$M$205,1)+1)-INDEX(LE_Curves!$B$5:$B$205,MATCH($B100,LE_Curves!$M$5:$M$205,1)))/(INDEX(LE_Curves!$M$5:$M$205,MATCH($B100,LE_Curves!$M$5:$M$205,1)+1)-INDEX(LE_Curves!$M$5:$M$205,MATCH($B100,LE_Curves!$M$5:$M$205,1))))))</f>
        <v/>
      </c>
      <c r="N100" s="11">
        <f>IF(Inputs!$D$34=0,0,IF($B100&lt;=Inputs!$C$34,0,IF($B100&gt;=INDEX(LE_Curves!$N$5:$N$205,201),INDEX(LE_Curves!$B$5:$B$205,201),INDEX(LE_Curves!$B$5:$B$205,MATCH($B100,LE_Curves!$N$5:$N$205,1))+($B100-INDEX(LE_Curves!$N$5:$N$205,MATCH($B100,LE_Curves!$N$5:$N$205,1)))*(INDEX(LE_Curves!$B$5:$B$205,MATCH($B100,LE_Curves!$N$5:$N$205,1)+1)-INDEX(LE_Curves!$B$5:$B$205,MATCH($B100,LE_Curves!$N$5:$N$205,1)))/(INDEX(LE_Curves!$N$5:$N$205,MATCH($B100,LE_Curves!$N$5:$N$205,1)+1)-INDEX(LE_Curves!$N$5:$N$205,MATCH($B100,LE_Curves!$N$5:$N$205,1))))))</f>
        <v/>
      </c>
      <c r="O100" s="11">
        <f>SUM(C100:N100)</f>
        <v/>
      </c>
      <c r="Q100" s="7" t="n">
        <v>69</v>
      </c>
      <c r="R100" s="23">
        <f>$B$6+($B$7-$B$6)*Q100/200</f>
        <v/>
      </c>
      <c r="S100" s="11">
        <f>IF(Inputs!$D$23=0,0,IF($R100&lt;=Inputs!$C$23,0,IF($R100&gt;=INDEX(LE_Curves!$C$5:$C$205,201),INDEX(LE_Curves!$B$5:$B$205,201),INDEX(LE_Curves!$B$5:$B$205,MATCH($R100,LE_Curves!$C$5:$C$205,1))+($R100-INDEX(LE_Curves!$C$5:$C$205,MATCH($R100,LE_Curves!$C$5:$C$205,1)))*(INDEX(LE_Curves!$B$5:$B$205,MATCH($R100,LE_Curves!$C$5:$C$205,1)+1)-INDEX(LE_Curves!$B$5:$B$205,MATCH($R100,LE_Curves!$C$5:$C$205,1)))/(INDEX(LE_Curves!$C$5:$C$205,MATCH($R100,LE_Curves!$C$5:$C$205,1)+1)-INDEX(LE_Curves!$C$5:$C$205,MATCH($R100,LE_Curves!$C$5:$C$205,1))))))</f>
        <v/>
      </c>
      <c r="T100" s="11">
        <f>IF(Inputs!$D$24=0,0,IF($R100&lt;=Inputs!$C$24,0,IF($R100&gt;=INDEX(LE_Curves!$D$5:$D$205,201),INDEX(LE_Curves!$B$5:$B$205,201),INDEX(LE_Curves!$B$5:$B$205,MATCH($R100,LE_Curves!$D$5:$D$205,1))+($R100-INDEX(LE_Curves!$D$5:$D$205,MATCH($R100,LE_Curves!$D$5:$D$205,1)))*(INDEX(LE_Curves!$B$5:$B$205,MATCH($R100,LE_Curves!$D$5:$D$205,1)+1)-INDEX(LE_Curves!$B$5:$B$205,MATCH($R100,LE_Curves!$D$5:$D$205,1)))/(INDEX(LE_Curves!$D$5:$D$205,MATCH($R100,LE_Curves!$D$5:$D$205,1)+1)-INDEX(LE_Curves!$D$5:$D$205,MATCH($R100,LE_Curves!$D$5:$D$205,1))))))</f>
        <v/>
      </c>
      <c r="U100" s="11">
        <f>IF(Inputs!$D$25=0,0,IF($R100&lt;=Inputs!$C$25,0,IF($R100&gt;=INDEX(LE_Curves!$E$5:$E$205,201),INDEX(LE_Curves!$B$5:$B$205,201),INDEX(LE_Curves!$B$5:$B$205,MATCH($R100,LE_Curves!$E$5:$E$205,1))+($R100-INDEX(LE_Curves!$E$5:$E$205,MATCH($R100,LE_Curves!$E$5:$E$205,1)))*(INDEX(LE_Curves!$B$5:$B$205,MATCH($R100,LE_Curves!$E$5:$E$205,1)+1)-INDEX(LE_Curves!$B$5:$B$205,MATCH($R100,LE_Curves!$E$5:$E$205,1)))/(INDEX(LE_Curves!$E$5:$E$205,MATCH($R100,LE_Curves!$E$5:$E$205,1)+1)-INDEX(LE_Curves!$E$5:$E$205,MATCH($R100,LE_Curves!$E$5:$E$205,1))))))</f>
        <v/>
      </c>
      <c r="V100" s="11">
        <f>IF(Inputs!$D$26=0,0,IF($R100&lt;=Inputs!$C$26,0,IF($R100&gt;=INDEX(LE_Curves!$F$5:$F$205,201),INDEX(LE_Curves!$B$5:$B$205,201),INDEX(LE_Curves!$B$5:$B$205,MATCH($R100,LE_Curves!$F$5:$F$205,1))+($R100-INDEX(LE_Curves!$F$5:$F$205,MATCH($R100,LE_Curves!$F$5:$F$205,1)))*(INDEX(LE_Curves!$B$5:$B$205,MATCH($R100,LE_Curves!$F$5:$F$205,1)+1)-INDEX(LE_Curves!$B$5:$B$205,MATCH($R100,LE_Curves!$F$5:$F$205,1)))/(INDEX(LE_Curves!$F$5:$F$205,MATCH($R100,LE_Curves!$F$5:$F$205,1)+1)-INDEX(LE_Curves!$F$5:$F$205,MATCH($R100,LE_Curves!$F$5:$F$205,1))))))</f>
        <v/>
      </c>
      <c r="W100" s="11">
        <f>IF(Inputs!$D$27=0,0,IF($R100&lt;=Inputs!$C$27,0,IF($R100&gt;=INDEX(LE_Curves!$G$5:$G$205,201),INDEX(LE_Curves!$B$5:$B$205,201),INDEX(LE_Curves!$B$5:$B$205,MATCH($R100,LE_Curves!$G$5:$G$205,1))+($R100-INDEX(LE_Curves!$G$5:$G$205,MATCH($R100,LE_Curves!$G$5:$G$205,1)))*(INDEX(LE_Curves!$B$5:$B$205,MATCH($R100,LE_Curves!$G$5:$G$205,1)+1)-INDEX(LE_Curves!$B$5:$B$205,MATCH($R100,LE_Curves!$G$5:$G$205,1)))/(INDEX(LE_Curves!$G$5:$G$205,MATCH($R100,LE_Curves!$G$5:$G$205,1)+1)-INDEX(LE_Curves!$G$5:$G$205,MATCH($R100,LE_Curves!$G$5:$G$205,1))))))</f>
        <v/>
      </c>
      <c r="X100" s="11">
        <f>IF(Inputs!$D$28=0,0,IF($R100&lt;=Inputs!$C$28,0,IF($R100&gt;=INDEX(LE_Curves!$H$5:$H$205,201),INDEX(LE_Curves!$B$5:$B$205,201),INDEX(LE_Curves!$B$5:$B$205,MATCH($R100,LE_Curves!$H$5:$H$205,1))+($R100-INDEX(LE_Curves!$H$5:$H$205,MATCH($R100,LE_Curves!$H$5:$H$205,1)))*(INDEX(LE_Curves!$B$5:$B$205,MATCH($R100,LE_Curves!$H$5:$H$205,1)+1)-INDEX(LE_Curves!$B$5:$B$205,MATCH($R100,LE_Curves!$H$5:$H$205,1)))/(INDEX(LE_Curves!$H$5:$H$205,MATCH($R100,LE_Curves!$H$5:$H$205,1)+1)-INDEX(LE_Curves!$H$5:$H$205,MATCH($R100,LE_Curves!$H$5:$H$205,1))))))</f>
        <v/>
      </c>
      <c r="Y100" s="11">
        <f>IF(Inputs!$D$29=0,0,IF($R100&lt;=Inputs!$C$29,0,IF($R100&gt;=INDEX(LE_Curves!$I$5:$I$205,201),INDEX(LE_Curves!$B$5:$B$205,201),INDEX(LE_Curves!$B$5:$B$205,MATCH($R100,LE_Curves!$I$5:$I$205,1))+($R100-INDEX(LE_Curves!$I$5:$I$205,MATCH($R100,LE_Curves!$I$5:$I$205,1)))*(INDEX(LE_Curves!$B$5:$B$205,MATCH($R100,LE_Curves!$I$5:$I$205,1)+1)-INDEX(LE_Curves!$B$5:$B$205,MATCH($R100,LE_Curves!$I$5:$I$205,1)))/(INDEX(LE_Curves!$I$5:$I$205,MATCH($R100,LE_Curves!$I$5:$I$205,1)+1)-INDEX(LE_Curves!$I$5:$I$205,MATCH($R100,LE_Curves!$I$5:$I$205,1))))))</f>
        <v/>
      </c>
      <c r="Z100" s="11">
        <f>IF(Inputs!$D$30=0,0,IF($R100&lt;=Inputs!$C$30,0,IF($R100&gt;=INDEX(LE_Curves!$J$5:$J$205,201),INDEX(LE_Curves!$B$5:$B$205,201),INDEX(LE_Curves!$B$5:$B$205,MATCH($R100,LE_Curves!$J$5:$J$205,1))+($R100-INDEX(LE_Curves!$J$5:$J$205,MATCH($R100,LE_Curves!$J$5:$J$205,1)))*(INDEX(LE_Curves!$B$5:$B$205,MATCH($R100,LE_Curves!$J$5:$J$205,1)+1)-INDEX(LE_Curves!$B$5:$B$205,MATCH($R100,LE_Curves!$J$5:$J$205,1)))/(INDEX(LE_Curves!$J$5:$J$205,MATCH($R100,LE_Curves!$J$5:$J$205,1)+1)-INDEX(LE_Curves!$J$5:$J$205,MATCH($R100,LE_Curves!$J$5:$J$205,1))))))</f>
        <v/>
      </c>
      <c r="AA100" s="11">
        <f>IF(Inputs!$D$31=0,0,IF($R100&lt;=Inputs!$C$31,0,IF($R100&gt;=INDEX(LE_Curves!$K$5:$K$205,201),INDEX(LE_Curves!$B$5:$B$205,201),INDEX(LE_Curves!$B$5:$B$205,MATCH($R100,LE_Curves!$K$5:$K$205,1))+($R100-INDEX(LE_Curves!$K$5:$K$205,MATCH($R100,LE_Curves!$K$5:$K$205,1)))*(INDEX(LE_Curves!$B$5:$B$205,MATCH($R100,LE_Curves!$K$5:$K$205,1)+1)-INDEX(LE_Curves!$B$5:$B$205,MATCH($R100,LE_Curves!$K$5:$K$205,1)))/(INDEX(LE_Curves!$K$5:$K$205,MATCH($R100,LE_Curves!$K$5:$K$205,1)+1)-INDEX(LE_Curves!$K$5:$K$205,MATCH($R100,LE_Curves!$K$5:$K$205,1))))))</f>
        <v/>
      </c>
      <c r="AB100" s="11">
        <f>IF(Inputs!$D$32=0,0,IF($R100&lt;=Inputs!$C$32,0,IF($R100&gt;=INDEX(LE_Curves!$L$5:$L$205,201),INDEX(LE_Curves!$B$5:$B$205,201),INDEX(LE_Curves!$B$5:$B$205,MATCH($R100,LE_Curves!$L$5:$L$205,1))+($R100-INDEX(LE_Curves!$L$5:$L$205,MATCH($R100,LE_Curves!$L$5:$L$205,1)))*(INDEX(LE_Curves!$B$5:$B$205,MATCH($R100,LE_Curves!$L$5:$L$205,1)+1)-INDEX(LE_Curves!$B$5:$B$205,MATCH($R100,LE_Curves!$L$5:$L$205,1)))/(INDEX(LE_Curves!$L$5:$L$205,MATCH($R100,LE_Curves!$L$5:$L$205,1)+1)-INDEX(LE_Curves!$L$5:$L$205,MATCH($R100,LE_Curves!$L$5:$L$205,1))))))</f>
        <v/>
      </c>
      <c r="AC100" s="11">
        <f>IF(Inputs!$D$33=0,0,IF($R100&lt;=Inputs!$C$33,0,IF($R100&gt;=INDEX(LE_Curves!$M$5:$M$205,201),INDEX(LE_Curves!$B$5:$B$205,201),INDEX(LE_Curves!$B$5:$B$205,MATCH($R100,LE_Curves!$M$5:$M$205,1))+($R100-INDEX(LE_Curves!$M$5:$M$205,MATCH($R100,LE_Curves!$M$5:$M$205,1)))*(INDEX(LE_Curves!$B$5:$B$205,MATCH($R100,LE_Curves!$M$5:$M$205,1)+1)-INDEX(LE_Curves!$B$5:$B$205,MATCH($R100,LE_Curves!$M$5:$M$205,1)))/(INDEX(LE_Curves!$M$5:$M$205,MATCH($R100,LE_Curves!$M$5:$M$205,1)+1)-INDEX(LE_Curves!$M$5:$M$205,MATCH($R100,LE_Curves!$M$5:$M$205,1))))))</f>
        <v/>
      </c>
      <c r="AD100" s="11">
        <f>IF(Inputs!$D$34=0,0,IF($R100&lt;=Inputs!$C$34,0,IF($R100&gt;=INDEX(LE_Curves!$N$5:$N$205,201),INDEX(LE_Curves!$B$5:$B$205,201),INDEX(LE_Curves!$B$5:$B$205,MATCH($R100,LE_Curves!$N$5:$N$205,1))+($R100-INDEX(LE_Curves!$N$5:$N$205,MATCH($R100,LE_Curves!$N$5:$N$205,1)))*(INDEX(LE_Curves!$B$5:$B$205,MATCH($R100,LE_Curves!$N$5:$N$205,1)+1)-INDEX(LE_Curves!$B$5:$B$205,MATCH($R100,LE_Curves!$N$5:$N$205,1)))/(INDEX(LE_Curves!$N$5:$N$205,MATCH($R100,LE_Curves!$N$5:$N$205,1)+1)-INDEX(LE_Curves!$N$5:$N$205,MATCH($R100,LE_Curves!$N$5:$N$205,1))))))</f>
        <v/>
      </c>
      <c r="AE100" s="37">
        <f>SUM(S100:AD100)</f>
        <v/>
      </c>
    </row>
    <row r="101">
      <c r="A101" s="7" t="n">
        <v>70</v>
      </c>
      <c r="B101" s="37">
        <f>$B$3+($B$4-$B$3)*A101/200</f>
        <v/>
      </c>
      <c r="C101" s="11">
        <f>IF(Inputs!$D$23=0,0,IF($B101&lt;=Inputs!$C$23,0,IF($B101&gt;=INDEX(LE_Curves!$C$5:$C$205,201),INDEX(LE_Curves!$B$5:$B$205,201),INDEX(LE_Curves!$B$5:$B$205,MATCH($B101,LE_Curves!$C$5:$C$205,1))+($B101-INDEX(LE_Curves!$C$5:$C$205,MATCH($B101,LE_Curves!$C$5:$C$205,1)))*(INDEX(LE_Curves!$B$5:$B$205,MATCH($B101,LE_Curves!$C$5:$C$205,1)+1)-INDEX(LE_Curves!$B$5:$B$205,MATCH($B101,LE_Curves!$C$5:$C$205,1)))/(INDEX(LE_Curves!$C$5:$C$205,MATCH($B101,LE_Curves!$C$5:$C$205,1)+1)-INDEX(LE_Curves!$C$5:$C$205,MATCH($B101,LE_Curves!$C$5:$C$205,1))))))</f>
        <v/>
      </c>
      <c r="D101" s="11">
        <f>IF(Inputs!$D$24=0,0,IF($B101&lt;=Inputs!$C$24,0,IF($B101&gt;=INDEX(LE_Curves!$D$5:$D$205,201),INDEX(LE_Curves!$B$5:$B$205,201),INDEX(LE_Curves!$B$5:$B$205,MATCH($B101,LE_Curves!$D$5:$D$205,1))+($B101-INDEX(LE_Curves!$D$5:$D$205,MATCH($B101,LE_Curves!$D$5:$D$205,1)))*(INDEX(LE_Curves!$B$5:$B$205,MATCH($B101,LE_Curves!$D$5:$D$205,1)+1)-INDEX(LE_Curves!$B$5:$B$205,MATCH($B101,LE_Curves!$D$5:$D$205,1)))/(INDEX(LE_Curves!$D$5:$D$205,MATCH($B101,LE_Curves!$D$5:$D$205,1)+1)-INDEX(LE_Curves!$D$5:$D$205,MATCH($B101,LE_Curves!$D$5:$D$205,1))))))</f>
        <v/>
      </c>
      <c r="E101" s="11">
        <f>IF(Inputs!$D$25=0,0,IF($B101&lt;=Inputs!$C$25,0,IF($B101&gt;=INDEX(LE_Curves!$E$5:$E$205,201),INDEX(LE_Curves!$B$5:$B$205,201),INDEX(LE_Curves!$B$5:$B$205,MATCH($B101,LE_Curves!$E$5:$E$205,1))+($B101-INDEX(LE_Curves!$E$5:$E$205,MATCH($B101,LE_Curves!$E$5:$E$205,1)))*(INDEX(LE_Curves!$B$5:$B$205,MATCH($B101,LE_Curves!$E$5:$E$205,1)+1)-INDEX(LE_Curves!$B$5:$B$205,MATCH($B101,LE_Curves!$E$5:$E$205,1)))/(INDEX(LE_Curves!$E$5:$E$205,MATCH($B101,LE_Curves!$E$5:$E$205,1)+1)-INDEX(LE_Curves!$E$5:$E$205,MATCH($B101,LE_Curves!$E$5:$E$205,1))))))</f>
        <v/>
      </c>
      <c r="F101" s="11">
        <f>IF(Inputs!$D$26=0,0,IF($B101&lt;=Inputs!$C$26,0,IF($B101&gt;=INDEX(LE_Curves!$F$5:$F$205,201),INDEX(LE_Curves!$B$5:$B$205,201),INDEX(LE_Curves!$B$5:$B$205,MATCH($B101,LE_Curves!$F$5:$F$205,1))+($B101-INDEX(LE_Curves!$F$5:$F$205,MATCH($B101,LE_Curves!$F$5:$F$205,1)))*(INDEX(LE_Curves!$B$5:$B$205,MATCH($B101,LE_Curves!$F$5:$F$205,1)+1)-INDEX(LE_Curves!$B$5:$B$205,MATCH($B101,LE_Curves!$F$5:$F$205,1)))/(INDEX(LE_Curves!$F$5:$F$205,MATCH($B101,LE_Curves!$F$5:$F$205,1)+1)-INDEX(LE_Curves!$F$5:$F$205,MATCH($B101,LE_Curves!$F$5:$F$205,1))))))</f>
        <v/>
      </c>
      <c r="G101" s="11">
        <f>IF(Inputs!$D$27=0,0,IF($B101&lt;=Inputs!$C$27,0,IF($B101&gt;=INDEX(LE_Curves!$G$5:$G$205,201),INDEX(LE_Curves!$B$5:$B$205,201),INDEX(LE_Curves!$B$5:$B$205,MATCH($B101,LE_Curves!$G$5:$G$205,1))+($B101-INDEX(LE_Curves!$G$5:$G$205,MATCH($B101,LE_Curves!$G$5:$G$205,1)))*(INDEX(LE_Curves!$B$5:$B$205,MATCH($B101,LE_Curves!$G$5:$G$205,1)+1)-INDEX(LE_Curves!$B$5:$B$205,MATCH($B101,LE_Curves!$G$5:$G$205,1)))/(INDEX(LE_Curves!$G$5:$G$205,MATCH($B101,LE_Curves!$G$5:$G$205,1)+1)-INDEX(LE_Curves!$G$5:$G$205,MATCH($B101,LE_Curves!$G$5:$G$205,1))))))</f>
        <v/>
      </c>
      <c r="H101" s="11">
        <f>IF(Inputs!$D$28=0,0,IF($B101&lt;=Inputs!$C$28,0,IF($B101&gt;=INDEX(LE_Curves!$H$5:$H$205,201),INDEX(LE_Curves!$B$5:$B$205,201),INDEX(LE_Curves!$B$5:$B$205,MATCH($B101,LE_Curves!$H$5:$H$205,1))+($B101-INDEX(LE_Curves!$H$5:$H$205,MATCH($B101,LE_Curves!$H$5:$H$205,1)))*(INDEX(LE_Curves!$B$5:$B$205,MATCH($B101,LE_Curves!$H$5:$H$205,1)+1)-INDEX(LE_Curves!$B$5:$B$205,MATCH($B101,LE_Curves!$H$5:$H$205,1)))/(INDEX(LE_Curves!$H$5:$H$205,MATCH($B101,LE_Curves!$H$5:$H$205,1)+1)-INDEX(LE_Curves!$H$5:$H$205,MATCH($B101,LE_Curves!$H$5:$H$205,1))))))</f>
        <v/>
      </c>
      <c r="I101" s="11">
        <f>IF(Inputs!$D$29=0,0,IF($B101&lt;=Inputs!$C$29,0,IF($B101&gt;=INDEX(LE_Curves!$I$5:$I$205,201),INDEX(LE_Curves!$B$5:$B$205,201),INDEX(LE_Curves!$B$5:$B$205,MATCH($B101,LE_Curves!$I$5:$I$205,1))+($B101-INDEX(LE_Curves!$I$5:$I$205,MATCH($B101,LE_Curves!$I$5:$I$205,1)))*(INDEX(LE_Curves!$B$5:$B$205,MATCH($B101,LE_Curves!$I$5:$I$205,1)+1)-INDEX(LE_Curves!$B$5:$B$205,MATCH($B101,LE_Curves!$I$5:$I$205,1)))/(INDEX(LE_Curves!$I$5:$I$205,MATCH($B101,LE_Curves!$I$5:$I$205,1)+1)-INDEX(LE_Curves!$I$5:$I$205,MATCH($B101,LE_Curves!$I$5:$I$205,1))))))</f>
        <v/>
      </c>
      <c r="J101" s="11">
        <f>IF(Inputs!$D$30=0,0,IF($B101&lt;=Inputs!$C$30,0,IF($B101&gt;=INDEX(LE_Curves!$J$5:$J$205,201),INDEX(LE_Curves!$B$5:$B$205,201),INDEX(LE_Curves!$B$5:$B$205,MATCH($B101,LE_Curves!$J$5:$J$205,1))+($B101-INDEX(LE_Curves!$J$5:$J$205,MATCH($B101,LE_Curves!$J$5:$J$205,1)))*(INDEX(LE_Curves!$B$5:$B$205,MATCH($B101,LE_Curves!$J$5:$J$205,1)+1)-INDEX(LE_Curves!$B$5:$B$205,MATCH($B101,LE_Curves!$J$5:$J$205,1)))/(INDEX(LE_Curves!$J$5:$J$205,MATCH($B101,LE_Curves!$J$5:$J$205,1)+1)-INDEX(LE_Curves!$J$5:$J$205,MATCH($B101,LE_Curves!$J$5:$J$205,1))))))</f>
        <v/>
      </c>
      <c r="K101" s="11">
        <f>IF(Inputs!$D$31=0,0,IF($B101&lt;=Inputs!$C$31,0,IF($B101&gt;=INDEX(LE_Curves!$K$5:$K$205,201),INDEX(LE_Curves!$B$5:$B$205,201),INDEX(LE_Curves!$B$5:$B$205,MATCH($B101,LE_Curves!$K$5:$K$205,1))+($B101-INDEX(LE_Curves!$K$5:$K$205,MATCH($B101,LE_Curves!$K$5:$K$205,1)))*(INDEX(LE_Curves!$B$5:$B$205,MATCH($B101,LE_Curves!$K$5:$K$205,1)+1)-INDEX(LE_Curves!$B$5:$B$205,MATCH($B101,LE_Curves!$K$5:$K$205,1)))/(INDEX(LE_Curves!$K$5:$K$205,MATCH($B101,LE_Curves!$K$5:$K$205,1)+1)-INDEX(LE_Curves!$K$5:$K$205,MATCH($B101,LE_Curves!$K$5:$K$205,1))))))</f>
        <v/>
      </c>
      <c r="L101" s="11">
        <f>IF(Inputs!$D$32=0,0,IF($B101&lt;=Inputs!$C$32,0,IF($B101&gt;=INDEX(LE_Curves!$L$5:$L$205,201),INDEX(LE_Curves!$B$5:$B$205,201),INDEX(LE_Curves!$B$5:$B$205,MATCH($B101,LE_Curves!$L$5:$L$205,1))+($B101-INDEX(LE_Curves!$L$5:$L$205,MATCH($B101,LE_Curves!$L$5:$L$205,1)))*(INDEX(LE_Curves!$B$5:$B$205,MATCH($B101,LE_Curves!$L$5:$L$205,1)+1)-INDEX(LE_Curves!$B$5:$B$205,MATCH($B101,LE_Curves!$L$5:$L$205,1)))/(INDEX(LE_Curves!$L$5:$L$205,MATCH($B101,LE_Curves!$L$5:$L$205,1)+1)-INDEX(LE_Curves!$L$5:$L$205,MATCH($B101,LE_Curves!$L$5:$L$205,1))))))</f>
        <v/>
      </c>
      <c r="M101" s="11">
        <f>IF(Inputs!$D$33=0,0,IF($B101&lt;=Inputs!$C$33,0,IF($B101&gt;=INDEX(LE_Curves!$M$5:$M$205,201),INDEX(LE_Curves!$B$5:$B$205,201),INDEX(LE_Curves!$B$5:$B$205,MATCH($B101,LE_Curves!$M$5:$M$205,1))+($B101-INDEX(LE_Curves!$M$5:$M$205,MATCH($B101,LE_Curves!$M$5:$M$205,1)))*(INDEX(LE_Curves!$B$5:$B$205,MATCH($B101,LE_Curves!$M$5:$M$205,1)+1)-INDEX(LE_Curves!$B$5:$B$205,MATCH($B101,LE_Curves!$M$5:$M$205,1)))/(INDEX(LE_Curves!$M$5:$M$205,MATCH($B101,LE_Curves!$M$5:$M$205,1)+1)-INDEX(LE_Curves!$M$5:$M$205,MATCH($B101,LE_Curves!$M$5:$M$205,1))))))</f>
        <v/>
      </c>
      <c r="N101" s="11">
        <f>IF(Inputs!$D$34=0,0,IF($B101&lt;=Inputs!$C$34,0,IF($B101&gt;=INDEX(LE_Curves!$N$5:$N$205,201),INDEX(LE_Curves!$B$5:$B$205,201),INDEX(LE_Curves!$B$5:$B$205,MATCH($B101,LE_Curves!$N$5:$N$205,1))+($B101-INDEX(LE_Curves!$N$5:$N$205,MATCH($B101,LE_Curves!$N$5:$N$205,1)))*(INDEX(LE_Curves!$B$5:$B$205,MATCH($B101,LE_Curves!$N$5:$N$205,1)+1)-INDEX(LE_Curves!$B$5:$B$205,MATCH($B101,LE_Curves!$N$5:$N$205,1)))/(INDEX(LE_Curves!$N$5:$N$205,MATCH($B101,LE_Curves!$N$5:$N$205,1)+1)-INDEX(LE_Curves!$N$5:$N$205,MATCH($B101,LE_Curves!$N$5:$N$205,1))))))</f>
        <v/>
      </c>
      <c r="O101" s="11">
        <f>SUM(C101:N101)</f>
        <v/>
      </c>
      <c r="Q101" s="7" t="n">
        <v>70</v>
      </c>
      <c r="R101" s="23">
        <f>$B$6+($B$7-$B$6)*Q101/200</f>
        <v/>
      </c>
      <c r="S101" s="11">
        <f>IF(Inputs!$D$23=0,0,IF($R101&lt;=Inputs!$C$23,0,IF($R101&gt;=INDEX(LE_Curves!$C$5:$C$205,201),INDEX(LE_Curves!$B$5:$B$205,201),INDEX(LE_Curves!$B$5:$B$205,MATCH($R101,LE_Curves!$C$5:$C$205,1))+($R101-INDEX(LE_Curves!$C$5:$C$205,MATCH($R101,LE_Curves!$C$5:$C$205,1)))*(INDEX(LE_Curves!$B$5:$B$205,MATCH($R101,LE_Curves!$C$5:$C$205,1)+1)-INDEX(LE_Curves!$B$5:$B$205,MATCH($R101,LE_Curves!$C$5:$C$205,1)))/(INDEX(LE_Curves!$C$5:$C$205,MATCH($R101,LE_Curves!$C$5:$C$205,1)+1)-INDEX(LE_Curves!$C$5:$C$205,MATCH($R101,LE_Curves!$C$5:$C$205,1))))))</f>
        <v/>
      </c>
      <c r="T101" s="11">
        <f>IF(Inputs!$D$24=0,0,IF($R101&lt;=Inputs!$C$24,0,IF($R101&gt;=INDEX(LE_Curves!$D$5:$D$205,201),INDEX(LE_Curves!$B$5:$B$205,201),INDEX(LE_Curves!$B$5:$B$205,MATCH($R101,LE_Curves!$D$5:$D$205,1))+($R101-INDEX(LE_Curves!$D$5:$D$205,MATCH($R101,LE_Curves!$D$5:$D$205,1)))*(INDEX(LE_Curves!$B$5:$B$205,MATCH($R101,LE_Curves!$D$5:$D$205,1)+1)-INDEX(LE_Curves!$B$5:$B$205,MATCH($R101,LE_Curves!$D$5:$D$205,1)))/(INDEX(LE_Curves!$D$5:$D$205,MATCH($R101,LE_Curves!$D$5:$D$205,1)+1)-INDEX(LE_Curves!$D$5:$D$205,MATCH($R101,LE_Curves!$D$5:$D$205,1))))))</f>
        <v/>
      </c>
      <c r="U101" s="11">
        <f>IF(Inputs!$D$25=0,0,IF($R101&lt;=Inputs!$C$25,0,IF($R101&gt;=INDEX(LE_Curves!$E$5:$E$205,201),INDEX(LE_Curves!$B$5:$B$205,201),INDEX(LE_Curves!$B$5:$B$205,MATCH($R101,LE_Curves!$E$5:$E$205,1))+($R101-INDEX(LE_Curves!$E$5:$E$205,MATCH($R101,LE_Curves!$E$5:$E$205,1)))*(INDEX(LE_Curves!$B$5:$B$205,MATCH($R101,LE_Curves!$E$5:$E$205,1)+1)-INDEX(LE_Curves!$B$5:$B$205,MATCH($R101,LE_Curves!$E$5:$E$205,1)))/(INDEX(LE_Curves!$E$5:$E$205,MATCH($R101,LE_Curves!$E$5:$E$205,1)+1)-INDEX(LE_Curves!$E$5:$E$205,MATCH($R101,LE_Curves!$E$5:$E$205,1))))))</f>
        <v/>
      </c>
      <c r="V101" s="11">
        <f>IF(Inputs!$D$26=0,0,IF($R101&lt;=Inputs!$C$26,0,IF($R101&gt;=INDEX(LE_Curves!$F$5:$F$205,201),INDEX(LE_Curves!$B$5:$B$205,201),INDEX(LE_Curves!$B$5:$B$205,MATCH($R101,LE_Curves!$F$5:$F$205,1))+($R101-INDEX(LE_Curves!$F$5:$F$205,MATCH($R101,LE_Curves!$F$5:$F$205,1)))*(INDEX(LE_Curves!$B$5:$B$205,MATCH($R101,LE_Curves!$F$5:$F$205,1)+1)-INDEX(LE_Curves!$B$5:$B$205,MATCH($R101,LE_Curves!$F$5:$F$205,1)))/(INDEX(LE_Curves!$F$5:$F$205,MATCH($R101,LE_Curves!$F$5:$F$205,1)+1)-INDEX(LE_Curves!$F$5:$F$205,MATCH($R101,LE_Curves!$F$5:$F$205,1))))))</f>
        <v/>
      </c>
      <c r="W101" s="11">
        <f>IF(Inputs!$D$27=0,0,IF($R101&lt;=Inputs!$C$27,0,IF($R101&gt;=INDEX(LE_Curves!$G$5:$G$205,201),INDEX(LE_Curves!$B$5:$B$205,201),INDEX(LE_Curves!$B$5:$B$205,MATCH($R101,LE_Curves!$G$5:$G$205,1))+($R101-INDEX(LE_Curves!$G$5:$G$205,MATCH($R101,LE_Curves!$G$5:$G$205,1)))*(INDEX(LE_Curves!$B$5:$B$205,MATCH($R101,LE_Curves!$G$5:$G$205,1)+1)-INDEX(LE_Curves!$B$5:$B$205,MATCH($R101,LE_Curves!$G$5:$G$205,1)))/(INDEX(LE_Curves!$G$5:$G$205,MATCH($R101,LE_Curves!$G$5:$G$205,1)+1)-INDEX(LE_Curves!$G$5:$G$205,MATCH($R101,LE_Curves!$G$5:$G$205,1))))))</f>
        <v/>
      </c>
      <c r="X101" s="11">
        <f>IF(Inputs!$D$28=0,0,IF($R101&lt;=Inputs!$C$28,0,IF($R101&gt;=INDEX(LE_Curves!$H$5:$H$205,201),INDEX(LE_Curves!$B$5:$B$205,201),INDEX(LE_Curves!$B$5:$B$205,MATCH($R101,LE_Curves!$H$5:$H$205,1))+($R101-INDEX(LE_Curves!$H$5:$H$205,MATCH($R101,LE_Curves!$H$5:$H$205,1)))*(INDEX(LE_Curves!$B$5:$B$205,MATCH($R101,LE_Curves!$H$5:$H$205,1)+1)-INDEX(LE_Curves!$B$5:$B$205,MATCH($R101,LE_Curves!$H$5:$H$205,1)))/(INDEX(LE_Curves!$H$5:$H$205,MATCH($R101,LE_Curves!$H$5:$H$205,1)+1)-INDEX(LE_Curves!$H$5:$H$205,MATCH($R101,LE_Curves!$H$5:$H$205,1))))))</f>
        <v/>
      </c>
      <c r="Y101" s="11">
        <f>IF(Inputs!$D$29=0,0,IF($R101&lt;=Inputs!$C$29,0,IF($R101&gt;=INDEX(LE_Curves!$I$5:$I$205,201),INDEX(LE_Curves!$B$5:$B$205,201),INDEX(LE_Curves!$B$5:$B$205,MATCH($R101,LE_Curves!$I$5:$I$205,1))+($R101-INDEX(LE_Curves!$I$5:$I$205,MATCH($R101,LE_Curves!$I$5:$I$205,1)))*(INDEX(LE_Curves!$B$5:$B$205,MATCH($R101,LE_Curves!$I$5:$I$205,1)+1)-INDEX(LE_Curves!$B$5:$B$205,MATCH($R101,LE_Curves!$I$5:$I$205,1)))/(INDEX(LE_Curves!$I$5:$I$205,MATCH($R101,LE_Curves!$I$5:$I$205,1)+1)-INDEX(LE_Curves!$I$5:$I$205,MATCH($R101,LE_Curves!$I$5:$I$205,1))))))</f>
        <v/>
      </c>
      <c r="Z101" s="11">
        <f>IF(Inputs!$D$30=0,0,IF($R101&lt;=Inputs!$C$30,0,IF($R101&gt;=INDEX(LE_Curves!$J$5:$J$205,201),INDEX(LE_Curves!$B$5:$B$205,201),INDEX(LE_Curves!$B$5:$B$205,MATCH($R101,LE_Curves!$J$5:$J$205,1))+($R101-INDEX(LE_Curves!$J$5:$J$205,MATCH($R101,LE_Curves!$J$5:$J$205,1)))*(INDEX(LE_Curves!$B$5:$B$205,MATCH($R101,LE_Curves!$J$5:$J$205,1)+1)-INDEX(LE_Curves!$B$5:$B$205,MATCH($R101,LE_Curves!$J$5:$J$205,1)))/(INDEX(LE_Curves!$J$5:$J$205,MATCH($R101,LE_Curves!$J$5:$J$205,1)+1)-INDEX(LE_Curves!$J$5:$J$205,MATCH($R101,LE_Curves!$J$5:$J$205,1))))))</f>
        <v/>
      </c>
      <c r="AA101" s="11">
        <f>IF(Inputs!$D$31=0,0,IF($R101&lt;=Inputs!$C$31,0,IF($R101&gt;=INDEX(LE_Curves!$K$5:$K$205,201),INDEX(LE_Curves!$B$5:$B$205,201),INDEX(LE_Curves!$B$5:$B$205,MATCH($R101,LE_Curves!$K$5:$K$205,1))+($R101-INDEX(LE_Curves!$K$5:$K$205,MATCH($R101,LE_Curves!$K$5:$K$205,1)))*(INDEX(LE_Curves!$B$5:$B$205,MATCH($R101,LE_Curves!$K$5:$K$205,1)+1)-INDEX(LE_Curves!$B$5:$B$205,MATCH($R101,LE_Curves!$K$5:$K$205,1)))/(INDEX(LE_Curves!$K$5:$K$205,MATCH($R101,LE_Curves!$K$5:$K$205,1)+1)-INDEX(LE_Curves!$K$5:$K$205,MATCH($R101,LE_Curves!$K$5:$K$205,1))))))</f>
        <v/>
      </c>
      <c r="AB101" s="11">
        <f>IF(Inputs!$D$32=0,0,IF($R101&lt;=Inputs!$C$32,0,IF($R101&gt;=INDEX(LE_Curves!$L$5:$L$205,201),INDEX(LE_Curves!$B$5:$B$205,201),INDEX(LE_Curves!$B$5:$B$205,MATCH($R101,LE_Curves!$L$5:$L$205,1))+($R101-INDEX(LE_Curves!$L$5:$L$205,MATCH($R101,LE_Curves!$L$5:$L$205,1)))*(INDEX(LE_Curves!$B$5:$B$205,MATCH($R101,LE_Curves!$L$5:$L$205,1)+1)-INDEX(LE_Curves!$B$5:$B$205,MATCH($R101,LE_Curves!$L$5:$L$205,1)))/(INDEX(LE_Curves!$L$5:$L$205,MATCH($R101,LE_Curves!$L$5:$L$205,1)+1)-INDEX(LE_Curves!$L$5:$L$205,MATCH($R101,LE_Curves!$L$5:$L$205,1))))))</f>
        <v/>
      </c>
      <c r="AC101" s="11">
        <f>IF(Inputs!$D$33=0,0,IF($R101&lt;=Inputs!$C$33,0,IF($R101&gt;=INDEX(LE_Curves!$M$5:$M$205,201),INDEX(LE_Curves!$B$5:$B$205,201),INDEX(LE_Curves!$B$5:$B$205,MATCH($R101,LE_Curves!$M$5:$M$205,1))+($R101-INDEX(LE_Curves!$M$5:$M$205,MATCH($R101,LE_Curves!$M$5:$M$205,1)))*(INDEX(LE_Curves!$B$5:$B$205,MATCH($R101,LE_Curves!$M$5:$M$205,1)+1)-INDEX(LE_Curves!$B$5:$B$205,MATCH($R101,LE_Curves!$M$5:$M$205,1)))/(INDEX(LE_Curves!$M$5:$M$205,MATCH($R101,LE_Curves!$M$5:$M$205,1)+1)-INDEX(LE_Curves!$M$5:$M$205,MATCH($R101,LE_Curves!$M$5:$M$205,1))))))</f>
        <v/>
      </c>
      <c r="AD101" s="11">
        <f>IF(Inputs!$D$34=0,0,IF($R101&lt;=Inputs!$C$34,0,IF($R101&gt;=INDEX(LE_Curves!$N$5:$N$205,201),INDEX(LE_Curves!$B$5:$B$205,201),INDEX(LE_Curves!$B$5:$B$205,MATCH($R101,LE_Curves!$N$5:$N$205,1))+($R101-INDEX(LE_Curves!$N$5:$N$205,MATCH($R101,LE_Curves!$N$5:$N$205,1)))*(INDEX(LE_Curves!$B$5:$B$205,MATCH($R101,LE_Curves!$N$5:$N$205,1)+1)-INDEX(LE_Curves!$B$5:$B$205,MATCH($R101,LE_Curves!$N$5:$N$205,1)))/(INDEX(LE_Curves!$N$5:$N$205,MATCH($R101,LE_Curves!$N$5:$N$205,1)+1)-INDEX(LE_Curves!$N$5:$N$205,MATCH($R101,LE_Curves!$N$5:$N$205,1))))))</f>
        <v/>
      </c>
      <c r="AE101" s="37">
        <f>SUM(S101:AD101)</f>
        <v/>
      </c>
    </row>
    <row r="102">
      <c r="A102" s="7" t="n">
        <v>71</v>
      </c>
      <c r="B102" s="37">
        <f>$B$3+($B$4-$B$3)*A102/200</f>
        <v/>
      </c>
      <c r="C102" s="11">
        <f>IF(Inputs!$D$23=0,0,IF($B102&lt;=Inputs!$C$23,0,IF($B102&gt;=INDEX(LE_Curves!$C$5:$C$205,201),INDEX(LE_Curves!$B$5:$B$205,201),INDEX(LE_Curves!$B$5:$B$205,MATCH($B102,LE_Curves!$C$5:$C$205,1))+($B102-INDEX(LE_Curves!$C$5:$C$205,MATCH($B102,LE_Curves!$C$5:$C$205,1)))*(INDEX(LE_Curves!$B$5:$B$205,MATCH($B102,LE_Curves!$C$5:$C$205,1)+1)-INDEX(LE_Curves!$B$5:$B$205,MATCH($B102,LE_Curves!$C$5:$C$205,1)))/(INDEX(LE_Curves!$C$5:$C$205,MATCH($B102,LE_Curves!$C$5:$C$205,1)+1)-INDEX(LE_Curves!$C$5:$C$205,MATCH($B102,LE_Curves!$C$5:$C$205,1))))))</f>
        <v/>
      </c>
      <c r="D102" s="11">
        <f>IF(Inputs!$D$24=0,0,IF($B102&lt;=Inputs!$C$24,0,IF($B102&gt;=INDEX(LE_Curves!$D$5:$D$205,201),INDEX(LE_Curves!$B$5:$B$205,201),INDEX(LE_Curves!$B$5:$B$205,MATCH($B102,LE_Curves!$D$5:$D$205,1))+($B102-INDEX(LE_Curves!$D$5:$D$205,MATCH($B102,LE_Curves!$D$5:$D$205,1)))*(INDEX(LE_Curves!$B$5:$B$205,MATCH($B102,LE_Curves!$D$5:$D$205,1)+1)-INDEX(LE_Curves!$B$5:$B$205,MATCH($B102,LE_Curves!$D$5:$D$205,1)))/(INDEX(LE_Curves!$D$5:$D$205,MATCH($B102,LE_Curves!$D$5:$D$205,1)+1)-INDEX(LE_Curves!$D$5:$D$205,MATCH($B102,LE_Curves!$D$5:$D$205,1))))))</f>
        <v/>
      </c>
      <c r="E102" s="11">
        <f>IF(Inputs!$D$25=0,0,IF($B102&lt;=Inputs!$C$25,0,IF($B102&gt;=INDEX(LE_Curves!$E$5:$E$205,201),INDEX(LE_Curves!$B$5:$B$205,201),INDEX(LE_Curves!$B$5:$B$205,MATCH($B102,LE_Curves!$E$5:$E$205,1))+($B102-INDEX(LE_Curves!$E$5:$E$205,MATCH($B102,LE_Curves!$E$5:$E$205,1)))*(INDEX(LE_Curves!$B$5:$B$205,MATCH($B102,LE_Curves!$E$5:$E$205,1)+1)-INDEX(LE_Curves!$B$5:$B$205,MATCH($B102,LE_Curves!$E$5:$E$205,1)))/(INDEX(LE_Curves!$E$5:$E$205,MATCH($B102,LE_Curves!$E$5:$E$205,1)+1)-INDEX(LE_Curves!$E$5:$E$205,MATCH($B102,LE_Curves!$E$5:$E$205,1))))))</f>
        <v/>
      </c>
      <c r="F102" s="11">
        <f>IF(Inputs!$D$26=0,0,IF($B102&lt;=Inputs!$C$26,0,IF($B102&gt;=INDEX(LE_Curves!$F$5:$F$205,201),INDEX(LE_Curves!$B$5:$B$205,201),INDEX(LE_Curves!$B$5:$B$205,MATCH($B102,LE_Curves!$F$5:$F$205,1))+($B102-INDEX(LE_Curves!$F$5:$F$205,MATCH($B102,LE_Curves!$F$5:$F$205,1)))*(INDEX(LE_Curves!$B$5:$B$205,MATCH($B102,LE_Curves!$F$5:$F$205,1)+1)-INDEX(LE_Curves!$B$5:$B$205,MATCH($B102,LE_Curves!$F$5:$F$205,1)))/(INDEX(LE_Curves!$F$5:$F$205,MATCH($B102,LE_Curves!$F$5:$F$205,1)+1)-INDEX(LE_Curves!$F$5:$F$205,MATCH($B102,LE_Curves!$F$5:$F$205,1))))))</f>
        <v/>
      </c>
      <c r="G102" s="11">
        <f>IF(Inputs!$D$27=0,0,IF($B102&lt;=Inputs!$C$27,0,IF($B102&gt;=INDEX(LE_Curves!$G$5:$G$205,201),INDEX(LE_Curves!$B$5:$B$205,201),INDEX(LE_Curves!$B$5:$B$205,MATCH($B102,LE_Curves!$G$5:$G$205,1))+($B102-INDEX(LE_Curves!$G$5:$G$205,MATCH($B102,LE_Curves!$G$5:$G$205,1)))*(INDEX(LE_Curves!$B$5:$B$205,MATCH($B102,LE_Curves!$G$5:$G$205,1)+1)-INDEX(LE_Curves!$B$5:$B$205,MATCH($B102,LE_Curves!$G$5:$G$205,1)))/(INDEX(LE_Curves!$G$5:$G$205,MATCH($B102,LE_Curves!$G$5:$G$205,1)+1)-INDEX(LE_Curves!$G$5:$G$205,MATCH($B102,LE_Curves!$G$5:$G$205,1))))))</f>
        <v/>
      </c>
      <c r="H102" s="11">
        <f>IF(Inputs!$D$28=0,0,IF($B102&lt;=Inputs!$C$28,0,IF($B102&gt;=INDEX(LE_Curves!$H$5:$H$205,201),INDEX(LE_Curves!$B$5:$B$205,201),INDEX(LE_Curves!$B$5:$B$205,MATCH($B102,LE_Curves!$H$5:$H$205,1))+($B102-INDEX(LE_Curves!$H$5:$H$205,MATCH($B102,LE_Curves!$H$5:$H$205,1)))*(INDEX(LE_Curves!$B$5:$B$205,MATCH($B102,LE_Curves!$H$5:$H$205,1)+1)-INDEX(LE_Curves!$B$5:$B$205,MATCH($B102,LE_Curves!$H$5:$H$205,1)))/(INDEX(LE_Curves!$H$5:$H$205,MATCH($B102,LE_Curves!$H$5:$H$205,1)+1)-INDEX(LE_Curves!$H$5:$H$205,MATCH($B102,LE_Curves!$H$5:$H$205,1))))))</f>
        <v/>
      </c>
      <c r="I102" s="11">
        <f>IF(Inputs!$D$29=0,0,IF($B102&lt;=Inputs!$C$29,0,IF($B102&gt;=INDEX(LE_Curves!$I$5:$I$205,201),INDEX(LE_Curves!$B$5:$B$205,201),INDEX(LE_Curves!$B$5:$B$205,MATCH($B102,LE_Curves!$I$5:$I$205,1))+($B102-INDEX(LE_Curves!$I$5:$I$205,MATCH($B102,LE_Curves!$I$5:$I$205,1)))*(INDEX(LE_Curves!$B$5:$B$205,MATCH($B102,LE_Curves!$I$5:$I$205,1)+1)-INDEX(LE_Curves!$B$5:$B$205,MATCH($B102,LE_Curves!$I$5:$I$205,1)))/(INDEX(LE_Curves!$I$5:$I$205,MATCH($B102,LE_Curves!$I$5:$I$205,1)+1)-INDEX(LE_Curves!$I$5:$I$205,MATCH($B102,LE_Curves!$I$5:$I$205,1))))))</f>
        <v/>
      </c>
      <c r="J102" s="11">
        <f>IF(Inputs!$D$30=0,0,IF($B102&lt;=Inputs!$C$30,0,IF($B102&gt;=INDEX(LE_Curves!$J$5:$J$205,201),INDEX(LE_Curves!$B$5:$B$205,201),INDEX(LE_Curves!$B$5:$B$205,MATCH($B102,LE_Curves!$J$5:$J$205,1))+($B102-INDEX(LE_Curves!$J$5:$J$205,MATCH($B102,LE_Curves!$J$5:$J$205,1)))*(INDEX(LE_Curves!$B$5:$B$205,MATCH($B102,LE_Curves!$J$5:$J$205,1)+1)-INDEX(LE_Curves!$B$5:$B$205,MATCH($B102,LE_Curves!$J$5:$J$205,1)))/(INDEX(LE_Curves!$J$5:$J$205,MATCH($B102,LE_Curves!$J$5:$J$205,1)+1)-INDEX(LE_Curves!$J$5:$J$205,MATCH($B102,LE_Curves!$J$5:$J$205,1))))))</f>
        <v/>
      </c>
      <c r="K102" s="11">
        <f>IF(Inputs!$D$31=0,0,IF($B102&lt;=Inputs!$C$31,0,IF($B102&gt;=INDEX(LE_Curves!$K$5:$K$205,201),INDEX(LE_Curves!$B$5:$B$205,201),INDEX(LE_Curves!$B$5:$B$205,MATCH($B102,LE_Curves!$K$5:$K$205,1))+($B102-INDEX(LE_Curves!$K$5:$K$205,MATCH($B102,LE_Curves!$K$5:$K$205,1)))*(INDEX(LE_Curves!$B$5:$B$205,MATCH($B102,LE_Curves!$K$5:$K$205,1)+1)-INDEX(LE_Curves!$B$5:$B$205,MATCH($B102,LE_Curves!$K$5:$K$205,1)))/(INDEX(LE_Curves!$K$5:$K$205,MATCH($B102,LE_Curves!$K$5:$K$205,1)+1)-INDEX(LE_Curves!$K$5:$K$205,MATCH($B102,LE_Curves!$K$5:$K$205,1))))))</f>
        <v/>
      </c>
      <c r="L102" s="11">
        <f>IF(Inputs!$D$32=0,0,IF($B102&lt;=Inputs!$C$32,0,IF($B102&gt;=INDEX(LE_Curves!$L$5:$L$205,201),INDEX(LE_Curves!$B$5:$B$205,201),INDEX(LE_Curves!$B$5:$B$205,MATCH($B102,LE_Curves!$L$5:$L$205,1))+($B102-INDEX(LE_Curves!$L$5:$L$205,MATCH($B102,LE_Curves!$L$5:$L$205,1)))*(INDEX(LE_Curves!$B$5:$B$205,MATCH($B102,LE_Curves!$L$5:$L$205,1)+1)-INDEX(LE_Curves!$B$5:$B$205,MATCH($B102,LE_Curves!$L$5:$L$205,1)))/(INDEX(LE_Curves!$L$5:$L$205,MATCH($B102,LE_Curves!$L$5:$L$205,1)+1)-INDEX(LE_Curves!$L$5:$L$205,MATCH($B102,LE_Curves!$L$5:$L$205,1))))))</f>
        <v/>
      </c>
      <c r="M102" s="11">
        <f>IF(Inputs!$D$33=0,0,IF($B102&lt;=Inputs!$C$33,0,IF($B102&gt;=INDEX(LE_Curves!$M$5:$M$205,201),INDEX(LE_Curves!$B$5:$B$205,201),INDEX(LE_Curves!$B$5:$B$205,MATCH($B102,LE_Curves!$M$5:$M$205,1))+($B102-INDEX(LE_Curves!$M$5:$M$205,MATCH($B102,LE_Curves!$M$5:$M$205,1)))*(INDEX(LE_Curves!$B$5:$B$205,MATCH($B102,LE_Curves!$M$5:$M$205,1)+1)-INDEX(LE_Curves!$B$5:$B$205,MATCH($B102,LE_Curves!$M$5:$M$205,1)))/(INDEX(LE_Curves!$M$5:$M$205,MATCH($B102,LE_Curves!$M$5:$M$205,1)+1)-INDEX(LE_Curves!$M$5:$M$205,MATCH($B102,LE_Curves!$M$5:$M$205,1))))))</f>
        <v/>
      </c>
      <c r="N102" s="11">
        <f>IF(Inputs!$D$34=0,0,IF($B102&lt;=Inputs!$C$34,0,IF($B102&gt;=INDEX(LE_Curves!$N$5:$N$205,201),INDEX(LE_Curves!$B$5:$B$205,201),INDEX(LE_Curves!$B$5:$B$205,MATCH($B102,LE_Curves!$N$5:$N$205,1))+($B102-INDEX(LE_Curves!$N$5:$N$205,MATCH($B102,LE_Curves!$N$5:$N$205,1)))*(INDEX(LE_Curves!$B$5:$B$205,MATCH($B102,LE_Curves!$N$5:$N$205,1)+1)-INDEX(LE_Curves!$B$5:$B$205,MATCH($B102,LE_Curves!$N$5:$N$205,1)))/(INDEX(LE_Curves!$N$5:$N$205,MATCH($B102,LE_Curves!$N$5:$N$205,1)+1)-INDEX(LE_Curves!$N$5:$N$205,MATCH($B102,LE_Curves!$N$5:$N$205,1))))))</f>
        <v/>
      </c>
      <c r="O102" s="11">
        <f>SUM(C102:N102)</f>
        <v/>
      </c>
      <c r="Q102" s="7" t="n">
        <v>71</v>
      </c>
      <c r="R102" s="23">
        <f>$B$6+($B$7-$B$6)*Q102/200</f>
        <v/>
      </c>
      <c r="S102" s="11">
        <f>IF(Inputs!$D$23=0,0,IF($R102&lt;=Inputs!$C$23,0,IF($R102&gt;=INDEX(LE_Curves!$C$5:$C$205,201),INDEX(LE_Curves!$B$5:$B$205,201),INDEX(LE_Curves!$B$5:$B$205,MATCH($R102,LE_Curves!$C$5:$C$205,1))+($R102-INDEX(LE_Curves!$C$5:$C$205,MATCH($R102,LE_Curves!$C$5:$C$205,1)))*(INDEX(LE_Curves!$B$5:$B$205,MATCH($R102,LE_Curves!$C$5:$C$205,1)+1)-INDEX(LE_Curves!$B$5:$B$205,MATCH($R102,LE_Curves!$C$5:$C$205,1)))/(INDEX(LE_Curves!$C$5:$C$205,MATCH($R102,LE_Curves!$C$5:$C$205,1)+1)-INDEX(LE_Curves!$C$5:$C$205,MATCH($R102,LE_Curves!$C$5:$C$205,1))))))</f>
        <v/>
      </c>
      <c r="T102" s="11">
        <f>IF(Inputs!$D$24=0,0,IF($R102&lt;=Inputs!$C$24,0,IF($R102&gt;=INDEX(LE_Curves!$D$5:$D$205,201),INDEX(LE_Curves!$B$5:$B$205,201),INDEX(LE_Curves!$B$5:$B$205,MATCH($R102,LE_Curves!$D$5:$D$205,1))+($R102-INDEX(LE_Curves!$D$5:$D$205,MATCH($R102,LE_Curves!$D$5:$D$205,1)))*(INDEX(LE_Curves!$B$5:$B$205,MATCH($R102,LE_Curves!$D$5:$D$205,1)+1)-INDEX(LE_Curves!$B$5:$B$205,MATCH($R102,LE_Curves!$D$5:$D$205,1)))/(INDEX(LE_Curves!$D$5:$D$205,MATCH($R102,LE_Curves!$D$5:$D$205,1)+1)-INDEX(LE_Curves!$D$5:$D$205,MATCH($R102,LE_Curves!$D$5:$D$205,1))))))</f>
        <v/>
      </c>
      <c r="U102" s="11">
        <f>IF(Inputs!$D$25=0,0,IF($R102&lt;=Inputs!$C$25,0,IF($R102&gt;=INDEX(LE_Curves!$E$5:$E$205,201),INDEX(LE_Curves!$B$5:$B$205,201),INDEX(LE_Curves!$B$5:$B$205,MATCH($R102,LE_Curves!$E$5:$E$205,1))+($R102-INDEX(LE_Curves!$E$5:$E$205,MATCH($R102,LE_Curves!$E$5:$E$205,1)))*(INDEX(LE_Curves!$B$5:$B$205,MATCH($R102,LE_Curves!$E$5:$E$205,1)+1)-INDEX(LE_Curves!$B$5:$B$205,MATCH($R102,LE_Curves!$E$5:$E$205,1)))/(INDEX(LE_Curves!$E$5:$E$205,MATCH($R102,LE_Curves!$E$5:$E$205,1)+1)-INDEX(LE_Curves!$E$5:$E$205,MATCH($R102,LE_Curves!$E$5:$E$205,1))))))</f>
        <v/>
      </c>
      <c r="V102" s="11">
        <f>IF(Inputs!$D$26=0,0,IF($R102&lt;=Inputs!$C$26,0,IF($R102&gt;=INDEX(LE_Curves!$F$5:$F$205,201),INDEX(LE_Curves!$B$5:$B$205,201),INDEX(LE_Curves!$B$5:$B$205,MATCH($R102,LE_Curves!$F$5:$F$205,1))+($R102-INDEX(LE_Curves!$F$5:$F$205,MATCH($R102,LE_Curves!$F$5:$F$205,1)))*(INDEX(LE_Curves!$B$5:$B$205,MATCH($R102,LE_Curves!$F$5:$F$205,1)+1)-INDEX(LE_Curves!$B$5:$B$205,MATCH($R102,LE_Curves!$F$5:$F$205,1)))/(INDEX(LE_Curves!$F$5:$F$205,MATCH($R102,LE_Curves!$F$5:$F$205,1)+1)-INDEX(LE_Curves!$F$5:$F$205,MATCH($R102,LE_Curves!$F$5:$F$205,1))))))</f>
        <v/>
      </c>
      <c r="W102" s="11">
        <f>IF(Inputs!$D$27=0,0,IF($R102&lt;=Inputs!$C$27,0,IF($R102&gt;=INDEX(LE_Curves!$G$5:$G$205,201),INDEX(LE_Curves!$B$5:$B$205,201),INDEX(LE_Curves!$B$5:$B$205,MATCH($R102,LE_Curves!$G$5:$G$205,1))+($R102-INDEX(LE_Curves!$G$5:$G$205,MATCH($R102,LE_Curves!$G$5:$G$205,1)))*(INDEX(LE_Curves!$B$5:$B$205,MATCH($R102,LE_Curves!$G$5:$G$205,1)+1)-INDEX(LE_Curves!$B$5:$B$205,MATCH($R102,LE_Curves!$G$5:$G$205,1)))/(INDEX(LE_Curves!$G$5:$G$205,MATCH($R102,LE_Curves!$G$5:$G$205,1)+1)-INDEX(LE_Curves!$G$5:$G$205,MATCH($R102,LE_Curves!$G$5:$G$205,1))))))</f>
        <v/>
      </c>
      <c r="X102" s="11">
        <f>IF(Inputs!$D$28=0,0,IF($R102&lt;=Inputs!$C$28,0,IF($R102&gt;=INDEX(LE_Curves!$H$5:$H$205,201),INDEX(LE_Curves!$B$5:$B$205,201),INDEX(LE_Curves!$B$5:$B$205,MATCH($R102,LE_Curves!$H$5:$H$205,1))+($R102-INDEX(LE_Curves!$H$5:$H$205,MATCH($R102,LE_Curves!$H$5:$H$205,1)))*(INDEX(LE_Curves!$B$5:$B$205,MATCH($R102,LE_Curves!$H$5:$H$205,1)+1)-INDEX(LE_Curves!$B$5:$B$205,MATCH($R102,LE_Curves!$H$5:$H$205,1)))/(INDEX(LE_Curves!$H$5:$H$205,MATCH($R102,LE_Curves!$H$5:$H$205,1)+1)-INDEX(LE_Curves!$H$5:$H$205,MATCH($R102,LE_Curves!$H$5:$H$205,1))))))</f>
        <v/>
      </c>
      <c r="Y102" s="11">
        <f>IF(Inputs!$D$29=0,0,IF($R102&lt;=Inputs!$C$29,0,IF($R102&gt;=INDEX(LE_Curves!$I$5:$I$205,201),INDEX(LE_Curves!$B$5:$B$205,201),INDEX(LE_Curves!$B$5:$B$205,MATCH($R102,LE_Curves!$I$5:$I$205,1))+($R102-INDEX(LE_Curves!$I$5:$I$205,MATCH($R102,LE_Curves!$I$5:$I$205,1)))*(INDEX(LE_Curves!$B$5:$B$205,MATCH($R102,LE_Curves!$I$5:$I$205,1)+1)-INDEX(LE_Curves!$B$5:$B$205,MATCH($R102,LE_Curves!$I$5:$I$205,1)))/(INDEX(LE_Curves!$I$5:$I$205,MATCH($R102,LE_Curves!$I$5:$I$205,1)+1)-INDEX(LE_Curves!$I$5:$I$205,MATCH($R102,LE_Curves!$I$5:$I$205,1))))))</f>
        <v/>
      </c>
      <c r="Z102" s="11">
        <f>IF(Inputs!$D$30=0,0,IF($R102&lt;=Inputs!$C$30,0,IF($R102&gt;=INDEX(LE_Curves!$J$5:$J$205,201),INDEX(LE_Curves!$B$5:$B$205,201),INDEX(LE_Curves!$B$5:$B$205,MATCH($R102,LE_Curves!$J$5:$J$205,1))+($R102-INDEX(LE_Curves!$J$5:$J$205,MATCH($R102,LE_Curves!$J$5:$J$205,1)))*(INDEX(LE_Curves!$B$5:$B$205,MATCH($R102,LE_Curves!$J$5:$J$205,1)+1)-INDEX(LE_Curves!$B$5:$B$205,MATCH($R102,LE_Curves!$J$5:$J$205,1)))/(INDEX(LE_Curves!$J$5:$J$205,MATCH($R102,LE_Curves!$J$5:$J$205,1)+1)-INDEX(LE_Curves!$J$5:$J$205,MATCH($R102,LE_Curves!$J$5:$J$205,1))))))</f>
        <v/>
      </c>
      <c r="AA102" s="11">
        <f>IF(Inputs!$D$31=0,0,IF($R102&lt;=Inputs!$C$31,0,IF($R102&gt;=INDEX(LE_Curves!$K$5:$K$205,201),INDEX(LE_Curves!$B$5:$B$205,201),INDEX(LE_Curves!$B$5:$B$205,MATCH($R102,LE_Curves!$K$5:$K$205,1))+($R102-INDEX(LE_Curves!$K$5:$K$205,MATCH($R102,LE_Curves!$K$5:$K$205,1)))*(INDEX(LE_Curves!$B$5:$B$205,MATCH($R102,LE_Curves!$K$5:$K$205,1)+1)-INDEX(LE_Curves!$B$5:$B$205,MATCH($R102,LE_Curves!$K$5:$K$205,1)))/(INDEX(LE_Curves!$K$5:$K$205,MATCH($R102,LE_Curves!$K$5:$K$205,1)+1)-INDEX(LE_Curves!$K$5:$K$205,MATCH($R102,LE_Curves!$K$5:$K$205,1))))))</f>
        <v/>
      </c>
      <c r="AB102" s="11">
        <f>IF(Inputs!$D$32=0,0,IF($R102&lt;=Inputs!$C$32,0,IF($R102&gt;=INDEX(LE_Curves!$L$5:$L$205,201),INDEX(LE_Curves!$B$5:$B$205,201),INDEX(LE_Curves!$B$5:$B$205,MATCH($R102,LE_Curves!$L$5:$L$205,1))+($R102-INDEX(LE_Curves!$L$5:$L$205,MATCH($R102,LE_Curves!$L$5:$L$205,1)))*(INDEX(LE_Curves!$B$5:$B$205,MATCH($R102,LE_Curves!$L$5:$L$205,1)+1)-INDEX(LE_Curves!$B$5:$B$205,MATCH($R102,LE_Curves!$L$5:$L$205,1)))/(INDEX(LE_Curves!$L$5:$L$205,MATCH($R102,LE_Curves!$L$5:$L$205,1)+1)-INDEX(LE_Curves!$L$5:$L$205,MATCH($R102,LE_Curves!$L$5:$L$205,1))))))</f>
        <v/>
      </c>
      <c r="AC102" s="11">
        <f>IF(Inputs!$D$33=0,0,IF($R102&lt;=Inputs!$C$33,0,IF($R102&gt;=INDEX(LE_Curves!$M$5:$M$205,201),INDEX(LE_Curves!$B$5:$B$205,201),INDEX(LE_Curves!$B$5:$B$205,MATCH($R102,LE_Curves!$M$5:$M$205,1))+($R102-INDEX(LE_Curves!$M$5:$M$205,MATCH($R102,LE_Curves!$M$5:$M$205,1)))*(INDEX(LE_Curves!$B$5:$B$205,MATCH($R102,LE_Curves!$M$5:$M$205,1)+1)-INDEX(LE_Curves!$B$5:$B$205,MATCH($R102,LE_Curves!$M$5:$M$205,1)))/(INDEX(LE_Curves!$M$5:$M$205,MATCH($R102,LE_Curves!$M$5:$M$205,1)+1)-INDEX(LE_Curves!$M$5:$M$205,MATCH($R102,LE_Curves!$M$5:$M$205,1))))))</f>
        <v/>
      </c>
      <c r="AD102" s="11">
        <f>IF(Inputs!$D$34=0,0,IF($R102&lt;=Inputs!$C$34,0,IF($R102&gt;=INDEX(LE_Curves!$N$5:$N$205,201),INDEX(LE_Curves!$B$5:$B$205,201),INDEX(LE_Curves!$B$5:$B$205,MATCH($R102,LE_Curves!$N$5:$N$205,1))+($R102-INDEX(LE_Curves!$N$5:$N$205,MATCH($R102,LE_Curves!$N$5:$N$205,1)))*(INDEX(LE_Curves!$B$5:$B$205,MATCH($R102,LE_Curves!$N$5:$N$205,1)+1)-INDEX(LE_Curves!$B$5:$B$205,MATCH($R102,LE_Curves!$N$5:$N$205,1)))/(INDEX(LE_Curves!$N$5:$N$205,MATCH($R102,LE_Curves!$N$5:$N$205,1)+1)-INDEX(LE_Curves!$N$5:$N$205,MATCH($R102,LE_Curves!$N$5:$N$205,1))))))</f>
        <v/>
      </c>
      <c r="AE102" s="37">
        <f>SUM(S102:AD102)</f>
        <v/>
      </c>
    </row>
    <row r="103">
      <c r="A103" s="7" t="n">
        <v>72</v>
      </c>
      <c r="B103" s="37">
        <f>$B$3+($B$4-$B$3)*A103/200</f>
        <v/>
      </c>
      <c r="C103" s="11">
        <f>IF(Inputs!$D$23=0,0,IF($B103&lt;=Inputs!$C$23,0,IF($B103&gt;=INDEX(LE_Curves!$C$5:$C$205,201),INDEX(LE_Curves!$B$5:$B$205,201),INDEX(LE_Curves!$B$5:$B$205,MATCH($B103,LE_Curves!$C$5:$C$205,1))+($B103-INDEX(LE_Curves!$C$5:$C$205,MATCH($B103,LE_Curves!$C$5:$C$205,1)))*(INDEX(LE_Curves!$B$5:$B$205,MATCH($B103,LE_Curves!$C$5:$C$205,1)+1)-INDEX(LE_Curves!$B$5:$B$205,MATCH($B103,LE_Curves!$C$5:$C$205,1)))/(INDEX(LE_Curves!$C$5:$C$205,MATCH($B103,LE_Curves!$C$5:$C$205,1)+1)-INDEX(LE_Curves!$C$5:$C$205,MATCH($B103,LE_Curves!$C$5:$C$205,1))))))</f>
        <v/>
      </c>
      <c r="D103" s="11">
        <f>IF(Inputs!$D$24=0,0,IF($B103&lt;=Inputs!$C$24,0,IF($B103&gt;=INDEX(LE_Curves!$D$5:$D$205,201),INDEX(LE_Curves!$B$5:$B$205,201),INDEX(LE_Curves!$B$5:$B$205,MATCH($B103,LE_Curves!$D$5:$D$205,1))+($B103-INDEX(LE_Curves!$D$5:$D$205,MATCH($B103,LE_Curves!$D$5:$D$205,1)))*(INDEX(LE_Curves!$B$5:$B$205,MATCH($B103,LE_Curves!$D$5:$D$205,1)+1)-INDEX(LE_Curves!$B$5:$B$205,MATCH($B103,LE_Curves!$D$5:$D$205,1)))/(INDEX(LE_Curves!$D$5:$D$205,MATCH($B103,LE_Curves!$D$5:$D$205,1)+1)-INDEX(LE_Curves!$D$5:$D$205,MATCH($B103,LE_Curves!$D$5:$D$205,1))))))</f>
        <v/>
      </c>
      <c r="E103" s="11">
        <f>IF(Inputs!$D$25=0,0,IF($B103&lt;=Inputs!$C$25,0,IF($B103&gt;=INDEX(LE_Curves!$E$5:$E$205,201),INDEX(LE_Curves!$B$5:$B$205,201),INDEX(LE_Curves!$B$5:$B$205,MATCH($B103,LE_Curves!$E$5:$E$205,1))+($B103-INDEX(LE_Curves!$E$5:$E$205,MATCH($B103,LE_Curves!$E$5:$E$205,1)))*(INDEX(LE_Curves!$B$5:$B$205,MATCH($B103,LE_Curves!$E$5:$E$205,1)+1)-INDEX(LE_Curves!$B$5:$B$205,MATCH($B103,LE_Curves!$E$5:$E$205,1)))/(INDEX(LE_Curves!$E$5:$E$205,MATCH($B103,LE_Curves!$E$5:$E$205,1)+1)-INDEX(LE_Curves!$E$5:$E$205,MATCH($B103,LE_Curves!$E$5:$E$205,1))))))</f>
        <v/>
      </c>
      <c r="F103" s="11">
        <f>IF(Inputs!$D$26=0,0,IF($B103&lt;=Inputs!$C$26,0,IF($B103&gt;=INDEX(LE_Curves!$F$5:$F$205,201),INDEX(LE_Curves!$B$5:$B$205,201),INDEX(LE_Curves!$B$5:$B$205,MATCH($B103,LE_Curves!$F$5:$F$205,1))+($B103-INDEX(LE_Curves!$F$5:$F$205,MATCH($B103,LE_Curves!$F$5:$F$205,1)))*(INDEX(LE_Curves!$B$5:$B$205,MATCH($B103,LE_Curves!$F$5:$F$205,1)+1)-INDEX(LE_Curves!$B$5:$B$205,MATCH($B103,LE_Curves!$F$5:$F$205,1)))/(INDEX(LE_Curves!$F$5:$F$205,MATCH($B103,LE_Curves!$F$5:$F$205,1)+1)-INDEX(LE_Curves!$F$5:$F$205,MATCH($B103,LE_Curves!$F$5:$F$205,1))))))</f>
        <v/>
      </c>
      <c r="G103" s="11">
        <f>IF(Inputs!$D$27=0,0,IF($B103&lt;=Inputs!$C$27,0,IF($B103&gt;=INDEX(LE_Curves!$G$5:$G$205,201),INDEX(LE_Curves!$B$5:$B$205,201),INDEX(LE_Curves!$B$5:$B$205,MATCH($B103,LE_Curves!$G$5:$G$205,1))+($B103-INDEX(LE_Curves!$G$5:$G$205,MATCH($B103,LE_Curves!$G$5:$G$205,1)))*(INDEX(LE_Curves!$B$5:$B$205,MATCH($B103,LE_Curves!$G$5:$G$205,1)+1)-INDEX(LE_Curves!$B$5:$B$205,MATCH($B103,LE_Curves!$G$5:$G$205,1)))/(INDEX(LE_Curves!$G$5:$G$205,MATCH($B103,LE_Curves!$G$5:$G$205,1)+1)-INDEX(LE_Curves!$G$5:$G$205,MATCH($B103,LE_Curves!$G$5:$G$205,1))))))</f>
        <v/>
      </c>
      <c r="H103" s="11">
        <f>IF(Inputs!$D$28=0,0,IF($B103&lt;=Inputs!$C$28,0,IF($B103&gt;=INDEX(LE_Curves!$H$5:$H$205,201),INDEX(LE_Curves!$B$5:$B$205,201),INDEX(LE_Curves!$B$5:$B$205,MATCH($B103,LE_Curves!$H$5:$H$205,1))+($B103-INDEX(LE_Curves!$H$5:$H$205,MATCH($B103,LE_Curves!$H$5:$H$205,1)))*(INDEX(LE_Curves!$B$5:$B$205,MATCH($B103,LE_Curves!$H$5:$H$205,1)+1)-INDEX(LE_Curves!$B$5:$B$205,MATCH($B103,LE_Curves!$H$5:$H$205,1)))/(INDEX(LE_Curves!$H$5:$H$205,MATCH($B103,LE_Curves!$H$5:$H$205,1)+1)-INDEX(LE_Curves!$H$5:$H$205,MATCH($B103,LE_Curves!$H$5:$H$205,1))))))</f>
        <v/>
      </c>
      <c r="I103" s="11">
        <f>IF(Inputs!$D$29=0,0,IF($B103&lt;=Inputs!$C$29,0,IF($B103&gt;=INDEX(LE_Curves!$I$5:$I$205,201),INDEX(LE_Curves!$B$5:$B$205,201),INDEX(LE_Curves!$B$5:$B$205,MATCH($B103,LE_Curves!$I$5:$I$205,1))+($B103-INDEX(LE_Curves!$I$5:$I$205,MATCH($B103,LE_Curves!$I$5:$I$205,1)))*(INDEX(LE_Curves!$B$5:$B$205,MATCH($B103,LE_Curves!$I$5:$I$205,1)+1)-INDEX(LE_Curves!$B$5:$B$205,MATCH($B103,LE_Curves!$I$5:$I$205,1)))/(INDEX(LE_Curves!$I$5:$I$205,MATCH($B103,LE_Curves!$I$5:$I$205,1)+1)-INDEX(LE_Curves!$I$5:$I$205,MATCH($B103,LE_Curves!$I$5:$I$205,1))))))</f>
        <v/>
      </c>
      <c r="J103" s="11">
        <f>IF(Inputs!$D$30=0,0,IF($B103&lt;=Inputs!$C$30,0,IF($B103&gt;=INDEX(LE_Curves!$J$5:$J$205,201),INDEX(LE_Curves!$B$5:$B$205,201),INDEX(LE_Curves!$B$5:$B$205,MATCH($B103,LE_Curves!$J$5:$J$205,1))+($B103-INDEX(LE_Curves!$J$5:$J$205,MATCH($B103,LE_Curves!$J$5:$J$205,1)))*(INDEX(LE_Curves!$B$5:$B$205,MATCH($B103,LE_Curves!$J$5:$J$205,1)+1)-INDEX(LE_Curves!$B$5:$B$205,MATCH($B103,LE_Curves!$J$5:$J$205,1)))/(INDEX(LE_Curves!$J$5:$J$205,MATCH($B103,LE_Curves!$J$5:$J$205,1)+1)-INDEX(LE_Curves!$J$5:$J$205,MATCH($B103,LE_Curves!$J$5:$J$205,1))))))</f>
        <v/>
      </c>
      <c r="K103" s="11">
        <f>IF(Inputs!$D$31=0,0,IF($B103&lt;=Inputs!$C$31,0,IF($B103&gt;=INDEX(LE_Curves!$K$5:$K$205,201),INDEX(LE_Curves!$B$5:$B$205,201),INDEX(LE_Curves!$B$5:$B$205,MATCH($B103,LE_Curves!$K$5:$K$205,1))+($B103-INDEX(LE_Curves!$K$5:$K$205,MATCH($B103,LE_Curves!$K$5:$K$205,1)))*(INDEX(LE_Curves!$B$5:$B$205,MATCH($B103,LE_Curves!$K$5:$K$205,1)+1)-INDEX(LE_Curves!$B$5:$B$205,MATCH($B103,LE_Curves!$K$5:$K$205,1)))/(INDEX(LE_Curves!$K$5:$K$205,MATCH($B103,LE_Curves!$K$5:$K$205,1)+1)-INDEX(LE_Curves!$K$5:$K$205,MATCH($B103,LE_Curves!$K$5:$K$205,1))))))</f>
        <v/>
      </c>
      <c r="L103" s="11">
        <f>IF(Inputs!$D$32=0,0,IF($B103&lt;=Inputs!$C$32,0,IF($B103&gt;=INDEX(LE_Curves!$L$5:$L$205,201),INDEX(LE_Curves!$B$5:$B$205,201),INDEX(LE_Curves!$B$5:$B$205,MATCH($B103,LE_Curves!$L$5:$L$205,1))+($B103-INDEX(LE_Curves!$L$5:$L$205,MATCH($B103,LE_Curves!$L$5:$L$205,1)))*(INDEX(LE_Curves!$B$5:$B$205,MATCH($B103,LE_Curves!$L$5:$L$205,1)+1)-INDEX(LE_Curves!$B$5:$B$205,MATCH($B103,LE_Curves!$L$5:$L$205,1)))/(INDEX(LE_Curves!$L$5:$L$205,MATCH($B103,LE_Curves!$L$5:$L$205,1)+1)-INDEX(LE_Curves!$L$5:$L$205,MATCH($B103,LE_Curves!$L$5:$L$205,1))))))</f>
        <v/>
      </c>
      <c r="M103" s="11">
        <f>IF(Inputs!$D$33=0,0,IF($B103&lt;=Inputs!$C$33,0,IF($B103&gt;=INDEX(LE_Curves!$M$5:$M$205,201),INDEX(LE_Curves!$B$5:$B$205,201),INDEX(LE_Curves!$B$5:$B$205,MATCH($B103,LE_Curves!$M$5:$M$205,1))+($B103-INDEX(LE_Curves!$M$5:$M$205,MATCH($B103,LE_Curves!$M$5:$M$205,1)))*(INDEX(LE_Curves!$B$5:$B$205,MATCH($B103,LE_Curves!$M$5:$M$205,1)+1)-INDEX(LE_Curves!$B$5:$B$205,MATCH($B103,LE_Curves!$M$5:$M$205,1)))/(INDEX(LE_Curves!$M$5:$M$205,MATCH($B103,LE_Curves!$M$5:$M$205,1)+1)-INDEX(LE_Curves!$M$5:$M$205,MATCH($B103,LE_Curves!$M$5:$M$205,1))))))</f>
        <v/>
      </c>
      <c r="N103" s="11">
        <f>IF(Inputs!$D$34=0,0,IF($B103&lt;=Inputs!$C$34,0,IF($B103&gt;=INDEX(LE_Curves!$N$5:$N$205,201),INDEX(LE_Curves!$B$5:$B$205,201),INDEX(LE_Curves!$B$5:$B$205,MATCH($B103,LE_Curves!$N$5:$N$205,1))+($B103-INDEX(LE_Curves!$N$5:$N$205,MATCH($B103,LE_Curves!$N$5:$N$205,1)))*(INDEX(LE_Curves!$B$5:$B$205,MATCH($B103,LE_Curves!$N$5:$N$205,1)+1)-INDEX(LE_Curves!$B$5:$B$205,MATCH($B103,LE_Curves!$N$5:$N$205,1)))/(INDEX(LE_Curves!$N$5:$N$205,MATCH($B103,LE_Curves!$N$5:$N$205,1)+1)-INDEX(LE_Curves!$N$5:$N$205,MATCH($B103,LE_Curves!$N$5:$N$205,1))))))</f>
        <v/>
      </c>
      <c r="O103" s="11">
        <f>SUM(C103:N103)</f>
        <v/>
      </c>
      <c r="Q103" s="7" t="n">
        <v>72</v>
      </c>
      <c r="R103" s="23">
        <f>$B$6+($B$7-$B$6)*Q103/200</f>
        <v/>
      </c>
      <c r="S103" s="11">
        <f>IF(Inputs!$D$23=0,0,IF($R103&lt;=Inputs!$C$23,0,IF($R103&gt;=INDEX(LE_Curves!$C$5:$C$205,201),INDEX(LE_Curves!$B$5:$B$205,201),INDEX(LE_Curves!$B$5:$B$205,MATCH($R103,LE_Curves!$C$5:$C$205,1))+($R103-INDEX(LE_Curves!$C$5:$C$205,MATCH($R103,LE_Curves!$C$5:$C$205,1)))*(INDEX(LE_Curves!$B$5:$B$205,MATCH($R103,LE_Curves!$C$5:$C$205,1)+1)-INDEX(LE_Curves!$B$5:$B$205,MATCH($R103,LE_Curves!$C$5:$C$205,1)))/(INDEX(LE_Curves!$C$5:$C$205,MATCH($R103,LE_Curves!$C$5:$C$205,1)+1)-INDEX(LE_Curves!$C$5:$C$205,MATCH($R103,LE_Curves!$C$5:$C$205,1))))))</f>
        <v/>
      </c>
      <c r="T103" s="11">
        <f>IF(Inputs!$D$24=0,0,IF($R103&lt;=Inputs!$C$24,0,IF($R103&gt;=INDEX(LE_Curves!$D$5:$D$205,201),INDEX(LE_Curves!$B$5:$B$205,201),INDEX(LE_Curves!$B$5:$B$205,MATCH($R103,LE_Curves!$D$5:$D$205,1))+($R103-INDEX(LE_Curves!$D$5:$D$205,MATCH($R103,LE_Curves!$D$5:$D$205,1)))*(INDEX(LE_Curves!$B$5:$B$205,MATCH($R103,LE_Curves!$D$5:$D$205,1)+1)-INDEX(LE_Curves!$B$5:$B$205,MATCH($R103,LE_Curves!$D$5:$D$205,1)))/(INDEX(LE_Curves!$D$5:$D$205,MATCH($R103,LE_Curves!$D$5:$D$205,1)+1)-INDEX(LE_Curves!$D$5:$D$205,MATCH($R103,LE_Curves!$D$5:$D$205,1))))))</f>
        <v/>
      </c>
      <c r="U103" s="11">
        <f>IF(Inputs!$D$25=0,0,IF($R103&lt;=Inputs!$C$25,0,IF($R103&gt;=INDEX(LE_Curves!$E$5:$E$205,201),INDEX(LE_Curves!$B$5:$B$205,201),INDEX(LE_Curves!$B$5:$B$205,MATCH($R103,LE_Curves!$E$5:$E$205,1))+($R103-INDEX(LE_Curves!$E$5:$E$205,MATCH($R103,LE_Curves!$E$5:$E$205,1)))*(INDEX(LE_Curves!$B$5:$B$205,MATCH($R103,LE_Curves!$E$5:$E$205,1)+1)-INDEX(LE_Curves!$B$5:$B$205,MATCH($R103,LE_Curves!$E$5:$E$205,1)))/(INDEX(LE_Curves!$E$5:$E$205,MATCH($R103,LE_Curves!$E$5:$E$205,1)+1)-INDEX(LE_Curves!$E$5:$E$205,MATCH($R103,LE_Curves!$E$5:$E$205,1))))))</f>
        <v/>
      </c>
      <c r="V103" s="11">
        <f>IF(Inputs!$D$26=0,0,IF($R103&lt;=Inputs!$C$26,0,IF($R103&gt;=INDEX(LE_Curves!$F$5:$F$205,201),INDEX(LE_Curves!$B$5:$B$205,201),INDEX(LE_Curves!$B$5:$B$205,MATCH($R103,LE_Curves!$F$5:$F$205,1))+($R103-INDEX(LE_Curves!$F$5:$F$205,MATCH($R103,LE_Curves!$F$5:$F$205,1)))*(INDEX(LE_Curves!$B$5:$B$205,MATCH($R103,LE_Curves!$F$5:$F$205,1)+1)-INDEX(LE_Curves!$B$5:$B$205,MATCH($R103,LE_Curves!$F$5:$F$205,1)))/(INDEX(LE_Curves!$F$5:$F$205,MATCH($R103,LE_Curves!$F$5:$F$205,1)+1)-INDEX(LE_Curves!$F$5:$F$205,MATCH($R103,LE_Curves!$F$5:$F$205,1))))))</f>
        <v/>
      </c>
      <c r="W103" s="11">
        <f>IF(Inputs!$D$27=0,0,IF($R103&lt;=Inputs!$C$27,0,IF($R103&gt;=INDEX(LE_Curves!$G$5:$G$205,201),INDEX(LE_Curves!$B$5:$B$205,201),INDEX(LE_Curves!$B$5:$B$205,MATCH($R103,LE_Curves!$G$5:$G$205,1))+($R103-INDEX(LE_Curves!$G$5:$G$205,MATCH($R103,LE_Curves!$G$5:$G$205,1)))*(INDEX(LE_Curves!$B$5:$B$205,MATCH($R103,LE_Curves!$G$5:$G$205,1)+1)-INDEX(LE_Curves!$B$5:$B$205,MATCH($R103,LE_Curves!$G$5:$G$205,1)))/(INDEX(LE_Curves!$G$5:$G$205,MATCH($R103,LE_Curves!$G$5:$G$205,1)+1)-INDEX(LE_Curves!$G$5:$G$205,MATCH($R103,LE_Curves!$G$5:$G$205,1))))))</f>
        <v/>
      </c>
      <c r="X103" s="11">
        <f>IF(Inputs!$D$28=0,0,IF($R103&lt;=Inputs!$C$28,0,IF($R103&gt;=INDEX(LE_Curves!$H$5:$H$205,201),INDEX(LE_Curves!$B$5:$B$205,201),INDEX(LE_Curves!$B$5:$B$205,MATCH($R103,LE_Curves!$H$5:$H$205,1))+($R103-INDEX(LE_Curves!$H$5:$H$205,MATCH($R103,LE_Curves!$H$5:$H$205,1)))*(INDEX(LE_Curves!$B$5:$B$205,MATCH($R103,LE_Curves!$H$5:$H$205,1)+1)-INDEX(LE_Curves!$B$5:$B$205,MATCH($R103,LE_Curves!$H$5:$H$205,1)))/(INDEX(LE_Curves!$H$5:$H$205,MATCH($R103,LE_Curves!$H$5:$H$205,1)+1)-INDEX(LE_Curves!$H$5:$H$205,MATCH($R103,LE_Curves!$H$5:$H$205,1))))))</f>
        <v/>
      </c>
      <c r="Y103" s="11">
        <f>IF(Inputs!$D$29=0,0,IF($R103&lt;=Inputs!$C$29,0,IF($R103&gt;=INDEX(LE_Curves!$I$5:$I$205,201),INDEX(LE_Curves!$B$5:$B$205,201),INDEX(LE_Curves!$B$5:$B$205,MATCH($R103,LE_Curves!$I$5:$I$205,1))+($R103-INDEX(LE_Curves!$I$5:$I$205,MATCH($R103,LE_Curves!$I$5:$I$205,1)))*(INDEX(LE_Curves!$B$5:$B$205,MATCH($R103,LE_Curves!$I$5:$I$205,1)+1)-INDEX(LE_Curves!$B$5:$B$205,MATCH($R103,LE_Curves!$I$5:$I$205,1)))/(INDEX(LE_Curves!$I$5:$I$205,MATCH($R103,LE_Curves!$I$5:$I$205,1)+1)-INDEX(LE_Curves!$I$5:$I$205,MATCH($R103,LE_Curves!$I$5:$I$205,1))))))</f>
        <v/>
      </c>
      <c r="Z103" s="11">
        <f>IF(Inputs!$D$30=0,0,IF($R103&lt;=Inputs!$C$30,0,IF($R103&gt;=INDEX(LE_Curves!$J$5:$J$205,201),INDEX(LE_Curves!$B$5:$B$205,201),INDEX(LE_Curves!$B$5:$B$205,MATCH($R103,LE_Curves!$J$5:$J$205,1))+($R103-INDEX(LE_Curves!$J$5:$J$205,MATCH($R103,LE_Curves!$J$5:$J$205,1)))*(INDEX(LE_Curves!$B$5:$B$205,MATCH($R103,LE_Curves!$J$5:$J$205,1)+1)-INDEX(LE_Curves!$B$5:$B$205,MATCH($R103,LE_Curves!$J$5:$J$205,1)))/(INDEX(LE_Curves!$J$5:$J$205,MATCH($R103,LE_Curves!$J$5:$J$205,1)+1)-INDEX(LE_Curves!$J$5:$J$205,MATCH($R103,LE_Curves!$J$5:$J$205,1))))))</f>
        <v/>
      </c>
      <c r="AA103" s="11">
        <f>IF(Inputs!$D$31=0,0,IF($R103&lt;=Inputs!$C$31,0,IF($R103&gt;=INDEX(LE_Curves!$K$5:$K$205,201),INDEX(LE_Curves!$B$5:$B$205,201),INDEX(LE_Curves!$B$5:$B$205,MATCH($R103,LE_Curves!$K$5:$K$205,1))+($R103-INDEX(LE_Curves!$K$5:$K$205,MATCH($R103,LE_Curves!$K$5:$K$205,1)))*(INDEX(LE_Curves!$B$5:$B$205,MATCH($R103,LE_Curves!$K$5:$K$205,1)+1)-INDEX(LE_Curves!$B$5:$B$205,MATCH($R103,LE_Curves!$K$5:$K$205,1)))/(INDEX(LE_Curves!$K$5:$K$205,MATCH($R103,LE_Curves!$K$5:$K$205,1)+1)-INDEX(LE_Curves!$K$5:$K$205,MATCH($R103,LE_Curves!$K$5:$K$205,1))))))</f>
        <v/>
      </c>
      <c r="AB103" s="11">
        <f>IF(Inputs!$D$32=0,0,IF($R103&lt;=Inputs!$C$32,0,IF($R103&gt;=INDEX(LE_Curves!$L$5:$L$205,201),INDEX(LE_Curves!$B$5:$B$205,201),INDEX(LE_Curves!$B$5:$B$205,MATCH($R103,LE_Curves!$L$5:$L$205,1))+($R103-INDEX(LE_Curves!$L$5:$L$205,MATCH($R103,LE_Curves!$L$5:$L$205,1)))*(INDEX(LE_Curves!$B$5:$B$205,MATCH($R103,LE_Curves!$L$5:$L$205,1)+1)-INDEX(LE_Curves!$B$5:$B$205,MATCH($R103,LE_Curves!$L$5:$L$205,1)))/(INDEX(LE_Curves!$L$5:$L$205,MATCH($R103,LE_Curves!$L$5:$L$205,1)+1)-INDEX(LE_Curves!$L$5:$L$205,MATCH($R103,LE_Curves!$L$5:$L$205,1))))))</f>
        <v/>
      </c>
      <c r="AC103" s="11">
        <f>IF(Inputs!$D$33=0,0,IF($R103&lt;=Inputs!$C$33,0,IF($R103&gt;=INDEX(LE_Curves!$M$5:$M$205,201),INDEX(LE_Curves!$B$5:$B$205,201),INDEX(LE_Curves!$B$5:$B$205,MATCH($R103,LE_Curves!$M$5:$M$205,1))+($R103-INDEX(LE_Curves!$M$5:$M$205,MATCH($R103,LE_Curves!$M$5:$M$205,1)))*(INDEX(LE_Curves!$B$5:$B$205,MATCH($R103,LE_Curves!$M$5:$M$205,1)+1)-INDEX(LE_Curves!$B$5:$B$205,MATCH($R103,LE_Curves!$M$5:$M$205,1)))/(INDEX(LE_Curves!$M$5:$M$205,MATCH($R103,LE_Curves!$M$5:$M$205,1)+1)-INDEX(LE_Curves!$M$5:$M$205,MATCH($R103,LE_Curves!$M$5:$M$205,1))))))</f>
        <v/>
      </c>
      <c r="AD103" s="11">
        <f>IF(Inputs!$D$34=0,0,IF($R103&lt;=Inputs!$C$34,0,IF($R103&gt;=INDEX(LE_Curves!$N$5:$N$205,201),INDEX(LE_Curves!$B$5:$B$205,201),INDEX(LE_Curves!$B$5:$B$205,MATCH($R103,LE_Curves!$N$5:$N$205,1))+($R103-INDEX(LE_Curves!$N$5:$N$205,MATCH($R103,LE_Curves!$N$5:$N$205,1)))*(INDEX(LE_Curves!$B$5:$B$205,MATCH($R103,LE_Curves!$N$5:$N$205,1)+1)-INDEX(LE_Curves!$B$5:$B$205,MATCH($R103,LE_Curves!$N$5:$N$205,1)))/(INDEX(LE_Curves!$N$5:$N$205,MATCH($R103,LE_Curves!$N$5:$N$205,1)+1)-INDEX(LE_Curves!$N$5:$N$205,MATCH($R103,LE_Curves!$N$5:$N$205,1))))))</f>
        <v/>
      </c>
      <c r="AE103" s="37">
        <f>SUM(S103:AD103)</f>
        <v/>
      </c>
    </row>
    <row r="104">
      <c r="A104" s="7" t="n">
        <v>73</v>
      </c>
      <c r="B104" s="37">
        <f>$B$3+($B$4-$B$3)*A104/200</f>
        <v/>
      </c>
      <c r="C104" s="11">
        <f>IF(Inputs!$D$23=0,0,IF($B104&lt;=Inputs!$C$23,0,IF($B104&gt;=INDEX(LE_Curves!$C$5:$C$205,201),INDEX(LE_Curves!$B$5:$B$205,201),INDEX(LE_Curves!$B$5:$B$205,MATCH($B104,LE_Curves!$C$5:$C$205,1))+($B104-INDEX(LE_Curves!$C$5:$C$205,MATCH($B104,LE_Curves!$C$5:$C$205,1)))*(INDEX(LE_Curves!$B$5:$B$205,MATCH($B104,LE_Curves!$C$5:$C$205,1)+1)-INDEX(LE_Curves!$B$5:$B$205,MATCH($B104,LE_Curves!$C$5:$C$205,1)))/(INDEX(LE_Curves!$C$5:$C$205,MATCH($B104,LE_Curves!$C$5:$C$205,1)+1)-INDEX(LE_Curves!$C$5:$C$205,MATCH($B104,LE_Curves!$C$5:$C$205,1))))))</f>
        <v/>
      </c>
      <c r="D104" s="11">
        <f>IF(Inputs!$D$24=0,0,IF($B104&lt;=Inputs!$C$24,0,IF($B104&gt;=INDEX(LE_Curves!$D$5:$D$205,201),INDEX(LE_Curves!$B$5:$B$205,201),INDEX(LE_Curves!$B$5:$B$205,MATCH($B104,LE_Curves!$D$5:$D$205,1))+($B104-INDEX(LE_Curves!$D$5:$D$205,MATCH($B104,LE_Curves!$D$5:$D$205,1)))*(INDEX(LE_Curves!$B$5:$B$205,MATCH($B104,LE_Curves!$D$5:$D$205,1)+1)-INDEX(LE_Curves!$B$5:$B$205,MATCH($B104,LE_Curves!$D$5:$D$205,1)))/(INDEX(LE_Curves!$D$5:$D$205,MATCH($B104,LE_Curves!$D$5:$D$205,1)+1)-INDEX(LE_Curves!$D$5:$D$205,MATCH($B104,LE_Curves!$D$5:$D$205,1))))))</f>
        <v/>
      </c>
      <c r="E104" s="11">
        <f>IF(Inputs!$D$25=0,0,IF($B104&lt;=Inputs!$C$25,0,IF($B104&gt;=INDEX(LE_Curves!$E$5:$E$205,201),INDEX(LE_Curves!$B$5:$B$205,201),INDEX(LE_Curves!$B$5:$B$205,MATCH($B104,LE_Curves!$E$5:$E$205,1))+($B104-INDEX(LE_Curves!$E$5:$E$205,MATCH($B104,LE_Curves!$E$5:$E$205,1)))*(INDEX(LE_Curves!$B$5:$B$205,MATCH($B104,LE_Curves!$E$5:$E$205,1)+1)-INDEX(LE_Curves!$B$5:$B$205,MATCH($B104,LE_Curves!$E$5:$E$205,1)))/(INDEX(LE_Curves!$E$5:$E$205,MATCH($B104,LE_Curves!$E$5:$E$205,1)+1)-INDEX(LE_Curves!$E$5:$E$205,MATCH($B104,LE_Curves!$E$5:$E$205,1))))))</f>
        <v/>
      </c>
      <c r="F104" s="11">
        <f>IF(Inputs!$D$26=0,0,IF($B104&lt;=Inputs!$C$26,0,IF($B104&gt;=INDEX(LE_Curves!$F$5:$F$205,201),INDEX(LE_Curves!$B$5:$B$205,201),INDEX(LE_Curves!$B$5:$B$205,MATCH($B104,LE_Curves!$F$5:$F$205,1))+($B104-INDEX(LE_Curves!$F$5:$F$205,MATCH($B104,LE_Curves!$F$5:$F$205,1)))*(INDEX(LE_Curves!$B$5:$B$205,MATCH($B104,LE_Curves!$F$5:$F$205,1)+1)-INDEX(LE_Curves!$B$5:$B$205,MATCH($B104,LE_Curves!$F$5:$F$205,1)))/(INDEX(LE_Curves!$F$5:$F$205,MATCH($B104,LE_Curves!$F$5:$F$205,1)+1)-INDEX(LE_Curves!$F$5:$F$205,MATCH($B104,LE_Curves!$F$5:$F$205,1))))))</f>
        <v/>
      </c>
      <c r="G104" s="11">
        <f>IF(Inputs!$D$27=0,0,IF($B104&lt;=Inputs!$C$27,0,IF($B104&gt;=INDEX(LE_Curves!$G$5:$G$205,201),INDEX(LE_Curves!$B$5:$B$205,201),INDEX(LE_Curves!$B$5:$B$205,MATCH($B104,LE_Curves!$G$5:$G$205,1))+($B104-INDEX(LE_Curves!$G$5:$G$205,MATCH($B104,LE_Curves!$G$5:$G$205,1)))*(INDEX(LE_Curves!$B$5:$B$205,MATCH($B104,LE_Curves!$G$5:$G$205,1)+1)-INDEX(LE_Curves!$B$5:$B$205,MATCH($B104,LE_Curves!$G$5:$G$205,1)))/(INDEX(LE_Curves!$G$5:$G$205,MATCH($B104,LE_Curves!$G$5:$G$205,1)+1)-INDEX(LE_Curves!$G$5:$G$205,MATCH($B104,LE_Curves!$G$5:$G$205,1))))))</f>
        <v/>
      </c>
      <c r="H104" s="11">
        <f>IF(Inputs!$D$28=0,0,IF($B104&lt;=Inputs!$C$28,0,IF($B104&gt;=INDEX(LE_Curves!$H$5:$H$205,201),INDEX(LE_Curves!$B$5:$B$205,201),INDEX(LE_Curves!$B$5:$B$205,MATCH($B104,LE_Curves!$H$5:$H$205,1))+($B104-INDEX(LE_Curves!$H$5:$H$205,MATCH($B104,LE_Curves!$H$5:$H$205,1)))*(INDEX(LE_Curves!$B$5:$B$205,MATCH($B104,LE_Curves!$H$5:$H$205,1)+1)-INDEX(LE_Curves!$B$5:$B$205,MATCH($B104,LE_Curves!$H$5:$H$205,1)))/(INDEX(LE_Curves!$H$5:$H$205,MATCH($B104,LE_Curves!$H$5:$H$205,1)+1)-INDEX(LE_Curves!$H$5:$H$205,MATCH($B104,LE_Curves!$H$5:$H$205,1))))))</f>
        <v/>
      </c>
      <c r="I104" s="11">
        <f>IF(Inputs!$D$29=0,0,IF($B104&lt;=Inputs!$C$29,0,IF($B104&gt;=INDEX(LE_Curves!$I$5:$I$205,201),INDEX(LE_Curves!$B$5:$B$205,201),INDEX(LE_Curves!$B$5:$B$205,MATCH($B104,LE_Curves!$I$5:$I$205,1))+($B104-INDEX(LE_Curves!$I$5:$I$205,MATCH($B104,LE_Curves!$I$5:$I$205,1)))*(INDEX(LE_Curves!$B$5:$B$205,MATCH($B104,LE_Curves!$I$5:$I$205,1)+1)-INDEX(LE_Curves!$B$5:$B$205,MATCH($B104,LE_Curves!$I$5:$I$205,1)))/(INDEX(LE_Curves!$I$5:$I$205,MATCH($B104,LE_Curves!$I$5:$I$205,1)+1)-INDEX(LE_Curves!$I$5:$I$205,MATCH($B104,LE_Curves!$I$5:$I$205,1))))))</f>
        <v/>
      </c>
      <c r="J104" s="11">
        <f>IF(Inputs!$D$30=0,0,IF($B104&lt;=Inputs!$C$30,0,IF($B104&gt;=INDEX(LE_Curves!$J$5:$J$205,201),INDEX(LE_Curves!$B$5:$B$205,201),INDEX(LE_Curves!$B$5:$B$205,MATCH($B104,LE_Curves!$J$5:$J$205,1))+($B104-INDEX(LE_Curves!$J$5:$J$205,MATCH($B104,LE_Curves!$J$5:$J$205,1)))*(INDEX(LE_Curves!$B$5:$B$205,MATCH($B104,LE_Curves!$J$5:$J$205,1)+1)-INDEX(LE_Curves!$B$5:$B$205,MATCH($B104,LE_Curves!$J$5:$J$205,1)))/(INDEX(LE_Curves!$J$5:$J$205,MATCH($B104,LE_Curves!$J$5:$J$205,1)+1)-INDEX(LE_Curves!$J$5:$J$205,MATCH($B104,LE_Curves!$J$5:$J$205,1))))))</f>
        <v/>
      </c>
      <c r="K104" s="11">
        <f>IF(Inputs!$D$31=0,0,IF($B104&lt;=Inputs!$C$31,0,IF($B104&gt;=INDEX(LE_Curves!$K$5:$K$205,201),INDEX(LE_Curves!$B$5:$B$205,201),INDEX(LE_Curves!$B$5:$B$205,MATCH($B104,LE_Curves!$K$5:$K$205,1))+($B104-INDEX(LE_Curves!$K$5:$K$205,MATCH($B104,LE_Curves!$K$5:$K$205,1)))*(INDEX(LE_Curves!$B$5:$B$205,MATCH($B104,LE_Curves!$K$5:$K$205,1)+1)-INDEX(LE_Curves!$B$5:$B$205,MATCH($B104,LE_Curves!$K$5:$K$205,1)))/(INDEX(LE_Curves!$K$5:$K$205,MATCH($B104,LE_Curves!$K$5:$K$205,1)+1)-INDEX(LE_Curves!$K$5:$K$205,MATCH($B104,LE_Curves!$K$5:$K$205,1))))))</f>
        <v/>
      </c>
      <c r="L104" s="11">
        <f>IF(Inputs!$D$32=0,0,IF($B104&lt;=Inputs!$C$32,0,IF($B104&gt;=INDEX(LE_Curves!$L$5:$L$205,201),INDEX(LE_Curves!$B$5:$B$205,201),INDEX(LE_Curves!$B$5:$B$205,MATCH($B104,LE_Curves!$L$5:$L$205,1))+($B104-INDEX(LE_Curves!$L$5:$L$205,MATCH($B104,LE_Curves!$L$5:$L$205,1)))*(INDEX(LE_Curves!$B$5:$B$205,MATCH($B104,LE_Curves!$L$5:$L$205,1)+1)-INDEX(LE_Curves!$B$5:$B$205,MATCH($B104,LE_Curves!$L$5:$L$205,1)))/(INDEX(LE_Curves!$L$5:$L$205,MATCH($B104,LE_Curves!$L$5:$L$205,1)+1)-INDEX(LE_Curves!$L$5:$L$205,MATCH($B104,LE_Curves!$L$5:$L$205,1))))))</f>
        <v/>
      </c>
      <c r="M104" s="11">
        <f>IF(Inputs!$D$33=0,0,IF($B104&lt;=Inputs!$C$33,0,IF($B104&gt;=INDEX(LE_Curves!$M$5:$M$205,201),INDEX(LE_Curves!$B$5:$B$205,201),INDEX(LE_Curves!$B$5:$B$205,MATCH($B104,LE_Curves!$M$5:$M$205,1))+($B104-INDEX(LE_Curves!$M$5:$M$205,MATCH($B104,LE_Curves!$M$5:$M$205,1)))*(INDEX(LE_Curves!$B$5:$B$205,MATCH($B104,LE_Curves!$M$5:$M$205,1)+1)-INDEX(LE_Curves!$B$5:$B$205,MATCH($B104,LE_Curves!$M$5:$M$205,1)))/(INDEX(LE_Curves!$M$5:$M$205,MATCH($B104,LE_Curves!$M$5:$M$205,1)+1)-INDEX(LE_Curves!$M$5:$M$205,MATCH($B104,LE_Curves!$M$5:$M$205,1))))))</f>
        <v/>
      </c>
      <c r="N104" s="11">
        <f>IF(Inputs!$D$34=0,0,IF($B104&lt;=Inputs!$C$34,0,IF($B104&gt;=INDEX(LE_Curves!$N$5:$N$205,201),INDEX(LE_Curves!$B$5:$B$205,201),INDEX(LE_Curves!$B$5:$B$205,MATCH($B104,LE_Curves!$N$5:$N$205,1))+($B104-INDEX(LE_Curves!$N$5:$N$205,MATCH($B104,LE_Curves!$N$5:$N$205,1)))*(INDEX(LE_Curves!$B$5:$B$205,MATCH($B104,LE_Curves!$N$5:$N$205,1)+1)-INDEX(LE_Curves!$B$5:$B$205,MATCH($B104,LE_Curves!$N$5:$N$205,1)))/(INDEX(LE_Curves!$N$5:$N$205,MATCH($B104,LE_Curves!$N$5:$N$205,1)+1)-INDEX(LE_Curves!$N$5:$N$205,MATCH($B104,LE_Curves!$N$5:$N$205,1))))))</f>
        <v/>
      </c>
      <c r="O104" s="11">
        <f>SUM(C104:N104)</f>
        <v/>
      </c>
      <c r="Q104" s="7" t="n">
        <v>73</v>
      </c>
      <c r="R104" s="23">
        <f>$B$6+($B$7-$B$6)*Q104/200</f>
        <v/>
      </c>
      <c r="S104" s="11">
        <f>IF(Inputs!$D$23=0,0,IF($R104&lt;=Inputs!$C$23,0,IF($R104&gt;=INDEX(LE_Curves!$C$5:$C$205,201),INDEX(LE_Curves!$B$5:$B$205,201),INDEX(LE_Curves!$B$5:$B$205,MATCH($R104,LE_Curves!$C$5:$C$205,1))+($R104-INDEX(LE_Curves!$C$5:$C$205,MATCH($R104,LE_Curves!$C$5:$C$205,1)))*(INDEX(LE_Curves!$B$5:$B$205,MATCH($R104,LE_Curves!$C$5:$C$205,1)+1)-INDEX(LE_Curves!$B$5:$B$205,MATCH($R104,LE_Curves!$C$5:$C$205,1)))/(INDEX(LE_Curves!$C$5:$C$205,MATCH($R104,LE_Curves!$C$5:$C$205,1)+1)-INDEX(LE_Curves!$C$5:$C$205,MATCH($R104,LE_Curves!$C$5:$C$205,1))))))</f>
        <v/>
      </c>
      <c r="T104" s="11">
        <f>IF(Inputs!$D$24=0,0,IF($R104&lt;=Inputs!$C$24,0,IF($R104&gt;=INDEX(LE_Curves!$D$5:$D$205,201),INDEX(LE_Curves!$B$5:$B$205,201),INDEX(LE_Curves!$B$5:$B$205,MATCH($R104,LE_Curves!$D$5:$D$205,1))+($R104-INDEX(LE_Curves!$D$5:$D$205,MATCH($R104,LE_Curves!$D$5:$D$205,1)))*(INDEX(LE_Curves!$B$5:$B$205,MATCH($R104,LE_Curves!$D$5:$D$205,1)+1)-INDEX(LE_Curves!$B$5:$B$205,MATCH($R104,LE_Curves!$D$5:$D$205,1)))/(INDEX(LE_Curves!$D$5:$D$205,MATCH($R104,LE_Curves!$D$5:$D$205,1)+1)-INDEX(LE_Curves!$D$5:$D$205,MATCH($R104,LE_Curves!$D$5:$D$205,1))))))</f>
        <v/>
      </c>
      <c r="U104" s="11">
        <f>IF(Inputs!$D$25=0,0,IF($R104&lt;=Inputs!$C$25,0,IF($R104&gt;=INDEX(LE_Curves!$E$5:$E$205,201),INDEX(LE_Curves!$B$5:$B$205,201),INDEX(LE_Curves!$B$5:$B$205,MATCH($R104,LE_Curves!$E$5:$E$205,1))+($R104-INDEX(LE_Curves!$E$5:$E$205,MATCH($R104,LE_Curves!$E$5:$E$205,1)))*(INDEX(LE_Curves!$B$5:$B$205,MATCH($R104,LE_Curves!$E$5:$E$205,1)+1)-INDEX(LE_Curves!$B$5:$B$205,MATCH($R104,LE_Curves!$E$5:$E$205,1)))/(INDEX(LE_Curves!$E$5:$E$205,MATCH($R104,LE_Curves!$E$5:$E$205,1)+1)-INDEX(LE_Curves!$E$5:$E$205,MATCH($R104,LE_Curves!$E$5:$E$205,1))))))</f>
        <v/>
      </c>
      <c r="V104" s="11">
        <f>IF(Inputs!$D$26=0,0,IF($R104&lt;=Inputs!$C$26,0,IF($R104&gt;=INDEX(LE_Curves!$F$5:$F$205,201),INDEX(LE_Curves!$B$5:$B$205,201),INDEX(LE_Curves!$B$5:$B$205,MATCH($R104,LE_Curves!$F$5:$F$205,1))+($R104-INDEX(LE_Curves!$F$5:$F$205,MATCH($R104,LE_Curves!$F$5:$F$205,1)))*(INDEX(LE_Curves!$B$5:$B$205,MATCH($R104,LE_Curves!$F$5:$F$205,1)+1)-INDEX(LE_Curves!$B$5:$B$205,MATCH($R104,LE_Curves!$F$5:$F$205,1)))/(INDEX(LE_Curves!$F$5:$F$205,MATCH($R104,LE_Curves!$F$5:$F$205,1)+1)-INDEX(LE_Curves!$F$5:$F$205,MATCH($R104,LE_Curves!$F$5:$F$205,1))))))</f>
        <v/>
      </c>
      <c r="W104" s="11">
        <f>IF(Inputs!$D$27=0,0,IF($R104&lt;=Inputs!$C$27,0,IF($R104&gt;=INDEX(LE_Curves!$G$5:$G$205,201),INDEX(LE_Curves!$B$5:$B$205,201),INDEX(LE_Curves!$B$5:$B$205,MATCH($R104,LE_Curves!$G$5:$G$205,1))+($R104-INDEX(LE_Curves!$G$5:$G$205,MATCH($R104,LE_Curves!$G$5:$G$205,1)))*(INDEX(LE_Curves!$B$5:$B$205,MATCH($R104,LE_Curves!$G$5:$G$205,1)+1)-INDEX(LE_Curves!$B$5:$B$205,MATCH($R104,LE_Curves!$G$5:$G$205,1)))/(INDEX(LE_Curves!$G$5:$G$205,MATCH($R104,LE_Curves!$G$5:$G$205,1)+1)-INDEX(LE_Curves!$G$5:$G$205,MATCH($R104,LE_Curves!$G$5:$G$205,1))))))</f>
        <v/>
      </c>
      <c r="X104" s="11">
        <f>IF(Inputs!$D$28=0,0,IF($R104&lt;=Inputs!$C$28,0,IF($R104&gt;=INDEX(LE_Curves!$H$5:$H$205,201),INDEX(LE_Curves!$B$5:$B$205,201),INDEX(LE_Curves!$B$5:$B$205,MATCH($R104,LE_Curves!$H$5:$H$205,1))+($R104-INDEX(LE_Curves!$H$5:$H$205,MATCH($R104,LE_Curves!$H$5:$H$205,1)))*(INDEX(LE_Curves!$B$5:$B$205,MATCH($R104,LE_Curves!$H$5:$H$205,1)+1)-INDEX(LE_Curves!$B$5:$B$205,MATCH($R104,LE_Curves!$H$5:$H$205,1)))/(INDEX(LE_Curves!$H$5:$H$205,MATCH($R104,LE_Curves!$H$5:$H$205,1)+1)-INDEX(LE_Curves!$H$5:$H$205,MATCH($R104,LE_Curves!$H$5:$H$205,1))))))</f>
        <v/>
      </c>
      <c r="Y104" s="11">
        <f>IF(Inputs!$D$29=0,0,IF($R104&lt;=Inputs!$C$29,0,IF($R104&gt;=INDEX(LE_Curves!$I$5:$I$205,201),INDEX(LE_Curves!$B$5:$B$205,201),INDEX(LE_Curves!$B$5:$B$205,MATCH($R104,LE_Curves!$I$5:$I$205,1))+($R104-INDEX(LE_Curves!$I$5:$I$205,MATCH($R104,LE_Curves!$I$5:$I$205,1)))*(INDEX(LE_Curves!$B$5:$B$205,MATCH($R104,LE_Curves!$I$5:$I$205,1)+1)-INDEX(LE_Curves!$B$5:$B$205,MATCH($R104,LE_Curves!$I$5:$I$205,1)))/(INDEX(LE_Curves!$I$5:$I$205,MATCH($R104,LE_Curves!$I$5:$I$205,1)+1)-INDEX(LE_Curves!$I$5:$I$205,MATCH($R104,LE_Curves!$I$5:$I$205,1))))))</f>
        <v/>
      </c>
      <c r="Z104" s="11">
        <f>IF(Inputs!$D$30=0,0,IF($R104&lt;=Inputs!$C$30,0,IF($R104&gt;=INDEX(LE_Curves!$J$5:$J$205,201),INDEX(LE_Curves!$B$5:$B$205,201),INDEX(LE_Curves!$B$5:$B$205,MATCH($R104,LE_Curves!$J$5:$J$205,1))+($R104-INDEX(LE_Curves!$J$5:$J$205,MATCH($R104,LE_Curves!$J$5:$J$205,1)))*(INDEX(LE_Curves!$B$5:$B$205,MATCH($R104,LE_Curves!$J$5:$J$205,1)+1)-INDEX(LE_Curves!$B$5:$B$205,MATCH($R104,LE_Curves!$J$5:$J$205,1)))/(INDEX(LE_Curves!$J$5:$J$205,MATCH($R104,LE_Curves!$J$5:$J$205,1)+1)-INDEX(LE_Curves!$J$5:$J$205,MATCH($R104,LE_Curves!$J$5:$J$205,1))))))</f>
        <v/>
      </c>
      <c r="AA104" s="11">
        <f>IF(Inputs!$D$31=0,0,IF($R104&lt;=Inputs!$C$31,0,IF($R104&gt;=INDEX(LE_Curves!$K$5:$K$205,201),INDEX(LE_Curves!$B$5:$B$205,201),INDEX(LE_Curves!$B$5:$B$205,MATCH($R104,LE_Curves!$K$5:$K$205,1))+($R104-INDEX(LE_Curves!$K$5:$K$205,MATCH($R104,LE_Curves!$K$5:$K$205,1)))*(INDEX(LE_Curves!$B$5:$B$205,MATCH($R104,LE_Curves!$K$5:$K$205,1)+1)-INDEX(LE_Curves!$B$5:$B$205,MATCH($R104,LE_Curves!$K$5:$K$205,1)))/(INDEX(LE_Curves!$K$5:$K$205,MATCH($R104,LE_Curves!$K$5:$K$205,1)+1)-INDEX(LE_Curves!$K$5:$K$205,MATCH($R104,LE_Curves!$K$5:$K$205,1))))))</f>
        <v/>
      </c>
      <c r="AB104" s="11">
        <f>IF(Inputs!$D$32=0,0,IF($R104&lt;=Inputs!$C$32,0,IF($R104&gt;=INDEX(LE_Curves!$L$5:$L$205,201),INDEX(LE_Curves!$B$5:$B$205,201),INDEX(LE_Curves!$B$5:$B$205,MATCH($R104,LE_Curves!$L$5:$L$205,1))+($R104-INDEX(LE_Curves!$L$5:$L$205,MATCH($R104,LE_Curves!$L$5:$L$205,1)))*(INDEX(LE_Curves!$B$5:$B$205,MATCH($R104,LE_Curves!$L$5:$L$205,1)+1)-INDEX(LE_Curves!$B$5:$B$205,MATCH($R104,LE_Curves!$L$5:$L$205,1)))/(INDEX(LE_Curves!$L$5:$L$205,MATCH($R104,LE_Curves!$L$5:$L$205,1)+1)-INDEX(LE_Curves!$L$5:$L$205,MATCH($R104,LE_Curves!$L$5:$L$205,1))))))</f>
        <v/>
      </c>
      <c r="AC104" s="11">
        <f>IF(Inputs!$D$33=0,0,IF($R104&lt;=Inputs!$C$33,0,IF($R104&gt;=INDEX(LE_Curves!$M$5:$M$205,201),INDEX(LE_Curves!$B$5:$B$205,201),INDEX(LE_Curves!$B$5:$B$205,MATCH($R104,LE_Curves!$M$5:$M$205,1))+($R104-INDEX(LE_Curves!$M$5:$M$205,MATCH($R104,LE_Curves!$M$5:$M$205,1)))*(INDEX(LE_Curves!$B$5:$B$205,MATCH($R104,LE_Curves!$M$5:$M$205,1)+1)-INDEX(LE_Curves!$B$5:$B$205,MATCH($R104,LE_Curves!$M$5:$M$205,1)))/(INDEX(LE_Curves!$M$5:$M$205,MATCH($R104,LE_Curves!$M$5:$M$205,1)+1)-INDEX(LE_Curves!$M$5:$M$205,MATCH($R104,LE_Curves!$M$5:$M$205,1))))))</f>
        <v/>
      </c>
      <c r="AD104" s="11">
        <f>IF(Inputs!$D$34=0,0,IF($R104&lt;=Inputs!$C$34,0,IF($R104&gt;=INDEX(LE_Curves!$N$5:$N$205,201),INDEX(LE_Curves!$B$5:$B$205,201),INDEX(LE_Curves!$B$5:$B$205,MATCH($R104,LE_Curves!$N$5:$N$205,1))+($R104-INDEX(LE_Curves!$N$5:$N$205,MATCH($R104,LE_Curves!$N$5:$N$205,1)))*(INDEX(LE_Curves!$B$5:$B$205,MATCH($R104,LE_Curves!$N$5:$N$205,1)+1)-INDEX(LE_Curves!$B$5:$B$205,MATCH($R104,LE_Curves!$N$5:$N$205,1)))/(INDEX(LE_Curves!$N$5:$N$205,MATCH($R104,LE_Curves!$N$5:$N$205,1)+1)-INDEX(LE_Curves!$N$5:$N$205,MATCH($R104,LE_Curves!$N$5:$N$205,1))))))</f>
        <v/>
      </c>
      <c r="AE104" s="37">
        <f>SUM(S104:AD104)</f>
        <v/>
      </c>
    </row>
    <row r="105">
      <c r="A105" s="7" t="n">
        <v>74</v>
      </c>
      <c r="B105" s="37">
        <f>$B$3+($B$4-$B$3)*A105/200</f>
        <v/>
      </c>
      <c r="C105" s="11">
        <f>IF(Inputs!$D$23=0,0,IF($B105&lt;=Inputs!$C$23,0,IF($B105&gt;=INDEX(LE_Curves!$C$5:$C$205,201),INDEX(LE_Curves!$B$5:$B$205,201),INDEX(LE_Curves!$B$5:$B$205,MATCH($B105,LE_Curves!$C$5:$C$205,1))+($B105-INDEX(LE_Curves!$C$5:$C$205,MATCH($B105,LE_Curves!$C$5:$C$205,1)))*(INDEX(LE_Curves!$B$5:$B$205,MATCH($B105,LE_Curves!$C$5:$C$205,1)+1)-INDEX(LE_Curves!$B$5:$B$205,MATCH($B105,LE_Curves!$C$5:$C$205,1)))/(INDEX(LE_Curves!$C$5:$C$205,MATCH($B105,LE_Curves!$C$5:$C$205,1)+1)-INDEX(LE_Curves!$C$5:$C$205,MATCH($B105,LE_Curves!$C$5:$C$205,1))))))</f>
        <v/>
      </c>
      <c r="D105" s="11">
        <f>IF(Inputs!$D$24=0,0,IF($B105&lt;=Inputs!$C$24,0,IF($B105&gt;=INDEX(LE_Curves!$D$5:$D$205,201),INDEX(LE_Curves!$B$5:$B$205,201),INDEX(LE_Curves!$B$5:$B$205,MATCH($B105,LE_Curves!$D$5:$D$205,1))+($B105-INDEX(LE_Curves!$D$5:$D$205,MATCH($B105,LE_Curves!$D$5:$D$205,1)))*(INDEX(LE_Curves!$B$5:$B$205,MATCH($B105,LE_Curves!$D$5:$D$205,1)+1)-INDEX(LE_Curves!$B$5:$B$205,MATCH($B105,LE_Curves!$D$5:$D$205,1)))/(INDEX(LE_Curves!$D$5:$D$205,MATCH($B105,LE_Curves!$D$5:$D$205,1)+1)-INDEX(LE_Curves!$D$5:$D$205,MATCH($B105,LE_Curves!$D$5:$D$205,1))))))</f>
        <v/>
      </c>
      <c r="E105" s="11">
        <f>IF(Inputs!$D$25=0,0,IF($B105&lt;=Inputs!$C$25,0,IF($B105&gt;=INDEX(LE_Curves!$E$5:$E$205,201),INDEX(LE_Curves!$B$5:$B$205,201),INDEX(LE_Curves!$B$5:$B$205,MATCH($B105,LE_Curves!$E$5:$E$205,1))+($B105-INDEX(LE_Curves!$E$5:$E$205,MATCH($B105,LE_Curves!$E$5:$E$205,1)))*(INDEX(LE_Curves!$B$5:$B$205,MATCH($B105,LE_Curves!$E$5:$E$205,1)+1)-INDEX(LE_Curves!$B$5:$B$205,MATCH($B105,LE_Curves!$E$5:$E$205,1)))/(INDEX(LE_Curves!$E$5:$E$205,MATCH($B105,LE_Curves!$E$5:$E$205,1)+1)-INDEX(LE_Curves!$E$5:$E$205,MATCH($B105,LE_Curves!$E$5:$E$205,1))))))</f>
        <v/>
      </c>
      <c r="F105" s="11">
        <f>IF(Inputs!$D$26=0,0,IF($B105&lt;=Inputs!$C$26,0,IF($B105&gt;=INDEX(LE_Curves!$F$5:$F$205,201),INDEX(LE_Curves!$B$5:$B$205,201),INDEX(LE_Curves!$B$5:$B$205,MATCH($B105,LE_Curves!$F$5:$F$205,1))+($B105-INDEX(LE_Curves!$F$5:$F$205,MATCH($B105,LE_Curves!$F$5:$F$205,1)))*(INDEX(LE_Curves!$B$5:$B$205,MATCH($B105,LE_Curves!$F$5:$F$205,1)+1)-INDEX(LE_Curves!$B$5:$B$205,MATCH($B105,LE_Curves!$F$5:$F$205,1)))/(INDEX(LE_Curves!$F$5:$F$205,MATCH($B105,LE_Curves!$F$5:$F$205,1)+1)-INDEX(LE_Curves!$F$5:$F$205,MATCH($B105,LE_Curves!$F$5:$F$205,1))))))</f>
        <v/>
      </c>
      <c r="G105" s="11">
        <f>IF(Inputs!$D$27=0,0,IF($B105&lt;=Inputs!$C$27,0,IF($B105&gt;=INDEX(LE_Curves!$G$5:$G$205,201),INDEX(LE_Curves!$B$5:$B$205,201),INDEX(LE_Curves!$B$5:$B$205,MATCH($B105,LE_Curves!$G$5:$G$205,1))+($B105-INDEX(LE_Curves!$G$5:$G$205,MATCH($B105,LE_Curves!$G$5:$G$205,1)))*(INDEX(LE_Curves!$B$5:$B$205,MATCH($B105,LE_Curves!$G$5:$G$205,1)+1)-INDEX(LE_Curves!$B$5:$B$205,MATCH($B105,LE_Curves!$G$5:$G$205,1)))/(INDEX(LE_Curves!$G$5:$G$205,MATCH($B105,LE_Curves!$G$5:$G$205,1)+1)-INDEX(LE_Curves!$G$5:$G$205,MATCH($B105,LE_Curves!$G$5:$G$205,1))))))</f>
        <v/>
      </c>
      <c r="H105" s="11">
        <f>IF(Inputs!$D$28=0,0,IF($B105&lt;=Inputs!$C$28,0,IF($B105&gt;=INDEX(LE_Curves!$H$5:$H$205,201),INDEX(LE_Curves!$B$5:$B$205,201),INDEX(LE_Curves!$B$5:$B$205,MATCH($B105,LE_Curves!$H$5:$H$205,1))+($B105-INDEX(LE_Curves!$H$5:$H$205,MATCH($B105,LE_Curves!$H$5:$H$205,1)))*(INDEX(LE_Curves!$B$5:$B$205,MATCH($B105,LE_Curves!$H$5:$H$205,1)+1)-INDEX(LE_Curves!$B$5:$B$205,MATCH($B105,LE_Curves!$H$5:$H$205,1)))/(INDEX(LE_Curves!$H$5:$H$205,MATCH($B105,LE_Curves!$H$5:$H$205,1)+1)-INDEX(LE_Curves!$H$5:$H$205,MATCH($B105,LE_Curves!$H$5:$H$205,1))))))</f>
        <v/>
      </c>
      <c r="I105" s="11">
        <f>IF(Inputs!$D$29=0,0,IF($B105&lt;=Inputs!$C$29,0,IF($B105&gt;=INDEX(LE_Curves!$I$5:$I$205,201),INDEX(LE_Curves!$B$5:$B$205,201),INDEX(LE_Curves!$B$5:$B$205,MATCH($B105,LE_Curves!$I$5:$I$205,1))+($B105-INDEX(LE_Curves!$I$5:$I$205,MATCH($B105,LE_Curves!$I$5:$I$205,1)))*(INDEX(LE_Curves!$B$5:$B$205,MATCH($B105,LE_Curves!$I$5:$I$205,1)+1)-INDEX(LE_Curves!$B$5:$B$205,MATCH($B105,LE_Curves!$I$5:$I$205,1)))/(INDEX(LE_Curves!$I$5:$I$205,MATCH($B105,LE_Curves!$I$5:$I$205,1)+1)-INDEX(LE_Curves!$I$5:$I$205,MATCH($B105,LE_Curves!$I$5:$I$205,1))))))</f>
        <v/>
      </c>
      <c r="J105" s="11">
        <f>IF(Inputs!$D$30=0,0,IF($B105&lt;=Inputs!$C$30,0,IF($B105&gt;=INDEX(LE_Curves!$J$5:$J$205,201),INDEX(LE_Curves!$B$5:$B$205,201),INDEX(LE_Curves!$B$5:$B$205,MATCH($B105,LE_Curves!$J$5:$J$205,1))+($B105-INDEX(LE_Curves!$J$5:$J$205,MATCH($B105,LE_Curves!$J$5:$J$205,1)))*(INDEX(LE_Curves!$B$5:$B$205,MATCH($B105,LE_Curves!$J$5:$J$205,1)+1)-INDEX(LE_Curves!$B$5:$B$205,MATCH($B105,LE_Curves!$J$5:$J$205,1)))/(INDEX(LE_Curves!$J$5:$J$205,MATCH($B105,LE_Curves!$J$5:$J$205,1)+1)-INDEX(LE_Curves!$J$5:$J$205,MATCH($B105,LE_Curves!$J$5:$J$205,1))))))</f>
        <v/>
      </c>
      <c r="K105" s="11">
        <f>IF(Inputs!$D$31=0,0,IF($B105&lt;=Inputs!$C$31,0,IF($B105&gt;=INDEX(LE_Curves!$K$5:$K$205,201),INDEX(LE_Curves!$B$5:$B$205,201),INDEX(LE_Curves!$B$5:$B$205,MATCH($B105,LE_Curves!$K$5:$K$205,1))+($B105-INDEX(LE_Curves!$K$5:$K$205,MATCH($B105,LE_Curves!$K$5:$K$205,1)))*(INDEX(LE_Curves!$B$5:$B$205,MATCH($B105,LE_Curves!$K$5:$K$205,1)+1)-INDEX(LE_Curves!$B$5:$B$205,MATCH($B105,LE_Curves!$K$5:$K$205,1)))/(INDEX(LE_Curves!$K$5:$K$205,MATCH($B105,LE_Curves!$K$5:$K$205,1)+1)-INDEX(LE_Curves!$K$5:$K$205,MATCH($B105,LE_Curves!$K$5:$K$205,1))))))</f>
        <v/>
      </c>
      <c r="L105" s="11">
        <f>IF(Inputs!$D$32=0,0,IF($B105&lt;=Inputs!$C$32,0,IF($B105&gt;=INDEX(LE_Curves!$L$5:$L$205,201),INDEX(LE_Curves!$B$5:$B$205,201),INDEX(LE_Curves!$B$5:$B$205,MATCH($B105,LE_Curves!$L$5:$L$205,1))+($B105-INDEX(LE_Curves!$L$5:$L$205,MATCH($B105,LE_Curves!$L$5:$L$205,1)))*(INDEX(LE_Curves!$B$5:$B$205,MATCH($B105,LE_Curves!$L$5:$L$205,1)+1)-INDEX(LE_Curves!$B$5:$B$205,MATCH($B105,LE_Curves!$L$5:$L$205,1)))/(INDEX(LE_Curves!$L$5:$L$205,MATCH($B105,LE_Curves!$L$5:$L$205,1)+1)-INDEX(LE_Curves!$L$5:$L$205,MATCH($B105,LE_Curves!$L$5:$L$205,1))))))</f>
        <v/>
      </c>
      <c r="M105" s="11">
        <f>IF(Inputs!$D$33=0,0,IF($B105&lt;=Inputs!$C$33,0,IF($B105&gt;=INDEX(LE_Curves!$M$5:$M$205,201),INDEX(LE_Curves!$B$5:$B$205,201),INDEX(LE_Curves!$B$5:$B$205,MATCH($B105,LE_Curves!$M$5:$M$205,1))+($B105-INDEX(LE_Curves!$M$5:$M$205,MATCH($B105,LE_Curves!$M$5:$M$205,1)))*(INDEX(LE_Curves!$B$5:$B$205,MATCH($B105,LE_Curves!$M$5:$M$205,1)+1)-INDEX(LE_Curves!$B$5:$B$205,MATCH($B105,LE_Curves!$M$5:$M$205,1)))/(INDEX(LE_Curves!$M$5:$M$205,MATCH($B105,LE_Curves!$M$5:$M$205,1)+1)-INDEX(LE_Curves!$M$5:$M$205,MATCH($B105,LE_Curves!$M$5:$M$205,1))))))</f>
        <v/>
      </c>
      <c r="N105" s="11">
        <f>IF(Inputs!$D$34=0,0,IF($B105&lt;=Inputs!$C$34,0,IF($B105&gt;=INDEX(LE_Curves!$N$5:$N$205,201),INDEX(LE_Curves!$B$5:$B$205,201),INDEX(LE_Curves!$B$5:$B$205,MATCH($B105,LE_Curves!$N$5:$N$205,1))+($B105-INDEX(LE_Curves!$N$5:$N$205,MATCH($B105,LE_Curves!$N$5:$N$205,1)))*(INDEX(LE_Curves!$B$5:$B$205,MATCH($B105,LE_Curves!$N$5:$N$205,1)+1)-INDEX(LE_Curves!$B$5:$B$205,MATCH($B105,LE_Curves!$N$5:$N$205,1)))/(INDEX(LE_Curves!$N$5:$N$205,MATCH($B105,LE_Curves!$N$5:$N$205,1)+1)-INDEX(LE_Curves!$N$5:$N$205,MATCH($B105,LE_Curves!$N$5:$N$205,1))))))</f>
        <v/>
      </c>
      <c r="O105" s="11">
        <f>SUM(C105:N105)</f>
        <v/>
      </c>
      <c r="Q105" s="7" t="n">
        <v>74</v>
      </c>
      <c r="R105" s="23">
        <f>$B$6+($B$7-$B$6)*Q105/200</f>
        <v/>
      </c>
      <c r="S105" s="11">
        <f>IF(Inputs!$D$23=0,0,IF($R105&lt;=Inputs!$C$23,0,IF($R105&gt;=INDEX(LE_Curves!$C$5:$C$205,201),INDEX(LE_Curves!$B$5:$B$205,201),INDEX(LE_Curves!$B$5:$B$205,MATCH($R105,LE_Curves!$C$5:$C$205,1))+($R105-INDEX(LE_Curves!$C$5:$C$205,MATCH($R105,LE_Curves!$C$5:$C$205,1)))*(INDEX(LE_Curves!$B$5:$B$205,MATCH($R105,LE_Curves!$C$5:$C$205,1)+1)-INDEX(LE_Curves!$B$5:$B$205,MATCH($R105,LE_Curves!$C$5:$C$205,1)))/(INDEX(LE_Curves!$C$5:$C$205,MATCH($R105,LE_Curves!$C$5:$C$205,1)+1)-INDEX(LE_Curves!$C$5:$C$205,MATCH($R105,LE_Curves!$C$5:$C$205,1))))))</f>
        <v/>
      </c>
      <c r="T105" s="11">
        <f>IF(Inputs!$D$24=0,0,IF($R105&lt;=Inputs!$C$24,0,IF($R105&gt;=INDEX(LE_Curves!$D$5:$D$205,201),INDEX(LE_Curves!$B$5:$B$205,201),INDEX(LE_Curves!$B$5:$B$205,MATCH($R105,LE_Curves!$D$5:$D$205,1))+($R105-INDEX(LE_Curves!$D$5:$D$205,MATCH($R105,LE_Curves!$D$5:$D$205,1)))*(INDEX(LE_Curves!$B$5:$B$205,MATCH($R105,LE_Curves!$D$5:$D$205,1)+1)-INDEX(LE_Curves!$B$5:$B$205,MATCH($R105,LE_Curves!$D$5:$D$205,1)))/(INDEX(LE_Curves!$D$5:$D$205,MATCH($R105,LE_Curves!$D$5:$D$205,1)+1)-INDEX(LE_Curves!$D$5:$D$205,MATCH($R105,LE_Curves!$D$5:$D$205,1))))))</f>
        <v/>
      </c>
      <c r="U105" s="11">
        <f>IF(Inputs!$D$25=0,0,IF($R105&lt;=Inputs!$C$25,0,IF($R105&gt;=INDEX(LE_Curves!$E$5:$E$205,201),INDEX(LE_Curves!$B$5:$B$205,201),INDEX(LE_Curves!$B$5:$B$205,MATCH($R105,LE_Curves!$E$5:$E$205,1))+($R105-INDEX(LE_Curves!$E$5:$E$205,MATCH($R105,LE_Curves!$E$5:$E$205,1)))*(INDEX(LE_Curves!$B$5:$B$205,MATCH($R105,LE_Curves!$E$5:$E$205,1)+1)-INDEX(LE_Curves!$B$5:$B$205,MATCH($R105,LE_Curves!$E$5:$E$205,1)))/(INDEX(LE_Curves!$E$5:$E$205,MATCH($R105,LE_Curves!$E$5:$E$205,1)+1)-INDEX(LE_Curves!$E$5:$E$205,MATCH($R105,LE_Curves!$E$5:$E$205,1))))))</f>
        <v/>
      </c>
      <c r="V105" s="11">
        <f>IF(Inputs!$D$26=0,0,IF($R105&lt;=Inputs!$C$26,0,IF($R105&gt;=INDEX(LE_Curves!$F$5:$F$205,201),INDEX(LE_Curves!$B$5:$B$205,201),INDEX(LE_Curves!$B$5:$B$205,MATCH($R105,LE_Curves!$F$5:$F$205,1))+($R105-INDEX(LE_Curves!$F$5:$F$205,MATCH($R105,LE_Curves!$F$5:$F$205,1)))*(INDEX(LE_Curves!$B$5:$B$205,MATCH($R105,LE_Curves!$F$5:$F$205,1)+1)-INDEX(LE_Curves!$B$5:$B$205,MATCH($R105,LE_Curves!$F$5:$F$205,1)))/(INDEX(LE_Curves!$F$5:$F$205,MATCH($R105,LE_Curves!$F$5:$F$205,1)+1)-INDEX(LE_Curves!$F$5:$F$205,MATCH($R105,LE_Curves!$F$5:$F$205,1))))))</f>
        <v/>
      </c>
      <c r="W105" s="11">
        <f>IF(Inputs!$D$27=0,0,IF($R105&lt;=Inputs!$C$27,0,IF($R105&gt;=INDEX(LE_Curves!$G$5:$G$205,201),INDEX(LE_Curves!$B$5:$B$205,201),INDEX(LE_Curves!$B$5:$B$205,MATCH($R105,LE_Curves!$G$5:$G$205,1))+($R105-INDEX(LE_Curves!$G$5:$G$205,MATCH($R105,LE_Curves!$G$5:$G$205,1)))*(INDEX(LE_Curves!$B$5:$B$205,MATCH($R105,LE_Curves!$G$5:$G$205,1)+1)-INDEX(LE_Curves!$B$5:$B$205,MATCH($R105,LE_Curves!$G$5:$G$205,1)))/(INDEX(LE_Curves!$G$5:$G$205,MATCH($R105,LE_Curves!$G$5:$G$205,1)+1)-INDEX(LE_Curves!$G$5:$G$205,MATCH($R105,LE_Curves!$G$5:$G$205,1))))))</f>
        <v/>
      </c>
      <c r="X105" s="11">
        <f>IF(Inputs!$D$28=0,0,IF($R105&lt;=Inputs!$C$28,0,IF($R105&gt;=INDEX(LE_Curves!$H$5:$H$205,201),INDEX(LE_Curves!$B$5:$B$205,201),INDEX(LE_Curves!$B$5:$B$205,MATCH($R105,LE_Curves!$H$5:$H$205,1))+($R105-INDEX(LE_Curves!$H$5:$H$205,MATCH($R105,LE_Curves!$H$5:$H$205,1)))*(INDEX(LE_Curves!$B$5:$B$205,MATCH($R105,LE_Curves!$H$5:$H$205,1)+1)-INDEX(LE_Curves!$B$5:$B$205,MATCH($R105,LE_Curves!$H$5:$H$205,1)))/(INDEX(LE_Curves!$H$5:$H$205,MATCH($R105,LE_Curves!$H$5:$H$205,1)+1)-INDEX(LE_Curves!$H$5:$H$205,MATCH($R105,LE_Curves!$H$5:$H$205,1))))))</f>
        <v/>
      </c>
      <c r="Y105" s="11">
        <f>IF(Inputs!$D$29=0,0,IF($R105&lt;=Inputs!$C$29,0,IF($R105&gt;=INDEX(LE_Curves!$I$5:$I$205,201),INDEX(LE_Curves!$B$5:$B$205,201),INDEX(LE_Curves!$B$5:$B$205,MATCH($R105,LE_Curves!$I$5:$I$205,1))+($R105-INDEX(LE_Curves!$I$5:$I$205,MATCH($R105,LE_Curves!$I$5:$I$205,1)))*(INDEX(LE_Curves!$B$5:$B$205,MATCH($R105,LE_Curves!$I$5:$I$205,1)+1)-INDEX(LE_Curves!$B$5:$B$205,MATCH($R105,LE_Curves!$I$5:$I$205,1)))/(INDEX(LE_Curves!$I$5:$I$205,MATCH($R105,LE_Curves!$I$5:$I$205,1)+1)-INDEX(LE_Curves!$I$5:$I$205,MATCH($R105,LE_Curves!$I$5:$I$205,1))))))</f>
        <v/>
      </c>
      <c r="Z105" s="11">
        <f>IF(Inputs!$D$30=0,0,IF($R105&lt;=Inputs!$C$30,0,IF($R105&gt;=INDEX(LE_Curves!$J$5:$J$205,201),INDEX(LE_Curves!$B$5:$B$205,201),INDEX(LE_Curves!$B$5:$B$205,MATCH($R105,LE_Curves!$J$5:$J$205,1))+($R105-INDEX(LE_Curves!$J$5:$J$205,MATCH($R105,LE_Curves!$J$5:$J$205,1)))*(INDEX(LE_Curves!$B$5:$B$205,MATCH($R105,LE_Curves!$J$5:$J$205,1)+1)-INDEX(LE_Curves!$B$5:$B$205,MATCH($R105,LE_Curves!$J$5:$J$205,1)))/(INDEX(LE_Curves!$J$5:$J$205,MATCH($R105,LE_Curves!$J$5:$J$205,1)+1)-INDEX(LE_Curves!$J$5:$J$205,MATCH($R105,LE_Curves!$J$5:$J$205,1))))))</f>
        <v/>
      </c>
      <c r="AA105" s="11">
        <f>IF(Inputs!$D$31=0,0,IF($R105&lt;=Inputs!$C$31,0,IF($R105&gt;=INDEX(LE_Curves!$K$5:$K$205,201),INDEX(LE_Curves!$B$5:$B$205,201),INDEX(LE_Curves!$B$5:$B$205,MATCH($R105,LE_Curves!$K$5:$K$205,1))+($R105-INDEX(LE_Curves!$K$5:$K$205,MATCH($R105,LE_Curves!$K$5:$K$205,1)))*(INDEX(LE_Curves!$B$5:$B$205,MATCH($R105,LE_Curves!$K$5:$K$205,1)+1)-INDEX(LE_Curves!$B$5:$B$205,MATCH($R105,LE_Curves!$K$5:$K$205,1)))/(INDEX(LE_Curves!$K$5:$K$205,MATCH($R105,LE_Curves!$K$5:$K$205,1)+1)-INDEX(LE_Curves!$K$5:$K$205,MATCH($R105,LE_Curves!$K$5:$K$205,1))))))</f>
        <v/>
      </c>
      <c r="AB105" s="11">
        <f>IF(Inputs!$D$32=0,0,IF($R105&lt;=Inputs!$C$32,0,IF($R105&gt;=INDEX(LE_Curves!$L$5:$L$205,201),INDEX(LE_Curves!$B$5:$B$205,201),INDEX(LE_Curves!$B$5:$B$205,MATCH($R105,LE_Curves!$L$5:$L$205,1))+($R105-INDEX(LE_Curves!$L$5:$L$205,MATCH($R105,LE_Curves!$L$5:$L$205,1)))*(INDEX(LE_Curves!$B$5:$B$205,MATCH($R105,LE_Curves!$L$5:$L$205,1)+1)-INDEX(LE_Curves!$B$5:$B$205,MATCH($R105,LE_Curves!$L$5:$L$205,1)))/(INDEX(LE_Curves!$L$5:$L$205,MATCH($R105,LE_Curves!$L$5:$L$205,1)+1)-INDEX(LE_Curves!$L$5:$L$205,MATCH($R105,LE_Curves!$L$5:$L$205,1))))))</f>
        <v/>
      </c>
      <c r="AC105" s="11">
        <f>IF(Inputs!$D$33=0,0,IF($R105&lt;=Inputs!$C$33,0,IF($R105&gt;=INDEX(LE_Curves!$M$5:$M$205,201),INDEX(LE_Curves!$B$5:$B$205,201),INDEX(LE_Curves!$B$5:$B$205,MATCH($R105,LE_Curves!$M$5:$M$205,1))+($R105-INDEX(LE_Curves!$M$5:$M$205,MATCH($R105,LE_Curves!$M$5:$M$205,1)))*(INDEX(LE_Curves!$B$5:$B$205,MATCH($R105,LE_Curves!$M$5:$M$205,1)+1)-INDEX(LE_Curves!$B$5:$B$205,MATCH($R105,LE_Curves!$M$5:$M$205,1)))/(INDEX(LE_Curves!$M$5:$M$205,MATCH($R105,LE_Curves!$M$5:$M$205,1)+1)-INDEX(LE_Curves!$M$5:$M$205,MATCH($R105,LE_Curves!$M$5:$M$205,1))))))</f>
        <v/>
      </c>
      <c r="AD105" s="11">
        <f>IF(Inputs!$D$34=0,0,IF($R105&lt;=Inputs!$C$34,0,IF($R105&gt;=INDEX(LE_Curves!$N$5:$N$205,201),INDEX(LE_Curves!$B$5:$B$205,201),INDEX(LE_Curves!$B$5:$B$205,MATCH($R105,LE_Curves!$N$5:$N$205,1))+($R105-INDEX(LE_Curves!$N$5:$N$205,MATCH($R105,LE_Curves!$N$5:$N$205,1)))*(INDEX(LE_Curves!$B$5:$B$205,MATCH($R105,LE_Curves!$N$5:$N$205,1)+1)-INDEX(LE_Curves!$B$5:$B$205,MATCH($R105,LE_Curves!$N$5:$N$205,1)))/(INDEX(LE_Curves!$N$5:$N$205,MATCH($R105,LE_Curves!$N$5:$N$205,1)+1)-INDEX(LE_Curves!$N$5:$N$205,MATCH($R105,LE_Curves!$N$5:$N$205,1))))))</f>
        <v/>
      </c>
      <c r="AE105" s="37">
        <f>SUM(S105:AD105)</f>
        <v/>
      </c>
    </row>
    <row r="106">
      <c r="A106" s="7" t="n">
        <v>75</v>
      </c>
      <c r="B106" s="37">
        <f>$B$3+($B$4-$B$3)*A106/200</f>
        <v/>
      </c>
      <c r="C106" s="11">
        <f>IF(Inputs!$D$23=0,0,IF($B106&lt;=Inputs!$C$23,0,IF($B106&gt;=INDEX(LE_Curves!$C$5:$C$205,201),INDEX(LE_Curves!$B$5:$B$205,201),INDEX(LE_Curves!$B$5:$B$205,MATCH($B106,LE_Curves!$C$5:$C$205,1))+($B106-INDEX(LE_Curves!$C$5:$C$205,MATCH($B106,LE_Curves!$C$5:$C$205,1)))*(INDEX(LE_Curves!$B$5:$B$205,MATCH($B106,LE_Curves!$C$5:$C$205,1)+1)-INDEX(LE_Curves!$B$5:$B$205,MATCH($B106,LE_Curves!$C$5:$C$205,1)))/(INDEX(LE_Curves!$C$5:$C$205,MATCH($B106,LE_Curves!$C$5:$C$205,1)+1)-INDEX(LE_Curves!$C$5:$C$205,MATCH($B106,LE_Curves!$C$5:$C$205,1))))))</f>
        <v/>
      </c>
      <c r="D106" s="11">
        <f>IF(Inputs!$D$24=0,0,IF($B106&lt;=Inputs!$C$24,0,IF($B106&gt;=INDEX(LE_Curves!$D$5:$D$205,201),INDEX(LE_Curves!$B$5:$B$205,201),INDEX(LE_Curves!$B$5:$B$205,MATCH($B106,LE_Curves!$D$5:$D$205,1))+($B106-INDEX(LE_Curves!$D$5:$D$205,MATCH($B106,LE_Curves!$D$5:$D$205,1)))*(INDEX(LE_Curves!$B$5:$B$205,MATCH($B106,LE_Curves!$D$5:$D$205,1)+1)-INDEX(LE_Curves!$B$5:$B$205,MATCH($B106,LE_Curves!$D$5:$D$205,1)))/(INDEX(LE_Curves!$D$5:$D$205,MATCH($B106,LE_Curves!$D$5:$D$205,1)+1)-INDEX(LE_Curves!$D$5:$D$205,MATCH($B106,LE_Curves!$D$5:$D$205,1))))))</f>
        <v/>
      </c>
      <c r="E106" s="11">
        <f>IF(Inputs!$D$25=0,0,IF($B106&lt;=Inputs!$C$25,0,IF($B106&gt;=INDEX(LE_Curves!$E$5:$E$205,201),INDEX(LE_Curves!$B$5:$B$205,201),INDEX(LE_Curves!$B$5:$B$205,MATCH($B106,LE_Curves!$E$5:$E$205,1))+($B106-INDEX(LE_Curves!$E$5:$E$205,MATCH($B106,LE_Curves!$E$5:$E$205,1)))*(INDEX(LE_Curves!$B$5:$B$205,MATCH($B106,LE_Curves!$E$5:$E$205,1)+1)-INDEX(LE_Curves!$B$5:$B$205,MATCH($B106,LE_Curves!$E$5:$E$205,1)))/(INDEX(LE_Curves!$E$5:$E$205,MATCH($B106,LE_Curves!$E$5:$E$205,1)+1)-INDEX(LE_Curves!$E$5:$E$205,MATCH($B106,LE_Curves!$E$5:$E$205,1))))))</f>
        <v/>
      </c>
      <c r="F106" s="11">
        <f>IF(Inputs!$D$26=0,0,IF($B106&lt;=Inputs!$C$26,0,IF($B106&gt;=INDEX(LE_Curves!$F$5:$F$205,201),INDEX(LE_Curves!$B$5:$B$205,201),INDEX(LE_Curves!$B$5:$B$205,MATCH($B106,LE_Curves!$F$5:$F$205,1))+($B106-INDEX(LE_Curves!$F$5:$F$205,MATCH($B106,LE_Curves!$F$5:$F$205,1)))*(INDEX(LE_Curves!$B$5:$B$205,MATCH($B106,LE_Curves!$F$5:$F$205,1)+1)-INDEX(LE_Curves!$B$5:$B$205,MATCH($B106,LE_Curves!$F$5:$F$205,1)))/(INDEX(LE_Curves!$F$5:$F$205,MATCH($B106,LE_Curves!$F$5:$F$205,1)+1)-INDEX(LE_Curves!$F$5:$F$205,MATCH($B106,LE_Curves!$F$5:$F$205,1))))))</f>
        <v/>
      </c>
      <c r="G106" s="11">
        <f>IF(Inputs!$D$27=0,0,IF($B106&lt;=Inputs!$C$27,0,IF($B106&gt;=INDEX(LE_Curves!$G$5:$G$205,201),INDEX(LE_Curves!$B$5:$B$205,201),INDEX(LE_Curves!$B$5:$B$205,MATCH($B106,LE_Curves!$G$5:$G$205,1))+($B106-INDEX(LE_Curves!$G$5:$G$205,MATCH($B106,LE_Curves!$G$5:$G$205,1)))*(INDEX(LE_Curves!$B$5:$B$205,MATCH($B106,LE_Curves!$G$5:$G$205,1)+1)-INDEX(LE_Curves!$B$5:$B$205,MATCH($B106,LE_Curves!$G$5:$G$205,1)))/(INDEX(LE_Curves!$G$5:$G$205,MATCH($B106,LE_Curves!$G$5:$G$205,1)+1)-INDEX(LE_Curves!$G$5:$G$205,MATCH($B106,LE_Curves!$G$5:$G$205,1))))))</f>
        <v/>
      </c>
      <c r="H106" s="11">
        <f>IF(Inputs!$D$28=0,0,IF($B106&lt;=Inputs!$C$28,0,IF($B106&gt;=INDEX(LE_Curves!$H$5:$H$205,201),INDEX(LE_Curves!$B$5:$B$205,201),INDEX(LE_Curves!$B$5:$B$205,MATCH($B106,LE_Curves!$H$5:$H$205,1))+($B106-INDEX(LE_Curves!$H$5:$H$205,MATCH($B106,LE_Curves!$H$5:$H$205,1)))*(INDEX(LE_Curves!$B$5:$B$205,MATCH($B106,LE_Curves!$H$5:$H$205,1)+1)-INDEX(LE_Curves!$B$5:$B$205,MATCH($B106,LE_Curves!$H$5:$H$205,1)))/(INDEX(LE_Curves!$H$5:$H$205,MATCH($B106,LE_Curves!$H$5:$H$205,1)+1)-INDEX(LE_Curves!$H$5:$H$205,MATCH($B106,LE_Curves!$H$5:$H$205,1))))))</f>
        <v/>
      </c>
      <c r="I106" s="11">
        <f>IF(Inputs!$D$29=0,0,IF($B106&lt;=Inputs!$C$29,0,IF($B106&gt;=INDEX(LE_Curves!$I$5:$I$205,201),INDEX(LE_Curves!$B$5:$B$205,201),INDEX(LE_Curves!$B$5:$B$205,MATCH($B106,LE_Curves!$I$5:$I$205,1))+($B106-INDEX(LE_Curves!$I$5:$I$205,MATCH($B106,LE_Curves!$I$5:$I$205,1)))*(INDEX(LE_Curves!$B$5:$B$205,MATCH($B106,LE_Curves!$I$5:$I$205,1)+1)-INDEX(LE_Curves!$B$5:$B$205,MATCH($B106,LE_Curves!$I$5:$I$205,1)))/(INDEX(LE_Curves!$I$5:$I$205,MATCH($B106,LE_Curves!$I$5:$I$205,1)+1)-INDEX(LE_Curves!$I$5:$I$205,MATCH($B106,LE_Curves!$I$5:$I$205,1))))))</f>
        <v/>
      </c>
      <c r="J106" s="11">
        <f>IF(Inputs!$D$30=0,0,IF($B106&lt;=Inputs!$C$30,0,IF($B106&gt;=INDEX(LE_Curves!$J$5:$J$205,201),INDEX(LE_Curves!$B$5:$B$205,201),INDEX(LE_Curves!$B$5:$B$205,MATCH($B106,LE_Curves!$J$5:$J$205,1))+($B106-INDEX(LE_Curves!$J$5:$J$205,MATCH($B106,LE_Curves!$J$5:$J$205,1)))*(INDEX(LE_Curves!$B$5:$B$205,MATCH($B106,LE_Curves!$J$5:$J$205,1)+1)-INDEX(LE_Curves!$B$5:$B$205,MATCH($B106,LE_Curves!$J$5:$J$205,1)))/(INDEX(LE_Curves!$J$5:$J$205,MATCH($B106,LE_Curves!$J$5:$J$205,1)+1)-INDEX(LE_Curves!$J$5:$J$205,MATCH($B106,LE_Curves!$J$5:$J$205,1))))))</f>
        <v/>
      </c>
      <c r="K106" s="11">
        <f>IF(Inputs!$D$31=0,0,IF($B106&lt;=Inputs!$C$31,0,IF($B106&gt;=INDEX(LE_Curves!$K$5:$K$205,201),INDEX(LE_Curves!$B$5:$B$205,201),INDEX(LE_Curves!$B$5:$B$205,MATCH($B106,LE_Curves!$K$5:$K$205,1))+($B106-INDEX(LE_Curves!$K$5:$K$205,MATCH($B106,LE_Curves!$K$5:$K$205,1)))*(INDEX(LE_Curves!$B$5:$B$205,MATCH($B106,LE_Curves!$K$5:$K$205,1)+1)-INDEX(LE_Curves!$B$5:$B$205,MATCH($B106,LE_Curves!$K$5:$K$205,1)))/(INDEX(LE_Curves!$K$5:$K$205,MATCH($B106,LE_Curves!$K$5:$K$205,1)+1)-INDEX(LE_Curves!$K$5:$K$205,MATCH($B106,LE_Curves!$K$5:$K$205,1))))))</f>
        <v/>
      </c>
      <c r="L106" s="11">
        <f>IF(Inputs!$D$32=0,0,IF($B106&lt;=Inputs!$C$32,0,IF($B106&gt;=INDEX(LE_Curves!$L$5:$L$205,201),INDEX(LE_Curves!$B$5:$B$205,201),INDEX(LE_Curves!$B$5:$B$205,MATCH($B106,LE_Curves!$L$5:$L$205,1))+($B106-INDEX(LE_Curves!$L$5:$L$205,MATCH($B106,LE_Curves!$L$5:$L$205,1)))*(INDEX(LE_Curves!$B$5:$B$205,MATCH($B106,LE_Curves!$L$5:$L$205,1)+1)-INDEX(LE_Curves!$B$5:$B$205,MATCH($B106,LE_Curves!$L$5:$L$205,1)))/(INDEX(LE_Curves!$L$5:$L$205,MATCH($B106,LE_Curves!$L$5:$L$205,1)+1)-INDEX(LE_Curves!$L$5:$L$205,MATCH($B106,LE_Curves!$L$5:$L$205,1))))))</f>
        <v/>
      </c>
      <c r="M106" s="11">
        <f>IF(Inputs!$D$33=0,0,IF($B106&lt;=Inputs!$C$33,0,IF($B106&gt;=INDEX(LE_Curves!$M$5:$M$205,201),INDEX(LE_Curves!$B$5:$B$205,201),INDEX(LE_Curves!$B$5:$B$205,MATCH($B106,LE_Curves!$M$5:$M$205,1))+($B106-INDEX(LE_Curves!$M$5:$M$205,MATCH($B106,LE_Curves!$M$5:$M$205,1)))*(INDEX(LE_Curves!$B$5:$B$205,MATCH($B106,LE_Curves!$M$5:$M$205,1)+1)-INDEX(LE_Curves!$B$5:$B$205,MATCH($B106,LE_Curves!$M$5:$M$205,1)))/(INDEX(LE_Curves!$M$5:$M$205,MATCH($B106,LE_Curves!$M$5:$M$205,1)+1)-INDEX(LE_Curves!$M$5:$M$205,MATCH($B106,LE_Curves!$M$5:$M$205,1))))))</f>
        <v/>
      </c>
      <c r="N106" s="11">
        <f>IF(Inputs!$D$34=0,0,IF($B106&lt;=Inputs!$C$34,0,IF($B106&gt;=INDEX(LE_Curves!$N$5:$N$205,201),INDEX(LE_Curves!$B$5:$B$205,201),INDEX(LE_Curves!$B$5:$B$205,MATCH($B106,LE_Curves!$N$5:$N$205,1))+($B106-INDEX(LE_Curves!$N$5:$N$205,MATCH($B106,LE_Curves!$N$5:$N$205,1)))*(INDEX(LE_Curves!$B$5:$B$205,MATCH($B106,LE_Curves!$N$5:$N$205,1)+1)-INDEX(LE_Curves!$B$5:$B$205,MATCH($B106,LE_Curves!$N$5:$N$205,1)))/(INDEX(LE_Curves!$N$5:$N$205,MATCH($B106,LE_Curves!$N$5:$N$205,1)+1)-INDEX(LE_Curves!$N$5:$N$205,MATCH($B106,LE_Curves!$N$5:$N$205,1))))))</f>
        <v/>
      </c>
      <c r="O106" s="11">
        <f>SUM(C106:N106)</f>
        <v/>
      </c>
      <c r="Q106" s="7" t="n">
        <v>75</v>
      </c>
      <c r="R106" s="23">
        <f>$B$6+($B$7-$B$6)*Q106/200</f>
        <v/>
      </c>
      <c r="S106" s="11">
        <f>IF(Inputs!$D$23=0,0,IF($R106&lt;=Inputs!$C$23,0,IF($R106&gt;=INDEX(LE_Curves!$C$5:$C$205,201),INDEX(LE_Curves!$B$5:$B$205,201),INDEX(LE_Curves!$B$5:$B$205,MATCH($R106,LE_Curves!$C$5:$C$205,1))+($R106-INDEX(LE_Curves!$C$5:$C$205,MATCH($R106,LE_Curves!$C$5:$C$205,1)))*(INDEX(LE_Curves!$B$5:$B$205,MATCH($R106,LE_Curves!$C$5:$C$205,1)+1)-INDEX(LE_Curves!$B$5:$B$205,MATCH($R106,LE_Curves!$C$5:$C$205,1)))/(INDEX(LE_Curves!$C$5:$C$205,MATCH($R106,LE_Curves!$C$5:$C$205,1)+1)-INDEX(LE_Curves!$C$5:$C$205,MATCH($R106,LE_Curves!$C$5:$C$205,1))))))</f>
        <v/>
      </c>
      <c r="T106" s="11">
        <f>IF(Inputs!$D$24=0,0,IF($R106&lt;=Inputs!$C$24,0,IF($R106&gt;=INDEX(LE_Curves!$D$5:$D$205,201),INDEX(LE_Curves!$B$5:$B$205,201),INDEX(LE_Curves!$B$5:$B$205,MATCH($R106,LE_Curves!$D$5:$D$205,1))+($R106-INDEX(LE_Curves!$D$5:$D$205,MATCH($R106,LE_Curves!$D$5:$D$205,1)))*(INDEX(LE_Curves!$B$5:$B$205,MATCH($R106,LE_Curves!$D$5:$D$205,1)+1)-INDEX(LE_Curves!$B$5:$B$205,MATCH($R106,LE_Curves!$D$5:$D$205,1)))/(INDEX(LE_Curves!$D$5:$D$205,MATCH($R106,LE_Curves!$D$5:$D$205,1)+1)-INDEX(LE_Curves!$D$5:$D$205,MATCH($R106,LE_Curves!$D$5:$D$205,1))))))</f>
        <v/>
      </c>
      <c r="U106" s="11">
        <f>IF(Inputs!$D$25=0,0,IF($R106&lt;=Inputs!$C$25,0,IF($R106&gt;=INDEX(LE_Curves!$E$5:$E$205,201),INDEX(LE_Curves!$B$5:$B$205,201),INDEX(LE_Curves!$B$5:$B$205,MATCH($R106,LE_Curves!$E$5:$E$205,1))+($R106-INDEX(LE_Curves!$E$5:$E$205,MATCH($R106,LE_Curves!$E$5:$E$205,1)))*(INDEX(LE_Curves!$B$5:$B$205,MATCH($R106,LE_Curves!$E$5:$E$205,1)+1)-INDEX(LE_Curves!$B$5:$B$205,MATCH($R106,LE_Curves!$E$5:$E$205,1)))/(INDEX(LE_Curves!$E$5:$E$205,MATCH($R106,LE_Curves!$E$5:$E$205,1)+1)-INDEX(LE_Curves!$E$5:$E$205,MATCH($R106,LE_Curves!$E$5:$E$205,1))))))</f>
        <v/>
      </c>
      <c r="V106" s="11">
        <f>IF(Inputs!$D$26=0,0,IF($R106&lt;=Inputs!$C$26,0,IF($R106&gt;=INDEX(LE_Curves!$F$5:$F$205,201),INDEX(LE_Curves!$B$5:$B$205,201),INDEX(LE_Curves!$B$5:$B$205,MATCH($R106,LE_Curves!$F$5:$F$205,1))+($R106-INDEX(LE_Curves!$F$5:$F$205,MATCH($R106,LE_Curves!$F$5:$F$205,1)))*(INDEX(LE_Curves!$B$5:$B$205,MATCH($R106,LE_Curves!$F$5:$F$205,1)+1)-INDEX(LE_Curves!$B$5:$B$205,MATCH($R106,LE_Curves!$F$5:$F$205,1)))/(INDEX(LE_Curves!$F$5:$F$205,MATCH($R106,LE_Curves!$F$5:$F$205,1)+1)-INDEX(LE_Curves!$F$5:$F$205,MATCH($R106,LE_Curves!$F$5:$F$205,1))))))</f>
        <v/>
      </c>
      <c r="W106" s="11">
        <f>IF(Inputs!$D$27=0,0,IF($R106&lt;=Inputs!$C$27,0,IF($R106&gt;=INDEX(LE_Curves!$G$5:$G$205,201),INDEX(LE_Curves!$B$5:$B$205,201),INDEX(LE_Curves!$B$5:$B$205,MATCH($R106,LE_Curves!$G$5:$G$205,1))+($R106-INDEX(LE_Curves!$G$5:$G$205,MATCH($R106,LE_Curves!$G$5:$G$205,1)))*(INDEX(LE_Curves!$B$5:$B$205,MATCH($R106,LE_Curves!$G$5:$G$205,1)+1)-INDEX(LE_Curves!$B$5:$B$205,MATCH($R106,LE_Curves!$G$5:$G$205,1)))/(INDEX(LE_Curves!$G$5:$G$205,MATCH($R106,LE_Curves!$G$5:$G$205,1)+1)-INDEX(LE_Curves!$G$5:$G$205,MATCH($R106,LE_Curves!$G$5:$G$205,1))))))</f>
        <v/>
      </c>
      <c r="X106" s="11">
        <f>IF(Inputs!$D$28=0,0,IF($R106&lt;=Inputs!$C$28,0,IF($R106&gt;=INDEX(LE_Curves!$H$5:$H$205,201),INDEX(LE_Curves!$B$5:$B$205,201),INDEX(LE_Curves!$B$5:$B$205,MATCH($R106,LE_Curves!$H$5:$H$205,1))+($R106-INDEX(LE_Curves!$H$5:$H$205,MATCH($R106,LE_Curves!$H$5:$H$205,1)))*(INDEX(LE_Curves!$B$5:$B$205,MATCH($R106,LE_Curves!$H$5:$H$205,1)+1)-INDEX(LE_Curves!$B$5:$B$205,MATCH($R106,LE_Curves!$H$5:$H$205,1)))/(INDEX(LE_Curves!$H$5:$H$205,MATCH($R106,LE_Curves!$H$5:$H$205,1)+1)-INDEX(LE_Curves!$H$5:$H$205,MATCH($R106,LE_Curves!$H$5:$H$205,1))))))</f>
        <v/>
      </c>
      <c r="Y106" s="11">
        <f>IF(Inputs!$D$29=0,0,IF($R106&lt;=Inputs!$C$29,0,IF($R106&gt;=INDEX(LE_Curves!$I$5:$I$205,201),INDEX(LE_Curves!$B$5:$B$205,201),INDEX(LE_Curves!$B$5:$B$205,MATCH($R106,LE_Curves!$I$5:$I$205,1))+($R106-INDEX(LE_Curves!$I$5:$I$205,MATCH($R106,LE_Curves!$I$5:$I$205,1)))*(INDEX(LE_Curves!$B$5:$B$205,MATCH($R106,LE_Curves!$I$5:$I$205,1)+1)-INDEX(LE_Curves!$B$5:$B$205,MATCH($R106,LE_Curves!$I$5:$I$205,1)))/(INDEX(LE_Curves!$I$5:$I$205,MATCH($R106,LE_Curves!$I$5:$I$205,1)+1)-INDEX(LE_Curves!$I$5:$I$205,MATCH($R106,LE_Curves!$I$5:$I$205,1))))))</f>
        <v/>
      </c>
      <c r="Z106" s="11">
        <f>IF(Inputs!$D$30=0,0,IF($R106&lt;=Inputs!$C$30,0,IF($R106&gt;=INDEX(LE_Curves!$J$5:$J$205,201),INDEX(LE_Curves!$B$5:$B$205,201),INDEX(LE_Curves!$B$5:$B$205,MATCH($R106,LE_Curves!$J$5:$J$205,1))+($R106-INDEX(LE_Curves!$J$5:$J$205,MATCH($R106,LE_Curves!$J$5:$J$205,1)))*(INDEX(LE_Curves!$B$5:$B$205,MATCH($R106,LE_Curves!$J$5:$J$205,1)+1)-INDEX(LE_Curves!$B$5:$B$205,MATCH($R106,LE_Curves!$J$5:$J$205,1)))/(INDEX(LE_Curves!$J$5:$J$205,MATCH($R106,LE_Curves!$J$5:$J$205,1)+1)-INDEX(LE_Curves!$J$5:$J$205,MATCH($R106,LE_Curves!$J$5:$J$205,1))))))</f>
        <v/>
      </c>
      <c r="AA106" s="11">
        <f>IF(Inputs!$D$31=0,0,IF($R106&lt;=Inputs!$C$31,0,IF($R106&gt;=INDEX(LE_Curves!$K$5:$K$205,201),INDEX(LE_Curves!$B$5:$B$205,201),INDEX(LE_Curves!$B$5:$B$205,MATCH($R106,LE_Curves!$K$5:$K$205,1))+($R106-INDEX(LE_Curves!$K$5:$K$205,MATCH($R106,LE_Curves!$K$5:$K$205,1)))*(INDEX(LE_Curves!$B$5:$B$205,MATCH($R106,LE_Curves!$K$5:$K$205,1)+1)-INDEX(LE_Curves!$B$5:$B$205,MATCH($R106,LE_Curves!$K$5:$K$205,1)))/(INDEX(LE_Curves!$K$5:$K$205,MATCH($R106,LE_Curves!$K$5:$K$205,1)+1)-INDEX(LE_Curves!$K$5:$K$205,MATCH($R106,LE_Curves!$K$5:$K$205,1))))))</f>
        <v/>
      </c>
      <c r="AB106" s="11">
        <f>IF(Inputs!$D$32=0,0,IF($R106&lt;=Inputs!$C$32,0,IF($R106&gt;=INDEX(LE_Curves!$L$5:$L$205,201),INDEX(LE_Curves!$B$5:$B$205,201),INDEX(LE_Curves!$B$5:$B$205,MATCH($R106,LE_Curves!$L$5:$L$205,1))+($R106-INDEX(LE_Curves!$L$5:$L$205,MATCH($R106,LE_Curves!$L$5:$L$205,1)))*(INDEX(LE_Curves!$B$5:$B$205,MATCH($R106,LE_Curves!$L$5:$L$205,1)+1)-INDEX(LE_Curves!$B$5:$B$205,MATCH($R106,LE_Curves!$L$5:$L$205,1)))/(INDEX(LE_Curves!$L$5:$L$205,MATCH($R106,LE_Curves!$L$5:$L$205,1)+1)-INDEX(LE_Curves!$L$5:$L$205,MATCH($R106,LE_Curves!$L$5:$L$205,1))))))</f>
        <v/>
      </c>
      <c r="AC106" s="11">
        <f>IF(Inputs!$D$33=0,0,IF($R106&lt;=Inputs!$C$33,0,IF($R106&gt;=INDEX(LE_Curves!$M$5:$M$205,201),INDEX(LE_Curves!$B$5:$B$205,201),INDEX(LE_Curves!$B$5:$B$205,MATCH($R106,LE_Curves!$M$5:$M$205,1))+($R106-INDEX(LE_Curves!$M$5:$M$205,MATCH($R106,LE_Curves!$M$5:$M$205,1)))*(INDEX(LE_Curves!$B$5:$B$205,MATCH($R106,LE_Curves!$M$5:$M$205,1)+1)-INDEX(LE_Curves!$B$5:$B$205,MATCH($R106,LE_Curves!$M$5:$M$205,1)))/(INDEX(LE_Curves!$M$5:$M$205,MATCH($R106,LE_Curves!$M$5:$M$205,1)+1)-INDEX(LE_Curves!$M$5:$M$205,MATCH($R106,LE_Curves!$M$5:$M$205,1))))))</f>
        <v/>
      </c>
      <c r="AD106" s="11">
        <f>IF(Inputs!$D$34=0,0,IF($R106&lt;=Inputs!$C$34,0,IF($R106&gt;=INDEX(LE_Curves!$N$5:$N$205,201),INDEX(LE_Curves!$B$5:$B$205,201),INDEX(LE_Curves!$B$5:$B$205,MATCH($R106,LE_Curves!$N$5:$N$205,1))+($R106-INDEX(LE_Curves!$N$5:$N$205,MATCH($R106,LE_Curves!$N$5:$N$205,1)))*(INDEX(LE_Curves!$B$5:$B$205,MATCH($R106,LE_Curves!$N$5:$N$205,1)+1)-INDEX(LE_Curves!$B$5:$B$205,MATCH($R106,LE_Curves!$N$5:$N$205,1)))/(INDEX(LE_Curves!$N$5:$N$205,MATCH($R106,LE_Curves!$N$5:$N$205,1)+1)-INDEX(LE_Curves!$N$5:$N$205,MATCH($R106,LE_Curves!$N$5:$N$205,1))))))</f>
        <v/>
      </c>
      <c r="AE106" s="37">
        <f>SUM(S106:AD106)</f>
        <v/>
      </c>
    </row>
    <row r="107">
      <c r="A107" s="7" t="n">
        <v>76</v>
      </c>
      <c r="B107" s="37">
        <f>$B$3+($B$4-$B$3)*A107/200</f>
        <v/>
      </c>
      <c r="C107" s="11">
        <f>IF(Inputs!$D$23=0,0,IF($B107&lt;=Inputs!$C$23,0,IF($B107&gt;=INDEX(LE_Curves!$C$5:$C$205,201),INDEX(LE_Curves!$B$5:$B$205,201),INDEX(LE_Curves!$B$5:$B$205,MATCH($B107,LE_Curves!$C$5:$C$205,1))+($B107-INDEX(LE_Curves!$C$5:$C$205,MATCH($B107,LE_Curves!$C$5:$C$205,1)))*(INDEX(LE_Curves!$B$5:$B$205,MATCH($B107,LE_Curves!$C$5:$C$205,1)+1)-INDEX(LE_Curves!$B$5:$B$205,MATCH($B107,LE_Curves!$C$5:$C$205,1)))/(INDEX(LE_Curves!$C$5:$C$205,MATCH($B107,LE_Curves!$C$5:$C$205,1)+1)-INDEX(LE_Curves!$C$5:$C$205,MATCH($B107,LE_Curves!$C$5:$C$205,1))))))</f>
        <v/>
      </c>
      <c r="D107" s="11">
        <f>IF(Inputs!$D$24=0,0,IF($B107&lt;=Inputs!$C$24,0,IF($B107&gt;=INDEX(LE_Curves!$D$5:$D$205,201),INDEX(LE_Curves!$B$5:$B$205,201),INDEX(LE_Curves!$B$5:$B$205,MATCH($B107,LE_Curves!$D$5:$D$205,1))+($B107-INDEX(LE_Curves!$D$5:$D$205,MATCH($B107,LE_Curves!$D$5:$D$205,1)))*(INDEX(LE_Curves!$B$5:$B$205,MATCH($B107,LE_Curves!$D$5:$D$205,1)+1)-INDEX(LE_Curves!$B$5:$B$205,MATCH($B107,LE_Curves!$D$5:$D$205,1)))/(INDEX(LE_Curves!$D$5:$D$205,MATCH($B107,LE_Curves!$D$5:$D$205,1)+1)-INDEX(LE_Curves!$D$5:$D$205,MATCH($B107,LE_Curves!$D$5:$D$205,1))))))</f>
        <v/>
      </c>
      <c r="E107" s="11">
        <f>IF(Inputs!$D$25=0,0,IF($B107&lt;=Inputs!$C$25,0,IF($B107&gt;=INDEX(LE_Curves!$E$5:$E$205,201),INDEX(LE_Curves!$B$5:$B$205,201),INDEX(LE_Curves!$B$5:$B$205,MATCH($B107,LE_Curves!$E$5:$E$205,1))+($B107-INDEX(LE_Curves!$E$5:$E$205,MATCH($B107,LE_Curves!$E$5:$E$205,1)))*(INDEX(LE_Curves!$B$5:$B$205,MATCH($B107,LE_Curves!$E$5:$E$205,1)+1)-INDEX(LE_Curves!$B$5:$B$205,MATCH($B107,LE_Curves!$E$5:$E$205,1)))/(INDEX(LE_Curves!$E$5:$E$205,MATCH($B107,LE_Curves!$E$5:$E$205,1)+1)-INDEX(LE_Curves!$E$5:$E$205,MATCH($B107,LE_Curves!$E$5:$E$205,1))))))</f>
        <v/>
      </c>
      <c r="F107" s="11">
        <f>IF(Inputs!$D$26=0,0,IF($B107&lt;=Inputs!$C$26,0,IF($B107&gt;=INDEX(LE_Curves!$F$5:$F$205,201),INDEX(LE_Curves!$B$5:$B$205,201),INDEX(LE_Curves!$B$5:$B$205,MATCH($B107,LE_Curves!$F$5:$F$205,1))+($B107-INDEX(LE_Curves!$F$5:$F$205,MATCH($B107,LE_Curves!$F$5:$F$205,1)))*(INDEX(LE_Curves!$B$5:$B$205,MATCH($B107,LE_Curves!$F$5:$F$205,1)+1)-INDEX(LE_Curves!$B$5:$B$205,MATCH($B107,LE_Curves!$F$5:$F$205,1)))/(INDEX(LE_Curves!$F$5:$F$205,MATCH($B107,LE_Curves!$F$5:$F$205,1)+1)-INDEX(LE_Curves!$F$5:$F$205,MATCH($B107,LE_Curves!$F$5:$F$205,1))))))</f>
        <v/>
      </c>
      <c r="G107" s="11">
        <f>IF(Inputs!$D$27=0,0,IF($B107&lt;=Inputs!$C$27,0,IF($B107&gt;=INDEX(LE_Curves!$G$5:$G$205,201),INDEX(LE_Curves!$B$5:$B$205,201),INDEX(LE_Curves!$B$5:$B$205,MATCH($B107,LE_Curves!$G$5:$G$205,1))+($B107-INDEX(LE_Curves!$G$5:$G$205,MATCH($B107,LE_Curves!$G$5:$G$205,1)))*(INDEX(LE_Curves!$B$5:$B$205,MATCH($B107,LE_Curves!$G$5:$G$205,1)+1)-INDEX(LE_Curves!$B$5:$B$205,MATCH($B107,LE_Curves!$G$5:$G$205,1)))/(INDEX(LE_Curves!$G$5:$G$205,MATCH($B107,LE_Curves!$G$5:$G$205,1)+1)-INDEX(LE_Curves!$G$5:$G$205,MATCH($B107,LE_Curves!$G$5:$G$205,1))))))</f>
        <v/>
      </c>
      <c r="H107" s="11">
        <f>IF(Inputs!$D$28=0,0,IF($B107&lt;=Inputs!$C$28,0,IF($B107&gt;=INDEX(LE_Curves!$H$5:$H$205,201),INDEX(LE_Curves!$B$5:$B$205,201),INDEX(LE_Curves!$B$5:$B$205,MATCH($B107,LE_Curves!$H$5:$H$205,1))+($B107-INDEX(LE_Curves!$H$5:$H$205,MATCH($B107,LE_Curves!$H$5:$H$205,1)))*(INDEX(LE_Curves!$B$5:$B$205,MATCH($B107,LE_Curves!$H$5:$H$205,1)+1)-INDEX(LE_Curves!$B$5:$B$205,MATCH($B107,LE_Curves!$H$5:$H$205,1)))/(INDEX(LE_Curves!$H$5:$H$205,MATCH($B107,LE_Curves!$H$5:$H$205,1)+1)-INDEX(LE_Curves!$H$5:$H$205,MATCH($B107,LE_Curves!$H$5:$H$205,1))))))</f>
        <v/>
      </c>
      <c r="I107" s="11">
        <f>IF(Inputs!$D$29=0,0,IF($B107&lt;=Inputs!$C$29,0,IF($B107&gt;=INDEX(LE_Curves!$I$5:$I$205,201),INDEX(LE_Curves!$B$5:$B$205,201),INDEX(LE_Curves!$B$5:$B$205,MATCH($B107,LE_Curves!$I$5:$I$205,1))+($B107-INDEX(LE_Curves!$I$5:$I$205,MATCH($B107,LE_Curves!$I$5:$I$205,1)))*(INDEX(LE_Curves!$B$5:$B$205,MATCH($B107,LE_Curves!$I$5:$I$205,1)+1)-INDEX(LE_Curves!$B$5:$B$205,MATCH($B107,LE_Curves!$I$5:$I$205,1)))/(INDEX(LE_Curves!$I$5:$I$205,MATCH($B107,LE_Curves!$I$5:$I$205,1)+1)-INDEX(LE_Curves!$I$5:$I$205,MATCH($B107,LE_Curves!$I$5:$I$205,1))))))</f>
        <v/>
      </c>
      <c r="J107" s="11">
        <f>IF(Inputs!$D$30=0,0,IF($B107&lt;=Inputs!$C$30,0,IF($B107&gt;=INDEX(LE_Curves!$J$5:$J$205,201),INDEX(LE_Curves!$B$5:$B$205,201),INDEX(LE_Curves!$B$5:$B$205,MATCH($B107,LE_Curves!$J$5:$J$205,1))+($B107-INDEX(LE_Curves!$J$5:$J$205,MATCH($B107,LE_Curves!$J$5:$J$205,1)))*(INDEX(LE_Curves!$B$5:$B$205,MATCH($B107,LE_Curves!$J$5:$J$205,1)+1)-INDEX(LE_Curves!$B$5:$B$205,MATCH($B107,LE_Curves!$J$5:$J$205,1)))/(INDEX(LE_Curves!$J$5:$J$205,MATCH($B107,LE_Curves!$J$5:$J$205,1)+1)-INDEX(LE_Curves!$J$5:$J$205,MATCH($B107,LE_Curves!$J$5:$J$205,1))))))</f>
        <v/>
      </c>
      <c r="K107" s="11">
        <f>IF(Inputs!$D$31=0,0,IF($B107&lt;=Inputs!$C$31,0,IF($B107&gt;=INDEX(LE_Curves!$K$5:$K$205,201),INDEX(LE_Curves!$B$5:$B$205,201),INDEX(LE_Curves!$B$5:$B$205,MATCH($B107,LE_Curves!$K$5:$K$205,1))+($B107-INDEX(LE_Curves!$K$5:$K$205,MATCH($B107,LE_Curves!$K$5:$K$205,1)))*(INDEX(LE_Curves!$B$5:$B$205,MATCH($B107,LE_Curves!$K$5:$K$205,1)+1)-INDEX(LE_Curves!$B$5:$B$205,MATCH($B107,LE_Curves!$K$5:$K$205,1)))/(INDEX(LE_Curves!$K$5:$K$205,MATCH($B107,LE_Curves!$K$5:$K$205,1)+1)-INDEX(LE_Curves!$K$5:$K$205,MATCH($B107,LE_Curves!$K$5:$K$205,1))))))</f>
        <v/>
      </c>
      <c r="L107" s="11">
        <f>IF(Inputs!$D$32=0,0,IF($B107&lt;=Inputs!$C$32,0,IF($B107&gt;=INDEX(LE_Curves!$L$5:$L$205,201),INDEX(LE_Curves!$B$5:$B$205,201),INDEX(LE_Curves!$B$5:$B$205,MATCH($B107,LE_Curves!$L$5:$L$205,1))+($B107-INDEX(LE_Curves!$L$5:$L$205,MATCH($B107,LE_Curves!$L$5:$L$205,1)))*(INDEX(LE_Curves!$B$5:$B$205,MATCH($B107,LE_Curves!$L$5:$L$205,1)+1)-INDEX(LE_Curves!$B$5:$B$205,MATCH($B107,LE_Curves!$L$5:$L$205,1)))/(INDEX(LE_Curves!$L$5:$L$205,MATCH($B107,LE_Curves!$L$5:$L$205,1)+1)-INDEX(LE_Curves!$L$5:$L$205,MATCH($B107,LE_Curves!$L$5:$L$205,1))))))</f>
        <v/>
      </c>
      <c r="M107" s="11">
        <f>IF(Inputs!$D$33=0,0,IF($B107&lt;=Inputs!$C$33,0,IF($B107&gt;=INDEX(LE_Curves!$M$5:$M$205,201),INDEX(LE_Curves!$B$5:$B$205,201),INDEX(LE_Curves!$B$5:$B$205,MATCH($B107,LE_Curves!$M$5:$M$205,1))+($B107-INDEX(LE_Curves!$M$5:$M$205,MATCH($B107,LE_Curves!$M$5:$M$205,1)))*(INDEX(LE_Curves!$B$5:$B$205,MATCH($B107,LE_Curves!$M$5:$M$205,1)+1)-INDEX(LE_Curves!$B$5:$B$205,MATCH($B107,LE_Curves!$M$5:$M$205,1)))/(INDEX(LE_Curves!$M$5:$M$205,MATCH($B107,LE_Curves!$M$5:$M$205,1)+1)-INDEX(LE_Curves!$M$5:$M$205,MATCH($B107,LE_Curves!$M$5:$M$205,1))))))</f>
        <v/>
      </c>
      <c r="N107" s="11">
        <f>IF(Inputs!$D$34=0,0,IF($B107&lt;=Inputs!$C$34,0,IF($B107&gt;=INDEX(LE_Curves!$N$5:$N$205,201),INDEX(LE_Curves!$B$5:$B$205,201),INDEX(LE_Curves!$B$5:$B$205,MATCH($B107,LE_Curves!$N$5:$N$205,1))+($B107-INDEX(LE_Curves!$N$5:$N$205,MATCH($B107,LE_Curves!$N$5:$N$205,1)))*(INDEX(LE_Curves!$B$5:$B$205,MATCH($B107,LE_Curves!$N$5:$N$205,1)+1)-INDEX(LE_Curves!$B$5:$B$205,MATCH($B107,LE_Curves!$N$5:$N$205,1)))/(INDEX(LE_Curves!$N$5:$N$205,MATCH($B107,LE_Curves!$N$5:$N$205,1)+1)-INDEX(LE_Curves!$N$5:$N$205,MATCH($B107,LE_Curves!$N$5:$N$205,1))))))</f>
        <v/>
      </c>
      <c r="O107" s="11">
        <f>SUM(C107:N107)</f>
        <v/>
      </c>
      <c r="Q107" s="7" t="n">
        <v>76</v>
      </c>
      <c r="R107" s="23">
        <f>$B$6+($B$7-$B$6)*Q107/200</f>
        <v/>
      </c>
      <c r="S107" s="11">
        <f>IF(Inputs!$D$23=0,0,IF($R107&lt;=Inputs!$C$23,0,IF($R107&gt;=INDEX(LE_Curves!$C$5:$C$205,201),INDEX(LE_Curves!$B$5:$B$205,201),INDEX(LE_Curves!$B$5:$B$205,MATCH($R107,LE_Curves!$C$5:$C$205,1))+($R107-INDEX(LE_Curves!$C$5:$C$205,MATCH($R107,LE_Curves!$C$5:$C$205,1)))*(INDEX(LE_Curves!$B$5:$B$205,MATCH($R107,LE_Curves!$C$5:$C$205,1)+1)-INDEX(LE_Curves!$B$5:$B$205,MATCH($R107,LE_Curves!$C$5:$C$205,1)))/(INDEX(LE_Curves!$C$5:$C$205,MATCH($R107,LE_Curves!$C$5:$C$205,1)+1)-INDEX(LE_Curves!$C$5:$C$205,MATCH($R107,LE_Curves!$C$5:$C$205,1))))))</f>
        <v/>
      </c>
      <c r="T107" s="11">
        <f>IF(Inputs!$D$24=0,0,IF($R107&lt;=Inputs!$C$24,0,IF($R107&gt;=INDEX(LE_Curves!$D$5:$D$205,201),INDEX(LE_Curves!$B$5:$B$205,201),INDEX(LE_Curves!$B$5:$B$205,MATCH($R107,LE_Curves!$D$5:$D$205,1))+($R107-INDEX(LE_Curves!$D$5:$D$205,MATCH($R107,LE_Curves!$D$5:$D$205,1)))*(INDEX(LE_Curves!$B$5:$B$205,MATCH($R107,LE_Curves!$D$5:$D$205,1)+1)-INDEX(LE_Curves!$B$5:$B$205,MATCH($R107,LE_Curves!$D$5:$D$205,1)))/(INDEX(LE_Curves!$D$5:$D$205,MATCH($R107,LE_Curves!$D$5:$D$205,1)+1)-INDEX(LE_Curves!$D$5:$D$205,MATCH($R107,LE_Curves!$D$5:$D$205,1))))))</f>
        <v/>
      </c>
      <c r="U107" s="11">
        <f>IF(Inputs!$D$25=0,0,IF($R107&lt;=Inputs!$C$25,0,IF($R107&gt;=INDEX(LE_Curves!$E$5:$E$205,201),INDEX(LE_Curves!$B$5:$B$205,201),INDEX(LE_Curves!$B$5:$B$205,MATCH($R107,LE_Curves!$E$5:$E$205,1))+($R107-INDEX(LE_Curves!$E$5:$E$205,MATCH($R107,LE_Curves!$E$5:$E$205,1)))*(INDEX(LE_Curves!$B$5:$B$205,MATCH($R107,LE_Curves!$E$5:$E$205,1)+1)-INDEX(LE_Curves!$B$5:$B$205,MATCH($R107,LE_Curves!$E$5:$E$205,1)))/(INDEX(LE_Curves!$E$5:$E$205,MATCH($R107,LE_Curves!$E$5:$E$205,1)+1)-INDEX(LE_Curves!$E$5:$E$205,MATCH($R107,LE_Curves!$E$5:$E$205,1))))))</f>
        <v/>
      </c>
      <c r="V107" s="11">
        <f>IF(Inputs!$D$26=0,0,IF($R107&lt;=Inputs!$C$26,0,IF($R107&gt;=INDEX(LE_Curves!$F$5:$F$205,201),INDEX(LE_Curves!$B$5:$B$205,201),INDEX(LE_Curves!$B$5:$B$205,MATCH($R107,LE_Curves!$F$5:$F$205,1))+($R107-INDEX(LE_Curves!$F$5:$F$205,MATCH($R107,LE_Curves!$F$5:$F$205,1)))*(INDEX(LE_Curves!$B$5:$B$205,MATCH($R107,LE_Curves!$F$5:$F$205,1)+1)-INDEX(LE_Curves!$B$5:$B$205,MATCH($R107,LE_Curves!$F$5:$F$205,1)))/(INDEX(LE_Curves!$F$5:$F$205,MATCH($R107,LE_Curves!$F$5:$F$205,1)+1)-INDEX(LE_Curves!$F$5:$F$205,MATCH($R107,LE_Curves!$F$5:$F$205,1))))))</f>
        <v/>
      </c>
      <c r="W107" s="11">
        <f>IF(Inputs!$D$27=0,0,IF($R107&lt;=Inputs!$C$27,0,IF($R107&gt;=INDEX(LE_Curves!$G$5:$G$205,201),INDEX(LE_Curves!$B$5:$B$205,201),INDEX(LE_Curves!$B$5:$B$205,MATCH($R107,LE_Curves!$G$5:$G$205,1))+($R107-INDEX(LE_Curves!$G$5:$G$205,MATCH($R107,LE_Curves!$G$5:$G$205,1)))*(INDEX(LE_Curves!$B$5:$B$205,MATCH($R107,LE_Curves!$G$5:$G$205,1)+1)-INDEX(LE_Curves!$B$5:$B$205,MATCH($R107,LE_Curves!$G$5:$G$205,1)))/(INDEX(LE_Curves!$G$5:$G$205,MATCH($R107,LE_Curves!$G$5:$G$205,1)+1)-INDEX(LE_Curves!$G$5:$G$205,MATCH($R107,LE_Curves!$G$5:$G$205,1))))))</f>
        <v/>
      </c>
      <c r="X107" s="11">
        <f>IF(Inputs!$D$28=0,0,IF($R107&lt;=Inputs!$C$28,0,IF($R107&gt;=INDEX(LE_Curves!$H$5:$H$205,201),INDEX(LE_Curves!$B$5:$B$205,201),INDEX(LE_Curves!$B$5:$B$205,MATCH($R107,LE_Curves!$H$5:$H$205,1))+($R107-INDEX(LE_Curves!$H$5:$H$205,MATCH($R107,LE_Curves!$H$5:$H$205,1)))*(INDEX(LE_Curves!$B$5:$B$205,MATCH($R107,LE_Curves!$H$5:$H$205,1)+1)-INDEX(LE_Curves!$B$5:$B$205,MATCH($R107,LE_Curves!$H$5:$H$205,1)))/(INDEX(LE_Curves!$H$5:$H$205,MATCH($R107,LE_Curves!$H$5:$H$205,1)+1)-INDEX(LE_Curves!$H$5:$H$205,MATCH($R107,LE_Curves!$H$5:$H$205,1))))))</f>
        <v/>
      </c>
      <c r="Y107" s="11">
        <f>IF(Inputs!$D$29=0,0,IF($R107&lt;=Inputs!$C$29,0,IF($R107&gt;=INDEX(LE_Curves!$I$5:$I$205,201),INDEX(LE_Curves!$B$5:$B$205,201),INDEX(LE_Curves!$B$5:$B$205,MATCH($R107,LE_Curves!$I$5:$I$205,1))+($R107-INDEX(LE_Curves!$I$5:$I$205,MATCH($R107,LE_Curves!$I$5:$I$205,1)))*(INDEX(LE_Curves!$B$5:$B$205,MATCH($R107,LE_Curves!$I$5:$I$205,1)+1)-INDEX(LE_Curves!$B$5:$B$205,MATCH($R107,LE_Curves!$I$5:$I$205,1)))/(INDEX(LE_Curves!$I$5:$I$205,MATCH($R107,LE_Curves!$I$5:$I$205,1)+1)-INDEX(LE_Curves!$I$5:$I$205,MATCH($R107,LE_Curves!$I$5:$I$205,1))))))</f>
        <v/>
      </c>
      <c r="Z107" s="11">
        <f>IF(Inputs!$D$30=0,0,IF($R107&lt;=Inputs!$C$30,0,IF($R107&gt;=INDEX(LE_Curves!$J$5:$J$205,201),INDEX(LE_Curves!$B$5:$B$205,201),INDEX(LE_Curves!$B$5:$B$205,MATCH($R107,LE_Curves!$J$5:$J$205,1))+($R107-INDEX(LE_Curves!$J$5:$J$205,MATCH($R107,LE_Curves!$J$5:$J$205,1)))*(INDEX(LE_Curves!$B$5:$B$205,MATCH($R107,LE_Curves!$J$5:$J$205,1)+1)-INDEX(LE_Curves!$B$5:$B$205,MATCH($R107,LE_Curves!$J$5:$J$205,1)))/(INDEX(LE_Curves!$J$5:$J$205,MATCH($R107,LE_Curves!$J$5:$J$205,1)+1)-INDEX(LE_Curves!$J$5:$J$205,MATCH($R107,LE_Curves!$J$5:$J$205,1))))))</f>
        <v/>
      </c>
      <c r="AA107" s="11">
        <f>IF(Inputs!$D$31=0,0,IF($R107&lt;=Inputs!$C$31,0,IF($R107&gt;=INDEX(LE_Curves!$K$5:$K$205,201),INDEX(LE_Curves!$B$5:$B$205,201),INDEX(LE_Curves!$B$5:$B$205,MATCH($R107,LE_Curves!$K$5:$K$205,1))+($R107-INDEX(LE_Curves!$K$5:$K$205,MATCH($R107,LE_Curves!$K$5:$K$205,1)))*(INDEX(LE_Curves!$B$5:$B$205,MATCH($R107,LE_Curves!$K$5:$K$205,1)+1)-INDEX(LE_Curves!$B$5:$B$205,MATCH($R107,LE_Curves!$K$5:$K$205,1)))/(INDEX(LE_Curves!$K$5:$K$205,MATCH($R107,LE_Curves!$K$5:$K$205,1)+1)-INDEX(LE_Curves!$K$5:$K$205,MATCH($R107,LE_Curves!$K$5:$K$205,1))))))</f>
        <v/>
      </c>
      <c r="AB107" s="11">
        <f>IF(Inputs!$D$32=0,0,IF($R107&lt;=Inputs!$C$32,0,IF($R107&gt;=INDEX(LE_Curves!$L$5:$L$205,201),INDEX(LE_Curves!$B$5:$B$205,201),INDEX(LE_Curves!$B$5:$B$205,MATCH($R107,LE_Curves!$L$5:$L$205,1))+($R107-INDEX(LE_Curves!$L$5:$L$205,MATCH($R107,LE_Curves!$L$5:$L$205,1)))*(INDEX(LE_Curves!$B$5:$B$205,MATCH($R107,LE_Curves!$L$5:$L$205,1)+1)-INDEX(LE_Curves!$B$5:$B$205,MATCH($R107,LE_Curves!$L$5:$L$205,1)))/(INDEX(LE_Curves!$L$5:$L$205,MATCH($R107,LE_Curves!$L$5:$L$205,1)+1)-INDEX(LE_Curves!$L$5:$L$205,MATCH($R107,LE_Curves!$L$5:$L$205,1))))))</f>
        <v/>
      </c>
      <c r="AC107" s="11">
        <f>IF(Inputs!$D$33=0,0,IF($R107&lt;=Inputs!$C$33,0,IF($R107&gt;=INDEX(LE_Curves!$M$5:$M$205,201),INDEX(LE_Curves!$B$5:$B$205,201),INDEX(LE_Curves!$B$5:$B$205,MATCH($R107,LE_Curves!$M$5:$M$205,1))+($R107-INDEX(LE_Curves!$M$5:$M$205,MATCH($R107,LE_Curves!$M$5:$M$205,1)))*(INDEX(LE_Curves!$B$5:$B$205,MATCH($R107,LE_Curves!$M$5:$M$205,1)+1)-INDEX(LE_Curves!$B$5:$B$205,MATCH($R107,LE_Curves!$M$5:$M$205,1)))/(INDEX(LE_Curves!$M$5:$M$205,MATCH($R107,LE_Curves!$M$5:$M$205,1)+1)-INDEX(LE_Curves!$M$5:$M$205,MATCH($R107,LE_Curves!$M$5:$M$205,1))))))</f>
        <v/>
      </c>
      <c r="AD107" s="11">
        <f>IF(Inputs!$D$34=0,0,IF($R107&lt;=Inputs!$C$34,0,IF($R107&gt;=INDEX(LE_Curves!$N$5:$N$205,201),INDEX(LE_Curves!$B$5:$B$205,201),INDEX(LE_Curves!$B$5:$B$205,MATCH($R107,LE_Curves!$N$5:$N$205,1))+($R107-INDEX(LE_Curves!$N$5:$N$205,MATCH($R107,LE_Curves!$N$5:$N$205,1)))*(INDEX(LE_Curves!$B$5:$B$205,MATCH($R107,LE_Curves!$N$5:$N$205,1)+1)-INDEX(LE_Curves!$B$5:$B$205,MATCH($R107,LE_Curves!$N$5:$N$205,1)))/(INDEX(LE_Curves!$N$5:$N$205,MATCH($R107,LE_Curves!$N$5:$N$205,1)+1)-INDEX(LE_Curves!$N$5:$N$205,MATCH($R107,LE_Curves!$N$5:$N$205,1))))))</f>
        <v/>
      </c>
      <c r="AE107" s="37">
        <f>SUM(S107:AD107)</f>
        <v/>
      </c>
    </row>
    <row r="108">
      <c r="A108" s="7" t="n">
        <v>77</v>
      </c>
      <c r="B108" s="37">
        <f>$B$3+($B$4-$B$3)*A108/200</f>
        <v/>
      </c>
      <c r="C108" s="11">
        <f>IF(Inputs!$D$23=0,0,IF($B108&lt;=Inputs!$C$23,0,IF($B108&gt;=INDEX(LE_Curves!$C$5:$C$205,201),INDEX(LE_Curves!$B$5:$B$205,201),INDEX(LE_Curves!$B$5:$B$205,MATCH($B108,LE_Curves!$C$5:$C$205,1))+($B108-INDEX(LE_Curves!$C$5:$C$205,MATCH($B108,LE_Curves!$C$5:$C$205,1)))*(INDEX(LE_Curves!$B$5:$B$205,MATCH($B108,LE_Curves!$C$5:$C$205,1)+1)-INDEX(LE_Curves!$B$5:$B$205,MATCH($B108,LE_Curves!$C$5:$C$205,1)))/(INDEX(LE_Curves!$C$5:$C$205,MATCH($B108,LE_Curves!$C$5:$C$205,1)+1)-INDEX(LE_Curves!$C$5:$C$205,MATCH($B108,LE_Curves!$C$5:$C$205,1))))))</f>
        <v/>
      </c>
      <c r="D108" s="11">
        <f>IF(Inputs!$D$24=0,0,IF($B108&lt;=Inputs!$C$24,0,IF($B108&gt;=INDEX(LE_Curves!$D$5:$D$205,201),INDEX(LE_Curves!$B$5:$B$205,201),INDEX(LE_Curves!$B$5:$B$205,MATCH($B108,LE_Curves!$D$5:$D$205,1))+($B108-INDEX(LE_Curves!$D$5:$D$205,MATCH($B108,LE_Curves!$D$5:$D$205,1)))*(INDEX(LE_Curves!$B$5:$B$205,MATCH($B108,LE_Curves!$D$5:$D$205,1)+1)-INDEX(LE_Curves!$B$5:$B$205,MATCH($B108,LE_Curves!$D$5:$D$205,1)))/(INDEX(LE_Curves!$D$5:$D$205,MATCH($B108,LE_Curves!$D$5:$D$205,1)+1)-INDEX(LE_Curves!$D$5:$D$205,MATCH($B108,LE_Curves!$D$5:$D$205,1))))))</f>
        <v/>
      </c>
      <c r="E108" s="11">
        <f>IF(Inputs!$D$25=0,0,IF($B108&lt;=Inputs!$C$25,0,IF($B108&gt;=INDEX(LE_Curves!$E$5:$E$205,201),INDEX(LE_Curves!$B$5:$B$205,201),INDEX(LE_Curves!$B$5:$B$205,MATCH($B108,LE_Curves!$E$5:$E$205,1))+($B108-INDEX(LE_Curves!$E$5:$E$205,MATCH($B108,LE_Curves!$E$5:$E$205,1)))*(INDEX(LE_Curves!$B$5:$B$205,MATCH($B108,LE_Curves!$E$5:$E$205,1)+1)-INDEX(LE_Curves!$B$5:$B$205,MATCH($B108,LE_Curves!$E$5:$E$205,1)))/(INDEX(LE_Curves!$E$5:$E$205,MATCH($B108,LE_Curves!$E$5:$E$205,1)+1)-INDEX(LE_Curves!$E$5:$E$205,MATCH($B108,LE_Curves!$E$5:$E$205,1))))))</f>
        <v/>
      </c>
      <c r="F108" s="11">
        <f>IF(Inputs!$D$26=0,0,IF($B108&lt;=Inputs!$C$26,0,IF($B108&gt;=INDEX(LE_Curves!$F$5:$F$205,201),INDEX(LE_Curves!$B$5:$B$205,201),INDEX(LE_Curves!$B$5:$B$205,MATCH($B108,LE_Curves!$F$5:$F$205,1))+($B108-INDEX(LE_Curves!$F$5:$F$205,MATCH($B108,LE_Curves!$F$5:$F$205,1)))*(INDEX(LE_Curves!$B$5:$B$205,MATCH($B108,LE_Curves!$F$5:$F$205,1)+1)-INDEX(LE_Curves!$B$5:$B$205,MATCH($B108,LE_Curves!$F$5:$F$205,1)))/(INDEX(LE_Curves!$F$5:$F$205,MATCH($B108,LE_Curves!$F$5:$F$205,1)+1)-INDEX(LE_Curves!$F$5:$F$205,MATCH($B108,LE_Curves!$F$5:$F$205,1))))))</f>
        <v/>
      </c>
      <c r="G108" s="11">
        <f>IF(Inputs!$D$27=0,0,IF($B108&lt;=Inputs!$C$27,0,IF($B108&gt;=INDEX(LE_Curves!$G$5:$G$205,201),INDEX(LE_Curves!$B$5:$B$205,201),INDEX(LE_Curves!$B$5:$B$205,MATCH($B108,LE_Curves!$G$5:$G$205,1))+($B108-INDEX(LE_Curves!$G$5:$G$205,MATCH($B108,LE_Curves!$G$5:$G$205,1)))*(INDEX(LE_Curves!$B$5:$B$205,MATCH($B108,LE_Curves!$G$5:$G$205,1)+1)-INDEX(LE_Curves!$B$5:$B$205,MATCH($B108,LE_Curves!$G$5:$G$205,1)))/(INDEX(LE_Curves!$G$5:$G$205,MATCH($B108,LE_Curves!$G$5:$G$205,1)+1)-INDEX(LE_Curves!$G$5:$G$205,MATCH($B108,LE_Curves!$G$5:$G$205,1))))))</f>
        <v/>
      </c>
      <c r="H108" s="11">
        <f>IF(Inputs!$D$28=0,0,IF($B108&lt;=Inputs!$C$28,0,IF($B108&gt;=INDEX(LE_Curves!$H$5:$H$205,201),INDEX(LE_Curves!$B$5:$B$205,201),INDEX(LE_Curves!$B$5:$B$205,MATCH($B108,LE_Curves!$H$5:$H$205,1))+($B108-INDEX(LE_Curves!$H$5:$H$205,MATCH($B108,LE_Curves!$H$5:$H$205,1)))*(INDEX(LE_Curves!$B$5:$B$205,MATCH($B108,LE_Curves!$H$5:$H$205,1)+1)-INDEX(LE_Curves!$B$5:$B$205,MATCH($B108,LE_Curves!$H$5:$H$205,1)))/(INDEX(LE_Curves!$H$5:$H$205,MATCH($B108,LE_Curves!$H$5:$H$205,1)+1)-INDEX(LE_Curves!$H$5:$H$205,MATCH($B108,LE_Curves!$H$5:$H$205,1))))))</f>
        <v/>
      </c>
      <c r="I108" s="11">
        <f>IF(Inputs!$D$29=0,0,IF($B108&lt;=Inputs!$C$29,0,IF($B108&gt;=INDEX(LE_Curves!$I$5:$I$205,201),INDEX(LE_Curves!$B$5:$B$205,201),INDEX(LE_Curves!$B$5:$B$205,MATCH($B108,LE_Curves!$I$5:$I$205,1))+($B108-INDEX(LE_Curves!$I$5:$I$205,MATCH($B108,LE_Curves!$I$5:$I$205,1)))*(INDEX(LE_Curves!$B$5:$B$205,MATCH($B108,LE_Curves!$I$5:$I$205,1)+1)-INDEX(LE_Curves!$B$5:$B$205,MATCH($B108,LE_Curves!$I$5:$I$205,1)))/(INDEX(LE_Curves!$I$5:$I$205,MATCH($B108,LE_Curves!$I$5:$I$205,1)+1)-INDEX(LE_Curves!$I$5:$I$205,MATCH($B108,LE_Curves!$I$5:$I$205,1))))))</f>
        <v/>
      </c>
      <c r="J108" s="11">
        <f>IF(Inputs!$D$30=0,0,IF($B108&lt;=Inputs!$C$30,0,IF($B108&gt;=INDEX(LE_Curves!$J$5:$J$205,201),INDEX(LE_Curves!$B$5:$B$205,201),INDEX(LE_Curves!$B$5:$B$205,MATCH($B108,LE_Curves!$J$5:$J$205,1))+($B108-INDEX(LE_Curves!$J$5:$J$205,MATCH($B108,LE_Curves!$J$5:$J$205,1)))*(INDEX(LE_Curves!$B$5:$B$205,MATCH($B108,LE_Curves!$J$5:$J$205,1)+1)-INDEX(LE_Curves!$B$5:$B$205,MATCH($B108,LE_Curves!$J$5:$J$205,1)))/(INDEX(LE_Curves!$J$5:$J$205,MATCH($B108,LE_Curves!$J$5:$J$205,1)+1)-INDEX(LE_Curves!$J$5:$J$205,MATCH($B108,LE_Curves!$J$5:$J$205,1))))))</f>
        <v/>
      </c>
      <c r="K108" s="11">
        <f>IF(Inputs!$D$31=0,0,IF($B108&lt;=Inputs!$C$31,0,IF($B108&gt;=INDEX(LE_Curves!$K$5:$K$205,201),INDEX(LE_Curves!$B$5:$B$205,201),INDEX(LE_Curves!$B$5:$B$205,MATCH($B108,LE_Curves!$K$5:$K$205,1))+($B108-INDEX(LE_Curves!$K$5:$K$205,MATCH($B108,LE_Curves!$K$5:$K$205,1)))*(INDEX(LE_Curves!$B$5:$B$205,MATCH($B108,LE_Curves!$K$5:$K$205,1)+1)-INDEX(LE_Curves!$B$5:$B$205,MATCH($B108,LE_Curves!$K$5:$K$205,1)))/(INDEX(LE_Curves!$K$5:$K$205,MATCH($B108,LE_Curves!$K$5:$K$205,1)+1)-INDEX(LE_Curves!$K$5:$K$205,MATCH($B108,LE_Curves!$K$5:$K$205,1))))))</f>
        <v/>
      </c>
      <c r="L108" s="11">
        <f>IF(Inputs!$D$32=0,0,IF($B108&lt;=Inputs!$C$32,0,IF($B108&gt;=INDEX(LE_Curves!$L$5:$L$205,201),INDEX(LE_Curves!$B$5:$B$205,201),INDEX(LE_Curves!$B$5:$B$205,MATCH($B108,LE_Curves!$L$5:$L$205,1))+($B108-INDEX(LE_Curves!$L$5:$L$205,MATCH($B108,LE_Curves!$L$5:$L$205,1)))*(INDEX(LE_Curves!$B$5:$B$205,MATCH($B108,LE_Curves!$L$5:$L$205,1)+1)-INDEX(LE_Curves!$B$5:$B$205,MATCH($B108,LE_Curves!$L$5:$L$205,1)))/(INDEX(LE_Curves!$L$5:$L$205,MATCH($B108,LE_Curves!$L$5:$L$205,1)+1)-INDEX(LE_Curves!$L$5:$L$205,MATCH($B108,LE_Curves!$L$5:$L$205,1))))))</f>
        <v/>
      </c>
      <c r="M108" s="11">
        <f>IF(Inputs!$D$33=0,0,IF($B108&lt;=Inputs!$C$33,0,IF($B108&gt;=INDEX(LE_Curves!$M$5:$M$205,201),INDEX(LE_Curves!$B$5:$B$205,201),INDEX(LE_Curves!$B$5:$B$205,MATCH($B108,LE_Curves!$M$5:$M$205,1))+($B108-INDEX(LE_Curves!$M$5:$M$205,MATCH($B108,LE_Curves!$M$5:$M$205,1)))*(INDEX(LE_Curves!$B$5:$B$205,MATCH($B108,LE_Curves!$M$5:$M$205,1)+1)-INDEX(LE_Curves!$B$5:$B$205,MATCH($B108,LE_Curves!$M$5:$M$205,1)))/(INDEX(LE_Curves!$M$5:$M$205,MATCH($B108,LE_Curves!$M$5:$M$205,1)+1)-INDEX(LE_Curves!$M$5:$M$205,MATCH($B108,LE_Curves!$M$5:$M$205,1))))))</f>
        <v/>
      </c>
      <c r="N108" s="11">
        <f>IF(Inputs!$D$34=0,0,IF($B108&lt;=Inputs!$C$34,0,IF($B108&gt;=INDEX(LE_Curves!$N$5:$N$205,201),INDEX(LE_Curves!$B$5:$B$205,201),INDEX(LE_Curves!$B$5:$B$205,MATCH($B108,LE_Curves!$N$5:$N$205,1))+($B108-INDEX(LE_Curves!$N$5:$N$205,MATCH($B108,LE_Curves!$N$5:$N$205,1)))*(INDEX(LE_Curves!$B$5:$B$205,MATCH($B108,LE_Curves!$N$5:$N$205,1)+1)-INDEX(LE_Curves!$B$5:$B$205,MATCH($B108,LE_Curves!$N$5:$N$205,1)))/(INDEX(LE_Curves!$N$5:$N$205,MATCH($B108,LE_Curves!$N$5:$N$205,1)+1)-INDEX(LE_Curves!$N$5:$N$205,MATCH($B108,LE_Curves!$N$5:$N$205,1))))))</f>
        <v/>
      </c>
      <c r="O108" s="11">
        <f>SUM(C108:N108)</f>
        <v/>
      </c>
      <c r="Q108" s="7" t="n">
        <v>77</v>
      </c>
      <c r="R108" s="23">
        <f>$B$6+($B$7-$B$6)*Q108/200</f>
        <v/>
      </c>
      <c r="S108" s="11">
        <f>IF(Inputs!$D$23=0,0,IF($R108&lt;=Inputs!$C$23,0,IF($R108&gt;=INDEX(LE_Curves!$C$5:$C$205,201),INDEX(LE_Curves!$B$5:$B$205,201),INDEX(LE_Curves!$B$5:$B$205,MATCH($R108,LE_Curves!$C$5:$C$205,1))+($R108-INDEX(LE_Curves!$C$5:$C$205,MATCH($R108,LE_Curves!$C$5:$C$205,1)))*(INDEX(LE_Curves!$B$5:$B$205,MATCH($R108,LE_Curves!$C$5:$C$205,1)+1)-INDEX(LE_Curves!$B$5:$B$205,MATCH($R108,LE_Curves!$C$5:$C$205,1)))/(INDEX(LE_Curves!$C$5:$C$205,MATCH($R108,LE_Curves!$C$5:$C$205,1)+1)-INDEX(LE_Curves!$C$5:$C$205,MATCH($R108,LE_Curves!$C$5:$C$205,1))))))</f>
        <v/>
      </c>
      <c r="T108" s="11">
        <f>IF(Inputs!$D$24=0,0,IF($R108&lt;=Inputs!$C$24,0,IF($R108&gt;=INDEX(LE_Curves!$D$5:$D$205,201),INDEX(LE_Curves!$B$5:$B$205,201),INDEX(LE_Curves!$B$5:$B$205,MATCH($R108,LE_Curves!$D$5:$D$205,1))+($R108-INDEX(LE_Curves!$D$5:$D$205,MATCH($R108,LE_Curves!$D$5:$D$205,1)))*(INDEX(LE_Curves!$B$5:$B$205,MATCH($R108,LE_Curves!$D$5:$D$205,1)+1)-INDEX(LE_Curves!$B$5:$B$205,MATCH($R108,LE_Curves!$D$5:$D$205,1)))/(INDEX(LE_Curves!$D$5:$D$205,MATCH($R108,LE_Curves!$D$5:$D$205,1)+1)-INDEX(LE_Curves!$D$5:$D$205,MATCH($R108,LE_Curves!$D$5:$D$205,1))))))</f>
        <v/>
      </c>
      <c r="U108" s="11">
        <f>IF(Inputs!$D$25=0,0,IF($R108&lt;=Inputs!$C$25,0,IF($R108&gt;=INDEX(LE_Curves!$E$5:$E$205,201),INDEX(LE_Curves!$B$5:$B$205,201),INDEX(LE_Curves!$B$5:$B$205,MATCH($R108,LE_Curves!$E$5:$E$205,1))+($R108-INDEX(LE_Curves!$E$5:$E$205,MATCH($R108,LE_Curves!$E$5:$E$205,1)))*(INDEX(LE_Curves!$B$5:$B$205,MATCH($R108,LE_Curves!$E$5:$E$205,1)+1)-INDEX(LE_Curves!$B$5:$B$205,MATCH($R108,LE_Curves!$E$5:$E$205,1)))/(INDEX(LE_Curves!$E$5:$E$205,MATCH($R108,LE_Curves!$E$5:$E$205,1)+1)-INDEX(LE_Curves!$E$5:$E$205,MATCH($R108,LE_Curves!$E$5:$E$205,1))))))</f>
        <v/>
      </c>
      <c r="V108" s="11">
        <f>IF(Inputs!$D$26=0,0,IF($R108&lt;=Inputs!$C$26,0,IF($R108&gt;=INDEX(LE_Curves!$F$5:$F$205,201),INDEX(LE_Curves!$B$5:$B$205,201),INDEX(LE_Curves!$B$5:$B$205,MATCH($R108,LE_Curves!$F$5:$F$205,1))+($R108-INDEX(LE_Curves!$F$5:$F$205,MATCH($R108,LE_Curves!$F$5:$F$205,1)))*(INDEX(LE_Curves!$B$5:$B$205,MATCH($R108,LE_Curves!$F$5:$F$205,1)+1)-INDEX(LE_Curves!$B$5:$B$205,MATCH($R108,LE_Curves!$F$5:$F$205,1)))/(INDEX(LE_Curves!$F$5:$F$205,MATCH($R108,LE_Curves!$F$5:$F$205,1)+1)-INDEX(LE_Curves!$F$5:$F$205,MATCH($R108,LE_Curves!$F$5:$F$205,1))))))</f>
        <v/>
      </c>
      <c r="W108" s="11">
        <f>IF(Inputs!$D$27=0,0,IF($R108&lt;=Inputs!$C$27,0,IF($R108&gt;=INDEX(LE_Curves!$G$5:$G$205,201),INDEX(LE_Curves!$B$5:$B$205,201),INDEX(LE_Curves!$B$5:$B$205,MATCH($R108,LE_Curves!$G$5:$G$205,1))+($R108-INDEX(LE_Curves!$G$5:$G$205,MATCH($R108,LE_Curves!$G$5:$G$205,1)))*(INDEX(LE_Curves!$B$5:$B$205,MATCH($R108,LE_Curves!$G$5:$G$205,1)+1)-INDEX(LE_Curves!$B$5:$B$205,MATCH($R108,LE_Curves!$G$5:$G$205,1)))/(INDEX(LE_Curves!$G$5:$G$205,MATCH($R108,LE_Curves!$G$5:$G$205,1)+1)-INDEX(LE_Curves!$G$5:$G$205,MATCH($R108,LE_Curves!$G$5:$G$205,1))))))</f>
        <v/>
      </c>
      <c r="X108" s="11">
        <f>IF(Inputs!$D$28=0,0,IF($R108&lt;=Inputs!$C$28,0,IF($R108&gt;=INDEX(LE_Curves!$H$5:$H$205,201),INDEX(LE_Curves!$B$5:$B$205,201),INDEX(LE_Curves!$B$5:$B$205,MATCH($R108,LE_Curves!$H$5:$H$205,1))+($R108-INDEX(LE_Curves!$H$5:$H$205,MATCH($R108,LE_Curves!$H$5:$H$205,1)))*(INDEX(LE_Curves!$B$5:$B$205,MATCH($R108,LE_Curves!$H$5:$H$205,1)+1)-INDEX(LE_Curves!$B$5:$B$205,MATCH($R108,LE_Curves!$H$5:$H$205,1)))/(INDEX(LE_Curves!$H$5:$H$205,MATCH($R108,LE_Curves!$H$5:$H$205,1)+1)-INDEX(LE_Curves!$H$5:$H$205,MATCH($R108,LE_Curves!$H$5:$H$205,1))))))</f>
        <v/>
      </c>
      <c r="Y108" s="11">
        <f>IF(Inputs!$D$29=0,0,IF($R108&lt;=Inputs!$C$29,0,IF($R108&gt;=INDEX(LE_Curves!$I$5:$I$205,201),INDEX(LE_Curves!$B$5:$B$205,201),INDEX(LE_Curves!$B$5:$B$205,MATCH($R108,LE_Curves!$I$5:$I$205,1))+($R108-INDEX(LE_Curves!$I$5:$I$205,MATCH($R108,LE_Curves!$I$5:$I$205,1)))*(INDEX(LE_Curves!$B$5:$B$205,MATCH($R108,LE_Curves!$I$5:$I$205,1)+1)-INDEX(LE_Curves!$B$5:$B$205,MATCH($R108,LE_Curves!$I$5:$I$205,1)))/(INDEX(LE_Curves!$I$5:$I$205,MATCH($R108,LE_Curves!$I$5:$I$205,1)+1)-INDEX(LE_Curves!$I$5:$I$205,MATCH($R108,LE_Curves!$I$5:$I$205,1))))))</f>
        <v/>
      </c>
      <c r="Z108" s="11">
        <f>IF(Inputs!$D$30=0,0,IF($R108&lt;=Inputs!$C$30,0,IF($R108&gt;=INDEX(LE_Curves!$J$5:$J$205,201),INDEX(LE_Curves!$B$5:$B$205,201),INDEX(LE_Curves!$B$5:$B$205,MATCH($R108,LE_Curves!$J$5:$J$205,1))+($R108-INDEX(LE_Curves!$J$5:$J$205,MATCH($R108,LE_Curves!$J$5:$J$205,1)))*(INDEX(LE_Curves!$B$5:$B$205,MATCH($R108,LE_Curves!$J$5:$J$205,1)+1)-INDEX(LE_Curves!$B$5:$B$205,MATCH($R108,LE_Curves!$J$5:$J$205,1)))/(INDEX(LE_Curves!$J$5:$J$205,MATCH($R108,LE_Curves!$J$5:$J$205,1)+1)-INDEX(LE_Curves!$J$5:$J$205,MATCH($R108,LE_Curves!$J$5:$J$205,1))))))</f>
        <v/>
      </c>
      <c r="AA108" s="11">
        <f>IF(Inputs!$D$31=0,0,IF($R108&lt;=Inputs!$C$31,0,IF($R108&gt;=INDEX(LE_Curves!$K$5:$K$205,201),INDEX(LE_Curves!$B$5:$B$205,201),INDEX(LE_Curves!$B$5:$B$205,MATCH($R108,LE_Curves!$K$5:$K$205,1))+($R108-INDEX(LE_Curves!$K$5:$K$205,MATCH($R108,LE_Curves!$K$5:$K$205,1)))*(INDEX(LE_Curves!$B$5:$B$205,MATCH($R108,LE_Curves!$K$5:$K$205,1)+1)-INDEX(LE_Curves!$B$5:$B$205,MATCH($R108,LE_Curves!$K$5:$K$205,1)))/(INDEX(LE_Curves!$K$5:$K$205,MATCH($R108,LE_Curves!$K$5:$K$205,1)+1)-INDEX(LE_Curves!$K$5:$K$205,MATCH($R108,LE_Curves!$K$5:$K$205,1))))))</f>
        <v/>
      </c>
      <c r="AB108" s="11">
        <f>IF(Inputs!$D$32=0,0,IF($R108&lt;=Inputs!$C$32,0,IF($R108&gt;=INDEX(LE_Curves!$L$5:$L$205,201),INDEX(LE_Curves!$B$5:$B$205,201),INDEX(LE_Curves!$B$5:$B$205,MATCH($R108,LE_Curves!$L$5:$L$205,1))+($R108-INDEX(LE_Curves!$L$5:$L$205,MATCH($R108,LE_Curves!$L$5:$L$205,1)))*(INDEX(LE_Curves!$B$5:$B$205,MATCH($R108,LE_Curves!$L$5:$L$205,1)+1)-INDEX(LE_Curves!$B$5:$B$205,MATCH($R108,LE_Curves!$L$5:$L$205,1)))/(INDEX(LE_Curves!$L$5:$L$205,MATCH($R108,LE_Curves!$L$5:$L$205,1)+1)-INDEX(LE_Curves!$L$5:$L$205,MATCH($R108,LE_Curves!$L$5:$L$205,1))))))</f>
        <v/>
      </c>
      <c r="AC108" s="11">
        <f>IF(Inputs!$D$33=0,0,IF($R108&lt;=Inputs!$C$33,0,IF($R108&gt;=INDEX(LE_Curves!$M$5:$M$205,201),INDEX(LE_Curves!$B$5:$B$205,201),INDEX(LE_Curves!$B$5:$B$205,MATCH($R108,LE_Curves!$M$5:$M$205,1))+($R108-INDEX(LE_Curves!$M$5:$M$205,MATCH($R108,LE_Curves!$M$5:$M$205,1)))*(INDEX(LE_Curves!$B$5:$B$205,MATCH($R108,LE_Curves!$M$5:$M$205,1)+1)-INDEX(LE_Curves!$B$5:$B$205,MATCH($R108,LE_Curves!$M$5:$M$205,1)))/(INDEX(LE_Curves!$M$5:$M$205,MATCH($R108,LE_Curves!$M$5:$M$205,1)+1)-INDEX(LE_Curves!$M$5:$M$205,MATCH($R108,LE_Curves!$M$5:$M$205,1))))))</f>
        <v/>
      </c>
      <c r="AD108" s="11">
        <f>IF(Inputs!$D$34=0,0,IF($R108&lt;=Inputs!$C$34,0,IF($R108&gt;=INDEX(LE_Curves!$N$5:$N$205,201),INDEX(LE_Curves!$B$5:$B$205,201),INDEX(LE_Curves!$B$5:$B$205,MATCH($R108,LE_Curves!$N$5:$N$205,1))+($R108-INDEX(LE_Curves!$N$5:$N$205,MATCH($R108,LE_Curves!$N$5:$N$205,1)))*(INDEX(LE_Curves!$B$5:$B$205,MATCH($R108,LE_Curves!$N$5:$N$205,1)+1)-INDEX(LE_Curves!$B$5:$B$205,MATCH($R108,LE_Curves!$N$5:$N$205,1)))/(INDEX(LE_Curves!$N$5:$N$205,MATCH($R108,LE_Curves!$N$5:$N$205,1)+1)-INDEX(LE_Curves!$N$5:$N$205,MATCH($R108,LE_Curves!$N$5:$N$205,1))))))</f>
        <v/>
      </c>
      <c r="AE108" s="37">
        <f>SUM(S108:AD108)</f>
        <v/>
      </c>
    </row>
    <row r="109">
      <c r="A109" s="7" t="n">
        <v>78</v>
      </c>
      <c r="B109" s="37">
        <f>$B$3+($B$4-$B$3)*A109/200</f>
        <v/>
      </c>
      <c r="C109" s="11">
        <f>IF(Inputs!$D$23=0,0,IF($B109&lt;=Inputs!$C$23,0,IF($B109&gt;=INDEX(LE_Curves!$C$5:$C$205,201),INDEX(LE_Curves!$B$5:$B$205,201),INDEX(LE_Curves!$B$5:$B$205,MATCH($B109,LE_Curves!$C$5:$C$205,1))+($B109-INDEX(LE_Curves!$C$5:$C$205,MATCH($B109,LE_Curves!$C$5:$C$205,1)))*(INDEX(LE_Curves!$B$5:$B$205,MATCH($B109,LE_Curves!$C$5:$C$205,1)+1)-INDEX(LE_Curves!$B$5:$B$205,MATCH($B109,LE_Curves!$C$5:$C$205,1)))/(INDEX(LE_Curves!$C$5:$C$205,MATCH($B109,LE_Curves!$C$5:$C$205,1)+1)-INDEX(LE_Curves!$C$5:$C$205,MATCH($B109,LE_Curves!$C$5:$C$205,1))))))</f>
        <v/>
      </c>
      <c r="D109" s="11">
        <f>IF(Inputs!$D$24=0,0,IF($B109&lt;=Inputs!$C$24,0,IF($B109&gt;=INDEX(LE_Curves!$D$5:$D$205,201),INDEX(LE_Curves!$B$5:$B$205,201),INDEX(LE_Curves!$B$5:$B$205,MATCH($B109,LE_Curves!$D$5:$D$205,1))+($B109-INDEX(LE_Curves!$D$5:$D$205,MATCH($B109,LE_Curves!$D$5:$D$205,1)))*(INDEX(LE_Curves!$B$5:$B$205,MATCH($B109,LE_Curves!$D$5:$D$205,1)+1)-INDEX(LE_Curves!$B$5:$B$205,MATCH($B109,LE_Curves!$D$5:$D$205,1)))/(INDEX(LE_Curves!$D$5:$D$205,MATCH($B109,LE_Curves!$D$5:$D$205,1)+1)-INDEX(LE_Curves!$D$5:$D$205,MATCH($B109,LE_Curves!$D$5:$D$205,1))))))</f>
        <v/>
      </c>
      <c r="E109" s="11">
        <f>IF(Inputs!$D$25=0,0,IF($B109&lt;=Inputs!$C$25,0,IF($B109&gt;=INDEX(LE_Curves!$E$5:$E$205,201),INDEX(LE_Curves!$B$5:$B$205,201),INDEX(LE_Curves!$B$5:$B$205,MATCH($B109,LE_Curves!$E$5:$E$205,1))+($B109-INDEX(LE_Curves!$E$5:$E$205,MATCH($B109,LE_Curves!$E$5:$E$205,1)))*(INDEX(LE_Curves!$B$5:$B$205,MATCH($B109,LE_Curves!$E$5:$E$205,1)+1)-INDEX(LE_Curves!$B$5:$B$205,MATCH($B109,LE_Curves!$E$5:$E$205,1)))/(INDEX(LE_Curves!$E$5:$E$205,MATCH($B109,LE_Curves!$E$5:$E$205,1)+1)-INDEX(LE_Curves!$E$5:$E$205,MATCH($B109,LE_Curves!$E$5:$E$205,1))))))</f>
        <v/>
      </c>
      <c r="F109" s="11">
        <f>IF(Inputs!$D$26=0,0,IF($B109&lt;=Inputs!$C$26,0,IF($B109&gt;=INDEX(LE_Curves!$F$5:$F$205,201),INDEX(LE_Curves!$B$5:$B$205,201),INDEX(LE_Curves!$B$5:$B$205,MATCH($B109,LE_Curves!$F$5:$F$205,1))+($B109-INDEX(LE_Curves!$F$5:$F$205,MATCH($B109,LE_Curves!$F$5:$F$205,1)))*(INDEX(LE_Curves!$B$5:$B$205,MATCH($B109,LE_Curves!$F$5:$F$205,1)+1)-INDEX(LE_Curves!$B$5:$B$205,MATCH($B109,LE_Curves!$F$5:$F$205,1)))/(INDEX(LE_Curves!$F$5:$F$205,MATCH($B109,LE_Curves!$F$5:$F$205,1)+1)-INDEX(LE_Curves!$F$5:$F$205,MATCH($B109,LE_Curves!$F$5:$F$205,1))))))</f>
        <v/>
      </c>
      <c r="G109" s="11">
        <f>IF(Inputs!$D$27=0,0,IF($B109&lt;=Inputs!$C$27,0,IF($B109&gt;=INDEX(LE_Curves!$G$5:$G$205,201),INDEX(LE_Curves!$B$5:$B$205,201),INDEX(LE_Curves!$B$5:$B$205,MATCH($B109,LE_Curves!$G$5:$G$205,1))+($B109-INDEX(LE_Curves!$G$5:$G$205,MATCH($B109,LE_Curves!$G$5:$G$205,1)))*(INDEX(LE_Curves!$B$5:$B$205,MATCH($B109,LE_Curves!$G$5:$G$205,1)+1)-INDEX(LE_Curves!$B$5:$B$205,MATCH($B109,LE_Curves!$G$5:$G$205,1)))/(INDEX(LE_Curves!$G$5:$G$205,MATCH($B109,LE_Curves!$G$5:$G$205,1)+1)-INDEX(LE_Curves!$G$5:$G$205,MATCH($B109,LE_Curves!$G$5:$G$205,1))))))</f>
        <v/>
      </c>
      <c r="H109" s="11">
        <f>IF(Inputs!$D$28=0,0,IF($B109&lt;=Inputs!$C$28,0,IF($B109&gt;=INDEX(LE_Curves!$H$5:$H$205,201),INDEX(LE_Curves!$B$5:$B$205,201),INDEX(LE_Curves!$B$5:$B$205,MATCH($B109,LE_Curves!$H$5:$H$205,1))+($B109-INDEX(LE_Curves!$H$5:$H$205,MATCH($B109,LE_Curves!$H$5:$H$205,1)))*(INDEX(LE_Curves!$B$5:$B$205,MATCH($B109,LE_Curves!$H$5:$H$205,1)+1)-INDEX(LE_Curves!$B$5:$B$205,MATCH($B109,LE_Curves!$H$5:$H$205,1)))/(INDEX(LE_Curves!$H$5:$H$205,MATCH($B109,LE_Curves!$H$5:$H$205,1)+1)-INDEX(LE_Curves!$H$5:$H$205,MATCH($B109,LE_Curves!$H$5:$H$205,1))))))</f>
        <v/>
      </c>
      <c r="I109" s="11">
        <f>IF(Inputs!$D$29=0,0,IF($B109&lt;=Inputs!$C$29,0,IF($B109&gt;=INDEX(LE_Curves!$I$5:$I$205,201),INDEX(LE_Curves!$B$5:$B$205,201),INDEX(LE_Curves!$B$5:$B$205,MATCH($B109,LE_Curves!$I$5:$I$205,1))+($B109-INDEX(LE_Curves!$I$5:$I$205,MATCH($B109,LE_Curves!$I$5:$I$205,1)))*(INDEX(LE_Curves!$B$5:$B$205,MATCH($B109,LE_Curves!$I$5:$I$205,1)+1)-INDEX(LE_Curves!$B$5:$B$205,MATCH($B109,LE_Curves!$I$5:$I$205,1)))/(INDEX(LE_Curves!$I$5:$I$205,MATCH($B109,LE_Curves!$I$5:$I$205,1)+1)-INDEX(LE_Curves!$I$5:$I$205,MATCH($B109,LE_Curves!$I$5:$I$205,1))))))</f>
        <v/>
      </c>
      <c r="J109" s="11">
        <f>IF(Inputs!$D$30=0,0,IF($B109&lt;=Inputs!$C$30,0,IF($B109&gt;=INDEX(LE_Curves!$J$5:$J$205,201),INDEX(LE_Curves!$B$5:$B$205,201),INDEX(LE_Curves!$B$5:$B$205,MATCH($B109,LE_Curves!$J$5:$J$205,1))+($B109-INDEX(LE_Curves!$J$5:$J$205,MATCH($B109,LE_Curves!$J$5:$J$205,1)))*(INDEX(LE_Curves!$B$5:$B$205,MATCH($B109,LE_Curves!$J$5:$J$205,1)+1)-INDEX(LE_Curves!$B$5:$B$205,MATCH($B109,LE_Curves!$J$5:$J$205,1)))/(INDEX(LE_Curves!$J$5:$J$205,MATCH($B109,LE_Curves!$J$5:$J$205,1)+1)-INDEX(LE_Curves!$J$5:$J$205,MATCH($B109,LE_Curves!$J$5:$J$205,1))))))</f>
        <v/>
      </c>
      <c r="K109" s="11">
        <f>IF(Inputs!$D$31=0,0,IF($B109&lt;=Inputs!$C$31,0,IF($B109&gt;=INDEX(LE_Curves!$K$5:$K$205,201),INDEX(LE_Curves!$B$5:$B$205,201),INDEX(LE_Curves!$B$5:$B$205,MATCH($B109,LE_Curves!$K$5:$K$205,1))+($B109-INDEX(LE_Curves!$K$5:$K$205,MATCH($B109,LE_Curves!$K$5:$K$205,1)))*(INDEX(LE_Curves!$B$5:$B$205,MATCH($B109,LE_Curves!$K$5:$K$205,1)+1)-INDEX(LE_Curves!$B$5:$B$205,MATCH($B109,LE_Curves!$K$5:$K$205,1)))/(INDEX(LE_Curves!$K$5:$K$205,MATCH($B109,LE_Curves!$K$5:$K$205,1)+1)-INDEX(LE_Curves!$K$5:$K$205,MATCH($B109,LE_Curves!$K$5:$K$205,1))))))</f>
        <v/>
      </c>
      <c r="L109" s="11">
        <f>IF(Inputs!$D$32=0,0,IF($B109&lt;=Inputs!$C$32,0,IF($B109&gt;=INDEX(LE_Curves!$L$5:$L$205,201),INDEX(LE_Curves!$B$5:$B$205,201),INDEX(LE_Curves!$B$5:$B$205,MATCH($B109,LE_Curves!$L$5:$L$205,1))+($B109-INDEX(LE_Curves!$L$5:$L$205,MATCH($B109,LE_Curves!$L$5:$L$205,1)))*(INDEX(LE_Curves!$B$5:$B$205,MATCH($B109,LE_Curves!$L$5:$L$205,1)+1)-INDEX(LE_Curves!$B$5:$B$205,MATCH($B109,LE_Curves!$L$5:$L$205,1)))/(INDEX(LE_Curves!$L$5:$L$205,MATCH($B109,LE_Curves!$L$5:$L$205,1)+1)-INDEX(LE_Curves!$L$5:$L$205,MATCH($B109,LE_Curves!$L$5:$L$205,1))))))</f>
        <v/>
      </c>
      <c r="M109" s="11">
        <f>IF(Inputs!$D$33=0,0,IF($B109&lt;=Inputs!$C$33,0,IF($B109&gt;=INDEX(LE_Curves!$M$5:$M$205,201),INDEX(LE_Curves!$B$5:$B$205,201),INDEX(LE_Curves!$B$5:$B$205,MATCH($B109,LE_Curves!$M$5:$M$205,1))+($B109-INDEX(LE_Curves!$M$5:$M$205,MATCH($B109,LE_Curves!$M$5:$M$205,1)))*(INDEX(LE_Curves!$B$5:$B$205,MATCH($B109,LE_Curves!$M$5:$M$205,1)+1)-INDEX(LE_Curves!$B$5:$B$205,MATCH($B109,LE_Curves!$M$5:$M$205,1)))/(INDEX(LE_Curves!$M$5:$M$205,MATCH($B109,LE_Curves!$M$5:$M$205,1)+1)-INDEX(LE_Curves!$M$5:$M$205,MATCH($B109,LE_Curves!$M$5:$M$205,1))))))</f>
        <v/>
      </c>
      <c r="N109" s="11">
        <f>IF(Inputs!$D$34=0,0,IF($B109&lt;=Inputs!$C$34,0,IF($B109&gt;=INDEX(LE_Curves!$N$5:$N$205,201),INDEX(LE_Curves!$B$5:$B$205,201),INDEX(LE_Curves!$B$5:$B$205,MATCH($B109,LE_Curves!$N$5:$N$205,1))+($B109-INDEX(LE_Curves!$N$5:$N$205,MATCH($B109,LE_Curves!$N$5:$N$205,1)))*(INDEX(LE_Curves!$B$5:$B$205,MATCH($B109,LE_Curves!$N$5:$N$205,1)+1)-INDEX(LE_Curves!$B$5:$B$205,MATCH($B109,LE_Curves!$N$5:$N$205,1)))/(INDEX(LE_Curves!$N$5:$N$205,MATCH($B109,LE_Curves!$N$5:$N$205,1)+1)-INDEX(LE_Curves!$N$5:$N$205,MATCH($B109,LE_Curves!$N$5:$N$205,1))))))</f>
        <v/>
      </c>
      <c r="O109" s="11">
        <f>SUM(C109:N109)</f>
        <v/>
      </c>
      <c r="Q109" s="7" t="n">
        <v>78</v>
      </c>
      <c r="R109" s="23">
        <f>$B$6+($B$7-$B$6)*Q109/200</f>
        <v/>
      </c>
      <c r="S109" s="11">
        <f>IF(Inputs!$D$23=0,0,IF($R109&lt;=Inputs!$C$23,0,IF($R109&gt;=INDEX(LE_Curves!$C$5:$C$205,201),INDEX(LE_Curves!$B$5:$B$205,201),INDEX(LE_Curves!$B$5:$B$205,MATCH($R109,LE_Curves!$C$5:$C$205,1))+($R109-INDEX(LE_Curves!$C$5:$C$205,MATCH($R109,LE_Curves!$C$5:$C$205,1)))*(INDEX(LE_Curves!$B$5:$B$205,MATCH($R109,LE_Curves!$C$5:$C$205,1)+1)-INDEX(LE_Curves!$B$5:$B$205,MATCH($R109,LE_Curves!$C$5:$C$205,1)))/(INDEX(LE_Curves!$C$5:$C$205,MATCH($R109,LE_Curves!$C$5:$C$205,1)+1)-INDEX(LE_Curves!$C$5:$C$205,MATCH($R109,LE_Curves!$C$5:$C$205,1))))))</f>
        <v/>
      </c>
      <c r="T109" s="11">
        <f>IF(Inputs!$D$24=0,0,IF($R109&lt;=Inputs!$C$24,0,IF($R109&gt;=INDEX(LE_Curves!$D$5:$D$205,201),INDEX(LE_Curves!$B$5:$B$205,201),INDEX(LE_Curves!$B$5:$B$205,MATCH($R109,LE_Curves!$D$5:$D$205,1))+($R109-INDEX(LE_Curves!$D$5:$D$205,MATCH($R109,LE_Curves!$D$5:$D$205,1)))*(INDEX(LE_Curves!$B$5:$B$205,MATCH($R109,LE_Curves!$D$5:$D$205,1)+1)-INDEX(LE_Curves!$B$5:$B$205,MATCH($R109,LE_Curves!$D$5:$D$205,1)))/(INDEX(LE_Curves!$D$5:$D$205,MATCH($R109,LE_Curves!$D$5:$D$205,1)+1)-INDEX(LE_Curves!$D$5:$D$205,MATCH($R109,LE_Curves!$D$5:$D$205,1))))))</f>
        <v/>
      </c>
      <c r="U109" s="11">
        <f>IF(Inputs!$D$25=0,0,IF($R109&lt;=Inputs!$C$25,0,IF($R109&gt;=INDEX(LE_Curves!$E$5:$E$205,201),INDEX(LE_Curves!$B$5:$B$205,201),INDEX(LE_Curves!$B$5:$B$205,MATCH($R109,LE_Curves!$E$5:$E$205,1))+($R109-INDEX(LE_Curves!$E$5:$E$205,MATCH($R109,LE_Curves!$E$5:$E$205,1)))*(INDEX(LE_Curves!$B$5:$B$205,MATCH($R109,LE_Curves!$E$5:$E$205,1)+1)-INDEX(LE_Curves!$B$5:$B$205,MATCH($R109,LE_Curves!$E$5:$E$205,1)))/(INDEX(LE_Curves!$E$5:$E$205,MATCH($R109,LE_Curves!$E$5:$E$205,1)+1)-INDEX(LE_Curves!$E$5:$E$205,MATCH($R109,LE_Curves!$E$5:$E$205,1))))))</f>
        <v/>
      </c>
      <c r="V109" s="11">
        <f>IF(Inputs!$D$26=0,0,IF($R109&lt;=Inputs!$C$26,0,IF($R109&gt;=INDEX(LE_Curves!$F$5:$F$205,201),INDEX(LE_Curves!$B$5:$B$205,201),INDEX(LE_Curves!$B$5:$B$205,MATCH($R109,LE_Curves!$F$5:$F$205,1))+($R109-INDEX(LE_Curves!$F$5:$F$205,MATCH($R109,LE_Curves!$F$5:$F$205,1)))*(INDEX(LE_Curves!$B$5:$B$205,MATCH($R109,LE_Curves!$F$5:$F$205,1)+1)-INDEX(LE_Curves!$B$5:$B$205,MATCH($R109,LE_Curves!$F$5:$F$205,1)))/(INDEX(LE_Curves!$F$5:$F$205,MATCH($R109,LE_Curves!$F$5:$F$205,1)+1)-INDEX(LE_Curves!$F$5:$F$205,MATCH($R109,LE_Curves!$F$5:$F$205,1))))))</f>
        <v/>
      </c>
      <c r="W109" s="11">
        <f>IF(Inputs!$D$27=0,0,IF($R109&lt;=Inputs!$C$27,0,IF($R109&gt;=INDEX(LE_Curves!$G$5:$G$205,201),INDEX(LE_Curves!$B$5:$B$205,201),INDEX(LE_Curves!$B$5:$B$205,MATCH($R109,LE_Curves!$G$5:$G$205,1))+($R109-INDEX(LE_Curves!$G$5:$G$205,MATCH($R109,LE_Curves!$G$5:$G$205,1)))*(INDEX(LE_Curves!$B$5:$B$205,MATCH($R109,LE_Curves!$G$5:$G$205,1)+1)-INDEX(LE_Curves!$B$5:$B$205,MATCH($R109,LE_Curves!$G$5:$G$205,1)))/(INDEX(LE_Curves!$G$5:$G$205,MATCH($R109,LE_Curves!$G$5:$G$205,1)+1)-INDEX(LE_Curves!$G$5:$G$205,MATCH($R109,LE_Curves!$G$5:$G$205,1))))))</f>
        <v/>
      </c>
      <c r="X109" s="11">
        <f>IF(Inputs!$D$28=0,0,IF($R109&lt;=Inputs!$C$28,0,IF($R109&gt;=INDEX(LE_Curves!$H$5:$H$205,201),INDEX(LE_Curves!$B$5:$B$205,201),INDEX(LE_Curves!$B$5:$B$205,MATCH($R109,LE_Curves!$H$5:$H$205,1))+($R109-INDEX(LE_Curves!$H$5:$H$205,MATCH($R109,LE_Curves!$H$5:$H$205,1)))*(INDEX(LE_Curves!$B$5:$B$205,MATCH($R109,LE_Curves!$H$5:$H$205,1)+1)-INDEX(LE_Curves!$B$5:$B$205,MATCH($R109,LE_Curves!$H$5:$H$205,1)))/(INDEX(LE_Curves!$H$5:$H$205,MATCH($R109,LE_Curves!$H$5:$H$205,1)+1)-INDEX(LE_Curves!$H$5:$H$205,MATCH($R109,LE_Curves!$H$5:$H$205,1))))))</f>
        <v/>
      </c>
      <c r="Y109" s="11">
        <f>IF(Inputs!$D$29=0,0,IF($R109&lt;=Inputs!$C$29,0,IF($R109&gt;=INDEX(LE_Curves!$I$5:$I$205,201),INDEX(LE_Curves!$B$5:$B$205,201),INDEX(LE_Curves!$B$5:$B$205,MATCH($R109,LE_Curves!$I$5:$I$205,1))+($R109-INDEX(LE_Curves!$I$5:$I$205,MATCH($R109,LE_Curves!$I$5:$I$205,1)))*(INDEX(LE_Curves!$B$5:$B$205,MATCH($R109,LE_Curves!$I$5:$I$205,1)+1)-INDEX(LE_Curves!$B$5:$B$205,MATCH($R109,LE_Curves!$I$5:$I$205,1)))/(INDEX(LE_Curves!$I$5:$I$205,MATCH($R109,LE_Curves!$I$5:$I$205,1)+1)-INDEX(LE_Curves!$I$5:$I$205,MATCH($R109,LE_Curves!$I$5:$I$205,1))))))</f>
        <v/>
      </c>
      <c r="Z109" s="11">
        <f>IF(Inputs!$D$30=0,0,IF($R109&lt;=Inputs!$C$30,0,IF($R109&gt;=INDEX(LE_Curves!$J$5:$J$205,201),INDEX(LE_Curves!$B$5:$B$205,201),INDEX(LE_Curves!$B$5:$B$205,MATCH($R109,LE_Curves!$J$5:$J$205,1))+($R109-INDEX(LE_Curves!$J$5:$J$205,MATCH($R109,LE_Curves!$J$5:$J$205,1)))*(INDEX(LE_Curves!$B$5:$B$205,MATCH($R109,LE_Curves!$J$5:$J$205,1)+1)-INDEX(LE_Curves!$B$5:$B$205,MATCH($R109,LE_Curves!$J$5:$J$205,1)))/(INDEX(LE_Curves!$J$5:$J$205,MATCH($R109,LE_Curves!$J$5:$J$205,1)+1)-INDEX(LE_Curves!$J$5:$J$205,MATCH($R109,LE_Curves!$J$5:$J$205,1))))))</f>
        <v/>
      </c>
      <c r="AA109" s="11">
        <f>IF(Inputs!$D$31=0,0,IF($R109&lt;=Inputs!$C$31,0,IF($R109&gt;=INDEX(LE_Curves!$K$5:$K$205,201),INDEX(LE_Curves!$B$5:$B$205,201),INDEX(LE_Curves!$B$5:$B$205,MATCH($R109,LE_Curves!$K$5:$K$205,1))+($R109-INDEX(LE_Curves!$K$5:$K$205,MATCH($R109,LE_Curves!$K$5:$K$205,1)))*(INDEX(LE_Curves!$B$5:$B$205,MATCH($R109,LE_Curves!$K$5:$K$205,1)+1)-INDEX(LE_Curves!$B$5:$B$205,MATCH($R109,LE_Curves!$K$5:$K$205,1)))/(INDEX(LE_Curves!$K$5:$K$205,MATCH($R109,LE_Curves!$K$5:$K$205,1)+1)-INDEX(LE_Curves!$K$5:$K$205,MATCH($R109,LE_Curves!$K$5:$K$205,1))))))</f>
        <v/>
      </c>
      <c r="AB109" s="11">
        <f>IF(Inputs!$D$32=0,0,IF($R109&lt;=Inputs!$C$32,0,IF($R109&gt;=INDEX(LE_Curves!$L$5:$L$205,201),INDEX(LE_Curves!$B$5:$B$205,201),INDEX(LE_Curves!$B$5:$B$205,MATCH($R109,LE_Curves!$L$5:$L$205,1))+($R109-INDEX(LE_Curves!$L$5:$L$205,MATCH($R109,LE_Curves!$L$5:$L$205,1)))*(INDEX(LE_Curves!$B$5:$B$205,MATCH($R109,LE_Curves!$L$5:$L$205,1)+1)-INDEX(LE_Curves!$B$5:$B$205,MATCH($R109,LE_Curves!$L$5:$L$205,1)))/(INDEX(LE_Curves!$L$5:$L$205,MATCH($R109,LE_Curves!$L$5:$L$205,1)+1)-INDEX(LE_Curves!$L$5:$L$205,MATCH($R109,LE_Curves!$L$5:$L$205,1))))))</f>
        <v/>
      </c>
      <c r="AC109" s="11">
        <f>IF(Inputs!$D$33=0,0,IF($R109&lt;=Inputs!$C$33,0,IF($R109&gt;=INDEX(LE_Curves!$M$5:$M$205,201),INDEX(LE_Curves!$B$5:$B$205,201),INDEX(LE_Curves!$B$5:$B$205,MATCH($R109,LE_Curves!$M$5:$M$205,1))+($R109-INDEX(LE_Curves!$M$5:$M$205,MATCH($R109,LE_Curves!$M$5:$M$205,1)))*(INDEX(LE_Curves!$B$5:$B$205,MATCH($R109,LE_Curves!$M$5:$M$205,1)+1)-INDEX(LE_Curves!$B$5:$B$205,MATCH($R109,LE_Curves!$M$5:$M$205,1)))/(INDEX(LE_Curves!$M$5:$M$205,MATCH($R109,LE_Curves!$M$5:$M$205,1)+1)-INDEX(LE_Curves!$M$5:$M$205,MATCH($R109,LE_Curves!$M$5:$M$205,1))))))</f>
        <v/>
      </c>
      <c r="AD109" s="11">
        <f>IF(Inputs!$D$34=0,0,IF($R109&lt;=Inputs!$C$34,0,IF($R109&gt;=INDEX(LE_Curves!$N$5:$N$205,201),INDEX(LE_Curves!$B$5:$B$205,201),INDEX(LE_Curves!$B$5:$B$205,MATCH($R109,LE_Curves!$N$5:$N$205,1))+($R109-INDEX(LE_Curves!$N$5:$N$205,MATCH($R109,LE_Curves!$N$5:$N$205,1)))*(INDEX(LE_Curves!$B$5:$B$205,MATCH($R109,LE_Curves!$N$5:$N$205,1)+1)-INDEX(LE_Curves!$B$5:$B$205,MATCH($R109,LE_Curves!$N$5:$N$205,1)))/(INDEX(LE_Curves!$N$5:$N$205,MATCH($R109,LE_Curves!$N$5:$N$205,1)+1)-INDEX(LE_Curves!$N$5:$N$205,MATCH($R109,LE_Curves!$N$5:$N$205,1))))))</f>
        <v/>
      </c>
      <c r="AE109" s="37">
        <f>SUM(S109:AD109)</f>
        <v/>
      </c>
    </row>
    <row r="110">
      <c r="A110" s="7" t="n">
        <v>79</v>
      </c>
      <c r="B110" s="37">
        <f>$B$3+($B$4-$B$3)*A110/200</f>
        <v/>
      </c>
      <c r="C110" s="11">
        <f>IF(Inputs!$D$23=0,0,IF($B110&lt;=Inputs!$C$23,0,IF($B110&gt;=INDEX(LE_Curves!$C$5:$C$205,201),INDEX(LE_Curves!$B$5:$B$205,201),INDEX(LE_Curves!$B$5:$B$205,MATCH($B110,LE_Curves!$C$5:$C$205,1))+($B110-INDEX(LE_Curves!$C$5:$C$205,MATCH($B110,LE_Curves!$C$5:$C$205,1)))*(INDEX(LE_Curves!$B$5:$B$205,MATCH($B110,LE_Curves!$C$5:$C$205,1)+1)-INDEX(LE_Curves!$B$5:$B$205,MATCH($B110,LE_Curves!$C$5:$C$205,1)))/(INDEX(LE_Curves!$C$5:$C$205,MATCH($B110,LE_Curves!$C$5:$C$205,1)+1)-INDEX(LE_Curves!$C$5:$C$205,MATCH($B110,LE_Curves!$C$5:$C$205,1))))))</f>
        <v/>
      </c>
      <c r="D110" s="11">
        <f>IF(Inputs!$D$24=0,0,IF($B110&lt;=Inputs!$C$24,0,IF($B110&gt;=INDEX(LE_Curves!$D$5:$D$205,201),INDEX(LE_Curves!$B$5:$B$205,201),INDEX(LE_Curves!$B$5:$B$205,MATCH($B110,LE_Curves!$D$5:$D$205,1))+($B110-INDEX(LE_Curves!$D$5:$D$205,MATCH($B110,LE_Curves!$D$5:$D$205,1)))*(INDEX(LE_Curves!$B$5:$B$205,MATCH($B110,LE_Curves!$D$5:$D$205,1)+1)-INDEX(LE_Curves!$B$5:$B$205,MATCH($B110,LE_Curves!$D$5:$D$205,1)))/(INDEX(LE_Curves!$D$5:$D$205,MATCH($B110,LE_Curves!$D$5:$D$205,1)+1)-INDEX(LE_Curves!$D$5:$D$205,MATCH($B110,LE_Curves!$D$5:$D$205,1))))))</f>
        <v/>
      </c>
      <c r="E110" s="11">
        <f>IF(Inputs!$D$25=0,0,IF($B110&lt;=Inputs!$C$25,0,IF($B110&gt;=INDEX(LE_Curves!$E$5:$E$205,201),INDEX(LE_Curves!$B$5:$B$205,201),INDEX(LE_Curves!$B$5:$B$205,MATCH($B110,LE_Curves!$E$5:$E$205,1))+($B110-INDEX(LE_Curves!$E$5:$E$205,MATCH($B110,LE_Curves!$E$5:$E$205,1)))*(INDEX(LE_Curves!$B$5:$B$205,MATCH($B110,LE_Curves!$E$5:$E$205,1)+1)-INDEX(LE_Curves!$B$5:$B$205,MATCH($B110,LE_Curves!$E$5:$E$205,1)))/(INDEX(LE_Curves!$E$5:$E$205,MATCH($B110,LE_Curves!$E$5:$E$205,1)+1)-INDEX(LE_Curves!$E$5:$E$205,MATCH($B110,LE_Curves!$E$5:$E$205,1))))))</f>
        <v/>
      </c>
      <c r="F110" s="11">
        <f>IF(Inputs!$D$26=0,0,IF($B110&lt;=Inputs!$C$26,0,IF($B110&gt;=INDEX(LE_Curves!$F$5:$F$205,201),INDEX(LE_Curves!$B$5:$B$205,201),INDEX(LE_Curves!$B$5:$B$205,MATCH($B110,LE_Curves!$F$5:$F$205,1))+($B110-INDEX(LE_Curves!$F$5:$F$205,MATCH($B110,LE_Curves!$F$5:$F$205,1)))*(INDEX(LE_Curves!$B$5:$B$205,MATCH($B110,LE_Curves!$F$5:$F$205,1)+1)-INDEX(LE_Curves!$B$5:$B$205,MATCH($B110,LE_Curves!$F$5:$F$205,1)))/(INDEX(LE_Curves!$F$5:$F$205,MATCH($B110,LE_Curves!$F$5:$F$205,1)+1)-INDEX(LE_Curves!$F$5:$F$205,MATCH($B110,LE_Curves!$F$5:$F$205,1))))))</f>
        <v/>
      </c>
      <c r="G110" s="11">
        <f>IF(Inputs!$D$27=0,0,IF($B110&lt;=Inputs!$C$27,0,IF($B110&gt;=INDEX(LE_Curves!$G$5:$G$205,201),INDEX(LE_Curves!$B$5:$B$205,201),INDEX(LE_Curves!$B$5:$B$205,MATCH($B110,LE_Curves!$G$5:$G$205,1))+($B110-INDEX(LE_Curves!$G$5:$G$205,MATCH($B110,LE_Curves!$G$5:$G$205,1)))*(INDEX(LE_Curves!$B$5:$B$205,MATCH($B110,LE_Curves!$G$5:$G$205,1)+1)-INDEX(LE_Curves!$B$5:$B$205,MATCH($B110,LE_Curves!$G$5:$G$205,1)))/(INDEX(LE_Curves!$G$5:$G$205,MATCH($B110,LE_Curves!$G$5:$G$205,1)+1)-INDEX(LE_Curves!$G$5:$G$205,MATCH($B110,LE_Curves!$G$5:$G$205,1))))))</f>
        <v/>
      </c>
      <c r="H110" s="11">
        <f>IF(Inputs!$D$28=0,0,IF($B110&lt;=Inputs!$C$28,0,IF($B110&gt;=INDEX(LE_Curves!$H$5:$H$205,201),INDEX(LE_Curves!$B$5:$B$205,201),INDEX(LE_Curves!$B$5:$B$205,MATCH($B110,LE_Curves!$H$5:$H$205,1))+($B110-INDEX(LE_Curves!$H$5:$H$205,MATCH($B110,LE_Curves!$H$5:$H$205,1)))*(INDEX(LE_Curves!$B$5:$B$205,MATCH($B110,LE_Curves!$H$5:$H$205,1)+1)-INDEX(LE_Curves!$B$5:$B$205,MATCH($B110,LE_Curves!$H$5:$H$205,1)))/(INDEX(LE_Curves!$H$5:$H$205,MATCH($B110,LE_Curves!$H$5:$H$205,1)+1)-INDEX(LE_Curves!$H$5:$H$205,MATCH($B110,LE_Curves!$H$5:$H$205,1))))))</f>
        <v/>
      </c>
      <c r="I110" s="11">
        <f>IF(Inputs!$D$29=0,0,IF($B110&lt;=Inputs!$C$29,0,IF($B110&gt;=INDEX(LE_Curves!$I$5:$I$205,201),INDEX(LE_Curves!$B$5:$B$205,201),INDEX(LE_Curves!$B$5:$B$205,MATCH($B110,LE_Curves!$I$5:$I$205,1))+($B110-INDEX(LE_Curves!$I$5:$I$205,MATCH($B110,LE_Curves!$I$5:$I$205,1)))*(INDEX(LE_Curves!$B$5:$B$205,MATCH($B110,LE_Curves!$I$5:$I$205,1)+1)-INDEX(LE_Curves!$B$5:$B$205,MATCH($B110,LE_Curves!$I$5:$I$205,1)))/(INDEX(LE_Curves!$I$5:$I$205,MATCH($B110,LE_Curves!$I$5:$I$205,1)+1)-INDEX(LE_Curves!$I$5:$I$205,MATCH($B110,LE_Curves!$I$5:$I$205,1))))))</f>
        <v/>
      </c>
      <c r="J110" s="11">
        <f>IF(Inputs!$D$30=0,0,IF($B110&lt;=Inputs!$C$30,0,IF($B110&gt;=INDEX(LE_Curves!$J$5:$J$205,201),INDEX(LE_Curves!$B$5:$B$205,201),INDEX(LE_Curves!$B$5:$B$205,MATCH($B110,LE_Curves!$J$5:$J$205,1))+($B110-INDEX(LE_Curves!$J$5:$J$205,MATCH($B110,LE_Curves!$J$5:$J$205,1)))*(INDEX(LE_Curves!$B$5:$B$205,MATCH($B110,LE_Curves!$J$5:$J$205,1)+1)-INDEX(LE_Curves!$B$5:$B$205,MATCH($B110,LE_Curves!$J$5:$J$205,1)))/(INDEX(LE_Curves!$J$5:$J$205,MATCH($B110,LE_Curves!$J$5:$J$205,1)+1)-INDEX(LE_Curves!$J$5:$J$205,MATCH($B110,LE_Curves!$J$5:$J$205,1))))))</f>
        <v/>
      </c>
      <c r="K110" s="11">
        <f>IF(Inputs!$D$31=0,0,IF($B110&lt;=Inputs!$C$31,0,IF($B110&gt;=INDEX(LE_Curves!$K$5:$K$205,201),INDEX(LE_Curves!$B$5:$B$205,201),INDEX(LE_Curves!$B$5:$B$205,MATCH($B110,LE_Curves!$K$5:$K$205,1))+($B110-INDEX(LE_Curves!$K$5:$K$205,MATCH($B110,LE_Curves!$K$5:$K$205,1)))*(INDEX(LE_Curves!$B$5:$B$205,MATCH($B110,LE_Curves!$K$5:$K$205,1)+1)-INDEX(LE_Curves!$B$5:$B$205,MATCH($B110,LE_Curves!$K$5:$K$205,1)))/(INDEX(LE_Curves!$K$5:$K$205,MATCH($B110,LE_Curves!$K$5:$K$205,1)+1)-INDEX(LE_Curves!$K$5:$K$205,MATCH($B110,LE_Curves!$K$5:$K$205,1))))))</f>
        <v/>
      </c>
      <c r="L110" s="11">
        <f>IF(Inputs!$D$32=0,0,IF($B110&lt;=Inputs!$C$32,0,IF($B110&gt;=INDEX(LE_Curves!$L$5:$L$205,201),INDEX(LE_Curves!$B$5:$B$205,201),INDEX(LE_Curves!$B$5:$B$205,MATCH($B110,LE_Curves!$L$5:$L$205,1))+($B110-INDEX(LE_Curves!$L$5:$L$205,MATCH($B110,LE_Curves!$L$5:$L$205,1)))*(INDEX(LE_Curves!$B$5:$B$205,MATCH($B110,LE_Curves!$L$5:$L$205,1)+1)-INDEX(LE_Curves!$B$5:$B$205,MATCH($B110,LE_Curves!$L$5:$L$205,1)))/(INDEX(LE_Curves!$L$5:$L$205,MATCH($B110,LE_Curves!$L$5:$L$205,1)+1)-INDEX(LE_Curves!$L$5:$L$205,MATCH($B110,LE_Curves!$L$5:$L$205,1))))))</f>
        <v/>
      </c>
      <c r="M110" s="11">
        <f>IF(Inputs!$D$33=0,0,IF($B110&lt;=Inputs!$C$33,0,IF($B110&gt;=INDEX(LE_Curves!$M$5:$M$205,201),INDEX(LE_Curves!$B$5:$B$205,201),INDEX(LE_Curves!$B$5:$B$205,MATCH($B110,LE_Curves!$M$5:$M$205,1))+($B110-INDEX(LE_Curves!$M$5:$M$205,MATCH($B110,LE_Curves!$M$5:$M$205,1)))*(INDEX(LE_Curves!$B$5:$B$205,MATCH($B110,LE_Curves!$M$5:$M$205,1)+1)-INDEX(LE_Curves!$B$5:$B$205,MATCH($B110,LE_Curves!$M$5:$M$205,1)))/(INDEX(LE_Curves!$M$5:$M$205,MATCH($B110,LE_Curves!$M$5:$M$205,1)+1)-INDEX(LE_Curves!$M$5:$M$205,MATCH($B110,LE_Curves!$M$5:$M$205,1))))))</f>
        <v/>
      </c>
      <c r="N110" s="11">
        <f>IF(Inputs!$D$34=0,0,IF($B110&lt;=Inputs!$C$34,0,IF($B110&gt;=INDEX(LE_Curves!$N$5:$N$205,201),INDEX(LE_Curves!$B$5:$B$205,201),INDEX(LE_Curves!$B$5:$B$205,MATCH($B110,LE_Curves!$N$5:$N$205,1))+($B110-INDEX(LE_Curves!$N$5:$N$205,MATCH($B110,LE_Curves!$N$5:$N$205,1)))*(INDEX(LE_Curves!$B$5:$B$205,MATCH($B110,LE_Curves!$N$5:$N$205,1)+1)-INDEX(LE_Curves!$B$5:$B$205,MATCH($B110,LE_Curves!$N$5:$N$205,1)))/(INDEX(LE_Curves!$N$5:$N$205,MATCH($B110,LE_Curves!$N$5:$N$205,1)+1)-INDEX(LE_Curves!$N$5:$N$205,MATCH($B110,LE_Curves!$N$5:$N$205,1))))))</f>
        <v/>
      </c>
      <c r="O110" s="11">
        <f>SUM(C110:N110)</f>
        <v/>
      </c>
      <c r="Q110" s="7" t="n">
        <v>79</v>
      </c>
      <c r="R110" s="23">
        <f>$B$6+($B$7-$B$6)*Q110/200</f>
        <v/>
      </c>
      <c r="S110" s="11">
        <f>IF(Inputs!$D$23=0,0,IF($R110&lt;=Inputs!$C$23,0,IF($R110&gt;=INDEX(LE_Curves!$C$5:$C$205,201),INDEX(LE_Curves!$B$5:$B$205,201),INDEX(LE_Curves!$B$5:$B$205,MATCH($R110,LE_Curves!$C$5:$C$205,1))+($R110-INDEX(LE_Curves!$C$5:$C$205,MATCH($R110,LE_Curves!$C$5:$C$205,1)))*(INDEX(LE_Curves!$B$5:$B$205,MATCH($R110,LE_Curves!$C$5:$C$205,1)+1)-INDEX(LE_Curves!$B$5:$B$205,MATCH($R110,LE_Curves!$C$5:$C$205,1)))/(INDEX(LE_Curves!$C$5:$C$205,MATCH($R110,LE_Curves!$C$5:$C$205,1)+1)-INDEX(LE_Curves!$C$5:$C$205,MATCH($R110,LE_Curves!$C$5:$C$205,1))))))</f>
        <v/>
      </c>
      <c r="T110" s="11">
        <f>IF(Inputs!$D$24=0,0,IF($R110&lt;=Inputs!$C$24,0,IF($R110&gt;=INDEX(LE_Curves!$D$5:$D$205,201),INDEX(LE_Curves!$B$5:$B$205,201),INDEX(LE_Curves!$B$5:$B$205,MATCH($R110,LE_Curves!$D$5:$D$205,1))+($R110-INDEX(LE_Curves!$D$5:$D$205,MATCH($R110,LE_Curves!$D$5:$D$205,1)))*(INDEX(LE_Curves!$B$5:$B$205,MATCH($R110,LE_Curves!$D$5:$D$205,1)+1)-INDEX(LE_Curves!$B$5:$B$205,MATCH($R110,LE_Curves!$D$5:$D$205,1)))/(INDEX(LE_Curves!$D$5:$D$205,MATCH($R110,LE_Curves!$D$5:$D$205,1)+1)-INDEX(LE_Curves!$D$5:$D$205,MATCH($R110,LE_Curves!$D$5:$D$205,1))))))</f>
        <v/>
      </c>
      <c r="U110" s="11">
        <f>IF(Inputs!$D$25=0,0,IF($R110&lt;=Inputs!$C$25,0,IF($R110&gt;=INDEX(LE_Curves!$E$5:$E$205,201),INDEX(LE_Curves!$B$5:$B$205,201),INDEX(LE_Curves!$B$5:$B$205,MATCH($R110,LE_Curves!$E$5:$E$205,1))+($R110-INDEX(LE_Curves!$E$5:$E$205,MATCH($R110,LE_Curves!$E$5:$E$205,1)))*(INDEX(LE_Curves!$B$5:$B$205,MATCH($R110,LE_Curves!$E$5:$E$205,1)+1)-INDEX(LE_Curves!$B$5:$B$205,MATCH($R110,LE_Curves!$E$5:$E$205,1)))/(INDEX(LE_Curves!$E$5:$E$205,MATCH($R110,LE_Curves!$E$5:$E$205,1)+1)-INDEX(LE_Curves!$E$5:$E$205,MATCH($R110,LE_Curves!$E$5:$E$205,1))))))</f>
        <v/>
      </c>
      <c r="V110" s="11">
        <f>IF(Inputs!$D$26=0,0,IF($R110&lt;=Inputs!$C$26,0,IF($R110&gt;=INDEX(LE_Curves!$F$5:$F$205,201),INDEX(LE_Curves!$B$5:$B$205,201),INDEX(LE_Curves!$B$5:$B$205,MATCH($R110,LE_Curves!$F$5:$F$205,1))+($R110-INDEX(LE_Curves!$F$5:$F$205,MATCH($R110,LE_Curves!$F$5:$F$205,1)))*(INDEX(LE_Curves!$B$5:$B$205,MATCH($R110,LE_Curves!$F$5:$F$205,1)+1)-INDEX(LE_Curves!$B$5:$B$205,MATCH($R110,LE_Curves!$F$5:$F$205,1)))/(INDEX(LE_Curves!$F$5:$F$205,MATCH($R110,LE_Curves!$F$5:$F$205,1)+1)-INDEX(LE_Curves!$F$5:$F$205,MATCH($R110,LE_Curves!$F$5:$F$205,1))))))</f>
        <v/>
      </c>
      <c r="W110" s="11">
        <f>IF(Inputs!$D$27=0,0,IF($R110&lt;=Inputs!$C$27,0,IF($R110&gt;=INDEX(LE_Curves!$G$5:$G$205,201),INDEX(LE_Curves!$B$5:$B$205,201),INDEX(LE_Curves!$B$5:$B$205,MATCH($R110,LE_Curves!$G$5:$G$205,1))+($R110-INDEX(LE_Curves!$G$5:$G$205,MATCH($R110,LE_Curves!$G$5:$G$205,1)))*(INDEX(LE_Curves!$B$5:$B$205,MATCH($R110,LE_Curves!$G$5:$G$205,1)+1)-INDEX(LE_Curves!$B$5:$B$205,MATCH($R110,LE_Curves!$G$5:$G$205,1)))/(INDEX(LE_Curves!$G$5:$G$205,MATCH($R110,LE_Curves!$G$5:$G$205,1)+1)-INDEX(LE_Curves!$G$5:$G$205,MATCH($R110,LE_Curves!$G$5:$G$205,1))))))</f>
        <v/>
      </c>
      <c r="X110" s="11">
        <f>IF(Inputs!$D$28=0,0,IF($R110&lt;=Inputs!$C$28,0,IF($R110&gt;=INDEX(LE_Curves!$H$5:$H$205,201),INDEX(LE_Curves!$B$5:$B$205,201),INDEX(LE_Curves!$B$5:$B$205,MATCH($R110,LE_Curves!$H$5:$H$205,1))+($R110-INDEX(LE_Curves!$H$5:$H$205,MATCH($R110,LE_Curves!$H$5:$H$205,1)))*(INDEX(LE_Curves!$B$5:$B$205,MATCH($R110,LE_Curves!$H$5:$H$205,1)+1)-INDEX(LE_Curves!$B$5:$B$205,MATCH($R110,LE_Curves!$H$5:$H$205,1)))/(INDEX(LE_Curves!$H$5:$H$205,MATCH($R110,LE_Curves!$H$5:$H$205,1)+1)-INDEX(LE_Curves!$H$5:$H$205,MATCH($R110,LE_Curves!$H$5:$H$205,1))))))</f>
        <v/>
      </c>
      <c r="Y110" s="11">
        <f>IF(Inputs!$D$29=0,0,IF($R110&lt;=Inputs!$C$29,0,IF($R110&gt;=INDEX(LE_Curves!$I$5:$I$205,201),INDEX(LE_Curves!$B$5:$B$205,201),INDEX(LE_Curves!$B$5:$B$205,MATCH($R110,LE_Curves!$I$5:$I$205,1))+($R110-INDEX(LE_Curves!$I$5:$I$205,MATCH($R110,LE_Curves!$I$5:$I$205,1)))*(INDEX(LE_Curves!$B$5:$B$205,MATCH($R110,LE_Curves!$I$5:$I$205,1)+1)-INDEX(LE_Curves!$B$5:$B$205,MATCH($R110,LE_Curves!$I$5:$I$205,1)))/(INDEX(LE_Curves!$I$5:$I$205,MATCH($R110,LE_Curves!$I$5:$I$205,1)+1)-INDEX(LE_Curves!$I$5:$I$205,MATCH($R110,LE_Curves!$I$5:$I$205,1))))))</f>
        <v/>
      </c>
      <c r="Z110" s="11">
        <f>IF(Inputs!$D$30=0,0,IF($R110&lt;=Inputs!$C$30,0,IF($R110&gt;=INDEX(LE_Curves!$J$5:$J$205,201),INDEX(LE_Curves!$B$5:$B$205,201),INDEX(LE_Curves!$B$5:$B$205,MATCH($R110,LE_Curves!$J$5:$J$205,1))+($R110-INDEX(LE_Curves!$J$5:$J$205,MATCH($R110,LE_Curves!$J$5:$J$205,1)))*(INDEX(LE_Curves!$B$5:$B$205,MATCH($R110,LE_Curves!$J$5:$J$205,1)+1)-INDEX(LE_Curves!$B$5:$B$205,MATCH($R110,LE_Curves!$J$5:$J$205,1)))/(INDEX(LE_Curves!$J$5:$J$205,MATCH($R110,LE_Curves!$J$5:$J$205,1)+1)-INDEX(LE_Curves!$J$5:$J$205,MATCH($R110,LE_Curves!$J$5:$J$205,1))))))</f>
        <v/>
      </c>
      <c r="AA110" s="11">
        <f>IF(Inputs!$D$31=0,0,IF($R110&lt;=Inputs!$C$31,0,IF($R110&gt;=INDEX(LE_Curves!$K$5:$K$205,201),INDEX(LE_Curves!$B$5:$B$205,201),INDEX(LE_Curves!$B$5:$B$205,MATCH($R110,LE_Curves!$K$5:$K$205,1))+($R110-INDEX(LE_Curves!$K$5:$K$205,MATCH($R110,LE_Curves!$K$5:$K$205,1)))*(INDEX(LE_Curves!$B$5:$B$205,MATCH($R110,LE_Curves!$K$5:$K$205,1)+1)-INDEX(LE_Curves!$B$5:$B$205,MATCH($R110,LE_Curves!$K$5:$K$205,1)))/(INDEX(LE_Curves!$K$5:$K$205,MATCH($R110,LE_Curves!$K$5:$K$205,1)+1)-INDEX(LE_Curves!$K$5:$K$205,MATCH($R110,LE_Curves!$K$5:$K$205,1))))))</f>
        <v/>
      </c>
      <c r="AB110" s="11">
        <f>IF(Inputs!$D$32=0,0,IF($R110&lt;=Inputs!$C$32,0,IF($R110&gt;=INDEX(LE_Curves!$L$5:$L$205,201),INDEX(LE_Curves!$B$5:$B$205,201),INDEX(LE_Curves!$B$5:$B$205,MATCH($R110,LE_Curves!$L$5:$L$205,1))+($R110-INDEX(LE_Curves!$L$5:$L$205,MATCH($R110,LE_Curves!$L$5:$L$205,1)))*(INDEX(LE_Curves!$B$5:$B$205,MATCH($R110,LE_Curves!$L$5:$L$205,1)+1)-INDEX(LE_Curves!$B$5:$B$205,MATCH($R110,LE_Curves!$L$5:$L$205,1)))/(INDEX(LE_Curves!$L$5:$L$205,MATCH($R110,LE_Curves!$L$5:$L$205,1)+1)-INDEX(LE_Curves!$L$5:$L$205,MATCH($R110,LE_Curves!$L$5:$L$205,1))))))</f>
        <v/>
      </c>
      <c r="AC110" s="11">
        <f>IF(Inputs!$D$33=0,0,IF($R110&lt;=Inputs!$C$33,0,IF($R110&gt;=INDEX(LE_Curves!$M$5:$M$205,201),INDEX(LE_Curves!$B$5:$B$205,201),INDEX(LE_Curves!$B$5:$B$205,MATCH($R110,LE_Curves!$M$5:$M$205,1))+($R110-INDEX(LE_Curves!$M$5:$M$205,MATCH($R110,LE_Curves!$M$5:$M$205,1)))*(INDEX(LE_Curves!$B$5:$B$205,MATCH($R110,LE_Curves!$M$5:$M$205,1)+1)-INDEX(LE_Curves!$B$5:$B$205,MATCH($R110,LE_Curves!$M$5:$M$205,1)))/(INDEX(LE_Curves!$M$5:$M$205,MATCH($R110,LE_Curves!$M$5:$M$205,1)+1)-INDEX(LE_Curves!$M$5:$M$205,MATCH($R110,LE_Curves!$M$5:$M$205,1))))))</f>
        <v/>
      </c>
      <c r="AD110" s="11">
        <f>IF(Inputs!$D$34=0,0,IF($R110&lt;=Inputs!$C$34,0,IF($R110&gt;=INDEX(LE_Curves!$N$5:$N$205,201),INDEX(LE_Curves!$B$5:$B$205,201),INDEX(LE_Curves!$B$5:$B$205,MATCH($R110,LE_Curves!$N$5:$N$205,1))+($R110-INDEX(LE_Curves!$N$5:$N$205,MATCH($R110,LE_Curves!$N$5:$N$205,1)))*(INDEX(LE_Curves!$B$5:$B$205,MATCH($R110,LE_Curves!$N$5:$N$205,1)+1)-INDEX(LE_Curves!$B$5:$B$205,MATCH($R110,LE_Curves!$N$5:$N$205,1)))/(INDEX(LE_Curves!$N$5:$N$205,MATCH($R110,LE_Curves!$N$5:$N$205,1)+1)-INDEX(LE_Curves!$N$5:$N$205,MATCH($R110,LE_Curves!$N$5:$N$205,1))))))</f>
        <v/>
      </c>
      <c r="AE110" s="37">
        <f>SUM(S110:AD110)</f>
        <v/>
      </c>
    </row>
    <row r="111">
      <c r="A111" s="7" t="n">
        <v>80</v>
      </c>
      <c r="B111" s="37">
        <f>$B$3+($B$4-$B$3)*A111/200</f>
        <v/>
      </c>
      <c r="C111" s="11">
        <f>IF(Inputs!$D$23=0,0,IF($B111&lt;=Inputs!$C$23,0,IF($B111&gt;=INDEX(LE_Curves!$C$5:$C$205,201),INDEX(LE_Curves!$B$5:$B$205,201),INDEX(LE_Curves!$B$5:$B$205,MATCH($B111,LE_Curves!$C$5:$C$205,1))+($B111-INDEX(LE_Curves!$C$5:$C$205,MATCH($B111,LE_Curves!$C$5:$C$205,1)))*(INDEX(LE_Curves!$B$5:$B$205,MATCH($B111,LE_Curves!$C$5:$C$205,1)+1)-INDEX(LE_Curves!$B$5:$B$205,MATCH($B111,LE_Curves!$C$5:$C$205,1)))/(INDEX(LE_Curves!$C$5:$C$205,MATCH($B111,LE_Curves!$C$5:$C$205,1)+1)-INDEX(LE_Curves!$C$5:$C$205,MATCH($B111,LE_Curves!$C$5:$C$205,1))))))</f>
        <v/>
      </c>
      <c r="D111" s="11">
        <f>IF(Inputs!$D$24=0,0,IF($B111&lt;=Inputs!$C$24,0,IF($B111&gt;=INDEX(LE_Curves!$D$5:$D$205,201),INDEX(LE_Curves!$B$5:$B$205,201),INDEX(LE_Curves!$B$5:$B$205,MATCH($B111,LE_Curves!$D$5:$D$205,1))+($B111-INDEX(LE_Curves!$D$5:$D$205,MATCH($B111,LE_Curves!$D$5:$D$205,1)))*(INDEX(LE_Curves!$B$5:$B$205,MATCH($B111,LE_Curves!$D$5:$D$205,1)+1)-INDEX(LE_Curves!$B$5:$B$205,MATCH($B111,LE_Curves!$D$5:$D$205,1)))/(INDEX(LE_Curves!$D$5:$D$205,MATCH($B111,LE_Curves!$D$5:$D$205,1)+1)-INDEX(LE_Curves!$D$5:$D$205,MATCH($B111,LE_Curves!$D$5:$D$205,1))))))</f>
        <v/>
      </c>
      <c r="E111" s="11">
        <f>IF(Inputs!$D$25=0,0,IF($B111&lt;=Inputs!$C$25,0,IF($B111&gt;=INDEX(LE_Curves!$E$5:$E$205,201),INDEX(LE_Curves!$B$5:$B$205,201),INDEX(LE_Curves!$B$5:$B$205,MATCH($B111,LE_Curves!$E$5:$E$205,1))+($B111-INDEX(LE_Curves!$E$5:$E$205,MATCH($B111,LE_Curves!$E$5:$E$205,1)))*(INDEX(LE_Curves!$B$5:$B$205,MATCH($B111,LE_Curves!$E$5:$E$205,1)+1)-INDEX(LE_Curves!$B$5:$B$205,MATCH($B111,LE_Curves!$E$5:$E$205,1)))/(INDEX(LE_Curves!$E$5:$E$205,MATCH($B111,LE_Curves!$E$5:$E$205,1)+1)-INDEX(LE_Curves!$E$5:$E$205,MATCH($B111,LE_Curves!$E$5:$E$205,1))))))</f>
        <v/>
      </c>
      <c r="F111" s="11">
        <f>IF(Inputs!$D$26=0,0,IF($B111&lt;=Inputs!$C$26,0,IF($B111&gt;=INDEX(LE_Curves!$F$5:$F$205,201),INDEX(LE_Curves!$B$5:$B$205,201),INDEX(LE_Curves!$B$5:$B$205,MATCH($B111,LE_Curves!$F$5:$F$205,1))+($B111-INDEX(LE_Curves!$F$5:$F$205,MATCH($B111,LE_Curves!$F$5:$F$205,1)))*(INDEX(LE_Curves!$B$5:$B$205,MATCH($B111,LE_Curves!$F$5:$F$205,1)+1)-INDEX(LE_Curves!$B$5:$B$205,MATCH($B111,LE_Curves!$F$5:$F$205,1)))/(INDEX(LE_Curves!$F$5:$F$205,MATCH($B111,LE_Curves!$F$5:$F$205,1)+1)-INDEX(LE_Curves!$F$5:$F$205,MATCH($B111,LE_Curves!$F$5:$F$205,1))))))</f>
        <v/>
      </c>
      <c r="G111" s="11">
        <f>IF(Inputs!$D$27=0,0,IF($B111&lt;=Inputs!$C$27,0,IF($B111&gt;=INDEX(LE_Curves!$G$5:$G$205,201),INDEX(LE_Curves!$B$5:$B$205,201),INDEX(LE_Curves!$B$5:$B$205,MATCH($B111,LE_Curves!$G$5:$G$205,1))+($B111-INDEX(LE_Curves!$G$5:$G$205,MATCH($B111,LE_Curves!$G$5:$G$205,1)))*(INDEX(LE_Curves!$B$5:$B$205,MATCH($B111,LE_Curves!$G$5:$G$205,1)+1)-INDEX(LE_Curves!$B$5:$B$205,MATCH($B111,LE_Curves!$G$5:$G$205,1)))/(INDEX(LE_Curves!$G$5:$G$205,MATCH($B111,LE_Curves!$G$5:$G$205,1)+1)-INDEX(LE_Curves!$G$5:$G$205,MATCH($B111,LE_Curves!$G$5:$G$205,1))))))</f>
        <v/>
      </c>
      <c r="H111" s="11">
        <f>IF(Inputs!$D$28=0,0,IF($B111&lt;=Inputs!$C$28,0,IF($B111&gt;=INDEX(LE_Curves!$H$5:$H$205,201),INDEX(LE_Curves!$B$5:$B$205,201),INDEX(LE_Curves!$B$5:$B$205,MATCH($B111,LE_Curves!$H$5:$H$205,1))+($B111-INDEX(LE_Curves!$H$5:$H$205,MATCH($B111,LE_Curves!$H$5:$H$205,1)))*(INDEX(LE_Curves!$B$5:$B$205,MATCH($B111,LE_Curves!$H$5:$H$205,1)+1)-INDEX(LE_Curves!$B$5:$B$205,MATCH($B111,LE_Curves!$H$5:$H$205,1)))/(INDEX(LE_Curves!$H$5:$H$205,MATCH($B111,LE_Curves!$H$5:$H$205,1)+1)-INDEX(LE_Curves!$H$5:$H$205,MATCH($B111,LE_Curves!$H$5:$H$205,1))))))</f>
        <v/>
      </c>
      <c r="I111" s="11">
        <f>IF(Inputs!$D$29=0,0,IF($B111&lt;=Inputs!$C$29,0,IF($B111&gt;=INDEX(LE_Curves!$I$5:$I$205,201),INDEX(LE_Curves!$B$5:$B$205,201),INDEX(LE_Curves!$B$5:$B$205,MATCH($B111,LE_Curves!$I$5:$I$205,1))+($B111-INDEX(LE_Curves!$I$5:$I$205,MATCH($B111,LE_Curves!$I$5:$I$205,1)))*(INDEX(LE_Curves!$B$5:$B$205,MATCH($B111,LE_Curves!$I$5:$I$205,1)+1)-INDEX(LE_Curves!$B$5:$B$205,MATCH($B111,LE_Curves!$I$5:$I$205,1)))/(INDEX(LE_Curves!$I$5:$I$205,MATCH($B111,LE_Curves!$I$5:$I$205,1)+1)-INDEX(LE_Curves!$I$5:$I$205,MATCH($B111,LE_Curves!$I$5:$I$205,1))))))</f>
        <v/>
      </c>
      <c r="J111" s="11">
        <f>IF(Inputs!$D$30=0,0,IF($B111&lt;=Inputs!$C$30,0,IF($B111&gt;=INDEX(LE_Curves!$J$5:$J$205,201),INDEX(LE_Curves!$B$5:$B$205,201),INDEX(LE_Curves!$B$5:$B$205,MATCH($B111,LE_Curves!$J$5:$J$205,1))+($B111-INDEX(LE_Curves!$J$5:$J$205,MATCH($B111,LE_Curves!$J$5:$J$205,1)))*(INDEX(LE_Curves!$B$5:$B$205,MATCH($B111,LE_Curves!$J$5:$J$205,1)+1)-INDEX(LE_Curves!$B$5:$B$205,MATCH($B111,LE_Curves!$J$5:$J$205,1)))/(INDEX(LE_Curves!$J$5:$J$205,MATCH($B111,LE_Curves!$J$5:$J$205,1)+1)-INDEX(LE_Curves!$J$5:$J$205,MATCH($B111,LE_Curves!$J$5:$J$205,1))))))</f>
        <v/>
      </c>
      <c r="K111" s="11">
        <f>IF(Inputs!$D$31=0,0,IF($B111&lt;=Inputs!$C$31,0,IF($B111&gt;=INDEX(LE_Curves!$K$5:$K$205,201),INDEX(LE_Curves!$B$5:$B$205,201),INDEX(LE_Curves!$B$5:$B$205,MATCH($B111,LE_Curves!$K$5:$K$205,1))+($B111-INDEX(LE_Curves!$K$5:$K$205,MATCH($B111,LE_Curves!$K$5:$K$205,1)))*(INDEX(LE_Curves!$B$5:$B$205,MATCH($B111,LE_Curves!$K$5:$K$205,1)+1)-INDEX(LE_Curves!$B$5:$B$205,MATCH($B111,LE_Curves!$K$5:$K$205,1)))/(INDEX(LE_Curves!$K$5:$K$205,MATCH($B111,LE_Curves!$K$5:$K$205,1)+1)-INDEX(LE_Curves!$K$5:$K$205,MATCH($B111,LE_Curves!$K$5:$K$205,1))))))</f>
        <v/>
      </c>
      <c r="L111" s="11">
        <f>IF(Inputs!$D$32=0,0,IF($B111&lt;=Inputs!$C$32,0,IF($B111&gt;=INDEX(LE_Curves!$L$5:$L$205,201),INDEX(LE_Curves!$B$5:$B$205,201),INDEX(LE_Curves!$B$5:$B$205,MATCH($B111,LE_Curves!$L$5:$L$205,1))+($B111-INDEX(LE_Curves!$L$5:$L$205,MATCH($B111,LE_Curves!$L$5:$L$205,1)))*(INDEX(LE_Curves!$B$5:$B$205,MATCH($B111,LE_Curves!$L$5:$L$205,1)+1)-INDEX(LE_Curves!$B$5:$B$205,MATCH($B111,LE_Curves!$L$5:$L$205,1)))/(INDEX(LE_Curves!$L$5:$L$205,MATCH($B111,LE_Curves!$L$5:$L$205,1)+1)-INDEX(LE_Curves!$L$5:$L$205,MATCH($B111,LE_Curves!$L$5:$L$205,1))))))</f>
        <v/>
      </c>
      <c r="M111" s="11">
        <f>IF(Inputs!$D$33=0,0,IF($B111&lt;=Inputs!$C$33,0,IF($B111&gt;=INDEX(LE_Curves!$M$5:$M$205,201),INDEX(LE_Curves!$B$5:$B$205,201),INDEX(LE_Curves!$B$5:$B$205,MATCH($B111,LE_Curves!$M$5:$M$205,1))+($B111-INDEX(LE_Curves!$M$5:$M$205,MATCH($B111,LE_Curves!$M$5:$M$205,1)))*(INDEX(LE_Curves!$B$5:$B$205,MATCH($B111,LE_Curves!$M$5:$M$205,1)+1)-INDEX(LE_Curves!$B$5:$B$205,MATCH($B111,LE_Curves!$M$5:$M$205,1)))/(INDEX(LE_Curves!$M$5:$M$205,MATCH($B111,LE_Curves!$M$5:$M$205,1)+1)-INDEX(LE_Curves!$M$5:$M$205,MATCH($B111,LE_Curves!$M$5:$M$205,1))))))</f>
        <v/>
      </c>
      <c r="N111" s="11">
        <f>IF(Inputs!$D$34=0,0,IF($B111&lt;=Inputs!$C$34,0,IF($B111&gt;=INDEX(LE_Curves!$N$5:$N$205,201),INDEX(LE_Curves!$B$5:$B$205,201),INDEX(LE_Curves!$B$5:$B$205,MATCH($B111,LE_Curves!$N$5:$N$205,1))+($B111-INDEX(LE_Curves!$N$5:$N$205,MATCH($B111,LE_Curves!$N$5:$N$205,1)))*(INDEX(LE_Curves!$B$5:$B$205,MATCH($B111,LE_Curves!$N$5:$N$205,1)+1)-INDEX(LE_Curves!$B$5:$B$205,MATCH($B111,LE_Curves!$N$5:$N$205,1)))/(INDEX(LE_Curves!$N$5:$N$205,MATCH($B111,LE_Curves!$N$5:$N$205,1)+1)-INDEX(LE_Curves!$N$5:$N$205,MATCH($B111,LE_Curves!$N$5:$N$205,1))))))</f>
        <v/>
      </c>
      <c r="O111" s="11">
        <f>SUM(C111:N111)</f>
        <v/>
      </c>
      <c r="Q111" s="7" t="n">
        <v>80</v>
      </c>
      <c r="R111" s="23">
        <f>$B$6+($B$7-$B$6)*Q111/200</f>
        <v/>
      </c>
      <c r="S111" s="11">
        <f>IF(Inputs!$D$23=0,0,IF($R111&lt;=Inputs!$C$23,0,IF($R111&gt;=INDEX(LE_Curves!$C$5:$C$205,201),INDEX(LE_Curves!$B$5:$B$205,201),INDEX(LE_Curves!$B$5:$B$205,MATCH($R111,LE_Curves!$C$5:$C$205,1))+($R111-INDEX(LE_Curves!$C$5:$C$205,MATCH($R111,LE_Curves!$C$5:$C$205,1)))*(INDEX(LE_Curves!$B$5:$B$205,MATCH($R111,LE_Curves!$C$5:$C$205,1)+1)-INDEX(LE_Curves!$B$5:$B$205,MATCH($R111,LE_Curves!$C$5:$C$205,1)))/(INDEX(LE_Curves!$C$5:$C$205,MATCH($R111,LE_Curves!$C$5:$C$205,1)+1)-INDEX(LE_Curves!$C$5:$C$205,MATCH($R111,LE_Curves!$C$5:$C$205,1))))))</f>
        <v/>
      </c>
      <c r="T111" s="11">
        <f>IF(Inputs!$D$24=0,0,IF($R111&lt;=Inputs!$C$24,0,IF($R111&gt;=INDEX(LE_Curves!$D$5:$D$205,201),INDEX(LE_Curves!$B$5:$B$205,201),INDEX(LE_Curves!$B$5:$B$205,MATCH($R111,LE_Curves!$D$5:$D$205,1))+($R111-INDEX(LE_Curves!$D$5:$D$205,MATCH($R111,LE_Curves!$D$5:$D$205,1)))*(INDEX(LE_Curves!$B$5:$B$205,MATCH($R111,LE_Curves!$D$5:$D$205,1)+1)-INDEX(LE_Curves!$B$5:$B$205,MATCH($R111,LE_Curves!$D$5:$D$205,1)))/(INDEX(LE_Curves!$D$5:$D$205,MATCH($R111,LE_Curves!$D$5:$D$205,1)+1)-INDEX(LE_Curves!$D$5:$D$205,MATCH($R111,LE_Curves!$D$5:$D$205,1))))))</f>
        <v/>
      </c>
      <c r="U111" s="11">
        <f>IF(Inputs!$D$25=0,0,IF($R111&lt;=Inputs!$C$25,0,IF($R111&gt;=INDEX(LE_Curves!$E$5:$E$205,201),INDEX(LE_Curves!$B$5:$B$205,201),INDEX(LE_Curves!$B$5:$B$205,MATCH($R111,LE_Curves!$E$5:$E$205,1))+($R111-INDEX(LE_Curves!$E$5:$E$205,MATCH($R111,LE_Curves!$E$5:$E$205,1)))*(INDEX(LE_Curves!$B$5:$B$205,MATCH($R111,LE_Curves!$E$5:$E$205,1)+1)-INDEX(LE_Curves!$B$5:$B$205,MATCH($R111,LE_Curves!$E$5:$E$205,1)))/(INDEX(LE_Curves!$E$5:$E$205,MATCH($R111,LE_Curves!$E$5:$E$205,1)+1)-INDEX(LE_Curves!$E$5:$E$205,MATCH($R111,LE_Curves!$E$5:$E$205,1))))))</f>
        <v/>
      </c>
      <c r="V111" s="11">
        <f>IF(Inputs!$D$26=0,0,IF($R111&lt;=Inputs!$C$26,0,IF($R111&gt;=INDEX(LE_Curves!$F$5:$F$205,201),INDEX(LE_Curves!$B$5:$B$205,201),INDEX(LE_Curves!$B$5:$B$205,MATCH($R111,LE_Curves!$F$5:$F$205,1))+($R111-INDEX(LE_Curves!$F$5:$F$205,MATCH($R111,LE_Curves!$F$5:$F$205,1)))*(INDEX(LE_Curves!$B$5:$B$205,MATCH($R111,LE_Curves!$F$5:$F$205,1)+1)-INDEX(LE_Curves!$B$5:$B$205,MATCH($R111,LE_Curves!$F$5:$F$205,1)))/(INDEX(LE_Curves!$F$5:$F$205,MATCH($R111,LE_Curves!$F$5:$F$205,1)+1)-INDEX(LE_Curves!$F$5:$F$205,MATCH($R111,LE_Curves!$F$5:$F$205,1))))))</f>
        <v/>
      </c>
      <c r="W111" s="11">
        <f>IF(Inputs!$D$27=0,0,IF($R111&lt;=Inputs!$C$27,0,IF($R111&gt;=INDEX(LE_Curves!$G$5:$G$205,201),INDEX(LE_Curves!$B$5:$B$205,201),INDEX(LE_Curves!$B$5:$B$205,MATCH($R111,LE_Curves!$G$5:$G$205,1))+($R111-INDEX(LE_Curves!$G$5:$G$205,MATCH($R111,LE_Curves!$G$5:$G$205,1)))*(INDEX(LE_Curves!$B$5:$B$205,MATCH($R111,LE_Curves!$G$5:$G$205,1)+1)-INDEX(LE_Curves!$B$5:$B$205,MATCH($R111,LE_Curves!$G$5:$G$205,1)))/(INDEX(LE_Curves!$G$5:$G$205,MATCH($R111,LE_Curves!$G$5:$G$205,1)+1)-INDEX(LE_Curves!$G$5:$G$205,MATCH($R111,LE_Curves!$G$5:$G$205,1))))))</f>
        <v/>
      </c>
      <c r="X111" s="11">
        <f>IF(Inputs!$D$28=0,0,IF($R111&lt;=Inputs!$C$28,0,IF($R111&gt;=INDEX(LE_Curves!$H$5:$H$205,201),INDEX(LE_Curves!$B$5:$B$205,201),INDEX(LE_Curves!$B$5:$B$205,MATCH($R111,LE_Curves!$H$5:$H$205,1))+($R111-INDEX(LE_Curves!$H$5:$H$205,MATCH($R111,LE_Curves!$H$5:$H$205,1)))*(INDEX(LE_Curves!$B$5:$B$205,MATCH($R111,LE_Curves!$H$5:$H$205,1)+1)-INDEX(LE_Curves!$B$5:$B$205,MATCH($R111,LE_Curves!$H$5:$H$205,1)))/(INDEX(LE_Curves!$H$5:$H$205,MATCH($R111,LE_Curves!$H$5:$H$205,1)+1)-INDEX(LE_Curves!$H$5:$H$205,MATCH($R111,LE_Curves!$H$5:$H$205,1))))))</f>
        <v/>
      </c>
      <c r="Y111" s="11">
        <f>IF(Inputs!$D$29=0,0,IF($R111&lt;=Inputs!$C$29,0,IF($R111&gt;=INDEX(LE_Curves!$I$5:$I$205,201),INDEX(LE_Curves!$B$5:$B$205,201),INDEX(LE_Curves!$B$5:$B$205,MATCH($R111,LE_Curves!$I$5:$I$205,1))+($R111-INDEX(LE_Curves!$I$5:$I$205,MATCH($R111,LE_Curves!$I$5:$I$205,1)))*(INDEX(LE_Curves!$B$5:$B$205,MATCH($R111,LE_Curves!$I$5:$I$205,1)+1)-INDEX(LE_Curves!$B$5:$B$205,MATCH($R111,LE_Curves!$I$5:$I$205,1)))/(INDEX(LE_Curves!$I$5:$I$205,MATCH($R111,LE_Curves!$I$5:$I$205,1)+1)-INDEX(LE_Curves!$I$5:$I$205,MATCH($R111,LE_Curves!$I$5:$I$205,1))))))</f>
        <v/>
      </c>
      <c r="Z111" s="11">
        <f>IF(Inputs!$D$30=0,0,IF($R111&lt;=Inputs!$C$30,0,IF($R111&gt;=INDEX(LE_Curves!$J$5:$J$205,201),INDEX(LE_Curves!$B$5:$B$205,201),INDEX(LE_Curves!$B$5:$B$205,MATCH($R111,LE_Curves!$J$5:$J$205,1))+($R111-INDEX(LE_Curves!$J$5:$J$205,MATCH($R111,LE_Curves!$J$5:$J$205,1)))*(INDEX(LE_Curves!$B$5:$B$205,MATCH($R111,LE_Curves!$J$5:$J$205,1)+1)-INDEX(LE_Curves!$B$5:$B$205,MATCH($R111,LE_Curves!$J$5:$J$205,1)))/(INDEX(LE_Curves!$J$5:$J$205,MATCH($R111,LE_Curves!$J$5:$J$205,1)+1)-INDEX(LE_Curves!$J$5:$J$205,MATCH($R111,LE_Curves!$J$5:$J$205,1))))))</f>
        <v/>
      </c>
      <c r="AA111" s="11">
        <f>IF(Inputs!$D$31=0,0,IF($R111&lt;=Inputs!$C$31,0,IF($R111&gt;=INDEX(LE_Curves!$K$5:$K$205,201),INDEX(LE_Curves!$B$5:$B$205,201),INDEX(LE_Curves!$B$5:$B$205,MATCH($R111,LE_Curves!$K$5:$K$205,1))+($R111-INDEX(LE_Curves!$K$5:$K$205,MATCH($R111,LE_Curves!$K$5:$K$205,1)))*(INDEX(LE_Curves!$B$5:$B$205,MATCH($R111,LE_Curves!$K$5:$K$205,1)+1)-INDEX(LE_Curves!$B$5:$B$205,MATCH($R111,LE_Curves!$K$5:$K$205,1)))/(INDEX(LE_Curves!$K$5:$K$205,MATCH($R111,LE_Curves!$K$5:$K$205,1)+1)-INDEX(LE_Curves!$K$5:$K$205,MATCH($R111,LE_Curves!$K$5:$K$205,1))))))</f>
        <v/>
      </c>
      <c r="AB111" s="11">
        <f>IF(Inputs!$D$32=0,0,IF($R111&lt;=Inputs!$C$32,0,IF($R111&gt;=INDEX(LE_Curves!$L$5:$L$205,201),INDEX(LE_Curves!$B$5:$B$205,201),INDEX(LE_Curves!$B$5:$B$205,MATCH($R111,LE_Curves!$L$5:$L$205,1))+($R111-INDEX(LE_Curves!$L$5:$L$205,MATCH($R111,LE_Curves!$L$5:$L$205,1)))*(INDEX(LE_Curves!$B$5:$B$205,MATCH($R111,LE_Curves!$L$5:$L$205,1)+1)-INDEX(LE_Curves!$B$5:$B$205,MATCH($R111,LE_Curves!$L$5:$L$205,1)))/(INDEX(LE_Curves!$L$5:$L$205,MATCH($R111,LE_Curves!$L$5:$L$205,1)+1)-INDEX(LE_Curves!$L$5:$L$205,MATCH($R111,LE_Curves!$L$5:$L$205,1))))))</f>
        <v/>
      </c>
      <c r="AC111" s="11">
        <f>IF(Inputs!$D$33=0,0,IF($R111&lt;=Inputs!$C$33,0,IF($R111&gt;=INDEX(LE_Curves!$M$5:$M$205,201),INDEX(LE_Curves!$B$5:$B$205,201),INDEX(LE_Curves!$B$5:$B$205,MATCH($R111,LE_Curves!$M$5:$M$205,1))+($R111-INDEX(LE_Curves!$M$5:$M$205,MATCH($R111,LE_Curves!$M$5:$M$205,1)))*(INDEX(LE_Curves!$B$5:$B$205,MATCH($R111,LE_Curves!$M$5:$M$205,1)+1)-INDEX(LE_Curves!$B$5:$B$205,MATCH($R111,LE_Curves!$M$5:$M$205,1)))/(INDEX(LE_Curves!$M$5:$M$205,MATCH($R111,LE_Curves!$M$5:$M$205,1)+1)-INDEX(LE_Curves!$M$5:$M$205,MATCH($R111,LE_Curves!$M$5:$M$205,1))))))</f>
        <v/>
      </c>
      <c r="AD111" s="11">
        <f>IF(Inputs!$D$34=0,0,IF($R111&lt;=Inputs!$C$34,0,IF($R111&gt;=INDEX(LE_Curves!$N$5:$N$205,201),INDEX(LE_Curves!$B$5:$B$205,201),INDEX(LE_Curves!$B$5:$B$205,MATCH($R111,LE_Curves!$N$5:$N$205,1))+($R111-INDEX(LE_Curves!$N$5:$N$205,MATCH($R111,LE_Curves!$N$5:$N$205,1)))*(INDEX(LE_Curves!$B$5:$B$205,MATCH($R111,LE_Curves!$N$5:$N$205,1)+1)-INDEX(LE_Curves!$B$5:$B$205,MATCH($R111,LE_Curves!$N$5:$N$205,1)))/(INDEX(LE_Curves!$N$5:$N$205,MATCH($R111,LE_Curves!$N$5:$N$205,1)+1)-INDEX(LE_Curves!$N$5:$N$205,MATCH($R111,LE_Curves!$N$5:$N$205,1))))))</f>
        <v/>
      </c>
      <c r="AE111" s="37">
        <f>SUM(S111:AD111)</f>
        <v/>
      </c>
    </row>
    <row r="112">
      <c r="A112" s="7" t="n">
        <v>81</v>
      </c>
      <c r="B112" s="37">
        <f>$B$3+($B$4-$B$3)*A112/200</f>
        <v/>
      </c>
      <c r="C112" s="11">
        <f>IF(Inputs!$D$23=0,0,IF($B112&lt;=Inputs!$C$23,0,IF($B112&gt;=INDEX(LE_Curves!$C$5:$C$205,201),INDEX(LE_Curves!$B$5:$B$205,201),INDEX(LE_Curves!$B$5:$B$205,MATCH($B112,LE_Curves!$C$5:$C$205,1))+($B112-INDEX(LE_Curves!$C$5:$C$205,MATCH($B112,LE_Curves!$C$5:$C$205,1)))*(INDEX(LE_Curves!$B$5:$B$205,MATCH($B112,LE_Curves!$C$5:$C$205,1)+1)-INDEX(LE_Curves!$B$5:$B$205,MATCH($B112,LE_Curves!$C$5:$C$205,1)))/(INDEX(LE_Curves!$C$5:$C$205,MATCH($B112,LE_Curves!$C$5:$C$205,1)+1)-INDEX(LE_Curves!$C$5:$C$205,MATCH($B112,LE_Curves!$C$5:$C$205,1))))))</f>
        <v/>
      </c>
      <c r="D112" s="11">
        <f>IF(Inputs!$D$24=0,0,IF($B112&lt;=Inputs!$C$24,0,IF($B112&gt;=INDEX(LE_Curves!$D$5:$D$205,201),INDEX(LE_Curves!$B$5:$B$205,201),INDEX(LE_Curves!$B$5:$B$205,MATCH($B112,LE_Curves!$D$5:$D$205,1))+($B112-INDEX(LE_Curves!$D$5:$D$205,MATCH($B112,LE_Curves!$D$5:$D$205,1)))*(INDEX(LE_Curves!$B$5:$B$205,MATCH($B112,LE_Curves!$D$5:$D$205,1)+1)-INDEX(LE_Curves!$B$5:$B$205,MATCH($B112,LE_Curves!$D$5:$D$205,1)))/(INDEX(LE_Curves!$D$5:$D$205,MATCH($B112,LE_Curves!$D$5:$D$205,1)+1)-INDEX(LE_Curves!$D$5:$D$205,MATCH($B112,LE_Curves!$D$5:$D$205,1))))))</f>
        <v/>
      </c>
      <c r="E112" s="11">
        <f>IF(Inputs!$D$25=0,0,IF($B112&lt;=Inputs!$C$25,0,IF($B112&gt;=INDEX(LE_Curves!$E$5:$E$205,201),INDEX(LE_Curves!$B$5:$B$205,201),INDEX(LE_Curves!$B$5:$B$205,MATCH($B112,LE_Curves!$E$5:$E$205,1))+($B112-INDEX(LE_Curves!$E$5:$E$205,MATCH($B112,LE_Curves!$E$5:$E$205,1)))*(INDEX(LE_Curves!$B$5:$B$205,MATCH($B112,LE_Curves!$E$5:$E$205,1)+1)-INDEX(LE_Curves!$B$5:$B$205,MATCH($B112,LE_Curves!$E$5:$E$205,1)))/(INDEX(LE_Curves!$E$5:$E$205,MATCH($B112,LE_Curves!$E$5:$E$205,1)+1)-INDEX(LE_Curves!$E$5:$E$205,MATCH($B112,LE_Curves!$E$5:$E$205,1))))))</f>
        <v/>
      </c>
      <c r="F112" s="11">
        <f>IF(Inputs!$D$26=0,0,IF($B112&lt;=Inputs!$C$26,0,IF($B112&gt;=INDEX(LE_Curves!$F$5:$F$205,201),INDEX(LE_Curves!$B$5:$B$205,201),INDEX(LE_Curves!$B$5:$B$205,MATCH($B112,LE_Curves!$F$5:$F$205,1))+($B112-INDEX(LE_Curves!$F$5:$F$205,MATCH($B112,LE_Curves!$F$5:$F$205,1)))*(INDEX(LE_Curves!$B$5:$B$205,MATCH($B112,LE_Curves!$F$5:$F$205,1)+1)-INDEX(LE_Curves!$B$5:$B$205,MATCH($B112,LE_Curves!$F$5:$F$205,1)))/(INDEX(LE_Curves!$F$5:$F$205,MATCH($B112,LE_Curves!$F$5:$F$205,1)+1)-INDEX(LE_Curves!$F$5:$F$205,MATCH($B112,LE_Curves!$F$5:$F$205,1))))))</f>
        <v/>
      </c>
      <c r="G112" s="11">
        <f>IF(Inputs!$D$27=0,0,IF($B112&lt;=Inputs!$C$27,0,IF($B112&gt;=INDEX(LE_Curves!$G$5:$G$205,201),INDEX(LE_Curves!$B$5:$B$205,201),INDEX(LE_Curves!$B$5:$B$205,MATCH($B112,LE_Curves!$G$5:$G$205,1))+($B112-INDEX(LE_Curves!$G$5:$G$205,MATCH($B112,LE_Curves!$G$5:$G$205,1)))*(INDEX(LE_Curves!$B$5:$B$205,MATCH($B112,LE_Curves!$G$5:$G$205,1)+1)-INDEX(LE_Curves!$B$5:$B$205,MATCH($B112,LE_Curves!$G$5:$G$205,1)))/(INDEX(LE_Curves!$G$5:$G$205,MATCH($B112,LE_Curves!$G$5:$G$205,1)+1)-INDEX(LE_Curves!$G$5:$G$205,MATCH($B112,LE_Curves!$G$5:$G$205,1))))))</f>
        <v/>
      </c>
      <c r="H112" s="11">
        <f>IF(Inputs!$D$28=0,0,IF($B112&lt;=Inputs!$C$28,0,IF($B112&gt;=INDEX(LE_Curves!$H$5:$H$205,201),INDEX(LE_Curves!$B$5:$B$205,201),INDEX(LE_Curves!$B$5:$B$205,MATCH($B112,LE_Curves!$H$5:$H$205,1))+($B112-INDEX(LE_Curves!$H$5:$H$205,MATCH($B112,LE_Curves!$H$5:$H$205,1)))*(INDEX(LE_Curves!$B$5:$B$205,MATCH($B112,LE_Curves!$H$5:$H$205,1)+1)-INDEX(LE_Curves!$B$5:$B$205,MATCH($B112,LE_Curves!$H$5:$H$205,1)))/(INDEX(LE_Curves!$H$5:$H$205,MATCH($B112,LE_Curves!$H$5:$H$205,1)+1)-INDEX(LE_Curves!$H$5:$H$205,MATCH($B112,LE_Curves!$H$5:$H$205,1))))))</f>
        <v/>
      </c>
      <c r="I112" s="11">
        <f>IF(Inputs!$D$29=0,0,IF($B112&lt;=Inputs!$C$29,0,IF($B112&gt;=INDEX(LE_Curves!$I$5:$I$205,201),INDEX(LE_Curves!$B$5:$B$205,201),INDEX(LE_Curves!$B$5:$B$205,MATCH($B112,LE_Curves!$I$5:$I$205,1))+($B112-INDEX(LE_Curves!$I$5:$I$205,MATCH($B112,LE_Curves!$I$5:$I$205,1)))*(INDEX(LE_Curves!$B$5:$B$205,MATCH($B112,LE_Curves!$I$5:$I$205,1)+1)-INDEX(LE_Curves!$B$5:$B$205,MATCH($B112,LE_Curves!$I$5:$I$205,1)))/(INDEX(LE_Curves!$I$5:$I$205,MATCH($B112,LE_Curves!$I$5:$I$205,1)+1)-INDEX(LE_Curves!$I$5:$I$205,MATCH($B112,LE_Curves!$I$5:$I$205,1))))))</f>
        <v/>
      </c>
      <c r="J112" s="11">
        <f>IF(Inputs!$D$30=0,0,IF($B112&lt;=Inputs!$C$30,0,IF($B112&gt;=INDEX(LE_Curves!$J$5:$J$205,201),INDEX(LE_Curves!$B$5:$B$205,201),INDEX(LE_Curves!$B$5:$B$205,MATCH($B112,LE_Curves!$J$5:$J$205,1))+($B112-INDEX(LE_Curves!$J$5:$J$205,MATCH($B112,LE_Curves!$J$5:$J$205,1)))*(INDEX(LE_Curves!$B$5:$B$205,MATCH($B112,LE_Curves!$J$5:$J$205,1)+1)-INDEX(LE_Curves!$B$5:$B$205,MATCH($B112,LE_Curves!$J$5:$J$205,1)))/(INDEX(LE_Curves!$J$5:$J$205,MATCH($B112,LE_Curves!$J$5:$J$205,1)+1)-INDEX(LE_Curves!$J$5:$J$205,MATCH($B112,LE_Curves!$J$5:$J$205,1))))))</f>
        <v/>
      </c>
      <c r="K112" s="11">
        <f>IF(Inputs!$D$31=0,0,IF($B112&lt;=Inputs!$C$31,0,IF($B112&gt;=INDEX(LE_Curves!$K$5:$K$205,201),INDEX(LE_Curves!$B$5:$B$205,201),INDEX(LE_Curves!$B$5:$B$205,MATCH($B112,LE_Curves!$K$5:$K$205,1))+($B112-INDEX(LE_Curves!$K$5:$K$205,MATCH($B112,LE_Curves!$K$5:$K$205,1)))*(INDEX(LE_Curves!$B$5:$B$205,MATCH($B112,LE_Curves!$K$5:$K$205,1)+1)-INDEX(LE_Curves!$B$5:$B$205,MATCH($B112,LE_Curves!$K$5:$K$205,1)))/(INDEX(LE_Curves!$K$5:$K$205,MATCH($B112,LE_Curves!$K$5:$K$205,1)+1)-INDEX(LE_Curves!$K$5:$K$205,MATCH($B112,LE_Curves!$K$5:$K$205,1))))))</f>
        <v/>
      </c>
      <c r="L112" s="11">
        <f>IF(Inputs!$D$32=0,0,IF($B112&lt;=Inputs!$C$32,0,IF($B112&gt;=INDEX(LE_Curves!$L$5:$L$205,201),INDEX(LE_Curves!$B$5:$B$205,201),INDEX(LE_Curves!$B$5:$B$205,MATCH($B112,LE_Curves!$L$5:$L$205,1))+($B112-INDEX(LE_Curves!$L$5:$L$205,MATCH($B112,LE_Curves!$L$5:$L$205,1)))*(INDEX(LE_Curves!$B$5:$B$205,MATCH($B112,LE_Curves!$L$5:$L$205,1)+1)-INDEX(LE_Curves!$B$5:$B$205,MATCH($B112,LE_Curves!$L$5:$L$205,1)))/(INDEX(LE_Curves!$L$5:$L$205,MATCH($B112,LE_Curves!$L$5:$L$205,1)+1)-INDEX(LE_Curves!$L$5:$L$205,MATCH($B112,LE_Curves!$L$5:$L$205,1))))))</f>
        <v/>
      </c>
      <c r="M112" s="11">
        <f>IF(Inputs!$D$33=0,0,IF($B112&lt;=Inputs!$C$33,0,IF($B112&gt;=INDEX(LE_Curves!$M$5:$M$205,201),INDEX(LE_Curves!$B$5:$B$205,201),INDEX(LE_Curves!$B$5:$B$205,MATCH($B112,LE_Curves!$M$5:$M$205,1))+($B112-INDEX(LE_Curves!$M$5:$M$205,MATCH($B112,LE_Curves!$M$5:$M$205,1)))*(INDEX(LE_Curves!$B$5:$B$205,MATCH($B112,LE_Curves!$M$5:$M$205,1)+1)-INDEX(LE_Curves!$B$5:$B$205,MATCH($B112,LE_Curves!$M$5:$M$205,1)))/(INDEX(LE_Curves!$M$5:$M$205,MATCH($B112,LE_Curves!$M$5:$M$205,1)+1)-INDEX(LE_Curves!$M$5:$M$205,MATCH($B112,LE_Curves!$M$5:$M$205,1))))))</f>
        <v/>
      </c>
      <c r="N112" s="11">
        <f>IF(Inputs!$D$34=0,0,IF($B112&lt;=Inputs!$C$34,0,IF($B112&gt;=INDEX(LE_Curves!$N$5:$N$205,201),INDEX(LE_Curves!$B$5:$B$205,201),INDEX(LE_Curves!$B$5:$B$205,MATCH($B112,LE_Curves!$N$5:$N$205,1))+($B112-INDEX(LE_Curves!$N$5:$N$205,MATCH($B112,LE_Curves!$N$5:$N$205,1)))*(INDEX(LE_Curves!$B$5:$B$205,MATCH($B112,LE_Curves!$N$5:$N$205,1)+1)-INDEX(LE_Curves!$B$5:$B$205,MATCH($B112,LE_Curves!$N$5:$N$205,1)))/(INDEX(LE_Curves!$N$5:$N$205,MATCH($B112,LE_Curves!$N$5:$N$205,1)+1)-INDEX(LE_Curves!$N$5:$N$205,MATCH($B112,LE_Curves!$N$5:$N$205,1))))))</f>
        <v/>
      </c>
      <c r="O112" s="11">
        <f>SUM(C112:N112)</f>
        <v/>
      </c>
      <c r="Q112" s="7" t="n">
        <v>81</v>
      </c>
      <c r="R112" s="23">
        <f>$B$6+($B$7-$B$6)*Q112/200</f>
        <v/>
      </c>
      <c r="S112" s="11">
        <f>IF(Inputs!$D$23=0,0,IF($R112&lt;=Inputs!$C$23,0,IF($R112&gt;=INDEX(LE_Curves!$C$5:$C$205,201),INDEX(LE_Curves!$B$5:$B$205,201),INDEX(LE_Curves!$B$5:$B$205,MATCH($R112,LE_Curves!$C$5:$C$205,1))+($R112-INDEX(LE_Curves!$C$5:$C$205,MATCH($R112,LE_Curves!$C$5:$C$205,1)))*(INDEX(LE_Curves!$B$5:$B$205,MATCH($R112,LE_Curves!$C$5:$C$205,1)+1)-INDEX(LE_Curves!$B$5:$B$205,MATCH($R112,LE_Curves!$C$5:$C$205,1)))/(INDEX(LE_Curves!$C$5:$C$205,MATCH($R112,LE_Curves!$C$5:$C$205,1)+1)-INDEX(LE_Curves!$C$5:$C$205,MATCH($R112,LE_Curves!$C$5:$C$205,1))))))</f>
        <v/>
      </c>
      <c r="T112" s="11">
        <f>IF(Inputs!$D$24=0,0,IF($R112&lt;=Inputs!$C$24,0,IF($R112&gt;=INDEX(LE_Curves!$D$5:$D$205,201),INDEX(LE_Curves!$B$5:$B$205,201),INDEX(LE_Curves!$B$5:$B$205,MATCH($R112,LE_Curves!$D$5:$D$205,1))+($R112-INDEX(LE_Curves!$D$5:$D$205,MATCH($R112,LE_Curves!$D$5:$D$205,1)))*(INDEX(LE_Curves!$B$5:$B$205,MATCH($R112,LE_Curves!$D$5:$D$205,1)+1)-INDEX(LE_Curves!$B$5:$B$205,MATCH($R112,LE_Curves!$D$5:$D$205,1)))/(INDEX(LE_Curves!$D$5:$D$205,MATCH($R112,LE_Curves!$D$5:$D$205,1)+1)-INDEX(LE_Curves!$D$5:$D$205,MATCH($R112,LE_Curves!$D$5:$D$205,1))))))</f>
        <v/>
      </c>
      <c r="U112" s="11">
        <f>IF(Inputs!$D$25=0,0,IF($R112&lt;=Inputs!$C$25,0,IF($R112&gt;=INDEX(LE_Curves!$E$5:$E$205,201),INDEX(LE_Curves!$B$5:$B$205,201),INDEX(LE_Curves!$B$5:$B$205,MATCH($R112,LE_Curves!$E$5:$E$205,1))+($R112-INDEX(LE_Curves!$E$5:$E$205,MATCH($R112,LE_Curves!$E$5:$E$205,1)))*(INDEX(LE_Curves!$B$5:$B$205,MATCH($R112,LE_Curves!$E$5:$E$205,1)+1)-INDEX(LE_Curves!$B$5:$B$205,MATCH($R112,LE_Curves!$E$5:$E$205,1)))/(INDEX(LE_Curves!$E$5:$E$205,MATCH($R112,LE_Curves!$E$5:$E$205,1)+1)-INDEX(LE_Curves!$E$5:$E$205,MATCH($R112,LE_Curves!$E$5:$E$205,1))))))</f>
        <v/>
      </c>
      <c r="V112" s="11">
        <f>IF(Inputs!$D$26=0,0,IF($R112&lt;=Inputs!$C$26,0,IF($R112&gt;=INDEX(LE_Curves!$F$5:$F$205,201),INDEX(LE_Curves!$B$5:$B$205,201),INDEX(LE_Curves!$B$5:$B$205,MATCH($R112,LE_Curves!$F$5:$F$205,1))+($R112-INDEX(LE_Curves!$F$5:$F$205,MATCH($R112,LE_Curves!$F$5:$F$205,1)))*(INDEX(LE_Curves!$B$5:$B$205,MATCH($R112,LE_Curves!$F$5:$F$205,1)+1)-INDEX(LE_Curves!$B$5:$B$205,MATCH($R112,LE_Curves!$F$5:$F$205,1)))/(INDEX(LE_Curves!$F$5:$F$205,MATCH($R112,LE_Curves!$F$5:$F$205,1)+1)-INDEX(LE_Curves!$F$5:$F$205,MATCH($R112,LE_Curves!$F$5:$F$205,1))))))</f>
        <v/>
      </c>
      <c r="W112" s="11">
        <f>IF(Inputs!$D$27=0,0,IF($R112&lt;=Inputs!$C$27,0,IF($R112&gt;=INDEX(LE_Curves!$G$5:$G$205,201),INDEX(LE_Curves!$B$5:$B$205,201),INDEX(LE_Curves!$B$5:$B$205,MATCH($R112,LE_Curves!$G$5:$G$205,1))+($R112-INDEX(LE_Curves!$G$5:$G$205,MATCH($R112,LE_Curves!$G$5:$G$205,1)))*(INDEX(LE_Curves!$B$5:$B$205,MATCH($R112,LE_Curves!$G$5:$G$205,1)+1)-INDEX(LE_Curves!$B$5:$B$205,MATCH($R112,LE_Curves!$G$5:$G$205,1)))/(INDEX(LE_Curves!$G$5:$G$205,MATCH($R112,LE_Curves!$G$5:$G$205,1)+1)-INDEX(LE_Curves!$G$5:$G$205,MATCH($R112,LE_Curves!$G$5:$G$205,1))))))</f>
        <v/>
      </c>
      <c r="X112" s="11">
        <f>IF(Inputs!$D$28=0,0,IF($R112&lt;=Inputs!$C$28,0,IF($R112&gt;=INDEX(LE_Curves!$H$5:$H$205,201),INDEX(LE_Curves!$B$5:$B$205,201),INDEX(LE_Curves!$B$5:$B$205,MATCH($R112,LE_Curves!$H$5:$H$205,1))+($R112-INDEX(LE_Curves!$H$5:$H$205,MATCH($R112,LE_Curves!$H$5:$H$205,1)))*(INDEX(LE_Curves!$B$5:$B$205,MATCH($R112,LE_Curves!$H$5:$H$205,1)+1)-INDEX(LE_Curves!$B$5:$B$205,MATCH($R112,LE_Curves!$H$5:$H$205,1)))/(INDEX(LE_Curves!$H$5:$H$205,MATCH($R112,LE_Curves!$H$5:$H$205,1)+1)-INDEX(LE_Curves!$H$5:$H$205,MATCH($R112,LE_Curves!$H$5:$H$205,1))))))</f>
        <v/>
      </c>
      <c r="Y112" s="11">
        <f>IF(Inputs!$D$29=0,0,IF($R112&lt;=Inputs!$C$29,0,IF($R112&gt;=INDEX(LE_Curves!$I$5:$I$205,201),INDEX(LE_Curves!$B$5:$B$205,201),INDEX(LE_Curves!$B$5:$B$205,MATCH($R112,LE_Curves!$I$5:$I$205,1))+($R112-INDEX(LE_Curves!$I$5:$I$205,MATCH($R112,LE_Curves!$I$5:$I$205,1)))*(INDEX(LE_Curves!$B$5:$B$205,MATCH($R112,LE_Curves!$I$5:$I$205,1)+1)-INDEX(LE_Curves!$B$5:$B$205,MATCH($R112,LE_Curves!$I$5:$I$205,1)))/(INDEX(LE_Curves!$I$5:$I$205,MATCH($R112,LE_Curves!$I$5:$I$205,1)+1)-INDEX(LE_Curves!$I$5:$I$205,MATCH($R112,LE_Curves!$I$5:$I$205,1))))))</f>
        <v/>
      </c>
      <c r="Z112" s="11">
        <f>IF(Inputs!$D$30=0,0,IF($R112&lt;=Inputs!$C$30,0,IF($R112&gt;=INDEX(LE_Curves!$J$5:$J$205,201),INDEX(LE_Curves!$B$5:$B$205,201),INDEX(LE_Curves!$B$5:$B$205,MATCH($R112,LE_Curves!$J$5:$J$205,1))+($R112-INDEX(LE_Curves!$J$5:$J$205,MATCH($R112,LE_Curves!$J$5:$J$205,1)))*(INDEX(LE_Curves!$B$5:$B$205,MATCH($R112,LE_Curves!$J$5:$J$205,1)+1)-INDEX(LE_Curves!$B$5:$B$205,MATCH($R112,LE_Curves!$J$5:$J$205,1)))/(INDEX(LE_Curves!$J$5:$J$205,MATCH($R112,LE_Curves!$J$5:$J$205,1)+1)-INDEX(LE_Curves!$J$5:$J$205,MATCH($R112,LE_Curves!$J$5:$J$205,1))))))</f>
        <v/>
      </c>
      <c r="AA112" s="11">
        <f>IF(Inputs!$D$31=0,0,IF($R112&lt;=Inputs!$C$31,0,IF($R112&gt;=INDEX(LE_Curves!$K$5:$K$205,201),INDEX(LE_Curves!$B$5:$B$205,201),INDEX(LE_Curves!$B$5:$B$205,MATCH($R112,LE_Curves!$K$5:$K$205,1))+($R112-INDEX(LE_Curves!$K$5:$K$205,MATCH($R112,LE_Curves!$K$5:$K$205,1)))*(INDEX(LE_Curves!$B$5:$B$205,MATCH($R112,LE_Curves!$K$5:$K$205,1)+1)-INDEX(LE_Curves!$B$5:$B$205,MATCH($R112,LE_Curves!$K$5:$K$205,1)))/(INDEX(LE_Curves!$K$5:$K$205,MATCH($R112,LE_Curves!$K$5:$K$205,1)+1)-INDEX(LE_Curves!$K$5:$K$205,MATCH($R112,LE_Curves!$K$5:$K$205,1))))))</f>
        <v/>
      </c>
      <c r="AB112" s="11">
        <f>IF(Inputs!$D$32=0,0,IF($R112&lt;=Inputs!$C$32,0,IF($R112&gt;=INDEX(LE_Curves!$L$5:$L$205,201),INDEX(LE_Curves!$B$5:$B$205,201),INDEX(LE_Curves!$B$5:$B$205,MATCH($R112,LE_Curves!$L$5:$L$205,1))+($R112-INDEX(LE_Curves!$L$5:$L$205,MATCH($R112,LE_Curves!$L$5:$L$205,1)))*(INDEX(LE_Curves!$B$5:$B$205,MATCH($R112,LE_Curves!$L$5:$L$205,1)+1)-INDEX(LE_Curves!$B$5:$B$205,MATCH($R112,LE_Curves!$L$5:$L$205,1)))/(INDEX(LE_Curves!$L$5:$L$205,MATCH($R112,LE_Curves!$L$5:$L$205,1)+1)-INDEX(LE_Curves!$L$5:$L$205,MATCH($R112,LE_Curves!$L$5:$L$205,1))))))</f>
        <v/>
      </c>
      <c r="AC112" s="11">
        <f>IF(Inputs!$D$33=0,0,IF($R112&lt;=Inputs!$C$33,0,IF($R112&gt;=INDEX(LE_Curves!$M$5:$M$205,201),INDEX(LE_Curves!$B$5:$B$205,201),INDEX(LE_Curves!$B$5:$B$205,MATCH($R112,LE_Curves!$M$5:$M$205,1))+($R112-INDEX(LE_Curves!$M$5:$M$205,MATCH($R112,LE_Curves!$M$5:$M$205,1)))*(INDEX(LE_Curves!$B$5:$B$205,MATCH($R112,LE_Curves!$M$5:$M$205,1)+1)-INDEX(LE_Curves!$B$5:$B$205,MATCH($R112,LE_Curves!$M$5:$M$205,1)))/(INDEX(LE_Curves!$M$5:$M$205,MATCH($R112,LE_Curves!$M$5:$M$205,1)+1)-INDEX(LE_Curves!$M$5:$M$205,MATCH($R112,LE_Curves!$M$5:$M$205,1))))))</f>
        <v/>
      </c>
      <c r="AD112" s="11">
        <f>IF(Inputs!$D$34=0,0,IF($R112&lt;=Inputs!$C$34,0,IF($R112&gt;=INDEX(LE_Curves!$N$5:$N$205,201),INDEX(LE_Curves!$B$5:$B$205,201),INDEX(LE_Curves!$B$5:$B$205,MATCH($R112,LE_Curves!$N$5:$N$205,1))+($R112-INDEX(LE_Curves!$N$5:$N$205,MATCH($R112,LE_Curves!$N$5:$N$205,1)))*(INDEX(LE_Curves!$B$5:$B$205,MATCH($R112,LE_Curves!$N$5:$N$205,1)+1)-INDEX(LE_Curves!$B$5:$B$205,MATCH($R112,LE_Curves!$N$5:$N$205,1)))/(INDEX(LE_Curves!$N$5:$N$205,MATCH($R112,LE_Curves!$N$5:$N$205,1)+1)-INDEX(LE_Curves!$N$5:$N$205,MATCH($R112,LE_Curves!$N$5:$N$205,1))))))</f>
        <v/>
      </c>
      <c r="AE112" s="37">
        <f>SUM(S112:AD112)</f>
        <v/>
      </c>
    </row>
    <row r="113">
      <c r="A113" s="7" t="n">
        <v>82</v>
      </c>
      <c r="B113" s="37">
        <f>$B$3+($B$4-$B$3)*A113/200</f>
        <v/>
      </c>
      <c r="C113" s="11">
        <f>IF(Inputs!$D$23=0,0,IF($B113&lt;=Inputs!$C$23,0,IF($B113&gt;=INDEX(LE_Curves!$C$5:$C$205,201),INDEX(LE_Curves!$B$5:$B$205,201),INDEX(LE_Curves!$B$5:$B$205,MATCH($B113,LE_Curves!$C$5:$C$205,1))+($B113-INDEX(LE_Curves!$C$5:$C$205,MATCH($B113,LE_Curves!$C$5:$C$205,1)))*(INDEX(LE_Curves!$B$5:$B$205,MATCH($B113,LE_Curves!$C$5:$C$205,1)+1)-INDEX(LE_Curves!$B$5:$B$205,MATCH($B113,LE_Curves!$C$5:$C$205,1)))/(INDEX(LE_Curves!$C$5:$C$205,MATCH($B113,LE_Curves!$C$5:$C$205,1)+1)-INDEX(LE_Curves!$C$5:$C$205,MATCH($B113,LE_Curves!$C$5:$C$205,1))))))</f>
        <v/>
      </c>
      <c r="D113" s="11">
        <f>IF(Inputs!$D$24=0,0,IF($B113&lt;=Inputs!$C$24,0,IF($B113&gt;=INDEX(LE_Curves!$D$5:$D$205,201),INDEX(LE_Curves!$B$5:$B$205,201),INDEX(LE_Curves!$B$5:$B$205,MATCH($B113,LE_Curves!$D$5:$D$205,1))+($B113-INDEX(LE_Curves!$D$5:$D$205,MATCH($B113,LE_Curves!$D$5:$D$205,1)))*(INDEX(LE_Curves!$B$5:$B$205,MATCH($B113,LE_Curves!$D$5:$D$205,1)+1)-INDEX(LE_Curves!$B$5:$B$205,MATCH($B113,LE_Curves!$D$5:$D$205,1)))/(INDEX(LE_Curves!$D$5:$D$205,MATCH($B113,LE_Curves!$D$5:$D$205,1)+1)-INDEX(LE_Curves!$D$5:$D$205,MATCH($B113,LE_Curves!$D$5:$D$205,1))))))</f>
        <v/>
      </c>
      <c r="E113" s="11">
        <f>IF(Inputs!$D$25=0,0,IF($B113&lt;=Inputs!$C$25,0,IF($B113&gt;=INDEX(LE_Curves!$E$5:$E$205,201),INDEX(LE_Curves!$B$5:$B$205,201),INDEX(LE_Curves!$B$5:$B$205,MATCH($B113,LE_Curves!$E$5:$E$205,1))+($B113-INDEX(LE_Curves!$E$5:$E$205,MATCH($B113,LE_Curves!$E$5:$E$205,1)))*(INDEX(LE_Curves!$B$5:$B$205,MATCH($B113,LE_Curves!$E$5:$E$205,1)+1)-INDEX(LE_Curves!$B$5:$B$205,MATCH($B113,LE_Curves!$E$5:$E$205,1)))/(INDEX(LE_Curves!$E$5:$E$205,MATCH($B113,LE_Curves!$E$5:$E$205,1)+1)-INDEX(LE_Curves!$E$5:$E$205,MATCH($B113,LE_Curves!$E$5:$E$205,1))))))</f>
        <v/>
      </c>
      <c r="F113" s="11">
        <f>IF(Inputs!$D$26=0,0,IF($B113&lt;=Inputs!$C$26,0,IF($B113&gt;=INDEX(LE_Curves!$F$5:$F$205,201),INDEX(LE_Curves!$B$5:$B$205,201),INDEX(LE_Curves!$B$5:$B$205,MATCH($B113,LE_Curves!$F$5:$F$205,1))+($B113-INDEX(LE_Curves!$F$5:$F$205,MATCH($B113,LE_Curves!$F$5:$F$205,1)))*(INDEX(LE_Curves!$B$5:$B$205,MATCH($B113,LE_Curves!$F$5:$F$205,1)+1)-INDEX(LE_Curves!$B$5:$B$205,MATCH($B113,LE_Curves!$F$5:$F$205,1)))/(INDEX(LE_Curves!$F$5:$F$205,MATCH($B113,LE_Curves!$F$5:$F$205,1)+1)-INDEX(LE_Curves!$F$5:$F$205,MATCH($B113,LE_Curves!$F$5:$F$205,1))))))</f>
        <v/>
      </c>
      <c r="G113" s="11">
        <f>IF(Inputs!$D$27=0,0,IF($B113&lt;=Inputs!$C$27,0,IF($B113&gt;=INDEX(LE_Curves!$G$5:$G$205,201),INDEX(LE_Curves!$B$5:$B$205,201),INDEX(LE_Curves!$B$5:$B$205,MATCH($B113,LE_Curves!$G$5:$G$205,1))+($B113-INDEX(LE_Curves!$G$5:$G$205,MATCH($B113,LE_Curves!$G$5:$G$205,1)))*(INDEX(LE_Curves!$B$5:$B$205,MATCH($B113,LE_Curves!$G$5:$G$205,1)+1)-INDEX(LE_Curves!$B$5:$B$205,MATCH($B113,LE_Curves!$G$5:$G$205,1)))/(INDEX(LE_Curves!$G$5:$G$205,MATCH($B113,LE_Curves!$G$5:$G$205,1)+1)-INDEX(LE_Curves!$G$5:$G$205,MATCH($B113,LE_Curves!$G$5:$G$205,1))))))</f>
        <v/>
      </c>
      <c r="H113" s="11">
        <f>IF(Inputs!$D$28=0,0,IF($B113&lt;=Inputs!$C$28,0,IF($B113&gt;=INDEX(LE_Curves!$H$5:$H$205,201),INDEX(LE_Curves!$B$5:$B$205,201),INDEX(LE_Curves!$B$5:$B$205,MATCH($B113,LE_Curves!$H$5:$H$205,1))+($B113-INDEX(LE_Curves!$H$5:$H$205,MATCH($B113,LE_Curves!$H$5:$H$205,1)))*(INDEX(LE_Curves!$B$5:$B$205,MATCH($B113,LE_Curves!$H$5:$H$205,1)+1)-INDEX(LE_Curves!$B$5:$B$205,MATCH($B113,LE_Curves!$H$5:$H$205,1)))/(INDEX(LE_Curves!$H$5:$H$205,MATCH($B113,LE_Curves!$H$5:$H$205,1)+1)-INDEX(LE_Curves!$H$5:$H$205,MATCH($B113,LE_Curves!$H$5:$H$205,1))))))</f>
        <v/>
      </c>
      <c r="I113" s="11">
        <f>IF(Inputs!$D$29=0,0,IF($B113&lt;=Inputs!$C$29,0,IF($B113&gt;=INDEX(LE_Curves!$I$5:$I$205,201),INDEX(LE_Curves!$B$5:$B$205,201),INDEX(LE_Curves!$B$5:$B$205,MATCH($B113,LE_Curves!$I$5:$I$205,1))+($B113-INDEX(LE_Curves!$I$5:$I$205,MATCH($B113,LE_Curves!$I$5:$I$205,1)))*(INDEX(LE_Curves!$B$5:$B$205,MATCH($B113,LE_Curves!$I$5:$I$205,1)+1)-INDEX(LE_Curves!$B$5:$B$205,MATCH($B113,LE_Curves!$I$5:$I$205,1)))/(INDEX(LE_Curves!$I$5:$I$205,MATCH($B113,LE_Curves!$I$5:$I$205,1)+1)-INDEX(LE_Curves!$I$5:$I$205,MATCH($B113,LE_Curves!$I$5:$I$205,1))))))</f>
        <v/>
      </c>
      <c r="J113" s="11">
        <f>IF(Inputs!$D$30=0,0,IF($B113&lt;=Inputs!$C$30,0,IF($B113&gt;=INDEX(LE_Curves!$J$5:$J$205,201),INDEX(LE_Curves!$B$5:$B$205,201),INDEX(LE_Curves!$B$5:$B$205,MATCH($B113,LE_Curves!$J$5:$J$205,1))+($B113-INDEX(LE_Curves!$J$5:$J$205,MATCH($B113,LE_Curves!$J$5:$J$205,1)))*(INDEX(LE_Curves!$B$5:$B$205,MATCH($B113,LE_Curves!$J$5:$J$205,1)+1)-INDEX(LE_Curves!$B$5:$B$205,MATCH($B113,LE_Curves!$J$5:$J$205,1)))/(INDEX(LE_Curves!$J$5:$J$205,MATCH($B113,LE_Curves!$J$5:$J$205,1)+1)-INDEX(LE_Curves!$J$5:$J$205,MATCH($B113,LE_Curves!$J$5:$J$205,1))))))</f>
        <v/>
      </c>
      <c r="K113" s="11">
        <f>IF(Inputs!$D$31=0,0,IF($B113&lt;=Inputs!$C$31,0,IF($B113&gt;=INDEX(LE_Curves!$K$5:$K$205,201),INDEX(LE_Curves!$B$5:$B$205,201),INDEX(LE_Curves!$B$5:$B$205,MATCH($B113,LE_Curves!$K$5:$K$205,1))+($B113-INDEX(LE_Curves!$K$5:$K$205,MATCH($B113,LE_Curves!$K$5:$K$205,1)))*(INDEX(LE_Curves!$B$5:$B$205,MATCH($B113,LE_Curves!$K$5:$K$205,1)+1)-INDEX(LE_Curves!$B$5:$B$205,MATCH($B113,LE_Curves!$K$5:$K$205,1)))/(INDEX(LE_Curves!$K$5:$K$205,MATCH($B113,LE_Curves!$K$5:$K$205,1)+1)-INDEX(LE_Curves!$K$5:$K$205,MATCH($B113,LE_Curves!$K$5:$K$205,1))))))</f>
        <v/>
      </c>
      <c r="L113" s="11">
        <f>IF(Inputs!$D$32=0,0,IF($B113&lt;=Inputs!$C$32,0,IF($B113&gt;=INDEX(LE_Curves!$L$5:$L$205,201),INDEX(LE_Curves!$B$5:$B$205,201),INDEX(LE_Curves!$B$5:$B$205,MATCH($B113,LE_Curves!$L$5:$L$205,1))+($B113-INDEX(LE_Curves!$L$5:$L$205,MATCH($B113,LE_Curves!$L$5:$L$205,1)))*(INDEX(LE_Curves!$B$5:$B$205,MATCH($B113,LE_Curves!$L$5:$L$205,1)+1)-INDEX(LE_Curves!$B$5:$B$205,MATCH($B113,LE_Curves!$L$5:$L$205,1)))/(INDEX(LE_Curves!$L$5:$L$205,MATCH($B113,LE_Curves!$L$5:$L$205,1)+1)-INDEX(LE_Curves!$L$5:$L$205,MATCH($B113,LE_Curves!$L$5:$L$205,1))))))</f>
        <v/>
      </c>
      <c r="M113" s="11">
        <f>IF(Inputs!$D$33=0,0,IF($B113&lt;=Inputs!$C$33,0,IF($B113&gt;=INDEX(LE_Curves!$M$5:$M$205,201),INDEX(LE_Curves!$B$5:$B$205,201),INDEX(LE_Curves!$B$5:$B$205,MATCH($B113,LE_Curves!$M$5:$M$205,1))+($B113-INDEX(LE_Curves!$M$5:$M$205,MATCH($B113,LE_Curves!$M$5:$M$205,1)))*(INDEX(LE_Curves!$B$5:$B$205,MATCH($B113,LE_Curves!$M$5:$M$205,1)+1)-INDEX(LE_Curves!$B$5:$B$205,MATCH($B113,LE_Curves!$M$5:$M$205,1)))/(INDEX(LE_Curves!$M$5:$M$205,MATCH($B113,LE_Curves!$M$5:$M$205,1)+1)-INDEX(LE_Curves!$M$5:$M$205,MATCH($B113,LE_Curves!$M$5:$M$205,1))))))</f>
        <v/>
      </c>
      <c r="N113" s="11">
        <f>IF(Inputs!$D$34=0,0,IF($B113&lt;=Inputs!$C$34,0,IF($B113&gt;=INDEX(LE_Curves!$N$5:$N$205,201),INDEX(LE_Curves!$B$5:$B$205,201),INDEX(LE_Curves!$B$5:$B$205,MATCH($B113,LE_Curves!$N$5:$N$205,1))+($B113-INDEX(LE_Curves!$N$5:$N$205,MATCH($B113,LE_Curves!$N$5:$N$205,1)))*(INDEX(LE_Curves!$B$5:$B$205,MATCH($B113,LE_Curves!$N$5:$N$205,1)+1)-INDEX(LE_Curves!$B$5:$B$205,MATCH($B113,LE_Curves!$N$5:$N$205,1)))/(INDEX(LE_Curves!$N$5:$N$205,MATCH($B113,LE_Curves!$N$5:$N$205,1)+1)-INDEX(LE_Curves!$N$5:$N$205,MATCH($B113,LE_Curves!$N$5:$N$205,1))))))</f>
        <v/>
      </c>
      <c r="O113" s="11">
        <f>SUM(C113:N113)</f>
        <v/>
      </c>
      <c r="Q113" s="7" t="n">
        <v>82</v>
      </c>
      <c r="R113" s="23">
        <f>$B$6+($B$7-$B$6)*Q113/200</f>
        <v/>
      </c>
      <c r="S113" s="11">
        <f>IF(Inputs!$D$23=0,0,IF($R113&lt;=Inputs!$C$23,0,IF($R113&gt;=INDEX(LE_Curves!$C$5:$C$205,201),INDEX(LE_Curves!$B$5:$B$205,201),INDEX(LE_Curves!$B$5:$B$205,MATCH($R113,LE_Curves!$C$5:$C$205,1))+($R113-INDEX(LE_Curves!$C$5:$C$205,MATCH($R113,LE_Curves!$C$5:$C$205,1)))*(INDEX(LE_Curves!$B$5:$B$205,MATCH($R113,LE_Curves!$C$5:$C$205,1)+1)-INDEX(LE_Curves!$B$5:$B$205,MATCH($R113,LE_Curves!$C$5:$C$205,1)))/(INDEX(LE_Curves!$C$5:$C$205,MATCH($R113,LE_Curves!$C$5:$C$205,1)+1)-INDEX(LE_Curves!$C$5:$C$205,MATCH($R113,LE_Curves!$C$5:$C$205,1))))))</f>
        <v/>
      </c>
      <c r="T113" s="11">
        <f>IF(Inputs!$D$24=0,0,IF($R113&lt;=Inputs!$C$24,0,IF($R113&gt;=INDEX(LE_Curves!$D$5:$D$205,201),INDEX(LE_Curves!$B$5:$B$205,201),INDEX(LE_Curves!$B$5:$B$205,MATCH($R113,LE_Curves!$D$5:$D$205,1))+($R113-INDEX(LE_Curves!$D$5:$D$205,MATCH($R113,LE_Curves!$D$5:$D$205,1)))*(INDEX(LE_Curves!$B$5:$B$205,MATCH($R113,LE_Curves!$D$5:$D$205,1)+1)-INDEX(LE_Curves!$B$5:$B$205,MATCH($R113,LE_Curves!$D$5:$D$205,1)))/(INDEX(LE_Curves!$D$5:$D$205,MATCH($R113,LE_Curves!$D$5:$D$205,1)+1)-INDEX(LE_Curves!$D$5:$D$205,MATCH($R113,LE_Curves!$D$5:$D$205,1))))))</f>
        <v/>
      </c>
      <c r="U113" s="11">
        <f>IF(Inputs!$D$25=0,0,IF($R113&lt;=Inputs!$C$25,0,IF($R113&gt;=INDEX(LE_Curves!$E$5:$E$205,201),INDEX(LE_Curves!$B$5:$B$205,201),INDEX(LE_Curves!$B$5:$B$205,MATCH($R113,LE_Curves!$E$5:$E$205,1))+($R113-INDEX(LE_Curves!$E$5:$E$205,MATCH($R113,LE_Curves!$E$5:$E$205,1)))*(INDEX(LE_Curves!$B$5:$B$205,MATCH($R113,LE_Curves!$E$5:$E$205,1)+1)-INDEX(LE_Curves!$B$5:$B$205,MATCH($R113,LE_Curves!$E$5:$E$205,1)))/(INDEX(LE_Curves!$E$5:$E$205,MATCH($R113,LE_Curves!$E$5:$E$205,1)+1)-INDEX(LE_Curves!$E$5:$E$205,MATCH($R113,LE_Curves!$E$5:$E$205,1))))))</f>
        <v/>
      </c>
      <c r="V113" s="11">
        <f>IF(Inputs!$D$26=0,0,IF($R113&lt;=Inputs!$C$26,0,IF($R113&gt;=INDEX(LE_Curves!$F$5:$F$205,201),INDEX(LE_Curves!$B$5:$B$205,201),INDEX(LE_Curves!$B$5:$B$205,MATCH($R113,LE_Curves!$F$5:$F$205,1))+($R113-INDEX(LE_Curves!$F$5:$F$205,MATCH($R113,LE_Curves!$F$5:$F$205,1)))*(INDEX(LE_Curves!$B$5:$B$205,MATCH($R113,LE_Curves!$F$5:$F$205,1)+1)-INDEX(LE_Curves!$B$5:$B$205,MATCH($R113,LE_Curves!$F$5:$F$205,1)))/(INDEX(LE_Curves!$F$5:$F$205,MATCH($R113,LE_Curves!$F$5:$F$205,1)+1)-INDEX(LE_Curves!$F$5:$F$205,MATCH($R113,LE_Curves!$F$5:$F$205,1))))))</f>
        <v/>
      </c>
      <c r="W113" s="11">
        <f>IF(Inputs!$D$27=0,0,IF($R113&lt;=Inputs!$C$27,0,IF($R113&gt;=INDEX(LE_Curves!$G$5:$G$205,201),INDEX(LE_Curves!$B$5:$B$205,201),INDEX(LE_Curves!$B$5:$B$205,MATCH($R113,LE_Curves!$G$5:$G$205,1))+($R113-INDEX(LE_Curves!$G$5:$G$205,MATCH($R113,LE_Curves!$G$5:$G$205,1)))*(INDEX(LE_Curves!$B$5:$B$205,MATCH($R113,LE_Curves!$G$5:$G$205,1)+1)-INDEX(LE_Curves!$B$5:$B$205,MATCH($R113,LE_Curves!$G$5:$G$205,1)))/(INDEX(LE_Curves!$G$5:$G$205,MATCH($R113,LE_Curves!$G$5:$G$205,1)+1)-INDEX(LE_Curves!$G$5:$G$205,MATCH($R113,LE_Curves!$G$5:$G$205,1))))))</f>
        <v/>
      </c>
      <c r="X113" s="11">
        <f>IF(Inputs!$D$28=0,0,IF($R113&lt;=Inputs!$C$28,0,IF($R113&gt;=INDEX(LE_Curves!$H$5:$H$205,201),INDEX(LE_Curves!$B$5:$B$205,201),INDEX(LE_Curves!$B$5:$B$205,MATCH($R113,LE_Curves!$H$5:$H$205,1))+($R113-INDEX(LE_Curves!$H$5:$H$205,MATCH($R113,LE_Curves!$H$5:$H$205,1)))*(INDEX(LE_Curves!$B$5:$B$205,MATCH($R113,LE_Curves!$H$5:$H$205,1)+1)-INDEX(LE_Curves!$B$5:$B$205,MATCH($R113,LE_Curves!$H$5:$H$205,1)))/(INDEX(LE_Curves!$H$5:$H$205,MATCH($R113,LE_Curves!$H$5:$H$205,1)+1)-INDEX(LE_Curves!$H$5:$H$205,MATCH($R113,LE_Curves!$H$5:$H$205,1))))))</f>
        <v/>
      </c>
      <c r="Y113" s="11">
        <f>IF(Inputs!$D$29=0,0,IF($R113&lt;=Inputs!$C$29,0,IF($R113&gt;=INDEX(LE_Curves!$I$5:$I$205,201),INDEX(LE_Curves!$B$5:$B$205,201),INDEX(LE_Curves!$B$5:$B$205,MATCH($R113,LE_Curves!$I$5:$I$205,1))+($R113-INDEX(LE_Curves!$I$5:$I$205,MATCH($R113,LE_Curves!$I$5:$I$205,1)))*(INDEX(LE_Curves!$B$5:$B$205,MATCH($R113,LE_Curves!$I$5:$I$205,1)+1)-INDEX(LE_Curves!$B$5:$B$205,MATCH($R113,LE_Curves!$I$5:$I$205,1)))/(INDEX(LE_Curves!$I$5:$I$205,MATCH($R113,LE_Curves!$I$5:$I$205,1)+1)-INDEX(LE_Curves!$I$5:$I$205,MATCH($R113,LE_Curves!$I$5:$I$205,1))))))</f>
        <v/>
      </c>
      <c r="Z113" s="11">
        <f>IF(Inputs!$D$30=0,0,IF($R113&lt;=Inputs!$C$30,0,IF($R113&gt;=INDEX(LE_Curves!$J$5:$J$205,201),INDEX(LE_Curves!$B$5:$B$205,201),INDEX(LE_Curves!$B$5:$B$205,MATCH($R113,LE_Curves!$J$5:$J$205,1))+($R113-INDEX(LE_Curves!$J$5:$J$205,MATCH($R113,LE_Curves!$J$5:$J$205,1)))*(INDEX(LE_Curves!$B$5:$B$205,MATCH($R113,LE_Curves!$J$5:$J$205,1)+1)-INDEX(LE_Curves!$B$5:$B$205,MATCH($R113,LE_Curves!$J$5:$J$205,1)))/(INDEX(LE_Curves!$J$5:$J$205,MATCH($R113,LE_Curves!$J$5:$J$205,1)+1)-INDEX(LE_Curves!$J$5:$J$205,MATCH($R113,LE_Curves!$J$5:$J$205,1))))))</f>
        <v/>
      </c>
      <c r="AA113" s="11">
        <f>IF(Inputs!$D$31=0,0,IF($R113&lt;=Inputs!$C$31,0,IF($R113&gt;=INDEX(LE_Curves!$K$5:$K$205,201),INDEX(LE_Curves!$B$5:$B$205,201),INDEX(LE_Curves!$B$5:$B$205,MATCH($R113,LE_Curves!$K$5:$K$205,1))+($R113-INDEX(LE_Curves!$K$5:$K$205,MATCH($R113,LE_Curves!$K$5:$K$205,1)))*(INDEX(LE_Curves!$B$5:$B$205,MATCH($R113,LE_Curves!$K$5:$K$205,1)+1)-INDEX(LE_Curves!$B$5:$B$205,MATCH($R113,LE_Curves!$K$5:$K$205,1)))/(INDEX(LE_Curves!$K$5:$K$205,MATCH($R113,LE_Curves!$K$5:$K$205,1)+1)-INDEX(LE_Curves!$K$5:$K$205,MATCH($R113,LE_Curves!$K$5:$K$205,1))))))</f>
        <v/>
      </c>
      <c r="AB113" s="11">
        <f>IF(Inputs!$D$32=0,0,IF($R113&lt;=Inputs!$C$32,0,IF($R113&gt;=INDEX(LE_Curves!$L$5:$L$205,201),INDEX(LE_Curves!$B$5:$B$205,201),INDEX(LE_Curves!$B$5:$B$205,MATCH($R113,LE_Curves!$L$5:$L$205,1))+($R113-INDEX(LE_Curves!$L$5:$L$205,MATCH($R113,LE_Curves!$L$5:$L$205,1)))*(INDEX(LE_Curves!$B$5:$B$205,MATCH($R113,LE_Curves!$L$5:$L$205,1)+1)-INDEX(LE_Curves!$B$5:$B$205,MATCH($R113,LE_Curves!$L$5:$L$205,1)))/(INDEX(LE_Curves!$L$5:$L$205,MATCH($R113,LE_Curves!$L$5:$L$205,1)+1)-INDEX(LE_Curves!$L$5:$L$205,MATCH($R113,LE_Curves!$L$5:$L$205,1))))))</f>
        <v/>
      </c>
      <c r="AC113" s="11">
        <f>IF(Inputs!$D$33=0,0,IF($R113&lt;=Inputs!$C$33,0,IF($R113&gt;=INDEX(LE_Curves!$M$5:$M$205,201),INDEX(LE_Curves!$B$5:$B$205,201),INDEX(LE_Curves!$B$5:$B$205,MATCH($R113,LE_Curves!$M$5:$M$205,1))+($R113-INDEX(LE_Curves!$M$5:$M$205,MATCH($R113,LE_Curves!$M$5:$M$205,1)))*(INDEX(LE_Curves!$B$5:$B$205,MATCH($R113,LE_Curves!$M$5:$M$205,1)+1)-INDEX(LE_Curves!$B$5:$B$205,MATCH($R113,LE_Curves!$M$5:$M$205,1)))/(INDEX(LE_Curves!$M$5:$M$205,MATCH($R113,LE_Curves!$M$5:$M$205,1)+1)-INDEX(LE_Curves!$M$5:$M$205,MATCH($R113,LE_Curves!$M$5:$M$205,1))))))</f>
        <v/>
      </c>
      <c r="AD113" s="11">
        <f>IF(Inputs!$D$34=0,0,IF($R113&lt;=Inputs!$C$34,0,IF($R113&gt;=INDEX(LE_Curves!$N$5:$N$205,201),INDEX(LE_Curves!$B$5:$B$205,201),INDEX(LE_Curves!$B$5:$B$205,MATCH($R113,LE_Curves!$N$5:$N$205,1))+($R113-INDEX(LE_Curves!$N$5:$N$205,MATCH($R113,LE_Curves!$N$5:$N$205,1)))*(INDEX(LE_Curves!$B$5:$B$205,MATCH($R113,LE_Curves!$N$5:$N$205,1)+1)-INDEX(LE_Curves!$B$5:$B$205,MATCH($R113,LE_Curves!$N$5:$N$205,1)))/(INDEX(LE_Curves!$N$5:$N$205,MATCH($R113,LE_Curves!$N$5:$N$205,1)+1)-INDEX(LE_Curves!$N$5:$N$205,MATCH($R113,LE_Curves!$N$5:$N$205,1))))))</f>
        <v/>
      </c>
      <c r="AE113" s="37">
        <f>SUM(S113:AD113)</f>
        <v/>
      </c>
    </row>
    <row r="114">
      <c r="A114" s="7" t="n">
        <v>83</v>
      </c>
      <c r="B114" s="37">
        <f>$B$3+($B$4-$B$3)*A114/200</f>
        <v/>
      </c>
      <c r="C114" s="11">
        <f>IF(Inputs!$D$23=0,0,IF($B114&lt;=Inputs!$C$23,0,IF($B114&gt;=INDEX(LE_Curves!$C$5:$C$205,201),INDEX(LE_Curves!$B$5:$B$205,201),INDEX(LE_Curves!$B$5:$B$205,MATCH($B114,LE_Curves!$C$5:$C$205,1))+($B114-INDEX(LE_Curves!$C$5:$C$205,MATCH($B114,LE_Curves!$C$5:$C$205,1)))*(INDEX(LE_Curves!$B$5:$B$205,MATCH($B114,LE_Curves!$C$5:$C$205,1)+1)-INDEX(LE_Curves!$B$5:$B$205,MATCH($B114,LE_Curves!$C$5:$C$205,1)))/(INDEX(LE_Curves!$C$5:$C$205,MATCH($B114,LE_Curves!$C$5:$C$205,1)+1)-INDEX(LE_Curves!$C$5:$C$205,MATCH($B114,LE_Curves!$C$5:$C$205,1))))))</f>
        <v/>
      </c>
      <c r="D114" s="11">
        <f>IF(Inputs!$D$24=0,0,IF($B114&lt;=Inputs!$C$24,0,IF($B114&gt;=INDEX(LE_Curves!$D$5:$D$205,201),INDEX(LE_Curves!$B$5:$B$205,201),INDEX(LE_Curves!$B$5:$B$205,MATCH($B114,LE_Curves!$D$5:$D$205,1))+($B114-INDEX(LE_Curves!$D$5:$D$205,MATCH($B114,LE_Curves!$D$5:$D$205,1)))*(INDEX(LE_Curves!$B$5:$B$205,MATCH($B114,LE_Curves!$D$5:$D$205,1)+1)-INDEX(LE_Curves!$B$5:$B$205,MATCH($B114,LE_Curves!$D$5:$D$205,1)))/(INDEX(LE_Curves!$D$5:$D$205,MATCH($B114,LE_Curves!$D$5:$D$205,1)+1)-INDEX(LE_Curves!$D$5:$D$205,MATCH($B114,LE_Curves!$D$5:$D$205,1))))))</f>
        <v/>
      </c>
      <c r="E114" s="11">
        <f>IF(Inputs!$D$25=0,0,IF($B114&lt;=Inputs!$C$25,0,IF($B114&gt;=INDEX(LE_Curves!$E$5:$E$205,201),INDEX(LE_Curves!$B$5:$B$205,201),INDEX(LE_Curves!$B$5:$B$205,MATCH($B114,LE_Curves!$E$5:$E$205,1))+($B114-INDEX(LE_Curves!$E$5:$E$205,MATCH($B114,LE_Curves!$E$5:$E$205,1)))*(INDEX(LE_Curves!$B$5:$B$205,MATCH($B114,LE_Curves!$E$5:$E$205,1)+1)-INDEX(LE_Curves!$B$5:$B$205,MATCH($B114,LE_Curves!$E$5:$E$205,1)))/(INDEX(LE_Curves!$E$5:$E$205,MATCH($B114,LE_Curves!$E$5:$E$205,1)+1)-INDEX(LE_Curves!$E$5:$E$205,MATCH($B114,LE_Curves!$E$5:$E$205,1))))))</f>
        <v/>
      </c>
      <c r="F114" s="11">
        <f>IF(Inputs!$D$26=0,0,IF($B114&lt;=Inputs!$C$26,0,IF($B114&gt;=INDEX(LE_Curves!$F$5:$F$205,201),INDEX(LE_Curves!$B$5:$B$205,201),INDEX(LE_Curves!$B$5:$B$205,MATCH($B114,LE_Curves!$F$5:$F$205,1))+($B114-INDEX(LE_Curves!$F$5:$F$205,MATCH($B114,LE_Curves!$F$5:$F$205,1)))*(INDEX(LE_Curves!$B$5:$B$205,MATCH($B114,LE_Curves!$F$5:$F$205,1)+1)-INDEX(LE_Curves!$B$5:$B$205,MATCH($B114,LE_Curves!$F$5:$F$205,1)))/(INDEX(LE_Curves!$F$5:$F$205,MATCH($B114,LE_Curves!$F$5:$F$205,1)+1)-INDEX(LE_Curves!$F$5:$F$205,MATCH($B114,LE_Curves!$F$5:$F$205,1))))))</f>
        <v/>
      </c>
      <c r="G114" s="11">
        <f>IF(Inputs!$D$27=0,0,IF($B114&lt;=Inputs!$C$27,0,IF($B114&gt;=INDEX(LE_Curves!$G$5:$G$205,201),INDEX(LE_Curves!$B$5:$B$205,201),INDEX(LE_Curves!$B$5:$B$205,MATCH($B114,LE_Curves!$G$5:$G$205,1))+($B114-INDEX(LE_Curves!$G$5:$G$205,MATCH($B114,LE_Curves!$G$5:$G$205,1)))*(INDEX(LE_Curves!$B$5:$B$205,MATCH($B114,LE_Curves!$G$5:$G$205,1)+1)-INDEX(LE_Curves!$B$5:$B$205,MATCH($B114,LE_Curves!$G$5:$G$205,1)))/(INDEX(LE_Curves!$G$5:$G$205,MATCH($B114,LE_Curves!$G$5:$G$205,1)+1)-INDEX(LE_Curves!$G$5:$G$205,MATCH($B114,LE_Curves!$G$5:$G$205,1))))))</f>
        <v/>
      </c>
      <c r="H114" s="11">
        <f>IF(Inputs!$D$28=0,0,IF($B114&lt;=Inputs!$C$28,0,IF($B114&gt;=INDEX(LE_Curves!$H$5:$H$205,201),INDEX(LE_Curves!$B$5:$B$205,201),INDEX(LE_Curves!$B$5:$B$205,MATCH($B114,LE_Curves!$H$5:$H$205,1))+($B114-INDEX(LE_Curves!$H$5:$H$205,MATCH($B114,LE_Curves!$H$5:$H$205,1)))*(INDEX(LE_Curves!$B$5:$B$205,MATCH($B114,LE_Curves!$H$5:$H$205,1)+1)-INDEX(LE_Curves!$B$5:$B$205,MATCH($B114,LE_Curves!$H$5:$H$205,1)))/(INDEX(LE_Curves!$H$5:$H$205,MATCH($B114,LE_Curves!$H$5:$H$205,1)+1)-INDEX(LE_Curves!$H$5:$H$205,MATCH($B114,LE_Curves!$H$5:$H$205,1))))))</f>
        <v/>
      </c>
      <c r="I114" s="11">
        <f>IF(Inputs!$D$29=0,0,IF($B114&lt;=Inputs!$C$29,0,IF($B114&gt;=INDEX(LE_Curves!$I$5:$I$205,201),INDEX(LE_Curves!$B$5:$B$205,201),INDEX(LE_Curves!$B$5:$B$205,MATCH($B114,LE_Curves!$I$5:$I$205,1))+($B114-INDEX(LE_Curves!$I$5:$I$205,MATCH($B114,LE_Curves!$I$5:$I$205,1)))*(INDEX(LE_Curves!$B$5:$B$205,MATCH($B114,LE_Curves!$I$5:$I$205,1)+1)-INDEX(LE_Curves!$B$5:$B$205,MATCH($B114,LE_Curves!$I$5:$I$205,1)))/(INDEX(LE_Curves!$I$5:$I$205,MATCH($B114,LE_Curves!$I$5:$I$205,1)+1)-INDEX(LE_Curves!$I$5:$I$205,MATCH($B114,LE_Curves!$I$5:$I$205,1))))))</f>
        <v/>
      </c>
      <c r="J114" s="11">
        <f>IF(Inputs!$D$30=0,0,IF($B114&lt;=Inputs!$C$30,0,IF($B114&gt;=INDEX(LE_Curves!$J$5:$J$205,201),INDEX(LE_Curves!$B$5:$B$205,201),INDEX(LE_Curves!$B$5:$B$205,MATCH($B114,LE_Curves!$J$5:$J$205,1))+($B114-INDEX(LE_Curves!$J$5:$J$205,MATCH($B114,LE_Curves!$J$5:$J$205,1)))*(INDEX(LE_Curves!$B$5:$B$205,MATCH($B114,LE_Curves!$J$5:$J$205,1)+1)-INDEX(LE_Curves!$B$5:$B$205,MATCH($B114,LE_Curves!$J$5:$J$205,1)))/(INDEX(LE_Curves!$J$5:$J$205,MATCH($B114,LE_Curves!$J$5:$J$205,1)+1)-INDEX(LE_Curves!$J$5:$J$205,MATCH($B114,LE_Curves!$J$5:$J$205,1))))))</f>
        <v/>
      </c>
      <c r="K114" s="11">
        <f>IF(Inputs!$D$31=0,0,IF($B114&lt;=Inputs!$C$31,0,IF($B114&gt;=INDEX(LE_Curves!$K$5:$K$205,201),INDEX(LE_Curves!$B$5:$B$205,201),INDEX(LE_Curves!$B$5:$B$205,MATCH($B114,LE_Curves!$K$5:$K$205,1))+($B114-INDEX(LE_Curves!$K$5:$K$205,MATCH($B114,LE_Curves!$K$5:$K$205,1)))*(INDEX(LE_Curves!$B$5:$B$205,MATCH($B114,LE_Curves!$K$5:$K$205,1)+1)-INDEX(LE_Curves!$B$5:$B$205,MATCH($B114,LE_Curves!$K$5:$K$205,1)))/(INDEX(LE_Curves!$K$5:$K$205,MATCH($B114,LE_Curves!$K$5:$K$205,1)+1)-INDEX(LE_Curves!$K$5:$K$205,MATCH($B114,LE_Curves!$K$5:$K$205,1))))))</f>
        <v/>
      </c>
      <c r="L114" s="11">
        <f>IF(Inputs!$D$32=0,0,IF($B114&lt;=Inputs!$C$32,0,IF($B114&gt;=INDEX(LE_Curves!$L$5:$L$205,201),INDEX(LE_Curves!$B$5:$B$205,201),INDEX(LE_Curves!$B$5:$B$205,MATCH($B114,LE_Curves!$L$5:$L$205,1))+($B114-INDEX(LE_Curves!$L$5:$L$205,MATCH($B114,LE_Curves!$L$5:$L$205,1)))*(INDEX(LE_Curves!$B$5:$B$205,MATCH($B114,LE_Curves!$L$5:$L$205,1)+1)-INDEX(LE_Curves!$B$5:$B$205,MATCH($B114,LE_Curves!$L$5:$L$205,1)))/(INDEX(LE_Curves!$L$5:$L$205,MATCH($B114,LE_Curves!$L$5:$L$205,1)+1)-INDEX(LE_Curves!$L$5:$L$205,MATCH($B114,LE_Curves!$L$5:$L$205,1))))))</f>
        <v/>
      </c>
      <c r="M114" s="11">
        <f>IF(Inputs!$D$33=0,0,IF($B114&lt;=Inputs!$C$33,0,IF($B114&gt;=INDEX(LE_Curves!$M$5:$M$205,201),INDEX(LE_Curves!$B$5:$B$205,201),INDEX(LE_Curves!$B$5:$B$205,MATCH($B114,LE_Curves!$M$5:$M$205,1))+($B114-INDEX(LE_Curves!$M$5:$M$205,MATCH($B114,LE_Curves!$M$5:$M$205,1)))*(INDEX(LE_Curves!$B$5:$B$205,MATCH($B114,LE_Curves!$M$5:$M$205,1)+1)-INDEX(LE_Curves!$B$5:$B$205,MATCH($B114,LE_Curves!$M$5:$M$205,1)))/(INDEX(LE_Curves!$M$5:$M$205,MATCH($B114,LE_Curves!$M$5:$M$205,1)+1)-INDEX(LE_Curves!$M$5:$M$205,MATCH($B114,LE_Curves!$M$5:$M$205,1))))))</f>
        <v/>
      </c>
      <c r="N114" s="11">
        <f>IF(Inputs!$D$34=0,0,IF($B114&lt;=Inputs!$C$34,0,IF($B114&gt;=INDEX(LE_Curves!$N$5:$N$205,201),INDEX(LE_Curves!$B$5:$B$205,201),INDEX(LE_Curves!$B$5:$B$205,MATCH($B114,LE_Curves!$N$5:$N$205,1))+($B114-INDEX(LE_Curves!$N$5:$N$205,MATCH($B114,LE_Curves!$N$5:$N$205,1)))*(INDEX(LE_Curves!$B$5:$B$205,MATCH($B114,LE_Curves!$N$5:$N$205,1)+1)-INDEX(LE_Curves!$B$5:$B$205,MATCH($B114,LE_Curves!$N$5:$N$205,1)))/(INDEX(LE_Curves!$N$5:$N$205,MATCH($B114,LE_Curves!$N$5:$N$205,1)+1)-INDEX(LE_Curves!$N$5:$N$205,MATCH($B114,LE_Curves!$N$5:$N$205,1))))))</f>
        <v/>
      </c>
      <c r="O114" s="11">
        <f>SUM(C114:N114)</f>
        <v/>
      </c>
      <c r="Q114" s="7" t="n">
        <v>83</v>
      </c>
      <c r="R114" s="23">
        <f>$B$6+($B$7-$B$6)*Q114/200</f>
        <v/>
      </c>
      <c r="S114" s="11">
        <f>IF(Inputs!$D$23=0,0,IF($R114&lt;=Inputs!$C$23,0,IF($R114&gt;=INDEX(LE_Curves!$C$5:$C$205,201),INDEX(LE_Curves!$B$5:$B$205,201),INDEX(LE_Curves!$B$5:$B$205,MATCH($R114,LE_Curves!$C$5:$C$205,1))+($R114-INDEX(LE_Curves!$C$5:$C$205,MATCH($R114,LE_Curves!$C$5:$C$205,1)))*(INDEX(LE_Curves!$B$5:$B$205,MATCH($R114,LE_Curves!$C$5:$C$205,1)+1)-INDEX(LE_Curves!$B$5:$B$205,MATCH($R114,LE_Curves!$C$5:$C$205,1)))/(INDEX(LE_Curves!$C$5:$C$205,MATCH($R114,LE_Curves!$C$5:$C$205,1)+1)-INDEX(LE_Curves!$C$5:$C$205,MATCH($R114,LE_Curves!$C$5:$C$205,1))))))</f>
        <v/>
      </c>
      <c r="T114" s="11">
        <f>IF(Inputs!$D$24=0,0,IF($R114&lt;=Inputs!$C$24,0,IF($R114&gt;=INDEX(LE_Curves!$D$5:$D$205,201),INDEX(LE_Curves!$B$5:$B$205,201),INDEX(LE_Curves!$B$5:$B$205,MATCH($R114,LE_Curves!$D$5:$D$205,1))+($R114-INDEX(LE_Curves!$D$5:$D$205,MATCH($R114,LE_Curves!$D$5:$D$205,1)))*(INDEX(LE_Curves!$B$5:$B$205,MATCH($R114,LE_Curves!$D$5:$D$205,1)+1)-INDEX(LE_Curves!$B$5:$B$205,MATCH($R114,LE_Curves!$D$5:$D$205,1)))/(INDEX(LE_Curves!$D$5:$D$205,MATCH($R114,LE_Curves!$D$5:$D$205,1)+1)-INDEX(LE_Curves!$D$5:$D$205,MATCH($R114,LE_Curves!$D$5:$D$205,1))))))</f>
        <v/>
      </c>
      <c r="U114" s="11">
        <f>IF(Inputs!$D$25=0,0,IF($R114&lt;=Inputs!$C$25,0,IF($R114&gt;=INDEX(LE_Curves!$E$5:$E$205,201),INDEX(LE_Curves!$B$5:$B$205,201),INDEX(LE_Curves!$B$5:$B$205,MATCH($R114,LE_Curves!$E$5:$E$205,1))+($R114-INDEX(LE_Curves!$E$5:$E$205,MATCH($R114,LE_Curves!$E$5:$E$205,1)))*(INDEX(LE_Curves!$B$5:$B$205,MATCH($R114,LE_Curves!$E$5:$E$205,1)+1)-INDEX(LE_Curves!$B$5:$B$205,MATCH($R114,LE_Curves!$E$5:$E$205,1)))/(INDEX(LE_Curves!$E$5:$E$205,MATCH($R114,LE_Curves!$E$5:$E$205,1)+1)-INDEX(LE_Curves!$E$5:$E$205,MATCH($R114,LE_Curves!$E$5:$E$205,1))))))</f>
        <v/>
      </c>
      <c r="V114" s="11">
        <f>IF(Inputs!$D$26=0,0,IF($R114&lt;=Inputs!$C$26,0,IF($R114&gt;=INDEX(LE_Curves!$F$5:$F$205,201),INDEX(LE_Curves!$B$5:$B$205,201),INDEX(LE_Curves!$B$5:$B$205,MATCH($R114,LE_Curves!$F$5:$F$205,1))+($R114-INDEX(LE_Curves!$F$5:$F$205,MATCH($R114,LE_Curves!$F$5:$F$205,1)))*(INDEX(LE_Curves!$B$5:$B$205,MATCH($R114,LE_Curves!$F$5:$F$205,1)+1)-INDEX(LE_Curves!$B$5:$B$205,MATCH($R114,LE_Curves!$F$5:$F$205,1)))/(INDEX(LE_Curves!$F$5:$F$205,MATCH($R114,LE_Curves!$F$5:$F$205,1)+1)-INDEX(LE_Curves!$F$5:$F$205,MATCH($R114,LE_Curves!$F$5:$F$205,1))))))</f>
        <v/>
      </c>
      <c r="W114" s="11">
        <f>IF(Inputs!$D$27=0,0,IF($R114&lt;=Inputs!$C$27,0,IF($R114&gt;=INDEX(LE_Curves!$G$5:$G$205,201),INDEX(LE_Curves!$B$5:$B$205,201),INDEX(LE_Curves!$B$5:$B$205,MATCH($R114,LE_Curves!$G$5:$G$205,1))+($R114-INDEX(LE_Curves!$G$5:$G$205,MATCH($R114,LE_Curves!$G$5:$G$205,1)))*(INDEX(LE_Curves!$B$5:$B$205,MATCH($R114,LE_Curves!$G$5:$G$205,1)+1)-INDEX(LE_Curves!$B$5:$B$205,MATCH($R114,LE_Curves!$G$5:$G$205,1)))/(INDEX(LE_Curves!$G$5:$G$205,MATCH($R114,LE_Curves!$G$5:$G$205,1)+1)-INDEX(LE_Curves!$G$5:$G$205,MATCH($R114,LE_Curves!$G$5:$G$205,1))))))</f>
        <v/>
      </c>
      <c r="X114" s="11">
        <f>IF(Inputs!$D$28=0,0,IF($R114&lt;=Inputs!$C$28,0,IF($R114&gt;=INDEX(LE_Curves!$H$5:$H$205,201),INDEX(LE_Curves!$B$5:$B$205,201),INDEX(LE_Curves!$B$5:$B$205,MATCH($R114,LE_Curves!$H$5:$H$205,1))+($R114-INDEX(LE_Curves!$H$5:$H$205,MATCH($R114,LE_Curves!$H$5:$H$205,1)))*(INDEX(LE_Curves!$B$5:$B$205,MATCH($R114,LE_Curves!$H$5:$H$205,1)+1)-INDEX(LE_Curves!$B$5:$B$205,MATCH($R114,LE_Curves!$H$5:$H$205,1)))/(INDEX(LE_Curves!$H$5:$H$205,MATCH($R114,LE_Curves!$H$5:$H$205,1)+1)-INDEX(LE_Curves!$H$5:$H$205,MATCH($R114,LE_Curves!$H$5:$H$205,1))))))</f>
        <v/>
      </c>
      <c r="Y114" s="11">
        <f>IF(Inputs!$D$29=0,0,IF($R114&lt;=Inputs!$C$29,0,IF($R114&gt;=INDEX(LE_Curves!$I$5:$I$205,201),INDEX(LE_Curves!$B$5:$B$205,201),INDEX(LE_Curves!$B$5:$B$205,MATCH($R114,LE_Curves!$I$5:$I$205,1))+($R114-INDEX(LE_Curves!$I$5:$I$205,MATCH($R114,LE_Curves!$I$5:$I$205,1)))*(INDEX(LE_Curves!$B$5:$B$205,MATCH($R114,LE_Curves!$I$5:$I$205,1)+1)-INDEX(LE_Curves!$B$5:$B$205,MATCH($R114,LE_Curves!$I$5:$I$205,1)))/(INDEX(LE_Curves!$I$5:$I$205,MATCH($R114,LE_Curves!$I$5:$I$205,1)+1)-INDEX(LE_Curves!$I$5:$I$205,MATCH($R114,LE_Curves!$I$5:$I$205,1))))))</f>
        <v/>
      </c>
      <c r="Z114" s="11">
        <f>IF(Inputs!$D$30=0,0,IF($R114&lt;=Inputs!$C$30,0,IF($R114&gt;=INDEX(LE_Curves!$J$5:$J$205,201),INDEX(LE_Curves!$B$5:$B$205,201),INDEX(LE_Curves!$B$5:$B$205,MATCH($R114,LE_Curves!$J$5:$J$205,1))+($R114-INDEX(LE_Curves!$J$5:$J$205,MATCH($R114,LE_Curves!$J$5:$J$205,1)))*(INDEX(LE_Curves!$B$5:$B$205,MATCH($R114,LE_Curves!$J$5:$J$205,1)+1)-INDEX(LE_Curves!$B$5:$B$205,MATCH($R114,LE_Curves!$J$5:$J$205,1)))/(INDEX(LE_Curves!$J$5:$J$205,MATCH($R114,LE_Curves!$J$5:$J$205,1)+1)-INDEX(LE_Curves!$J$5:$J$205,MATCH($R114,LE_Curves!$J$5:$J$205,1))))))</f>
        <v/>
      </c>
      <c r="AA114" s="11">
        <f>IF(Inputs!$D$31=0,0,IF($R114&lt;=Inputs!$C$31,0,IF($R114&gt;=INDEX(LE_Curves!$K$5:$K$205,201),INDEX(LE_Curves!$B$5:$B$205,201),INDEX(LE_Curves!$B$5:$B$205,MATCH($R114,LE_Curves!$K$5:$K$205,1))+($R114-INDEX(LE_Curves!$K$5:$K$205,MATCH($R114,LE_Curves!$K$5:$K$205,1)))*(INDEX(LE_Curves!$B$5:$B$205,MATCH($R114,LE_Curves!$K$5:$K$205,1)+1)-INDEX(LE_Curves!$B$5:$B$205,MATCH($R114,LE_Curves!$K$5:$K$205,1)))/(INDEX(LE_Curves!$K$5:$K$205,MATCH($R114,LE_Curves!$K$5:$K$205,1)+1)-INDEX(LE_Curves!$K$5:$K$205,MATCH($R114,LE_Curves!$K$5:$K$205,1))))))</f>
        <v/>
      </c>
      <c r="AB114" s="11">
        <f>IF(Inputs!$D$32=0,0,IF($R114&lt;=Inputs!$C$32,0,IF($R114&gt;=INDEX(LE_Curves!$L$5:$L$205,201),INDEX(LE_Curves!$B$5:$B$205,201),INDEX(LE_Curves!$B$5:$B$205,MATCH($R114,LE_Curves!$L$5:$L$205,1))+($R114-INDEX(LE_Curves!$L$5:$L$205,MATCH($R114,LE_Curves!$L$5:$L$205,1)))*(INDEX(LE_Curves!$B$5:$B$205,MATCH($R114,LE_Curves!$L$5:$L$205,1)+1)-INDEX(LE_Curves!$B$5:$B$205,MATCH($R114,LE_Curves!$L$5:$L$205,1)))/(INDEX(LE_Curves!$L$5:$L$205,MATCH($R114,LE_Curves!$L$5:$L$205,1)+1)-INDEX(LE_Curves!$L$5:$L$205,MATCH($R114,LE_Curves!$L$5:$L$205,1))))))</f>
        <v/>
      </c>
      <c r="AC114" s="11">
        <f>IF(Inputs!$D$33=0,0,IF($R114&lt;=Inputs!$C$33,0,IF($R114&gt;=INDEX(LE_Curves!$M$5:$M$205,201),INDEX(LE_Curves!$B$5:$B$205,201),INDEX(LE_Curves!$B$5:$B$205,MATCH($R114,LE_Curves!$M$5:$M$205,1))+($R114-INDEX(LE_Curves!$M$5:$M$205,MATCH($R114,LE_Curves!$M$5:$M$205,1)))*(INDEX(LE_Curves!$B$5:$B$205,MATCH($R114,LE_Curves!$M$5:$M$205,1)+1)-INDEX(LE_Curves!$B$5:$B$205,MATCH($R114,LE_Curves!$M$5:$M$205,1)))/(INDEX(LE_Curves!$M$5:$M$205,MATCH($R114,LE_Curves!$M$5:$M$205,1)+1)-INDEX(LE_Curves!$M$5:$M$205,MATCH($R114,LE_Curves!$M$5:$M$205,1))))))</f>
        <v/>
      </c>
      <c r="AD114" s="11">
        <f>IF(Inputs!$D$34=0,0,IF($R114&lt;=Inputs!$C$34,0,IF($R114&gt;=INDEX(LE_Curves!$N$5:$N$205,201),INDEX(LE_Curves!$B$5:$B$205,201),INDEX(LE_Curves!$B$5:$B$205,MATCH($R114,LE_Curves!$N$5:$N$205,1))+($R114-INDEX(LE_Curves!$N$5:$N$205,MATCH($R114,LE_Curves!$N$5:$N$205,1)))*(INDEX(LE_Curves!$B$5:$B$205,MATCH($R114,LE_Curves!$N$5:$N$205,1)+1)-INDEX(LE_Curves!$B$5:$B$205,MATCH($R114,LE_Curves!$N$5:$N$205,1)))/(INDEX(LE_Curves!$N$5:$N$205,MATCH($R114,LE_Curves!$N$5:$N$205,1)+1)-INDEX(LE_Curves!$N$5:$N$205,MATCH($R114,LE_Curves!$N$5:$N$205,1))))))</f>
        <v/>
      </c>
      <c r="AE114" s="37">
        <f>SUM(S114:AD114)</f>
        <v/>
      </c>
    </row>
    <row r="115">
      <c r="A115" s="7" t="n">
        <v>84</v>
      </c>
      <c r="B115" s="37">
        <f>$B$3+($B$4-$B$3)*A115/200</f>
        <v/>
      </c>
      <c r="C115" s="11">
        <f>IF(Inputs!$D$23=0,0,IF($B115&lt;=Inputs!$C$23,0,IF($B115&gt;=INDEX(LE_Curves!$C$5:$C$205,201),INDEX(LE_Curves!$B$5:$B$205,201),INDEX(LE_Curves!$B$5:$B$205,MATCH($B115,LE_Curves!$C$5:$C$205,1))+($B115-INDEX(LE_Curves!$C$5:$C$205,MATCH($B115,LE_Curves!$C$5:$C$205,1)))*(INDEX(LE_Curves!$B$5:$B$205,MATCH($B115,LE_Curves!$C$5:$C$205,1)+1)-INDEX(LE_Curves!$B$5:$B$205,MATCH($B115,LE_Curves!$C$5:$C$205,1)))/(INDEX(LE_Curves!$C$5:$C$205,MATCH($B115,LE_Curves!$C$5:$C$205,1)+1)-INDEX(LE_Curves!$C$5:$C$205,MATCH($B115,LE_Curves!$C$5:$C$205,1))))))</f>
        <v/>
      </c>
      <c r="D115" s="11">
        <f>IF(Inputs!$D$24=0,0,IF($B115&lt;=Inputs!$C$24,0,IF($B115&gt;=INDEX(LE_Curves!$D$5:$D$205,201),INDEX(LE_Curves!$B$5:$B$205,201),INDEX(LE_Curves!$B$5:$B$205,MATCH($B115,LE_Curves!$D$5:$D$205,1))+($B115-INDEX(LE_Curves!$D$5:$D$205,MATCH($B115,LE_Curves!$D$5:$D$205,1)))*(INDEX(LE_Curves!$B$5:$B$205,MATCH($B115,LE_Curves!$D$5:$D$205,1)+1)-INDEX(LE_Curves!$B$5:$B$205,MATCH($B115,LE_Curves!$D$5:$D$205,1)))/(INDEX(LE_Curves!$D$5:$D$205,MATCH($B115,LE_Curves!$D$5:$D$205,1)+1)-INDEX(LE_Curves!$D$5:$D$205,MATCH($B115,LE_Curves!$D$5:$D$205,1))))))</f>
        <v/>
      </c>
      <c r="E115" s="11">
        <f>IF(Inputs!$D$25=0,0,IF($B115&lt;=Inputs!$C$25,0,IF($B115&gt;=INDEX(LE_Curves!$E$5:$E$205,201),INDEX(LE_Curves!$B$5:$B$205,201),INDEX(LE_Curves!$B$5:$B$205,MATCH($B115,LE_Curves!$E$5:$E$205,1))+($B115-INDEX(LE_Curves!$E$5:$E$205,MATCH($B115,LE_Curves!$E$5:$E$205,1)))*(INDEX(LE_Curves!$B$5:$B$205,MATCH($B115,LE_Curves!$E$5:$E$205,1)+1)-INDEX(LE_Curves!$B$5:$B$205,MATCH($B115,LE_Curves!$E$5:$E$205,1)))/(INDEX(LE_Curves!$E$5:$E$205,MATCH($B115,LE_Curves!$E$5:$E$205,1)+1)-INDEX(LE_Curves!$E$5:$E$205,MATCH($B115,LE_Curves!$E$5:$E$205,1))))))</f>
        <v/>
      </c>
      <c r="F115" s="11">
        <f>IF(Inputs!$D$26=0,0,IF($B115&lt;=Inputs!$C$26,0,IF($B115&gt;=INDEX(LE_Curves!$F$5:$F$205,201),INDEX(LE_Curves!$B$5:$B$205,201),INDEX(LE_Curves!$B$5:$B$205,MATCH($B115,LE_Curves!$F$5:$F$205,1))+($B115-INDEX(LE_Curves!$F$5:$F$205,MATCH($B115,LE_Curves!$F$5:$F$205,1)))*(INDEX(LE_Curves!$B$5:$B$205,MATCH($B115,LE_Curves!$F$5:$F$205,1)+1)-INDEX(LE_Curves!$B$5:$B$205,MATCH($B115,LE_Curves!$F$5:$F$205,1)))/(INDEX(LE_Curves!$F$5:$F$205,MATCH($B115,LE_Curves!$F$5:$F$205,1)+1)-INDEX(LE_Curves!$F$5:$F$205,MATCH($B115,LE_Curves!$F$5:$F$205,1))))))</f>
        <v/>
      </c>
      <c r="G115" s="11">
        <f>IF(Inputs!$D$27=0,0,IF($B115&lt;=Inputs!$C$27,0,IF($B115&gt;=INDEX(LE_Curves!$G$5:$G$205,201),INDEX(LE_Curves!$B$5:$B$205,201),INDEX(LE_Curves!$B$5:$B$205,MATCH($B115,LE_Curves!$G$5:$G$205,1))+($B115-INDEX(LE_Curves!$G$5:$G$205,MATCH($B115,LE_Curves!$G$5:$G$205,1)))*(INDEX(LE_Curves!$B$5:$B$205,MATCH($B115,LE_Curves!$G$5:$G$205,1)+1)-INDEX(LE_Curves!$B$5:$B$205,MATCH($B115,LE_Curves!$G$5:$G$205,1)))/(INDEX(LE_Curves!$G$5:$G$205,MATCH($B115,LE_Curves!$G$5:$G$205,1)+1)-INDEX(LE_Curves!$G$5:$G$205,MATCH($B115,LE_Curves!$G$5:$G$205,1))))))</f>
        <v/>
      </c>
      <c r="H115" s="11">
        <f>IF(Inputs!$D$28=0,0,IF($B115&lt;=Inputs!$C$28,0,IF($B115&gt;=INDEX(LE_Curves!$H$5:$H$205,201),INDEX(LE_Curves!$B$5:$B$205,201),INDEX(LE_Curves!$B$5:$B$205,MATCH($B115,LE_Curves!$H$5:$H$205,1))+($B115-INDEX(LE_Curves!$H$5:$H$205,MATCH($B115,LE_Curves!$H$5:$H$205,1)))*(INDEX(LE_Curves!$B$5:$B$205,MATCH($B115,LE_Curves!$H$5:$H$205,1)+1)-INDEX(LE_Curves!$B$5:$B$205,MATCH($B115,LE_Curves!$H$5:$H$205,1)))/(INDEX(LE_Curves!$H$5:$H$205,MATCH($B115,LE_Curves!$H$5:$H$205,1)+1)-INDEX(LE_Curves!$H$5:$H$205,MATCH($B115,LE_Curves!$H$5:$H$205,1))))))</f>
        <v/>
      </c>
      <c r="I115" s="11">
        <f>IF(Inputs!$D$29=0,0,IF($B115&lt;=Inputs!$C$29,0,IF($B115&gt;=INDEX(LE_Curves!$I$5:$I$205,201),INDEX(LE_Curves!$B$5:$B$205,201),INDEX(LE_Curves!$B$5:$B$205,MATCH($B115,LE_Curves!$I$5:$I$205,1))+($B115-INDEX(LE_Curves!$I$5:$I$205,MATCH($B115,LE_Curves!$I$5:$I$205,1)))*(INDEX(LE_Curves!$B$5:$B$205,MATCH($B115,LE_Curves!$I$5:$I$205,1)+1)-INDEX(LE_Curves!$B$5:$B$205,MATCH($B115,LE_Curves!$I$5:$I$205,1)))/(INDEX(LE_Curves!$I$5:$I$205,MATCH($B115,LE_Curves!$I$5:$I$205,1)+1)-INDEX(LE_Curves!$I$5:$I$205,MATCH($B115,LE_Curves!$I$5:$I$205,1))))))</f>
        <v/>
      </c>
      <c r="J115" s="11">
        <f>IF(Inputs!$D$30=0,0,IF($B115&lt;=Inputs!$C$30,0,IF($B115&gt;=INDEX(LE_Curves!$J$5:$J$205,201),INDEX(LE_Curves!$B$5:$B$205,201),INDEX(LE_Curves!$B$5:$B$205,MATCH($B115,LE_Curves!$J$5:$J$205,1))+($B115-INDEX(LE_Curves!$J$5:$J$205,MATCH($B115,LE_Curves!$J$5:$J$205,1)))*(INDEX(LE_Curves!$B$5:$B$205,MATCH($B115,LE_Curves!$J$5:$J$205,1)+1)-INDEX(LE_Curves!$B$5:$B$205,MATCH($B115,LE_Curves!$J$5:$J$205,1)))/(INDEX(LE_Curves!$J$5:$J$205,MATCH($B115,LE_Curves!$J$5:$J$205,1)+1)-INDEX(LE_Curves!$J$5:$J$205,MATCH($B115,LE_Curves!$J$5:$J$205,1))))))</f>
        <v/>
      </c>
      <c r="K115" s="11">
        <f>IF(Inputs!$D$31=0,0,IF($B115&lt;=Inputs!$C$31,0,IF($B115&gt;=INDEX(LE_Curves!$K$5:$K$205,201),INDEX(LE_Curves!$B$5:$B$205,201),INDEX(LE_Curves!$B$5:$B$205,MATCH($B115,LE_Curves!$K$5:$K$205,1))+($B115-INDEX(LE_Curves!$K$5:$K$205,MATCH($B115,LE_Curves!$K$5:$K$205,1)))*(INDEX(LE_Curves!$B$5:$B$205,MATCH($B115,LE_Curves!$K$5:$K$205,1)+1)-INDEX(LE_Curves!$B$5:$B$205,MATCH($B115,LE_Curves!$K$5:$K$205,1)))/(INDEX(LE_Curves!$K$5:$K$205,MATCH($B115,LE_Curves!$K$5:$K$205,1)+1)-INDEX(LE_Curves!$K$5:$K$205,MATCH($B115,LE_Curves!$K$5:$K$205,1))))))</f>
        <v/>
      </c>
      <c r="L115" s="11">
        <f>IF(Inputs!$D$32=0,0,IF($B115&lt;=Inputs!$C$32,0,IF($B115&gt;=INDEX(LE_Curves!$L$5:$L$205,201),INDEX(LE_Curves!$B$5:$B$205,201),INDEX(LE_Curves!$B$5:$B$205,MATCH($B115,LE_Curves!$L$5:$L$205,1))+($B115-INDEX(LE_Curves!$L$5:$L$205,MATCH($B115,LE_Curves!$L$5:$L$205,1)))*(INDEX(LE_Curves!$B$5:$B$205,MATCH($B115,LE_Curves!$L$5:$L$205,1)+1)-INDEX(LE_Curves!$B$5:$B$205,MATCH($B115,LE_Curves!$L$5:$L$205,1)))/(INDEX(LE_Curves!$L$5:$L$205,MATCH($B115,LE_Curves!$L$5:$L$205,1)+1)-INDEX(LE_Curves!$L$5:$L$205,MATCH($B115,LE_Curves!$L$5:$L$205,1))))))</f>
        <v/>
      </c>
      <c r="M115" s="11">
        <f>IF(Inputs!$D$33=0,0,IF($B115&lt;=Inputs!$C$33,0,IF($B115&gt;=INDEX(LE_Curves!$M$5:$M$205,201),INDEX(LE_Curves!$B$5:$B$205,201),INDEX(LE_Curves!$B$5:$B$205,MATCH($B115,LE_Curves!$M$5:$M$205,1))+($B115-INDEX(LE_Curves!$M$5:$M$205,MATCH($B115,LE_Curves!$M$5:$M$205,1)))*(INDEX(LE_Curves!$B$5:$B$205,MATCH($B115,LE_Curves!$M$5:$M$205,1)+1)-INDEX(LE_Curves!$B$5:$B$205,MATCH($B115,LE_Curves!$M$5:$M$205,1)))/(INDEX(LE_Curves!$M$5:$M$205,MATCH($B115,LE_Curves!$M$5:$M$205,1)+1)-INDEX(LE_Curves!$M$5:$M$205,MATCH($B115,LE_Curves!$M$5:$M$205,1))))))</f>
        <v/>
      </c>
      <c r="N115" s="11">
        <f>IF(Inputs!$D$34=0,0,IF($B115&lt;=Inputs!$C$34,0,IF($B115&gt;=INDEX(LE_Curves!$N$5:$N$205,201),INDEX(LE_Curves!$B$5:$B$205,201),INDEX(LE_Curves!$B$5:$B$205,MATCH($B115,LE_Curves!$N$5:$N$205,1))+($B115-INDEX(LE_Curves!$N$5:$N$205,MATCH($B115,LE_Curves!$N$5:$N$205,1)))*(INDEX(LE_Curves!$B$5:$B$205,MATCH($B115,LE_Curves!$N$5:$N$205,1)+1)-INDEX(LE_Curves!$B$5:$B$205,MATCH($B115,LE_Curves!$N$5:$N$205,1)))/(INDEX(LE_Curves!$N$5:$N$205,MATCH($B115,LE_Curves!$N$5:$N$205,1)+1)-INDEX(LE_Curves!$N$5:$N$205,MATCH($B115,LE_Curves!$N$5:$N$205,1))))))</f>
        <v/>
      </c>
      <c r="O115" s="11">
        <f>SUM(C115:N115)</f>
        <v/>
      </c>
      <c r="Q115" s="7" t="n">
        <v>84</v>
      </c>
      <c r="R115" s="23">
        <f>$B$6+($B$7-$B$6)*Q115/200</f>
        <v/>
      </c>
      <c r="S115" s="11">
        <f>IF(Inputs!$D$23=0,0,IF($R115&lt;=Inputs!$C$23,0,IF($R115&gt;=INDEX(LE_Curves!$C$5:$C$205,201),INDEX(LE_Curves!$B$5:$B$205,201),INDEX(LE_Curves!$B$5:$B$205,MATCH($R115,LE_Curves!$C$5:$C$205,1))+($R115-INDEX(LE_Curves!$C$5:$C$205,MATCH($R115,LE_Curves!$C$5:$C$205,1)))*(INDEX(LE_Curves!$B$5:$B$205,MATCH($R115,LE_Curves!$C$5:$C$205,1)+1)-INDEX(LE_Curves!$B$5:$B$205,MATCH($R115,LE_Curves!$C$5:$C$205,1)))/(INDEX(LE_Curves!$C$5:$C$205,MATCH($R115,LE_Curves!$C$5:$C$205,1)+1)-INDEX(LE_Curves!$C$5:$C$205,MATCH($R115,LE_Curves!$C$5:$C$205,1))))))</f>
        <v/>
      </c>
      <c r="T115" s="11">
        <f>IF(Inputs!$D$24=0,0,IF($R115&lt;=Inputs!$C$24,0,IF($R115&gt;=INDEX(LE_Curves!$D$5:$D$205,201),INDEX(LE_Curves!$B$5:$B$205,201),INDEX(LE_Curves!$B$5:$B$205,MATCH($R115,LE_Curves!$D$5:$D$205,1))+($R115-INDEX(LE_Curves!$D$5:$D$205,MATCH($R115,LE_Curves!$D$5:$D$205,1)))*(INDEX(LE_Curves!$B$5:$B$205,MATCH($R115,LE_Curves!$D$5:$D$205,1)+1)-INDEX(LE_Curves!$B$5:$B$205,MATCH($R115,LE_Curves!$D$5:$D$205,1)))/(INDEX(LE_Curves!$D$5:$D$205,MATCH($R115,LE_Curves!$D$5:$D$205,1)+1)-INDEX(LE_Curves!$D$5:$D$205,MATCH($R115,LE_Curves!$D$5:$D$205,1))))))</f>
        <v/>
      </c>
      <c r="U115" s="11">
        <f>IF(Inputs!$D$25=0,0,IF($R115&lt;=Inputs!$C$25,0,IF($R115&gt;=INDEX(LE_Curves!$E$5:$E$205,201),INDEX(LE_Curves!$B$5:$B$205,201),INDEX(LE_Curves!$B$5:$B$205,MATCH($R115,LE_Curves!$E$5:$E$205,1))+($R115-INDEX(LE_Curves!$E$5:$E$205,MATCH($R115,LE_Curves!$E$5:$E$205,1)))*(INDEX(LE_Curves!$B$5:$B$205,MATCH($R115,LE_Curves!$E$5:$E$205,1)+1)-INDEX(LE_Curves!$B$5:$B$205,MATCH($R115,LE_Curves!$E$5:$E$205,1)))/(INDEX(LE_Curves!$E$5:$E$205,MATCH($R115,LE_Curves!$E$5:$E$205,1)+1)-INDEX(LE_Curves!$E$5:$E$205,MATCH($R115,LE_Curves!$E$5:$E$205,1))))))</f>
        <v/>
      </c>
      <c r="V115" s="11">
        <f>IF(Inputs!$D$26=0,0,IF($R115&lt;=Inputs!$C$26,0,IF($R115&gt;=INDEX(LE_Curves!$F$5:$F$205,201),INDEX(LE_Curves!$B$5:$B$205,201),INDEX(LE_Curves!$B$5:$B$205,MATCH($R115,LE_Curves!$F$5:$F$205,1))+($R115-INDEX(LE_Curves!$F$5:$F$205,MATCH($R115,LE_Curves!$F$5:$F$205,1)))*(INDEX(LE_Curves!$B$5:$B$205,MATCH($R115,LE_Curves!$F$5:$F$205,1)+1)-INDEX(LE_Curves!$B$5:$B$205,MATCH($R115,LE_Curves!$F$5:$F$205,1)))/(INDEX(LE_Curves!$F$5:$F$205,MATCH($R115,LE_Curves!$F$5:$F$205,1)+1)-INDEX(LE_Curves!$F$5:$F$205,MATCH($R115,LE_Curves!$F$5:$F$205,1))))))</f>
        <v/>
      </c>
      <c r="W115" s="11">
        <f>IF(Inputs!$D$27=0,0,IF($R115&lt;=Inputs!$C$27,0,IF($R115&gt;=INDEX(LE_Curves!$G$5:$G$205,201),INDEX(LE_Curves!$B$5:$B$205,201),INDEX(LE_Curves!$B$5:$B$205,MATCH($R115,LE_Curves!$G$5:$G$205,1))+($R115-INDEX(LE_Curves!$G$5:$G$205,MATCH($R115,LE_Curves!$G$5:$G$205,1)))*(INDEX(LE_Curves!$B$5:$B$205,MATCH($R115,LE_Curves!$G$5:$G$205,1)+1)-INDEX(LE_Curves!$B$5:$B$205,MATCH($R115,LE_Curves!$G$5:$G$205,1)))/(INDEX(LE_Curves!$G$5:$G$205,MATCH($R115,LE_Curves!$G$5:$G$205,1)+1)-INDEX(LE_Curves!$G$5:$G$205,MATCH($R115,LE_Curves!$G$5:$G$205,1))))))</f>
        <v/>
      </c>
      <c r="X115" s="11">
        <f>IF(Inputs!$D$28=0,0,IF($R115&lt;=Inputs!$C$28,0,IF($R115&gt;=INDEX(LE_Curves!$H$5:$H$205,201),INDEX(LE_Curves!$B$5:$B$205,201),INDEX(LE_Curves!$B$5:$B$205,MATCH($R115,LE_Curves!$H$5:$H$205,1))+($R115-INDEX(LE_Curves!$H$5:$H$205,MATCH($R115,LE_Curves!$H$5:$H$205,1)))*(INDEX(LE_Curves!$B$5:$B$205,MATCH($R115,LE_Curves!$H$5:$H$205,1)+1)-INDEX(LE_Curves!$B$5:$B$205,MATCH($R115,LE_Curves!$H$5:$H$205,1)))/(INDEX(LE_Curves!$H$5:$H$205,MATCH($R115,LE_Curves!$H$5:$H$205,1)+1)-INDEX(LE_Curves!$H$5:$H$205,MATCH($R115,LE_Curves!$H$5:$H$205,1))))))</f>
        <v/>
      </c>
      <c r="Y115" s="11">
        <f>IF(Inputs!$D$29=0,0,IF($R115&lt;=Inputs!$C$29,0,IF($R115&gt;=INDEX(LE_Curves!$I$5:$I$205,201),INDEX(LE_Curves!$B$5:$B$205,201),INDEX(LE_Curves!$B$5:$B$205,MATCH($R115,LE_Curves!$I$5:$I$205,1))+($R115-INDEX(LE_Curves!$I$5:$I$205,MATCH($R115,LE_Curves!$I$5:$I$205,1)))*(INDEX(LE_Curves!$B$5:$B$205,MATCH($R115,LE_Curves!$I$5:$I$205,1)+1)-INDEX(LE_Curves!$B$5:$B$205,MATCH($R115,LE_Curves!$I$5:$I$205,1)))/(INDEX(LE_Curves!$I$5:$I$205,MATCH($R115,LE_Curves!$I$5:$I$205,1)+1)-INDEX(LE_Curves!$I$5:$I$205,MATCH($R115,LE_Curves!$I$5:$I$205,1))))))</f>
        <v/>
      </c>
      <c r="Z115" s="11">
        <f>IF(Inputs!$D$30=0,0,IF($R115&lt;=Inputs!$C$30,0,IF($R115&gt;=INDEX(LE_Curves!$J$5:$J$205,201),INDEX(LE_Curves!$B$5:$B$205,201),INDEX(LE_Curves!$B$5:$B$205,MATCH($R115,LE_Curves!$J$5:$J$205,1))+($R115-INDEX(LE_Curves!$J$5:$J$205,MATCH($R115,LE_Curves!$J$5:$J$205,1)))*(INDEX(LE_Curves!$B$5:$B$205,MATCH($R115,LE_Curves!$J$5:$J$205,1)+1)-INDEX(LE_Curves!$B$5:$B$205,MATCH($R115,LE_Curves!$J$5:$J$205,1)))/(INDEX(LE_Curves!$J$5:$J$205,MATCH($R115,LE_Curves!$J$5:$J$205,1)+1)-INDEX(LE_Curves!$J$5:$J$205,MATCH($R115,LE_Curves!$J$5:$J$205,1))))))</f>
        <v/>
      </c>
      <c r="AA115" s="11">
        <f>IF(Inputs!$D$31=0,0,IF($R115&lt;=Inputs!$C$31,0,IF($R115&gt;=INDEX(LE_Curves!$K$5:$K$205,201),INDEX(LE_Curves!$B$5:$B$205,201),INDEX(LE_Curves!$B$5:$B$205,MATCH($R115,LE_Curves!$K$5:$K$205,1))+($R115-INDEX(LE_Curves!$K$5:$K$205,MATCH($R115,LE_Curves!$K$5:$K$205,1)))*(INDEX(LE_Curves!$B$5:$B$205,MATCH($R115,LE_Curves!$K$5:$K$205,1)+1)-INDEX(LE_Curves!$B$5:$B$205,MATCH($R115,LE_Curves!$K$5:$K$205,1)))/(INDEX(LE_Curves!$K$5:$K$205,MATCH($R115,LE_Curves!$K$5:$K$205,1)+1)-INDEX(LE_Curves!$K$5:$K$205,MATCH($R115,LE_Curves!$K$5:$K$205,1))))))</f>
        <v/>
      </c>
      <c r="AB115" s="11">
        <f>IF(Inputs!$D$32=0,0,IF($R115&lt;=Inputs!$C$32,0,IF($R115&gt;=INDEX(LE_Curves!$L$5:$L$205,201),INDEX(LE_Curves!$B$5:$B$205,201),INDEX(LE_Curves!$B$5:$B$205,MATCH($R115,LE_Curves!$L$5:$L$205,1))+($R115-INDEX(LE_Curves!$L$5:$L$205,MATCH($R115,LE_Curves!$L$5:$L$205,1)))*(INDEX(LE_Curves!$B$5:$B$205,MATCH($R115,LE_Curves!$L$5:$L$205,1)+1)-INDEX(LE_Curves!$B$5:$B$205,MATCH($R115,LE_Curves!$L$5:$L$205,1)))/(INDEX(LE_Curves!$L$5:$L$205,MATCH($R115,LE_Curves!$L$5:$L$205,1)+1)-INDEX(LE_Curves!$L$5:$L$205,MATCH($R115,LE_Curves!$L$5:$L$205,1))))))</f>
        <v/>
      </c>
      <c r="AC115" s="11">
        <f>IF(Inputs!$D$33=0,0,IF($R115&lt;=Inputs!$C$33,0,IF($R115&gt;=INDEX(LE_Curves!$M$5:$M$205,201),INDEX(LE_Curves!$B$5:$B$205,201),INDEX(LE_Curves!$B$5:$B$205,MATCH($R115,LE_Curves!$M$5:$M$205,1))+($R115-INDEX(LE_Curves!$M$5:$M$205,MATCH($R115,LE_Curves!$M$5:$M$205,1)))*(INDEX(LE_Curves!$B$5:$B$205,MATCH($R115,LE_Curves!$M$5:$M$205,1)+1)-INDEX(LE_Curves!$B$5:$B$205,MATCH($R115,LE_Curves!$M$5:$M$205,1)))/(INDEX(LE_Curves!$M$5:$M$205,MATCH($R115,LE_Curves!$M$5:$M$205,1)+1)-INDEX(LE_Curves!$M$5:$M$205,MATCH($R115,LE_Curves!$M$5:$M$205,1))))))</f>
        <v/>
      </c>
      <c r="AD115" s="11">
        <f>IF(Inputs!$D$34=0,0,IF($R115&lt;=Inputs!$C$34,0,IF($R115&gt;=INDEX(LE_Curves!$N$5:$N$205,201),INDEX(LE_Curves!$B$5:$B$205,201),INDEX(LE_Curves!$B$5:$B$205,MATCH($R115,LE_Curves!$N$5:$N$205,1))+($R115-INDEX(LE_Curves!$N$5:$N$205,MATCH($R115,LE_Curves!$N$5:$N$205,1)))*(INDEX(LE_Curves!$B$5:$B$205,MATCH($R115,LE_Curves!$N$5:$N$205,1)+1)-INDEX(LE_Curves!$B$5:$B$205,MATCH($R115,LE_Curves!$N$5:$N$205,1)))/(INDEX(LE_Curves!$N$5:$N$205,MATCH($R115,LE_Curves!$N$5:$N$205,1)+1)-INDEX(LE_Curves!$N$5:$N$205,MATCH($R115,LE_Curves!$N$5:$N$205,1))))))</f>
        <v/>
      </c>
      <c r="AE115" s="37">
        <f>SUM(S115:AD115)</f>
        <v/>
      </c>
    </row>
    <row r="116">
      <c r="A116" s="7" t="n">
        <v>85</v>
      </c>
      <c r="B116" s="37">
        <f>$B$3+($B$4-$B$3)*A116/200</f>
        <v/>
      </c>
      <c r="C116" s="11">
        <f>IF(Inputs!$D$23=0,0,IF($B116&lt;=Inputs!$C$23,0,IF($B116&gt;=INDEX(LE_Curves!$C$5:$C$205,201),INDEX(LE_Curves!$B$5:$B$205,201),INDEX(LE_Curves!$B$5:$B$205,MATCH($B116,LE_Curves!$C$5:$C$205,1))+($B116-INDEX(LE_Curves!$C$5:$C$205,MATCH($B116,LE_Curves!$C$5:$C$205,1)))*(INDEX(LE_Curves!$B$5:$B$205,MATCH($B116,LE_Curves!$C$5:$C$205,1)+1)-INDEX(LE_Curves!$B$5:$B$205,MATCH($B116,LE_Curves!$C$5:$C$205,1)))/(INDEX(LE_Curves!$C$5:$C$205,MATCH($B116,LE_Curves!$C$5:$C$205,1)+1)-INDEX(LE_Curves!$C$5:$C$205,MATCH($B116,LE_Curves!$C$5:$C$205,1))))))</f>
        <v/>
      </c>
      <c r="D116" s="11">
        <f>IF(Inputs!$D$24=0,0,IF($B116&lt;=Inputs!$C$24,0,IF($B116&gt;=INDEX(LE_Curves!$D$5:$D$205,201),INDEX(LE_Curves!$B$5:$B$205,201),INDEX(LE_Curves!$B$5:$B$205,MATCH($B116,LE_Curves!$D$5:$D$205,1))+($B116-INDEX(LE_Curves!$D$5:$D$205,MATCH($B116,LE_Curves!$D$5:$D$205,1)))*(INDEX(LE_Curves!$B$5:$B$205,MATCH($B116,LE_Curves!$D$5:$D$205,1)+1)-INDEX(LE_Curves!$B$5:$B$205,MATCH($B116,LE_Curves!$D$5:$D$205,1)))/(INDEX(LE_Curves!$D$5:$D$205,MATCH($B116,LE_Curves!$D$5:$D$205,1)+1)-INDEX(LE_Curves!$D$5:$D$205,MATCH($B116,LE_Curves!$D$5:$D$205,1))))))</f>
        <v/>
      </c>
      <c r="E116" s="11">
        <f>IF(Inputs!$D$25=0,0,IF($B116&lt;=Inputs!$C$25,0,IF($B116&gt;=INDEX(LE_Curves!$E$5:$E$205,201),INDEX(LE_Curves!$B$5:$B$205,201),INDEX(LE_Curves!$B$5:$B$205,MATCH($B116,LE_Curves!$E$5:$E$205,1))+($B116-INDEX(LE_Curves!$E$5:$E$205,MATCH($B116,LE_Curves!$E$5:$E$205,1)))*(INDEX(LE_Curves!$B$5:$B$205,MATCH($B116,LE_Curves!$E$5:$E$205,1)+1)-INDEX(LE_Curves!$B$5:$B$205,MATCH($B116,LE_Curves!$E$5:$E$205,1)))/(INDEX(LE_Curves!$E$5:$E$205,MATCH($B116,LE_Curves!$E$5:$E$205,1)+1)-INDEX(LE_Curves!$E$5:$E$205,MATCH($B116,LE_Curves!$E$5:$E$205,1))))))</f>
        <v/>
      </c>
      <c r="F116" s="11">
        <f>IF(Inputs!$D$26=0,0,IF($B116&lt;=Inputs!$C$26,0,IF($B116&gt;=INDEX(LE_Curves!$F$5:$F$205,201),INDEX(LE_Curves!$B$5:$B$205,201),INDEX(LE_Curves!$B$5:$B$205,MATCH($B116,LE_Curves!$F$5:$F$205,1))+($B116-INDEX(LE_Curves!$F$5:$F$205,MATCH($B116,LE_Curves!$F$5:$F$205,1)))*(INDEX(LE_Curves!$B$5:$B$205,MATCH($B116,LE_Curves!$F$5:$F$205,1)+1)-INDEX(LE_Curves!$B$5:$B$205,MATCH($B116,LE_Curves!$F$5:$F$205,1)))/(INDEX(LE_Curves!$F$5:$F$205,MATCH($B116,LE_Curves!$F$5:$F$205,1)+1)-INDEX(LE_Curves!$F$5:$F$205,MATCH($B116,LE_Curves!$F$5:$F$205,1))))))</f>
        <v/>
      </c>
      <c r="G116" s="11">
        <f>IF(Inputs!$D$27=0,0,IF($B116&lt;=Inputs!$C$27,0,IF($B116&gt;=INDEX(LE_Curves!$G$5:$G$205,201),INDEX(LE_Curves!$B$5:$B$205,201),INDEX(LE_Curves!$B$5:$B$205,MATCH($B116,LE_Curves!$G$5:$G$205,1))+($B116-INDEX(LE_Curves!$G$5:$G$205,MATCH($B116,LE_Curves!$G$5:$G$205,1)))*(INDEX(LE_Curves!$B$5:$B$205,MATCH($B116,LE_Curves!$G$5:$G$205,1)+1)-INDEX(LE_Curves!$B$5:$B$205,MATCH($B116,LE_Curves!$G$5:$G$205,1)))/(INDEX(LE_Curves!$G$5:$G$205,MATCH($B116,LE_Curves!$G$5:$G$205,1)+1)-INDEX(LE_Curves!$G$5:$G$205,MATCH($B116,LE_Curves!$G$5:$G$205,1))))))</f>
        <v/>
      </c>
      <c r="H116" s="11">
        <f>IF(Inputs!$D$28=0,0,IF($B116&lt;=Inputs!$C$28,0,IF($B116&gt;=INDEX(LE_Curves!$H$5:$H$205,201),INDEX(LE_Curves!$B$5:$B$205,201),INDEX(LE_Curves!$B$5:$B$205,MATCH($B116,LE_Curves!$H$5:$H$205,1))+($B116-INDEX(LE_Curves!$H$5:$H$205,MATCH($B116,LE_Curves!$H$5:$H$205,1)))*(INDEX(LE_Curves!$B$5:$B$205,MATCH($B116,LE_Curves!$H$5:$H$205,1)+1)-INDEX(LE_Curves!$B$5:$B$205,MATCH($B116,LE_Curves!$H$5:$H$205,1)))/(INDEX(LE_Curves!$H$5:$H$205,MATCH($B116,LE_Curves!$H$5:$H$205,1)+1)-INDEX(LE_Curves!$H$5:$H$205,MATCH($B116,LE_Curves!$H$5:$H$205,1))))))</f>
        <v/>
      </c>
      <c r="I116" s="11">
        <f>IF(Inputs!$D$29=0,0,IF($B116&lt;=Inputs!$C$29,0,IF($B116&gt;=INDEX(LE_Curves!$I$5:$I$205,201),INDEX(LE_Curves!$B$5:$B$205,201),INDEX(LE_Curves!$B$5:$B$205,MATCH($B116,LE_Curves!$I$5:$I$205,1))+($B116-INDEX(LE_Curves!$I$5:$I$205,MATCH($B116,LE_Curves!$I$5:$I$205,1)))*(INDEX(LE_Curves!$B$5:$B$205,MATCH($B116,LE_Curves!$I$5:$I$205,1)+1)-INDEX(LE_Curves!$B$5:$B$205,MATCH($B116,LE_Curves!$I$5:$I$205,1)))/(INDEX(LE_Curves!$I$5:$I$205,MATCH($B116,LE_Curves!$I$5:$I$205,1)+1)-INDEX(LE_Curves!$I$5:$I$205,MATCH($B116,LE_Curves!$I$5:$I$205,1))))))</f>
        <v/>
      </c>
      <c r="J116" s="11">
        <f>IF(Inputs!$D$30=0,0,IF($B116&lt;=Inputs!$C$30,0,IF($B116&gt;=INDEX(LE_Curves!$J$5:$J$205,201),INDEX(LE_Curves!$B$5:$B$205,201),INDEX(LE_Curves!$B$5:$B$205,MATCH($B116,LE_Curves!$J$5:$J$205,1))+($B116-INDEX(LE_Curves!$J$5:$J$205,MATCH($B116,LE_Curves!$J$5:$J$205,1)))*(INDEX(LE_Curves!$B$5:$B$205,MATCH($B116,LE_Curves!$J$5:$J$205,1)+1)-INDEX(LE_Curves!$B$5:$B$205,MATCH($B116,LE_Curves!$J$5:$J$205,1)))/(INDEX(LE_Curves!$J$5:$J$205,MATCH($B116,LE_Curves!$J$5:$J$205,1)+1)-INDEX(LE_Curves!$J$5:$J$205,MATCH($B116,LE_Curves!$J$5:$J$205,1))))))</f>
        <v/>
      </c>
      <c r="K116" s="11">
        <f>IF(Inputs!$D$31=0,0,IF($B116&lt;=Inputs!$C$31,0,IF($B116&gt;=INDEX(LE_Curves!$K$5:$K$205,201),INDEX(LE_Curves!$B$5:$B$205,201),INDEX(LE_Curves!$B$5:$B$205,MATCH($B116,LE_Curves!$K$5:$K$205,1))+($B116-INDEX(LE_Curves!$K$5:$K$205,MATCH($B116,LE_Curves!$K$5:$K$205,1)))*(INDEX(LE_Curves!$B$5:$B$205,MATCH($B116,LE_Curves!$K$5:$K$205,1)+1)-INDEX(LE_Curves!$B$5:$B$205,MATCH($B116,LE_Curves!$K$5:$K$205,1)))/(INDEX(LE_Curves!$K$5:$K$205,MATCH($B116,LE_Curves!$K$5:$K$205,1)+1)-INDEX(LE_Curves!$K$5:$K$205,MATCH($B116,LE_Curves!$K$5:$K$205,1))))))</f>
        <v/>
      </c>
      <c r="L116" s="11">
        <f>IF(Inputs!$D$32=0,0,IF($B116&lt;=Inputs!$C$32,0,IF($B116&gt;=INDEX(LE_Curves!$L$5:$L$205,201),INDEX(LE_Curves!$B$5:$B$205,201),INDEX(LE_Curves!$B$5:$B$205,MATCH($B116,LE_Curves!$L$5:$L$205,1))+($B116-INDEX(LE_Curves!$L$5:$L$205,MATCH($B116,LE_Curves!$L$5:$L$205,1)))*(INDEX(LE_Curves!$B$5:$B$205,MATCH($B116,LE_Curves!$L$5:$L$205,1)+1)-INDEX(LE_Curves!$B$5:$B$205,MATCH($B116,LE_Curves!$L$5:$L$205,1)))/(INDEX(LE_Curves!$L$5:$L$205,MATCH($B116,LE_Curves!$L$5:$L$205,1)+1)-INDEX(LE_Curves!$L$5:$L$205,MATCH($B116,LE_Curves!$L$5:$L$205,1))))))</f>
        <v/>
      </c>
      <c r="M116" s="11">
        <f>IF(Inputs!$D$33=0,0,IF($B116&lt;=Inputs!$C$33,0,IF($B116&gt;=INDEX(LE_Curves!$M$5:$M$205,201),INDEX(LE_Curves!$B$5:$B$205,201),INDEX(LE_Curves!$B$5:$B$205,MATCH($B116,LE_Curves!$M$5:$M$205,1))+($B116-INDEX(LE_Curves!$M$5:$M$205,MATCH($B116,LE_Curves!$M$5:$M$205,1)))*(INDEX(LE_Curves!$B$5:$B$205,MATCH($B116,LE_Curves!$M$5:$M$205,1)+1)-INDEX(LE_Curves!$B$5:$B$205,MATCH($B116,LE_Curves!$M$5:$M$205,1)))/(INDEX(LE_Curves!$M$5:$M$205,MATCH($B116,LE_Curves!$M$5:$M$205,1)+1)-INDEX(LE_Curves!$M$5:$M$205,MATCH($B116,LE_Curves!$M$5:$M$205,1))))))</f>
        <v/>
      </c>
      <c r="N116" s="11">
        <f>IF(Inputs!$D$34=0,0,IF($B116&lt;=Inputs!$C$34,0,IF($B116&gt;=INDEX(LE_Curves!$N$5:$N$205,201),INDEX(LE_Curves!$B$5:$B$205,201),INDEX(LE_Curves!$B$5:$B$205,MATCH($B116,LE_Curves!$N$5:$N$205,1))+($B116-INDEX(LE_Curves!$N$5:$N$205,MATCH($B116,LE_Curves!$N$5:$N$205,1)))*(INDEX(LE_Curves!$B$5:$B$205,MATCH($B116,LE_Curves!$N$5:$N$205,1)+1)-INDEX(LE_Curves!$B$5:$B$205,MATCH($B116,LE_Curves!$N$5:$N$205,1)))/(INDEX(LE_Curves!$N$5:$N$205,MATCH($B116,LE_Curves!$N$5:$N$205,1)+1)-INDEX(LE_Curves!$N$5:$N$205,MATCH($B116,LE_Curves!$N$5:$N$205,1))))))</f>
        <v/>
      </c>
      <c r="O116" s="11">
        <f>SUM(C116:N116)</f>
        <v/>
      </c>
      <c r="Q116" s="7" t="n">
        <v>85</v>
      </c>
      <c r="R116" s="23">
        <f>$B$6+($B$7-$B$6)*Q116/200</f>
        <v/>
      </c>
      <c r="S116" s="11">
        <f>IF(Inputs!$D$23=0,0,IF($R116&lt;=Inputs!$C$23,0,IF($R116&gt;=INDEX(LE_Curves!$C$5:$C$205,201),INDEX(LE_Curves!$B$5:$B$205,201),INDEX(LE_Curves!$B$5:$B$205,MATCH($R116,LE_Curves!$C$5:$C$205,1))+($R116-INDEX(LE_Curves!$C$5:$C$205,MATCH($R116,LE_Curves!$C$5:$C$205,1)))*(INDEX(LE_Curves!$B$5:$B$205,MATCH($R116,LE_Curves!$C$5:$C$205,1)+1)-INDEX(LE_Curves!$B$5:$B$205,MATCH($R116,LE_Curves!$C$5:$C$205,1)))/(INDEX(LE_Curves!$C$5:$C$205,MATCH($R116,LE_Curves!$C$5:$C$205,1)+1)-INDEX(LE_Curves!$C$5:$C$205,MATCH($R116,LE_Curves!$C$5:$C$205,1))))))</f>
        <v/>
      </c>
      <c r="T116" s="11">
        <f>IF(Inputs!$D$24=0,0,IF($R116&lt;=Inputs!$C$24,0,IF($R116&gt;=INDEX(LE_Curves!$D$5:$D$205,201),INDEX(LE_Curves!$B$5:$B$205,201),INDEX(LE_Curves!$B$5:$B$205,MATCH($R116,LE_Curves!$D$5:$D$205,1))+($R116-INDEX(LE_Curves!$D$5:$D$205,MATCH($R116,LE_Curves!$D$5:$D$205,1)))*(INDEX(LE_Curves!$B$5:$B$205,MATCH($R116,LE_Curves!$D$5:$D$205,1)+1)-INDEX(LE_Curves!$B$5:$B$205,MATCH($R116,LE_Curves!$D$5:$D$205,1)))/(INDEX(LE_Curves!$D$5:$D$205,MATCH($R116,LE_Curves!$D$5:$D$205,1)+1)-INDEX(LE_Curves!$D$5:$D$205,MATCH($R116,LE_Curves!$D$5:$D$205,1))))))</f>
        <v/>
      </c>
      <c r="U116" s="11">
        <f>IF(Inputs!$D$25=0,0,IF($R116&lt;=Inputs!$C$25,0,IF($R116&gt;=INDEX(LE_Curves!$E$5:$E$205,201),INDEX(LE_Curves!$B$5:$B$205,201),INDEX(LE_Curves!$B$5:$B$205,MATCH($R116,LE_Curves!$E$5:$E$205,1))+($R116-INDEX(LE_Curves!$E$5:$E$205,MATCH($R116,LE_Curves!$E$5:$E$205,1)))*(INDEX(LE_Curves!$B$5:$B$205,MATCH($R116,LE_Curves!$E$5:$E$205,1)+1)-INDEX(LE_Curves!$B$5:$B$205,MATCH($R116,LE_Curves!$E$5:$E$205,1)))/(INDEX(LE_Curves!$E$5:$E$205,MATCH($R116,LE_Curves!$E$5:$E$205,1)+1)-INDEX(LE_Curves!$E$5:$E$205,MATCH($R116,LE_Curves!$E$5:$E$205,1))))))</f>
        <v/>
      </c>
      <c r="V116" s="11">
        <f>IF(Inputs!$D$26=0,0,IF($R116&lt;=Inputs!$C$26,0,IF($R116&gt;=INDEX(LE_Curves!$F$5:$F$205,201),INDEX(LE_Curves!$B$5:$B$205,201),INDEX(LE_Curves!$B$5:$B$205,MATCH($R116,LE_Curves!$F$5:$F$205,1))+($R116-INDEX(LE_Curves!$F$5:$F$205,MATCH($R116,LE_Curves!$F$5:$F$205,1)))*(INDEX(LE_Curves!$B$5:$B$205,MATCH($R116,LE_Curves!$F$5:$F$205,1)+1)-INDEX(LE_Curves!$B$5:$B$205,MATCH($R116,LE_Curves!$F$5:$F$205,1)))/(INDEX(LE_Curves!$F$5:$F$205,MATCH($R116,LE_Curves!$F$5:$F$205,1)+1)-INDEX(LE_Curves!$F$5:$F$205,MATCH($R116,LE_Curves!$F$5:$F$205,1))))))</f>
        <v/>
      </c>
      <c r="W116" s="11">
        <f>IF(Inputs!$D$27=0,0,IF($R116&lt;=Inputs!$C$27,0,IF($R116&gt;=INDEX(LE_Curves!$G$5:$G$205,201),INDEX(LE_Curves!$B$5:$B$205,201),INDEX(LE_Curves!$B$5:$B$205,MATCH($R116,LE_Curves!$G$5:$G$205,1))+($R116-INDEX(LE_Curves!$G$5:$G$205,MATCH($R116,LE_Curves!$G$5:$G$205,1)))*(INDEX(LE_Curves!$B$5:$B$205,MATCH($R116,LE_Curves!$G$5:$G$205,1)+1)-INDEX(LE_Curves!$B$5:$B$205,MATCH($R116,LE_Curves!$G$5:$G$205,1)))/(INDEX(LE_Curves!$G$5:$G$205,MATCH($R116,LE_Curves!$G$5:$G$205,1)+1)-INDEX(LE_Curves!$G$5:$G$205,MATCH($R116,LE_Curves!$G$5:$G$205,1))))))</f>
        <v/>
      </c>
      <c r="X116" s="11">
        <f>IF(Inputs!$D$28=0,0,IF($R116&lt;=Inputs!$C$28,0,IF($R116&gt;=INDEX(LE_Curves!$H$5:$H$205,201),INDEX(LE_Curves!$B$5:$B$205,201),INDEX(LE_Curves!$B$5:$B$205,MATCH($R116,LE_Curves!$H$5:$H$205,1))+($R116-INDEX(LE_Curves!$H$5:$H$205,MATCH($R116,LE_Curves!$H$5:$H$205,1)))*(INDEX(LE_Curves!$B$5:$B$205,MATCH($R116,LE_Curves!$H$5:$H$205,1)+1)-INDEX(LE_Curves!$B$5:$B$205,MATCH($R116,LE_Curves!$H$5:$H$205,1)))/(INDEX(LE_Curves!$H$5:$H$205,MATCH($R116,LE_Curves!$H$5:$H$205,1)+1)-INDEX(LE_Curves!$H$5:$H$205,MATCH($R116,LE_Curves!$H$5:$H$205,1))))))</f>
        <v/>
      </c>
      <c r="Y116" s="11">
        <f>IF(Inputs!$D$29=0,0,IF($R116&lt;=Inputs!$C$29,0,IF($R116&gt;=INDEX(LE_Curves!$I$5:$I$205,201),INDEX(LE_Curves!$B$5:$B$205,201),INDEX(LE_Curves!$B$5:$B$205,MATCH($R116,LE_Curves!$I$5:$I$205,1))+($R116-INDEX(LE_Curves!$I$5:$I$205,MATCH($R116,LE_Curves!$I$5:$I$205,1)))*(INDEX(LE_Curves!$B$5:$B$205,MATCH($R116,LE_Curves!$I$5:$I$205,1)+1)-INDEX(LE_Curves!$B$5:$B$205,MATCH($R116,LE_Curves!$I$5:$I$205,1)))/(INDEX(LE_Curves!$I$5:$I$205,MATCH($R116,LE_Curves!$I$5:$I$205,1)+1)-INDEX(LE_Curves!$I$5:$I$205,MATCH($R116,LE_Curves!$I$5:$I$205,1))))))</f>
        <v/>
      </c>
      <c r="Z116" s="11">
        <f>IF(Inputs!$D$30=0,0,IF($R116&lt;=Inputs!$C$30,0,IF($R116&gt;=INDEX(LE_Curves!$J$5:$J$205,201),INDEX(LE_Curves!$B$5:$B$205,201),INDEX(LE_Curves!$B$5:$B$205,MATCH($R116,LE_Curves!$J$5:$J$205,1))+($R116-INDEX(LE_Curves!$J$5:$J$205,MATCH($R116,LE_Curves!$J$5:$J$205,1)))*(INDEX(LE_Curves!$B$5:$B$205,MATCH($R116,LE_Curves!$J$5:$J$205,1)+1)-INDEX(LE_Curves!$B$5:$B$205,MATCH($R116,LE_Curves!$J$5:$J$205,1)))/(INDEX(LE_Curves!$J$5:$J$205,MATCH($R116,LE_Curves!$J$5:$J$205,1)+1)-INDEX(LE_Curves!$J$5:$J$205,MATCH($R116,LE_Curves!$J$5:$J$205,1))))))</f>
        <v/>
      </c>
      <c r="AA116" s="11">
        <f>IF(Inputs!$D$31=0,0,IF($R116&lt;=Inputs!$C$31,0,IF($R116&gt;=INDEX(LE_Curves!$K$5:$K$205,201),INDEX(LE_Curves!$B$5:$B$205,201),INDEX(LE_Curves!$B$5:$B$205,MATCH($R116,LE_Curves!$K$5:$K$205,1))+($R116-INDEX(LE_Curves!$K$5:$K$205,MATCH($R116,LE_Curves!$K$5:$K$205,1)))*(INDEX(LE_Curves!$B$5:$B$205,MATCH($R116,LE_Curves!$K$5:$K$205,1)+1)-INDEX(LE_Curves!$B$5:$B$205,MATCH($R116,LE_Curves!$K$5:$K$205,1)))/(INDEX(LE_Curves!$K$5:$K$205,MATCH($R116,LE_Curves!$K$5:$K$205,1)+1)-INDEX(LE_Curves!$K$5:$K$205,MATCH($R116,LE_Curves!$K$5:$K$205,1))))))</f>
        <v/>
      </c>
      <c r="AB116" s="11">
        <f>IF(Inputs!$D$32=0,0,IF($R116&lt;=Inputs!$C$32,0,IF($R116&gt;=INDEX(LE_Curves!$L$5:$L$205,201),INDEX(LE_Curves!$B$5:$B$205,201),INDEX(LE_Curves!$B$5:$B$205,MATCH($R116,LE_Curves!$L$5:$L$205,1))+($R116-INDEX(LE_Curves!$L$5:$L$205,MATCH($R116,LE_Curves!$L$5:$L$205,1)))*(INDEX(LE_Curves!$B$5:$B$205,MATCH($R116,LE_Curves!$L$5:$L$205,1)+1)-INDEX(LE_Curves!$B$5:$B$205,MATCH($R116,LE_Curves!$L$5:$L$205,1)))/(INDEX(LE_Curves!$L$5:$L$205,MATCH($R116,LE_Curves!$L$5:$L$205,1)+1)-INDEX(LE_Curves!$L$5:$L$205,MATCH($R116,LE_Curves!$L$5:$L$205,1))))))</f>
        <v/>
      </c>
      <c r="AC116" s="11">
        <f>IF(Inputs!$D$33=0,0,IF($R116&lt;=Inputs!$C$33,0,IF($R116&gt;=INDEX(LE_Curves!$M$5:$M$205,201),INDEX(LE_Curves!$B$5:$B$205,201),INDEX(LE_Curves!$B$5:$B$205,MATCH($R116,LE_Curves!$M$5:$M$205,1))+($R116-INDEX(LE_Curves!$M$5:$M$205,MATCH($R116,LE_Curves!$M$5:$M$205,1)))*(INDEX(LE_Curves!$B$5:$B$205,MATCH($R116,LE_Curves!$M$5:$M$205,1)+1)-INDEX(LE_Curves!$B$5:$B$205,MATCH($R116,LE_Curves!$M$5:$M$205,1)))/(INDEX(LE_Curves!$M$5:$M$205,MATCH($R116,LE_Curves!$M$5:$M$205,1)+1)-INDEX(LE_Curves!$M$5:$M$205,MATCH($R116,LE_Curves!$M$5:$M$205,1))))))</f>
        <v/>
      </c>
      <c r="AD116" s="11">
        <f>IF(Inputs!$D$34=0,0,IF($R116&lt;=Inputs!$C$34,0,IF($R116&gt;=INDEX(LE_Curves!$N$5:$N$205,201),INDEX(LE_Curves!$B$5:$B$205,201),INDEX(LE_Curves!$B$5:$B$205,MATCH($R116,LE_Curves!$N$5:$N$205,1))+($R116-INDEX(LE_Curves!$N$5:$N$205,MATCH($R116,LE_Curves!$N$5:$N$205,1)))*(INDEX(LE_Curves!$B$5:$B$205,MATCH($R116,LE_Curves!$N$5:$N$205,1)+1)-INDEX(LE_Curves!$B$5:$B$205,MATCH($R116,LE_Curves!$N$5:$N$205,1)))/(INDEX(LE_Curves!$N$5:$N$205,MATCH($R116,LE_Curves!$N$5:$N$205,1)+1)-INDEX(LE_Curves!$N$5:$N$205,MATCH($R116,LE_Curves!$N$5:$N$205,1))))))</f>
        <v/>
      </c>
      <c r="AE116" s="37">
        <f>SUM(S116:AD116)</f>
        <v/>
      </c>
    </row>
    <row r="117">
      <c r="A117" s="7" t="n">
        <v>86</v>
      </c>
      <c r="B117" s="37">
        <f>$B$3+($B$4-$B$3)*A117/200</f>
        <v/>
      </c>
      <c r="C117" s="11">
        <f>IF(Inputs!$D$23=0,0,IF($B117&lt;=Inputs!$C$23,0,IF($B117&gt;=INDEX(LE_Curves!$C$5:$C$205,201),INDEX(LE_Curves!$B$5:$B$205,201),INDEX(LE_Curves!$B$5:$B$205,MATCH($B117,LE_Curves!$C$5:$C$205,1))+($B117-INDEX(LE_Curves!$C$5:$C$205,MATCH($B117,LE_Curves!$C$5:$C$205,1)))*(INDEX(LE_Curves!$B$5:$B$205,MATCH($B117,LE_Curves!$C$5:$C$205,1)+1)-INDEX(LE_Curves!$B$5:$B$205,MATCH($B117,LE_Curves!$C$5:$C$205,1)))/(INDEX(LE_Curves!$C$5:$C$205,MATCH($B117,LE_Curves!$C$5:$C$205,1)+1)-INDEX(LE_Curves!$C$5:$C$205,MATCH($B117,LE_Curves!$C$5:$C$205,1))))))</f>
        <v/>
      </c>
      <c r="D117" s="11">
        <f>IF(Inputs!$D$24=0,0,IF($B117&lt;=Inputs!$C$24,0,IF($B117&gt;=INDEX(LE_Curves!$D$5:$D$205,201),INDEX(LE_Curves!$B$5:$B$205,201),INDEX(LE_Curves!$B$5:$B$205,MATCH($B117,LE_Curves!$D$5:$D$205,1))+($B117-INDEX(LE_Curves!$D$5:$D$205,MATCH($B117,LE_Curves!$D$5:$D$205,1)))*(INDEX(LE_Curves!$B$5:$B$205,MATCH($B117,LE_Curves!$D$5:$D$205,1)+1)-INDEX(LE_Curves!$B$5:$B$205,MATCH($B117,LE_Curves!$D$5:$D$205,1)))/(INDEX(LE_Curves!$D$5:$D$205,MATCH($B117,LE_Curves!$D$5:$D$205,1)+1)-INDEX(LE_Curves!$D$5:$D$205,MATCH($B117,LE_Curves!$D$5:$D$205,1))))))</f>
        <v/>
      </c>
      <c r="E117" s="11">
        <f>IF(Inputs!$D$25=0,0,IF($B117&lt;=Inputs!$C$25,0,IF($B117&gt;=INDEX(LE_Curves!$E$5:$E$205,201),INDEX(LE_Curves!$B$5:$B$205,201),INDEX(LE_Curves!$B$5:$B$205,MATCH($B117,LE_Curves!$E$5:$E$205,1))+($B117-INDEX(LE_Curves!$E$5:$E$205,MATCH($B117,LE_Curves!$E$5:$E$205,1)))*(INDEX(LE_Curves!$B$5:$B$205,MATCH($B117,LE_Curves!$E$5:$E$205,1)+1)-INDEX(LE_Curves!$B$5:$B$205,MATCH($B117,LE_Curves!$E$5:$E$205,1)))/(INDEX(LE_Curves!$E$5:$E$205,MATCH($B117,LE_Curves!$E$5:$E$205,1)+1)-INDEX(LE_Curves!$E$5:$E$205,MATCH($B117,LE_Curves!$E$5:$E$205,1))))))</f>
        <v/>
      </c>
      <c r="F117" s="11">
        <f>IF(Inputs!$D$26=0,0,IF($B117&lt;=Inputs!$C$26,0,IF($B117&gt;=INDEX(LE_Curves!$F$5:$F$205,201),INDEX(LE_Curves!$B$5:$B$205,201),INDEX(LE_Curves!$B$5:$B$205,MATCH($B117,LE_Curves!$F$5:$F$205,1))+($B117-INDEX(LE_Curves!$F$5:$F$205,MATCH($B117,LE_Curves!$F$5:$F$205,1)))*(INDEX(LE_Curves!$B$5:$B$205,MATCH($B117,LE_Curves!$F$5:$F$205,1)+1)-INDEX(LE_Curves!$B$5:$B$205,MATCH($B117,LE_Curves!$F$5:$F$205,1)))/(INDEX(LE_Curves!$F$5:$F$205,MATCH($B117,LE_Curves!$F$5:$F$205,1)+1)-INDEX(LE_Curves!$F$5:$F$205,MATCH($B117,LE_Curves!$F$5:$F$205,1))))))</f>
        <v/>
      </c>
      <c r="G117" s="11">
        <f>IF(Inputs!$D$27=0,0,IF($B117&lt;=Inputs!$C$27,0,IF($B117&gt;=INDEX(LE_Curves!$G$5:$G$205,201),INDEX(LE_Curves!$B$5:$B$205,201),INDEX(LE_Curves!$B$5:$B$205,MATCH($B117,LE_Curves!$G$5:$G$205,1))+($B117-INDEX(LE_Curves!$G$5:$G$205,MATCH($B117,LE_Curves!$G$5:$G$205,1)))*(INDEX(LE_Curves!$B$5:$B$205,MATCH($B117,LE_Curves!$G$5:$G$205,1)+1)-INDEX(LE_Curves!$B$5:$B$205,MATCH($B117,LE_Curves!$G$5:$G$205,1)))/(INDEX(LE_Curves!$G$5:$G$205,MATCH($B117,LE_Curves!$G$5:$G$205,1)+1)-INDEX(LE_Curves!$G$5:$G$205,MATCH($B117,LE_Curves!$G$5:$G$205,1))))))</f>
        <v/>
      </c>
      <c r="H117" s="11">
        <f>IF(Inputs!$D$28=0,0,IF($B117&lt;=Inputs!$C$28,0,IF($B117&gt;=INDEX(LE_Curves!$H$5:$H$205,201),INDEX(LE_Curves!$B$5:$B$205,201),INDEX(LE_Curves!$B$5:$B$205,MATCH($B117,LE_Curves!$H$5:$H$205,1))+($B117-INDEX(LE_Curves!$H$5:$H$205,MATCH($B117,LE_Curves!$H$5:$H$205,1)))*(INDEX(LE_Curves!$B$5:$B$205,MATCH($B117,LE_Curves!$H$5:$H$205,1)+1)-INDEX(LE_Curves!$B$5:$B$205,MATCH($B117,LE_Curves!$H$5:$H$205,1)))/(INDEX(LE_Curves!$H$5:$H$205,MATCH($B117,LE_Curves!$H$5:$H$205,1)+1)-INDEX(LE_Curves!$H$5:$H$205,MATCH($B117,LE_Curves!$H$5:$H$205,1))))))</f>
        <v/>
      </c>
      <c r="I117" s="11">
        <f>IF(Inputs!$D$29=0,0,IF($B117&lt;=Inputs!$C$29,0,IF($B117&gt;=INDEX(LE_Curves!$I$5:$I$205,201),INDEX(LE_Curves!$B$5:$B$205,201),INDEX(LE_Curves!$B$5:$B$205,MATCH($B117,LE_Curves!$I$5:$I$205,1))+($B117-INDEX(LE_Curves!$I$5:$I$205,MATCH($B117,LE_Curves!$I$5:$I$205,1)))*(INDEX(LE_Curves!$B$5:$B$205,MATCH($B117,LE_Curves!$I$5:$I$205,1)+1)-INDEX(LE_Curves!$B$5:$B$205,MATCH($B117,LE_Curves!$I$5:$I$205,1)))/(INDEX(LE_Curves!$I$5:$I$205,MATCH($B117,LE_Curves!$I$5:$I$205,1)+1)-INDEX(LE_Curves!$I$5:$I$205,MATCH($B117,LE_Curves!$I$5:$I$205,1))))))</f>
        <v/>
      </c>
      <c r="J117" s="11">
        <f>IF(Inputs!$D$30=0,0,IF($B117&lt;=Inputs!$C$30,0,IF($B117&gt;=INDEX(LE_Curves!$J$5:$J$205,201),INDEX(LE_Curves!$B$5:$B$205,201),INDEX(LE_Curves!$B$5:$B$205,MATCH($B117,LE_Curves!$J$5:$J$205,1))+($B117-INDEX(LE_Curves!$J$5:$J$205,MATCH($B117,LE_Curves!$J$5:$J$205,1)))*(INDEX(LE_Curves!$B$5:$B$205,MATCH($B117,LE_Curves!$J$5:$J$205,1)+1)-INDEX(LE_Curves!$B$5:$B$205,MATCH($B117,LE_Curves!$J$5:$J$205,1)))/(INDEX(LE_Curves!$J$5:$J$205,MATCH($B117,LE_Curves!$J$5:$J$205,1)+1)-INDEX(LE_Curves!$J$5:$J$205,MATCH($B117,LE_Curves!$J$5:$J$205,1))))))</f>
        <v/>
      </c>
      <c r="K117" s="11">
        <f>IF(Inputs!$D$31=0,0,IF($B117&lt;=Inputs!$C$31,0,IF($B117&gt;=INDEX(LE_Curves!$K$5:$K$205,201),INDEX(LE_Curves!$B$5:$B$205,201),INDEX(LE_Curves!$B$5:$B$205,MATCH($B117,LE_Curves!$K$5:$K$205,1))+($B117-INDEX(LE_Curves!$K$5:$K$205,MATCH($B117,LE_Curves!$K$5:$K$205,1)))*(INDEX(LE_Curves!$B$5:$B$205,MATCH($B117,LE_Curves!$K$5:$K$205,1)+1)-INDEX(LE_Curves!$B$5:$B$205,MATCH($B117,LE_Curves!$K$5:$K$205,1)))/(INDEX(LE_Curves!$K$5:$K$205,MATCH($B117,LE_Curves!$K$5:$K$205,1)+1)-INDEX(LE_Curves!$K$5:$K$205,MATCH($B117,LE_Curves!$K$5:$K$205,1))))))</f>
        <v/>
      </c>
      <c r="L117" s="11">
        <f>IF(Inputs!$D$32=0,0,IF($B117&lt;=Inputs!$C$32,0,IF($B117&gt;=INDEX(LE_Curves!$L$5:$L$205,201),INDEX(LE_Curves!$B$5:$B$205,201),INDEX(LE_Curves!$B$5:$B$205,MATCH($B117,LE_Curves!$L$5:$L$205,1))+($B117-INDEX(LE_Curves!$L$5:$L$205,MATCH($B117,LE_Curves!$L$5:$L$205,1)))*(INDEX(LE_Curves!$B$5:$B$205,MATCH($B117,LE_Curves!$L$5:$L$205,1)+1)-INDEX(LE_Curves!$B$5:$B$205,MATCH($B117,LE_Curves!$L$5:$L$205,1)))/(INDEX(LE_Curves!$L$5:$L$205,MATCH($B117,LE_Curves!$L$5:$L$205,1)+1)-INDEX(LE_Curves!$L$5:$L$205,MATCH($B117,LE_Curves!$L$5:$L$205,1))))))</f>
        <v/>
      </c>
      <c r="M117" s="11">
        <f>IF(Inputs!$D$33=0,0,IF($B117&lt;=Inputs!$C$33,0,IF($B117&gt;=INDEX(LE_Curves!$M$5:$M$205,201),INDEX(LE_Curves!$B$5:$B$205,201),INDEX(LE_Curves!$B$5:$B$205,MATCH($B117,LE_Curves!$M$5:$M$205,1))+($B117-INDEX(LE_Curves!$M$5:$M$205,MATCH($B117,LE_Curves!$M$5:$M$205,1)))*(INDEX(LE_Curves!$B$5:$B$205,MATCH($B117,LE_Curves!$M$5:$M$205,1)+1)-INDEX(LE_Curves!$B$5:$B$205,MATCH($B117,LE_Curves!$M$5:$M$205,1)))/(INDEX(LE_Curves!$M$5:$M$205,MATCH($B117,LE_Curves!$M$5:$M$205,1)+1)-INDEX(LE_Curves!$M$5:$M$205,MATCH($B117,LE_Curves!$M$5:$M$205,1))))))</f>
        <v/>
      </c>
      <c r="N117" s="11">
        <f>IF(Inputs!$D$34=0,0,IF($B117&lt;=Inputs!$C$34,0,IF($B117&gt;=INDEX(LE_Curves!$N$5:$N$205,201),INDEX(LE_Curves!$B$5:$B$205,201),INDEX(LE_Curves!$B$5:$B$205,MATCH($B117,LE_Curves!$N$5:$N$205,1))+($B117-INDEX(LE_Curves!$N$5:$N$205,MATCH($B117,LE_Curves!$N$5:$N$205,1)))*(INDEX(LE_Curves!$B$5:$B$205,MATCH($B117,LE_Curves!$N$5:$N$205,1)+1)-INDEX(LE_Curves!$B$5:$B$205,MATCH($B117,LE_Curves!$N$5:$N$205,1)))/(INDEX(LE_Curves!$N$5:$N$205,MATCH($B117,LE_Curves!$N$5:$N$205,1)+1)-INDEX(LE_Curves!$N$5:$N$205,MATCH($B117,LE_Curves!$N$5:$N$205,1))))))</f>
        <v/>
      </c>
      <c r="O117" s="11">
        <f>SUM(C117:N117)</f>
        <v/>
      </c>
      <c r="Q117" s="7" t="n">
        <v>86</v>
      </c>
      <c r="R117" s="23">
        <f>$B$6+($B$7-$B$6)*Q117/200</f>
        <v/>
      </c>
      <c r="S117" s="11">
        <f>IF(Inputs!$D$23=0,0,IF($R117&lt;=Inputs!$C$23,0,IF($R117&gt;=INDEX(LE_Curves!$C$5:$C$205,201),INDEX(LE_Curves!$B$5:$B$205,201),INDEX(LE_Curves!$B$5:$B$205,MATCH($R117,LE_Curves!$C$5:$C$205,1))+($R117-INDEX(LE_Curves!$C$5:$C$205,MATCH($R117,LE_Curves!$C$5:$C$205,1)))*(INDEX(LE_Curves!$B$5:$B$205,MATCH($R117,LE_Curves!$C$5:$C$205,1)+1)-INDEX(LE_Curves!$B$5:$B$205,MATCH($R117,LE_Curves!$C$5:$C$205,1)))/(INDEX(LE_Curves!$C$5:$C$205,MATCH($R117,LE_Curves!$C$5:$C$205,1)+1)-INDEX(LE_Curves!$C$5:$C$205,MATCH($R117,LE_Curves!$C$5:$C$205,1))))))</f>
        <v/>
      </c>
      <c r="T117" s="11">
        <f>IF(Inputs!$D$24=0,0,IF($R117&lt;=Inputs!$C$24,0,IF($R117&gt;=INDEX(LE_Curves!$D$5:$D$205,201),INDEX(LE_Curves!$B$5:$B$205,201),INDEX(LE_Curves!$B$5:$B$205,MATCH($R117,LE_Curves!$D$5:$D$205,1))+($R117-INDEX(LE_Curves!$D$5:$D$205,MATCH($R117,LE_Curves!$D$5:$D$205,1)))*(INDEX(LE_Curves!$B$5:$B$205,MATCH($R117,LE_Curves!$D$5:$D$205,1)+1)-INDEX(LE_Curves!$B$5:$B$205,MATCH($R117,LE_Curves!$D$5:$D$205,1)))/(INDEX(LE_Curves!$D$5:$D$205,MATCH($R117,LE_Curves!$D$5:$D$205,1)+1)-INDEX(LE_Curves!$D$5:$D$205,MATCH($R117,LE_Curves!$D$5:$D$205,1))))))</f>
        <v/>
      </c>
      <c r="U117" s="11">
        <f>IF(Inputs!$D$25=0,0,IF($R117&lt;=Inputs!$C$25,0,IF($R117&gt;=INDEX(LE_Curves!$E$5:$E$205,201),INDEX(LE_Curves!$B$5:$B$205,201),INDEX(LE_Curves!$B$5:$B$205,MATCH($R117,LE_Curves!$E$5:$E$205,1))+($R117-INDEX(LE_Curves!$E$5:$E$205,MATCH($R117,LE_Curves!$E$5:$E$205,1)))*(INDEX(LE_Curves!$B$5:$B$205,MATCH($R117,LE_Curves!$E$5:$E$205,1)+1)-INDEX(LE_Curves!$B$5:$B$205,MATCH($R117,LE_Curves!$E$5:$E$205,1)))/(INDEX(LE_Curves!$E$5:$E$205,MATCH($R117,LE_Curves!$E$5:$E$205,1)+1)-INDEX(LE_Curves!$E$5:$E$205,MATCH($R117,LE_Curves!$E$5:$E$205,1))))))</f>
        <v/>
      </c>
      <c r="V117" s="11">
        <f>IF(Inputs!$D$26=0,0,IF($R117&lt;=Inputs!$C$26,0,IF($R117&gt;=INDEX(LE_Curves!$F$5:$F$205,201),INDEX(LE_Curves!$B$5:$B$205,201),INDEX(LE_Curves!$B$5:$B$205,MATCH($R117,LE_Curves!$F$5:$F$205,1))+($R117-INDEX(LE_Curves!$F$5:$F$205,MATCH($R117,LE_Curves!$F$5:$F$205,1)))*(INDEX(LE_Curves!$B$5:$B$205,MATCH($R117,LE_Curves!$F$5:$F$205,1)+1)-INDEX(LE_Curves!$B$5:$B$205,MATCH($R117,LE_Curves!$F$5:$F$205,1)))/(INDEX(LE_Curves!$F$5:$F$205,MATCH($R117,LE_Curves!$F$5:$F$205,1)+1)-INDEX(LE_Curves!$F$5:$F$205,MATCH($R117,LE_Curves!$F$5:$F$205,1))))))</f>
        <v/>
      </c>
      <c r="W117" s="11">
        <f>IF(Inputs!$D$27=0,0,IF($R117&lt;=Inputs!$C$27,0,IF($R117&gt;=INDEX(LE_Curves!$G$5:$G$205,201),INDEX(LE_Curves!$B$5:$B$205,201),INDEX(LE_Curves!$B$5:$B$205,MATCH($R117,LE_Curves!$G$5:$G$205,1))+($R117-INDEX(LE_Curves!$G$5:$G$205,MATCH($R117,LE_Curves!$G$5:$G$205,1)))*(INDEX(LE_Curves!$B$5:$B$205,MATCH($R117,LE_Curves!$G$5:$G$205,1)+1)-INDEX(LE_Curves!$B$5:$B$205,MATCH($R117,LE_Curves!$G$5:$G$205,1)))/(INDEX(LE_Curves!$G$5:$G$205,MATCH($R117,LE_Curves!$G$5:$G$205,1)+1)-INDEX(LE_Curves!$G$5:$G$205,MATCH($R117,LE_Curves!$G$5:$G$205,1))))))</f>
        <v/>
      </c>
      <c r="X117" s="11">
        <f>IF(Inputs!$D$28=0,0,IF($R117&lt;=Inputs!$C$28,0,IF($R117&gt;=INDEX(LE_Curves!$H$5:$H$205,201),INDEX(LE_Curves!$B$5:$B$205,201),INDEX(LE_Curves!$B$5:$B$205,MATCH($R117,LE_Curves!$H$5:$H$205,1))+($R117-INDEX(LE_Curves!$H$5:$H$205,MATCH($R117,LE_Curves!$H$5:$H$205,1)))*(INDEX(LE_Curves!$B$5:$B$205,MATCH($R117,LE_Curves!$H$5:$H$205,1)+1)-INDEX(LE_Curves!$B$5:$B$205,MATCH($R117,LE_Curves!$H$5:$H$205,1)))/(INDEX(LE_Curves!$H$5:$H$205,MATCH($R117,LE_Curves!$H$5:$H$205,1)+1)-INDEX(LE_Curves!$H$5:$H$205,MATCH($R117,LE_Curves!$H$5:$H$205,1))))))</f>
        <v/>
      </c>
      <c r="Y117" s="11">
        <f>IF(Inputs!$D$29=0,0,IF($R117&lt;=Inputs!$C$29,0,IF($R117&gt;=INDEX(LE_Curves!$I$5:$I$205,201),INDEX(LE_Curves!$B$5:$B$205,201),INDEX(LE_Curves!$B$5:$B$205,MATCH($R117,LE_Curves!$I$5:$I$205,1))+($R117-INDEX(LE_Curves!$I$5:$I$205,MATCH($R117,LE_Curves!$I$5:$I$205,1)))*(INDEX(LE_Curves!$B$5:$B$205,MATCH($R117,LE_Curves!$I$5:$I$205,1)+1)-INDEX(LE_Curves!$B$5:$B$205,MATCH($R117,LE_Curves!$I$5:$I$205,1)))/(INDEX(LE_Curves!$I$5:$I$205,MATCH($R117,LE_Curves!$I$5:$I$205,1)+1)-INDEX(LE_Curves!$I$5:$I$205,MATCH($R117,LE_Curves!$I$5:$I$205,1))))))</f>
        <v/>
      </c>
      <c r="Z117" s="11">
        <f>IF(Inputs!$D$30=0,0,IF($R117&lt;=Inputs!$C$30,0,IF($R117&gt;=INDEX(LE_Curves!$J$5:$J$205,201),INDEX(LE_Curves!$B$5:$B$205,201),INDEX(LE_Curves!$B$5:$B$205,MATCH($R117,LE_Curves!$J$5:$J$205,1))+($R117-INDEX(LE_Curves!$J$5:$J$205,MATCH($R117,LE_Curves!$J$5:$J$205,1)))*(INDEX(LE_Curves!$B$5:$B$205,MATCH($R117,LE_Curves!$J$5:$J$205,1)+1)-INDEX(LE_Curves!$B$5:$B$205,MATCH($R117,LE_Curves!$J$5:$J$205,1)))/(INDEX(LE_Curves!$J$5:$J$205,MATCH($R117,LE_Curves!$J$5:$J$205,1)+1)-INDEX(LE_Curves!$J$5:$J$205,MATCH($R117,LE_Curves!$J$5:$J$205,1))))))</f>
        <v/>
      </c>
      <c r="AA117" s="11">
        <f>IF(Inputs!$D$31=0,0,IF($R117&lt;=Inputs!$C$31,0,IF($R117&gt;=INDEX(LE_Curves!$K$5:$K$205,201),INDEX(LE_Curves!$B$5:$B$205,201),INDEX(LE_Curves!$B$5:$B$205,MATCH($R117,LE_Curves!$K$5:$K$205,1))+($R117-INDEX(LE_Curves!$K$5:$K$205,MATCH($R117,LE_Curves!$K$5:$K$205,1)))*(INDEX(LE_Curves!$B$5:$B$205,MATCH($R117,LE_Curves!$K$5:$K$205,1)+1)-INDEX(LE_Curves!$B$5:$B$205,MATCH($R117,LE_Curves!$K$5:$K$205,1)))/(INDEX(LE_Curves!$K$5:$K$205,MATCH($R117,LE_Curves!$K$5:$K$205,1)+1)-INDEX(LE_Curves!$K$5:$K$205,MATCH($R117,LE_Curves!$K$5:$K$205,1))))))</f>
        <v/>
      </c>
      <c r="AB117" s="11">
        <f>IF(Inputs!$D$32=0,0,IF($R117&lt;=Inputs!$C$32,0,IF($R117&gt;=INDEX(LE_Curves!$L$5:$L$205,201),INDEX(LE_Curves!$B$5:$B$205,201),INDEX(LE_Curves!$B$5:$B$205,MATCH($R117,LE_Curves!$L$5:$L$205,1))+($R117-INDEX(LE_Curves!$L$5:$L$205,MATCH($R117,LE_Curves!$L$5:$L$205,1)))*(INDEX(LE_Curves!$B$5:$B$205,MATCH($R117,LE_Curves!$L$5:$L$205,1)+1)-INDEX(LE_Curves!$B$5:$B$205,MATCH($R117,LE_Curves!$L$5:$L$205,1)))/(INDEX(LE_Curves!$L$5:$L$205,MATCH($R117,LE_Curves!$L$5:$L$205,1)+1)-INDEX(LE_Curves!$L$5:$L$205,MATCH($R117,LE_Curves!$L$5:$L$205,1))))))</f>
        <v/>
      </c>
      <c r="AC117" s="11">
        <f>IF(Inputs!$D$33=0,0,IF($R117&lt;=Inputs!$C$33,0,IF($R117&gt;=INDEX(LE_Curves!$M$5:$M$205,201),INDEX(LE_Curves!$B$5:$B$205,201),INDEX(LE_Curves!$B$5:$B$205,MATCH($R117,LE_Curves!$M$5:$M$205,1))+($R117-INDEX(LE_Curves!$M$5:$M$205,MATCH($R117,LE_Curves!$M$5:$M$205,1)))*(INDEX(LE_Curves!$B$5:$B$205,MATCH($R117,LE_Curves!$M$5:$M$205,1)+1)-INDEX(LE_Curves!$B$5:$B$205,MATCH($R117,LE_Curves!$M$5:$M$205,1)))/(INDEX(LE_Curves!$M$5:$M$205,MATCH($R117,LE_Curves!$M$5:$M$205,1)+1)-INDEX(LE_Curves!$M$5:$M$205,MATCH($R117,LE_Curves!$M$5:$M$205,1))))))</f>
        <v/>
      </c>
      <c r="AD117" s="11">
        <f>IF(Inputs!$D$34=0,0,IF($R117&lt;=Inputs!$C$34,0,IF($R117&gt;=INDEX(LE_Curves!$N$5:$N$205,201),INDEX(LE_Curves!$B$5:$B$205,201),INDEX(LE_Curves!$B$5:$B$205,MATCH($R117,LE_Curves!$N$5:$N$205,1))+($R117-INDEX(LE_Curves!$N$5:$N$205,MATCH($R117,LE_Curves!$N$5:$N$205,1)))*(INDEX(LE_Curves!$B$5:$B$205,MATCH($R117,LE_Curves!$N$5:$N$205,1)+1)-INDEX(LE_Curves!$B$5:$B$205,MATCH($R117,LE_Curves!$N$5:$N$205,1)))/(INDEX(LE_Curves!$N$5:$N$205,MATCH($R117,LE_Curves!$N$5:$N$205,1)+1)-INDEX(LE_Curves!$N$5:$N$205,MATCH($R117,LE_Curves!$N$5:$N$205,1))))))</f>
        <v/>
      </c>
      <c r="AE117" s="37">
        <f>SUM(S117:AD117)</f>
        <v/>
      </c>
    </row>
    <row r="118">
      <c r="A118" s="7" t="n">
        <v>87</v>
      </c>
      <c r="B118" s="37">
        <f>$B$3+($B$4-$B$3)*A118/200</f>
        <v/>
      </c>
      <c r="C118" s="11">
        <f>IF(Inputs!$D$23=0,0,IF($B118&lt;=Inputs!$C$23,0,IF($B118&gt;=INDEX(LE_Curves!$C$5:$C$205,201),INDEX(LE_Curves!$B$5:$B$205,201),INDEX(LE_Curves!$B$5:$B$205,MATCH($B118,LE_Curves!$C$5:$C$205,1))+($B118-INDEX(LE_Curves!$C$5:$C$205,MATCH($B118,LE_Curves!$C$5:$C$205,1)))*(INDEX(LE_Curves!$B$5:$B$205,MATCH($B118,LE_Curves!$C$5:$C$205,1)+1)-INDEX(LE_Curves!$B$5:$B$205,MATCH($B118,LE_Curves!$C$5:$C$205,1)))/(INDEX(LE_Curves!$C$5:$C$205,MATCH($B118,LE_Curves!$C$5:$C$205,1)+1)-INDEX(LE_Curves!$C$5:$C$205,MATCH($B118,LE_Curves!$C$5:$C$205,1))))))</f>
        <v/>
      </c>
      <c r="D118" s="11">
        <f>IF(Inputs!$D$24=0,0,IF($B118&lt;=Inputs!$C$24,0,IF($B118&gt;=INDEX(LE_Curves!$D$5:$D$205,201),INDEX(LE_Curves!$B$5:$B$205,201),INDEX(LE_Curves!$B$5:$B$205,MATCH($B118,LE_Curves!$D$5:$D$205,1))+($B118-INDEX(LE_Curves!$D$5:$D$205,MATCH($B118,LE_Curves!$D$5:$D$205,1)))*(INDEX(LE_Curves!$B$5:$B$205,MATCH($B118,LE_Curves!$D$5:$D$205,1)+1)-INDEX(LE_Curves!$B$5:$B$205,MATCH($B118,LE_Curves!$D$5:$D$205,1)))/(INDEX(LE_Curves!$D$5:$D$205,MATCH($B118,LE_Curves!$D$5:$D$205,1)+1)-INDEX(LE_Curves!$D$5:$D$205,MATCH($B118,LE_Curves!$D$5:$D$205,1))))))</f>
        <v/>
      </c>
      <c r="E118" s="11">
        <f>IF(Inputs!$D$25=0,0,IF($B118&lt;=Inputs!$C$25,0,IF($B118&gt;=INDEX(LE_Curves!$E$5:$E$205,201),INDEX(LE_Curves!$B$5:$B$205,201),INDEX(LE_Curves!$B$5:$B$205,MATCH($B118,LE_Curves!$E$5:$E$205,1))+($B118-INDEX(LE_Curves!$E$5:$E$205,MATCH($B118,LE_Curves!$E$5:$E$205,1)))*(INDEX(LE_Curves!$B$5:$B$205,MATCH($B118,LE_Curves!$E$5:$E$205,1)+1)-INDEX(LE_Curves!$B$5:$B$205,MATCH($B118,LE_Curves!$E$5:$E$205,1)))/(INDEX(LE_Curves!$E$5:$E$205,MATCH($B118,LE_Curves!$E$5:$E$205,1)+1)-INDEX(LE_Curves!$E$5:$E$205,MATCH($B118,LE_Curves!$E$5:$E$205,1))))))</f>
        <v/>
      </c>
      <c r="F118" s="11">
        <f>IF(Inputs!$D$26=0,0,IF($B118&lt;=Inputs!$C$26,0,IF($B118&gt;=INDEX(LE_Curves!$F$5:$F$205,201),INDEX(LE_Curves!$B$5:$B$205,201),INDEX(LE_Curves!$B$5:$B$205,MATCH($B118,LE_Curves!$F$5:$F$205,1))+($B118-INDEX(LE_Curves!$F$5:$F$205,MATCH($B118,LE_Curves!$F$5:$F$205,1)))*(INDEX(LE_Curves!$B$5:$B$205,MATCH($B118,LE_Curves!$F$5:$F$205,1)+1)-INDEX(LE_Curves!$B$5:$B$205,MATCH($B118,LE_Curves!$F$5:$F$205,1)))/(INDEX(LE_Curves!$F$5:$F$205,MATCH($B118,LE_Curves!$F$5:$F$205,1)+1)-INDEX(LE_Curves!$F$5:$F$205,MATCH($B118,LE_Curves!$F$5:$F$205,1))))))</f>
        <v/>
      </c>
      <c r="G118" s="11">
        <f>IF(Inputs!$D$27=0,0,IF($B118&lt;=Inputs!$C$27,0,IF($B118&gt;=INDEX(LE_Curves!$G$5:$G$205,201),INDEX(LE_Curves!$B$5:$B$205,201),INDEX(LE_Curves!$B$5:$B$205,MATCH($B118,LE_Curves!$G$5:$G$205,1))+($B118-INDEX(LE_Curves!$G$5:$G$205,MATCH($B118,LE_Curves!$G$5:$G$205,1)))*(INDEX(LE_Curves!$B$5:$B$205,MATCH($B118,LE_Curves!$G$5:$G$205,1)+1)-INDEX(LE_Curves!$B$5:$B$205,MATCH($B118,LE_Curves!$G$5:$G$205,1)))/(INDEX(LE_Curves!$G$5:$G$205,MATCH($B118,LE_Curves!$G$5:$G$205,1)+1)-INDEX(LE_Curves!$G$5:$G$205,MATCH($B118,LE_Curves!$G$5:$G$205,1))))))</f>
        <v/>
      </c>
      <c r="H118" s="11">
        <f>IF(Inputs!$D$28=0,0,IF($B118&lt;=Inputs!$C$28,0,IF($B118&gt;=INDEX(LE_Curves!$H$5:$H$205,201),INDEX(LE_Curves!$B$5:$B$205,201),INDEX(LE_Curves!$B$5:$B$205,MATCH($B118,LE_Curves!$H$5:$H$205,1))+($B118-INDEX(LE_Curves!$H$5:$H$205,MATCH($B118,LE_Curves!$H$5:$H$205,1)))*(INDEX(LE_Curves!$B$5:$B$205,MATCH($B118,LE_Curves!$H$5:$H$205,1)+1)-INDEX(LE_Curves!$B$5:$B$205,MATCH($B118,LE_Curves!$H$5:$H$205,1)))/(INDEX(LE_Curves!$H$5:$H$205,MATCH($B118,LE_Curves!$H$5:$H$205,1)+1)-INDEX(LE_Curves!$H$5:$H$205,MATCH($B118,LE_Curves!$H$5:$H$205,1))))))</f>
        <v/>
      </c>
      <c r="I118" s="11">
        <f>IF(Inputs!$D$29=0,0,IF($B118&lt;=Inputs!$C$29,0,IF($B118&gt;=INDEX(LE_Curves!$I$5:$I$205,201),INDEX(LE_Curves!$B$5:$B$205,201),INDEX(LE_Curves!$B$5:$B$205,MATCH($B118,LE_Curves!$I$5:$I$205,1))+($B118-INDEX(LE_Curves!$I$5:$I$205,MATCH($B118,LE_Curves!$I$5:$I$205,1)))*(INDEX(LE_Curves!$B$5:$B$205,MATCH($B118,LE_Curves!$I$5:$I$205,1)+1)-INDEX(LE_Curves!$B$5:$B$205,MATCH($B118,LE_Curves!$I$5:$I$205,1)))/(INDEX(LE_Curves!$I$5:$I$205,MATCH($B118,LE_Curves!$I$5:$I$205,1)+1)-INDEX(LE_Curves!$I$5:$I$205,MATCH($B118,LE_Curves!$I$5:$I$205,1))))))</f>
        <v/>
      </c>
      <c r="J118" s="11">
        <f>IF(Inputs!$D$30=0,0,IF($B118&lt;=Inputs!$C$30,0,IF($B118&gt;=INDEX(LE_Curves!$J$5:$J$205,201),INDEX(LE_Curves!$B$5:$B$205,201),INDEX(LE_Curves!$B$5:$B$205,MATCH($B118,LE_Curves!$J$5:$J$205,1))+($B118-INDEX(LE_Curves!$J$5:$J$205,MATCH($B118,LE_Curves!$J$5:$J$205,1)))*(INDEX(LE_Curves!$B$5:$B$205,MATCH($B118,LE_Curves!$J$5:$J$205,1)+1)-INDEX(LE_Curves!$B$5:$B$205,MATCH($B118,LE_Curves!$J$5:$J$205,1)))/(INDEX(LE_Curves!$J$5:$J$205,MATCH($B118,LE_Curves!$J$5:$J$205,1)+1)-INDEX(LE_Curves!$J$5:$J$205,MATCH($B118,LE_Curves!$J$5:$J$205,1))))))</f>
        <v/>
      </c>
      <c r="K118" s="11">
        <f>IF(Inputs!$D$31=0,0,IF($B118&lt;=Inputs!$C$31,0,IF($B118&gt;=INDEX(LE_Curves!$K$5:$K$205,201),INDEX(LE_Curves!$B$5:$B$205,201),INDEX(LE_Curves!$B$5:$B$205,MATCH($B118,LE_Curves!$K$5:$K$205,1))+($B118-INDEX(LE_Curves!$K$5:$K$205,MATCH($B118,LE_Curves!$K$5:$K$205,1)))*(INDEX(LE_Curves!$B$5:$B$205,MATCH($B118,LE_Curves!$K$5:$K$205,1)+1)-INDEX(LE_Curves!$B$5:$B$205,MATCH($B118,LE_Curves!$K$5:$K$205,1)))/(INDEX(LE_Curves!$K$5:$K$205,MATCH($B118,LE_Curves!$K$5:$K$205,1)+1)-INDEX(LE_Curves!$K$5:$K$205,MATCH($B118,LE_Curves!$K$5:$K$205,1))))))</f>
        <v/>
      </c>
      <c r="L118" s="11">
        <f>IF(Inputs!$D$32=0,0,IF($B118&lt;=Inputs!$C$32,0,IF($B118&gt;=INDEX(LE_Curves!$L$5:$L$205,201),INDEX(LE_Curves!$B$5:$B$205,201),INDEX(LE_Curves!$B$5:$B$205,MATCH($B118,LE_Curves!$L$5:$L$205,1))+($B118-INDEX(LE_Curves!$L$5:$L$205,MATCH($B118,LE_Curves!$L$5:$L$205,1)))*(INDEX(LE_Curves!$B$5:$B$205,MATCH($B118,LE_Curves!$L$5:$L$205,1)+1)-INDEX(LE_Curves!$B$5:$B$205,MATCH($B118,LE_Curves!$L$5:$L$205,1)))/(INDEX(LE_Curves!$L$5:$L$205,MATCH($B118,LE_Curves!$L$5:$L$205,1)+1)-INDEX(LE_Curves!$L$5:$L$205,MATCH($B118,LE_Curves!$L$5:$L$205,1))))))</f>
        <v/>
      </c>
      <c r="M118" s="11">
        <f>IF(Inputs!$D$33=0,0,IF($B118&lt;=Inputs!$C$33,0,IF($B118&gt;=INDEX(LE_Curves!$M$5:$M$205,201),INDEX(LE_Curves!$B$5:$B$205,201),INDEX(LE_Curves!$B$5:$B$205,MATCH($B118,LE_Curves!$M$5:$M$205,1))+($B118-INDEX(LE_Curves!$M$5:$M$205,MATCH($B118,LE_Curves!$M$5:$M$205,1)))*(INDEX(LE_Curves!$B$5:$B$205,MATCH($B118,LE_Curves!$M$5:$M$205,1)+1)-INDEX(LE_Curves!$B$5:$B$205,MATCH($B118,LE_Curves!$M$5:$M$205,1)))/(INDEX(LE_Curves!$M$5:$M$205,MATCH($B118,LE_Curves!$M$5:$M$205,1)+1)-INDEX(LE_Curves!$M$5:$M$205,MATCH($B118,LE_Curves!$M$5:$M$205,1))))))</f>
        <v/>
      </c>
      <c r="N118" s="11">
        <f>IF(Inputs!$D$34=0,0,IF($B118&lt;=Inputs!$C$34,0,IF($B118&gt;=INDEX(LE_Curves!$N$5:$N$205,201),INDEX(LE_Curves!$B$5:$B$205,201),INDEX(LE_Curves!$B$5:$B$205,MATCH($B118,LE_Curves!$N$5:$N$205,1))+($B118-INDEX(LE_Curves!$N$5:$N$205,MATCH($B118,LE_Curves!$N$5:$N$205,1)))*(INDEX(LE_Curves!$B$5:$B$205,MATCH($B118,LE_Curves!$N$5:$N$205,1)+1)-INDEX(LE_Curves!$B$5:$B$205,MATCH($B118,LE_Curves!$N$5:$N$205,1)))/(INDEX(LE_Curves!$N$5:$N$205,MATCH($B118,LE_Curves!$N$5:$N$205,1)+1)-INDEX(LE_Curves!$N$5:$N$205,MATCH($B118,LE_Curves!$N$5:$N$205,1))))))</f>
        <v/>
      </c>
      <c r="O118" s="11">
        <f>SUM(C118:N118)</f>
        <v/>
      </c>
      <c r="Q118" s="7" t="n">
        <v>87</v>
      </c>
      <c r="R118" s="23">
        <f>$B$6+($B$7-$B$6)*Q118/200</f>
        <v/>
      </c>
      <c r="S118" s="11">
        <f>IF(Inputs!$D$23=0,0,IF($R118&lt;=Inputs!$C$23,0,IF($R118&gt;=INDEX(LE_Curves!$C$5:$C$205,201),INDEX(LE_Curves!$B$5:$B$205,201),INDEX(LE_Curves!$B$5:$B$205,MATCH($R118,LE_Curves!$C$5:$C$205,1))+($R118-INDEX(LE_Curves!$C$5:$C$205,MATCH($R118,LE_Curves!$C$5:$C$205,1)))*(INDEX(LE_Curves!$B$5:$B$205,MATCH($R118,LE_Curves!$C$5:$C$205,1)+1)-INDEX(LE_Curves!$B$5:$B$205,MATCH($R118,LE_Curves!$C$5:$C$205,1)))/(INDEX(LE_Curves!$C$5:$C$205,MATCH($R118,LE_Curves!$C$5:$C$205,1)+1)-INDEX(LE_Curves!$C$5:$C$205,MATCH($R118,LE_Curves!$C$5:$C$205,1))))))</f>
        <v/>
      </c>
      <c r="T118" s="11">
        <f>IF(Inputs!$D$24=0,0,IF($R118&lt;=Inputs!$C$24,0,IF($R118&gt;=INDEX(LE_Curves!$D$5:$D$205,201),INDEX(LE_Curves!$B$5:$B$205,201),INDEX(LE_Curves!$B$5:$B$205,MATCH($R118,LE_Curves!$D$5:$D$205,1))+($R118-INDEX(LE_Curves!$D$5:$D$205,MATCH($R118,LE_Curves!$D$5:$D$205,1)))*(INDEX(LE_Curves!$B$5:$B$205,MATCH($R118,LE_Curves!$D$5:$D$205,1)+1)-INDEX(LE_Curves!$B$5:$B$205,MATCH($R118,LE_Curves!$D$5:$D$205,1)))/(INDEX(LE_Curves!$D$5:$D$205,MATCH($R118,LE_Curves!$D$5:$D$205,1)+1)-INDEX(LE_Curves!$D$5:$D$205,MATCH($R118,LE_Curves!$D$5:$D$205,1))))))</f>
        <v/>
      </c>
      <c r="U118" s="11">
        <f>IF(Inputs!$D$25=0,0,IF($R118&lt;=Inputs!$C$25,0,IF($R118&gt;=INDEX(LE_Curves!$E$5:$E$205,201),INDEX(LE_Curves!$B$5:$B$205,201),INDEX(LE_Curves!$B$5:$B$205,MATCH($R118,LE_Curves!$E$5:$E$205,1))+($R118-INDEX(LE_Curves!$E$5:$E$205,MATCH($R118,LE_Curves!$E$5:$E$205,1)))*(INDEX(LE_Curves!$B$5:$B$205,MATCH($R118,LE_Curves!$E$5:$E$205,1)+1)-INDEX(LE_Curves!$B$5:$B$205,MATCH($R118,LE_Curves!$E$5:$E$205,1)))/(INDEX(LE_Curves!$E$5:$E$205,MATCH($R118,LE_Curves!$E$5:$E$205,1)+1)-INDEX(LE_Curves!$E$5:$E$205,MATCH($R118,LE_Curves!$E$5:$E$205,1))))))</f>
        <v/>
      </c>
      <c r="V118" s="11">
        <f>IF(Inputs!$D$26=0,0,IF($R118&lt;=Inputs!$C$26,0,IF($R118&gt;=INDEX(LE_Curves!$F$5:$F$205,201),INDEX(LE_Curves!$B$5:$B$205,201),INDEX(LE_Curves!$B$5:$B$205,MATCH($R118,LE_Curves!$F$5:$F$205,1))+($R118-INDEX(LE_Curves!$F$5:$F$205,MATCH($R118,LE_Curves!$F$5:$F$205,1)))*(INDEX(LE_Curves!$B$5:$B$205,MATCH($R118,LE_Curves!$F$5:$F$205,1)+1)-INDEX(LE_Curves!$B$5:$B$205,MATCH($R118,LE_Curves!$F$5:$F$205,1)))/(INDEX(LE_Curves!$F$5:$F$205,MATCH($R118,LE_Curves!$F$5:$F$205,1)+1)-INDEX(LE_Curves!$F$5:$F$205,MATCH($R118,LE_Curves!$F$5:$F$205,1))))))</f>
        <v/>
      </c>
      <c r="W118" s="11">
        <f>IF(Inputs!$D$27=0,0,IF($R118&lt;=Inputs!$C$27,0,IF($R118&gt;=INDEX(LE_Curves!$G$5:$G$205,201),INDEX(LE_Curves!$B$5:$B$205,201),INDEX(LE_Curves!$B$5:$B$205,MATCH($R118,LE_Curves!$G$5:$G$205,1))+($R118-INDEX(LE_Curves!$G$5:$G$205,MATCH($R118,LE_Curves!$G$5:$G$205,1)))*(INDEX(LE_Curves!$B$5:$B$205,MATCH($R118,LE_Curves!$G$5:$G$205,1)+1)-INDEX(LE_Curves!$B$5:$B$205,MATCH($R118,LE_Curves!$G$5:$G$205,1)))/(INDEX(LE_Curves!$G$5:$G$205,MATCH($R118,LE_Curves!$G$5:$G$205,1)+1)-INDEX(LE_Curves!$G$5:$G$205,MATCH($R118,LE_Curves!$G$5:$G$205,1))))))</f>
        <v/>
      </c>
      <c r="X118" s="11">
        <f>IF(Inputs!$D$28=0,0,IF($R118&lt;=Inputs!$C$28,0,IF($R118&gt;=INDEX(LE_Curves!$H$5:$H$205,201),INDEX(LE_Curves!$B$5:$B$205,201),INDEX(LE_Curves!$B$5:$B$205,MATCH($R118,LE_Curves!$H$5:$H$205,1))+($R118-INDEX(LE_Curves!$H$5:$H$205,MATCH($R118,LE_Curves!$H$5:$H$205,1)))*(INDEX(LE_Curves!$B$5:$B$205,MATCH($R118,LE_Curves!$H$5:$H$205,1)+1)-INDEX(LE_Curves!$B$5:$B$205,MATCH($R118,LE_Curves!$H$5:$H$205,1)))/(INDEX(LE_Curves!$H$5:$H$205,MATCH($R118,LE_Curves!$H$5:$H$205,1)+1)-INDEX(LE_Curves!$H$5:$H$205,MATCH($R118,LE_Curves!$H$5:$H$205,1))))))</f>
        <v/>
      </c>
      <c r="Y118" s="11">
        <f>IF(Inputs!$D$29=0,0,IF($R118&lt;=Inputs!$C$29,0,IF($R118&gt;=INDEX(LE_Curves!$I$5:$I$205,201),INDEX(LE_Curves!$B$5:$B$205,201),INDEX(LE_Curves!$B$5:$B$205,MATCH($R118,LE_Curves!$I$5:$I$205,1))+($R118-INDEX(LE_Curves!$I$5:$I$205,MATCH($R118,LE_Curves!$I$5:$I$205,1)))*(INDEX(LE_Curves!$B$5:$B$205,MATCH($R118,LE_Curves!$I$5:$I$205,1)+1)-INDEX(LE_Curves!$B$5:$B$205,MATCH($R118,LE_Curves!$I$5:$I$205,1)))/(INDEX(LE_Curves!$I$5:$I$205,MATCH($R118,LE_Curves!$I$5:$I$205,1)+1)-INDEX(LE_Curves!$I$5:$I$205,MATCH($R118,LE_Curves!$I$5:$I$205,1))))))</f>
        <v/>
      </c>
      <c r="Z118" s="11">
        <f>IF(Inputs!$D$30=0,0,IF($R118&lt;=Inputs!$C$30,0,IF($R118&gt;=INDEX(LE_Curves!$J$5:$J$205,201),INDEX(LE_Curves!$B$5:$B$205,201),INDEX(LE_Curves!$B$5:$B$205,MATCH($R118,LE_Curves!$J$5:$J$205,1))+($R118-INDEX(LE_Curves!$J$5:$J$205,MATCH($R118,LE_Curves!$J$5:$J$205,1)))*(INDEX(LE_Curves!$B$5:$B$205,MATCH($R118,LE_Curves!$J$5:$J$205,1)+1)-INDEX(LE_Curves!$B$5:$B$205,MATCH($R118,LE_Curves!$J$5:$J$205,1)))/(INDEX(LE_Curves!$J$5:$J$205,MATCH($R118,LE_Curves!$J$5:$J$205,1)+1)-INDEX(LE_Curves!$J$5:$J$205,MATCH($R118,LE_Curves!$J$5:$J$205,1))))))</f>
        <v/>
      </c>
      <c r="AA118" s="11">
        <f>IF(Inputs!$D$31=0,0,IF($R118&lt;=Inputs!$C$31,0,IF($R118&gt;=INDEX(LE_Curves!$K$5:$K$205,201),INDEX(LE_Curves!$B$5:$B$205,201),INDEX(LE_Curves!$B$5:$B$205,MATCH($R118,LE_Curves!$K$5:$K$205,1))+($R118-INDEX(LE_Curves!$K$5:$K$205,MATCH($R118,LE_Curves!$K$5:$K$205,1)))*(INDEX(LE_Curves!$B$5:$B$205,MATCH($R118,LE_Curves!$K$5:$K$205,1)+1)-INDEX(LE_Curves!$B$5:$B$205,MATCH($R118,LE_Curves!$K$5:$K$205,1)))/(INDEX(LE_Curves!$K$5:$K$205,MATCH($R118,LE_Curves!$K$5:$K$205,1)+1)-INDEX(LE_Curves!$K$5:$K$205,MATCH($R118,LE_Curves!$K$5:$K$205,1))))))</f>
        <v/>
      </c>
      <c r="AB118" s="11">
        <f>IF(Inputs!$D$32=0,0,IF($R118&lt;=Inputs!$C$32,0,IF($R118&gt;=INDEX(LE_Curves!$L$5:$L$205,201),INDEX(LE_Curves!$B$5:$B$205,201),INDEX(LE_Curves!$B$5:$B$205,MATCH($R118,LE_Curves!$L$5:$L$205,1))+($R118-INDEX(LE_Curves!$L$5:$L$205,MATCH($R118,LE_Curves!$L$5:$L$205,1)))*(INDEX(LE_Curves!$B$5:$B$205,MATCH($R118,LE_Curves!$L$5:$L$205,1)+1)-INDEX(LE_Curves!$B$5:$B$205,MATCH($R118,LE_Curves!$L$5:$L$205,1)))/(INDEX(LE_Curves!$L$5:$L$205,MATCH($R118,LE_Curves!$L$5:$L$205,1)+1)-INDEX(LE_Curves!$L$5:$L$205,MATCH($R118,LE_Curves!$L$5:$L$205,1))))))</f>
        <v/>
      </c>
      <c r="AC118" s="11">
        <f>IF(Inputs!$D$33=0,0,IF($R118&lt;=Inputs!$C$33,0,IF($R118&gt;=INDEX(LE_Curves!$M$5:$M$205,201),INDEX(LE_Curves!$B$5:$B$205,201),INDEX(LE_Curves!$B$5:$B$205,MATCH($R118,LE_Curves!$M$5:$M$205,1))+($R118-INDEX(LE_Curves!$M$5:$M$205,MATCH($R118,LE_Curves!$M$5:$M$205,1)))*(INDEX(LE_Curves!$B$5:$B$205,MATCH($R118,LE_Curves!$M$5:$M$205,1)+1)-INDEX(LE_Curves!$B$5:$B$205,MATCH($R118,LE_Curves!$M$5:$M$205,1)))/(INDEX(LE_Curves!$M$5:$M$205,MATCH($R118,LE_Curves!$M$5:$M$205,1)+1)-INDEX(LE_Curves!$M$5:$M$205,MATCH($R118,LE_Curves!$M$5:$M$205,1))))))</f>
        <v/>
      </c>
      <c r="AD118" s="11">
        <f>IF(Inputs!$D$34=0,0,IF($R118&lt;=Inputs!$C$34,0,IF($R118&gt;=INDEX(LE_Curves!$N$5:$N$205,201),INDEX(LE_Curves!$B$5:$B$205,201),INDEX(LE_Curves!$B$5:$B$205,MATCH($R118,LE_Curves!$N$5:$N$205,1))+($R118-INDEX(LE_Curves!$N$5:$N$205,MATCH($R118,LE_Curves!$N$5:$N$205,1)))*(INDEX(LE_Curves!$B$5:$B$205,MATCH($R118,LE_Curves!$N$5:$N$205,1)+1)-INDEX(LE_Curves!$B$5:$B$205,MATCH($R118,LE_Curves!$N$5:$N$205,1)))/(INDEX(LE_Curves!$N$5:$N$205,MATCH($R118,LE_Curves!$N$5:$N$205,1)+1)-INDEX(LE_Curves!$N$5:$N$205,MATCH($R118,LE_Curves!$N$5:$N$205,1))))))</f>
        <v/>
      </c>
      <c r="AE118" s="37">
        <f>SUM(S118:AD118)</f>
        <v/>
      </c>
    </row>
    <row r="119">
      <c r="A119" s="7" t="n">
        <v>88</v>
      </c>
      <c r="B119" s="37">
        <f>$B$3+($B$4-$B$3)*A119/200</f>
        <v/>
      </c>
      <c r="C119" s="11">
        <f>IF(Inputs!$D$23=0,0,IF($B119&lt;=Inputs!$C$23,0,IF($B119&gt;=INDEX(LE_Curves!$C$5:$C$205,201),INDEX(LE_Curves!$B$5:$B$205,201),INDEX(LE_Curves!$B$5:$B$205,MATCH($B119,LE_Curves!$C$5:$C$205,1))+($B119-INDEX(LE_Curves!$C$5:$C$205,MATCH($B119,LE_Curves!$C$5:$C$205,1)))*(INDEX(LE_Curves!$B$5:$B$205,MATCH($B119,LE_Curves!$C$5:$C$205,1)+1)-INDEX(LE_Curves!$B$5:$B$205,MATCH($B119,LE_Curves!$C$5:$C$205,1)))/(INDEX(LE_Curves!$C$5:$C$205,MATCH($B119,LE_Curves!$C$5:$C$205,1)+1)-INDEX(LE_Curves!$C$5:$C$205,MATCH($B119,LE_Curves!$C$5:$C$205,1))))))</f>
        <v/>
      </c>
      <c r="D119" s="11">
        <f>IF(Inputs!$D$24=0,0,IF($B119&lt;=Inputs!$C$24,0,IF($B119&gt;=INDEX(LE_Curves!$D$5:$D$205,201),INDEX(LE_Curves!$B$5:$B$205,201),INDEX(LE_Curves!$B$5:$B$205,MATCH($B119,LE_Curves!$D$5:$D$205,1))+($B119-INDEX(LE_Curves!$D$5:$D$205,MATCH($B119,LE_Curves!$D$5:$D$205,1)))*(INDEX(LE_Curves!$B$5:$B$205,MATCH($B119,LE_Curves!$D$5:$D$205,1)+1)-INDEX(LE_Curves!$B$5:$B$205,MATCH($B119,LE_Curves!$D$5:$D$205,1)))/(INDEX(LE_Curves!$D$5:$D$205,MATCH($B119,LE_Curves!$D$5:$D$205,1)+1)-INDEX(LE_Curves!$D$5:$D$205,MATCH($B119,LE_Curves!$D$5:$D$205,1))))))</f>
        <v/>
      </c>
      <c r="E119" s="11">
        <f>IF(Inputs!$D$25=0,0,IF($B119&lt;=Inputs!$C$25,0,IF($B119&gt;=INDEX(LE_Curves!$E$5:$E$205,201),INDEX(LE_Curves!$B$5:$B$205,201),INDEX(LE_Curves!$B$5:$B$205,MATCH($B119,LE_Curves!$E$5:$E$205,1))+($B119-INDEX(LE_Curves!$E$5:$E$205,MATCH($B119,LE_Curves!$E$5:$E$205,1)))*(INDEX(LE_Curves!$B$5:$B$205,MATCH($B119,LE_Curves!$E$5:$E$205,1)+1)-INDEX(LE_Curves!$B$5:$B$205,MATCH($B119,LE_Curves!$E$5:$E$205,1)))/(INDEX(LE_Curves!$E$5:$E$205,MATCH($B119,LE_Curves!$E$5:$E$205,1)+1)-INDEX(LE_Curves!$E$5:$E$205,MATCH($B119,LE_Curves!$E$5:$E$205,1))))))</f>
        <v/>
      </c>
      <c r="F119" s="11">
        <f>IF(Inputs!$D$26=0,0,IF($B119&lt;=Inputs!$C$26,0,IF($B119&gt;=INDEX(LE_Curves!$F$5:$F$205,201),INDEX(LE_Curves!$B$5:$B$205,201),INDEX(LE_Curves!$B$5:$B$205,MATCH($B119,LE_Curves!$F$5:$F$205,1))+($B119-INDEX(LE_Curves!$F$5:$F$205,MATCH($B119,LE_Curves!$F$5:$F$205,1)))*(INDEX(LE_Curves!$B$5:$B$205,MATCH($B119,LE_Curves!$F$5:$F$205,1)+1)-INDEX(LE_Curves!$B$5:$B$205,MATCH($B119,LE_Curves!$F$5:$F$205,1)))/(INDEX(LE_Curves!$F$5:$F$205,MATCH($B119,LE_Curves!$F$5:$F$205,1)+1)-INDEX(LE_Curves!$F$5:$F$205,MATCH($B119,LE_Curves!$F$5:$F$205,1))))))</f>
        <v/>
      </c>
      <c r="G119" s="11">
        <f>IF(Inputs!$D$27=0,0,IF($B119&lt;=Inputs!$C$27,0,IF($B119&gt;=INDEX(LE_Curves!$G$5:$G$205,201),INDEX(LE_Curves!$B$5:$B$205,201),INDEX(LE_Curves!$B$5:$B$205,MATCH($B119,LE_Curves!$G$5:$G$205,1))+($B119-INDEX(LE_Curves!$G$5:$G$205,MATCH($B119,LE_Curves!$G$5:$G$205,1)))*(INDEX(LE_Curves!$B$5:$B$205,MATCH($B119,LE_Curves!$G$5:$G$205,1)+1)-INDEX(LE_Curves!$B$5:$B$205,MATCH($B119,LE_Curves!$G$5:$G$205,1)))/(INDEX(LE_Curves!$G$5:$G$205,MATCH($B119,LE_Curves!$G$5:$G$205,1)+1)-INDEX(LE_Curves!$G$5:$G$205,MATCH($B119,LE_Curves!$G$5:$G$205,1))))))</f>
        <v/>
      </c>
      <c r="H119" s="11">
        <f>IF(Inputs!$D$28=0,0,IF($B119&lt;=Inputs!$C$28,0,IF($B119&gt;=INDEX(LE_Curves!$H$5:$H$205,201),INDEX(LE_Curves!$B$5:$B$205,201),INDEX(LE_Curves!$B$5:$B$205,MATCH($B119,LE_Curves!$H$5:$H$205,1))+($B119-INDEX(LE_Curves!$H$5:$H$205,MATCH($B119,LE_Curves!$H$5:$H$205,1)))*(INDEX(LE_Curves!$B$5:$B$205,MATCH($B119,LE_Curves!$H$5:$H$205,1)+1)-INDEX(LE_Curves!$B$5:$B$205,MATCH($B119,LE_Curves!$H$5:$H$205,1)))/(INDEX(LE_Curves!$H$5:$H$205,MATCH($B119,LE_Curves!$H$5:$H$205,1)+1)-INDEX(LE_Curves!$H$5:$H$205,MATCH($B119,LE_Curves!$H$5:$H$205,1))))))</f>
        <v/>
      </c>
      <c r="I119" s="11">
        <f>IF(Inputs!$D$29=0,0,IF($B119&lt;=Inputs!$C$29,0,IF($B119&gt;=INDEX(LE_Curves!$I$5:$I$205,201),INDEX(LE_Curves!$B$5:$B$205,201),INDEX(LE_Curves!$B$5:$B$205,MATCH($B119,LE_Curves!$I$5:$I$205,1))+($B119-INDEX(LE_Curves!$I$5:$I$205,MATCH($B119,LE_Curves!$I$5:$I$205,1)))*(INDEX(LE_Curves!$B$5:$B$205,MATCH($B119,LE_Curves!$I$5:$I$205,1)+1)-INDEX(LE_Curves!$B$5:$B$205,MATCH($B119,LE_Curves!$I$5:$I$205,1)))/(INDEX(LE_Curves!$I$5:$I$205,MATCH($B119,LE_Curves!$I$5:$I$205,1)+1)-INDEX(LE_Curves!$I$5:$I$205,MATCH($B119,LE_Curves!$I$5:$I$205,1))))))</f>
        <v/>
      </c>
      <c r="J119" s="11">
        <f>IF(Inputs!$D$30=0,0,IF($B119&lt;=Inputs!$C$30,0,IF($B119&gt;=INDEX(LE_Curves!$J$5:$J$205,201),INDEX(LE_Curves!$B$5:$B$205,201),INDEX(LE_Curves!$B$5:$B$205,MATCH($B119,LE_Curves!$J$5:$J$205,1))+($B119-INDEX(LE_Curves!$J$5:$J$205,MATCH($B119,LE_Curves!$J$5:$J$205,1)))*(INDEX(LE_Curves!$B$5:$B$205,MATCH($B119,LE_Curves!$J$5:$J$205,1)+1)-INDEX(LE_Curves!$B$5:$B$205,MATCH($B119,LE_Curves!$J$5:$J$205,1)))/(INDEX(LE_Curves!$J$5:$J$205,MATCH($B119,LE_Curves!$J$5:$J$205,1)+1)-INDEX(LE_Curves!$J$5:$J$205,MATCH($B119,LE_Curves!$J$5:$J$205,1))))))</f>
        <v/>
      </c>
      <c r="K119" s="11">
        <f>IF(Inputs!$D$31=0,0,IF($B119&lt;=Inputs!$C$31,0,IF($B119&gt;=INDEX(LE_Curves!$K$5:$K$205,201),INDEX(LE_Curves!$B$5:$B$205,201),INDEX(LE_Curves!$B$5:$B$205,MATCH($B119,LE_Curves!$K$5:$K$205,1))+($B119-INDEX(LE_Curves!$K$5:$K$205,MATCH($B119,LE_Curves!$K$5:$K$205,1)))*(INDEX(LE_Curves!$B$5:$B$205,MATCH($B119,LE_Curves!$K$5:$K$205,1)+1)-INDEX(LE_Curves!$B$5:$B$205,MATCH($B119,LE_Curves!$K$5:$K$205,1)))/(INDEX(LE_Curves!$K$5:$K$205,MATCH($B119,LE_Curves!$K$5:$K$205,1)+1)-INDEX(LE_Curves!$K$5:$K$205,MATCH($B119,LE_Curves!$K$5:$K$205,1))))))</f>
        <v/>
      </c>
      <c r="L119" s="11">
        <f>IF(Inputs!$D$32=0,0,IF($B119&lt;=Inputs!$C$32,0,IF($B119&gt;=INDEX(LE_Curves!$L$5:$L$205,201),INDEX(LE_Curves!$B$5:$B$205,201),INDEX(LE_Curves!$B$5:$B$205,MATCH($B119,LE_Curves!$L$5:$L$205,1))+($B119-INDEX(LE_Curves!$L$5:$L$205,MATCH($B119,LE_Curves!$L$5:$L$205,1)))*(INDEX(LE_Curves!$B$5:$B$205,MATCH($B119,LE_Curves!$L$5:$L$205,1)+1)-INDEX(LE_Curves!$B$5:$B$205,MATCH($B119,LE_Curves!$L$5:$L$205,1)))/(INDEX(LE_Curves!$L$5:$L$205,MATCH($B119,LE_Curves!$L$5:$L$205,1)+1)-INDEX(LE_Curves!$L$5:$L$205,MATCH($B119,LE_Curves!$L$5:$L$205,1))))))</f>
        <v/>
      </c>
      <c r="M119" s="11">
        <f>IF(Inputs!$D$33=0,0,IF($B119&lt;=Inputs!$C$33,0,IF($B119&gt;=INDEX(LE_Curves!$M$5:$M$205,201),INDEX(LE_Curves!$B$5:$B$205,201),INDEX(LE_Curves!$B$5:$B$205,MATCH($B119,LE_Curves!$M$5:$M$205,1))+($B119-INDEX(LE_Curves!$M$5:$M$205,MATCH($B119,LE_Curves!$M$5:$M$205,1)))*(INDEX(LE_Curves!$B$5:$B$205,MATCH($B119,LE_Curves!$M$5:$M$205,1)+1)-INDEX(LE_Curves!$B$5:$B$205,MATCH($B119,LE_Curves!$M$5:$M$205,1)))/(INDEX(LE_Curves!$M$5:$M$205,MATCH($B119,LE_Curves!$M$5:$M$205,1)+1)-INDEX(LE_Curves!$M$5:$M$205,MATCH($B119,LE_Curves!$M$5:$M$205,1))))))</f>
        <v/>
      </c>
      <c r="N119" s="11">
        <f>IF(Inputs!$D$34=0,0,IF($B119&lt;=Inputs!$C$34,0,IF($B119&gt;=INDEX(LE_Curves!$N$5:$N$205,201),INDEX(LE_Curves!$B$5:$B$205,201),INDEX(LE_Curves!$B$5:$B$205,MATCH($B119,LE_Curves!$N$5:$N$205,1))+($B119-INDEX(LE_Curves!$N$5:$N$205,MATCH($B119,LE_Curves!$N$5:$N$205,1)))*(INDEX(LE_Curves!$B$5:$B$205,MATCH($B119,LE_Curves!$N$5:$N$205,1)+1)-INDEX(LE_Curves!$B$5:$B$205,MATCH($B119,LE_Curves!$N$5:$N$205,1)))/(INDEX(LE_Curves!$N$5:$N$205,MATCH($B119,LE_Curves!$N$5:$N$205,1)+1)-INDEX(LE_Curves!$N$5:$N$205,MATCH($B119,LE_Curves!$N$5:$N$205,1))))))</f>
        <v/>
      </c>
      <c r="O119" s="11">
        <f>SUM(C119:N119)</f>
        <v/>
      </c>
      <c r="Q119" s="7" t="n">
        <v>88</v>
      </c>
      <c r="R119" s="23">
        <f>$B$6+($B$7-$B$6)*Q119/200</f>
        <v/>
      </c>
      <c r="S119" s="11">
        <f>IF(Inputs!$D$23=0,0,IF($R119&lt;=Inputs!$C$23,0,IF($R119&gt;=INDEX(LE_Curves!$C$5:$C$205,201),INDEX(LE_Curves!$B$5:$B$205,201),INDEX(LE_Curves!$B$5:$B$205,MATCH($R119,LE_Curves!$C$5:$C$205,1))+($R119-INDEX(LE_Curves!$C$5:$C$205,MATCH($R119,LE_Curves!$C$5:$C$205,1)))*(INDEX(LE_Curves!$B$5:$B$205,MATCH($R119,LE_Curves!$C$5:$C$205,1)+1)-INDEX(LE_Curves!$B$5:$B$205,MATCH($R119,LE_Curves!$C$5:$C$205,1)))/(INDEX(LE_Curves!$C$5:$C$205,MATCH($R119,LE_Curves!$C$5:$C$205,1)+1)-INDEX(LE_Curves!$C$5:$C$205,MATCH($R119,LE_Curves!$C$5:$C$205,1))))))</f>
        <v/>
      </c>
      <c r="T119" s="11">
        <f>IF(Inputs!$D$24=0,0,IF($R119&lt;=Inputs!$C$24,0,IF($R119&gt;=INDEX(LE_Curves!$D$5:$D$205,201),INDEX(LE_Curves!$B$5:$B$205,201),INDEX(LE_Curves!$B$5:$B$205,MATCH($R119,LE_Curves!$D$5:$D$205,1))+($R119-INDEX(LE_Curves!$D$5:$D$205,MATCH($R119,LE_Curves!$D$5:$D$205,1)))*(INDEX(LE_Curves!$B$5:$B$205,MATCH($R119,LE_Curves!$D$5:$D$205,1)+1)-INDEX(LE_Curves!$B$5:$B$205,MATCH($R119,LE_Curves!$D$5:$D$205,1)))/(INDEX(LE_Curves!$D$5:$D$205,MATCH($R119,LE_Curves!$D$5:$D$205,1)+1)-INDEX(LE_Curves!$D$5:$D$205,MATCH($R119,LE_Curves!$D$5:$D$205,1))))))</f>
        <v/>
      </c>
      <c r="U119" s="11">
        <f>IF(Inputs!$D$25=0,0,IF($R119&lt;=Inputs!$C$25,0,IF($R119&gt;=INDEX(LE_Curves!$E$5:$E$205,201),INDEX(LE_Curves!$B$5:$B$205,201),INDEX(LE_Curves!$B$5:$B$205,MATCH($R119,LE_Curves!$E$5:$E$205,1))+($R119-INDEX(LE_Curves!$E$5:$E$205,MATCH($R119,LE_Curves!$E$5:$E$205,1)))*(INDEX(LE_Curves!$B$5:$B$205,MATCH($R119,LE_Curves!$E$5:$E$205,1)+1)-INDEX(LE_Curves!$B$5:$B$205,MATCH($R119,LE_Curves!$E$5:$E$205,1)))/(INDEX(LE_Curves!$E$5:$E$205,MATCH($R119,LE_Curves!$E$5:$E$205,1)+1)-INDEX(LE_Curves!$E$5:$E$205,MATCH($R119,LE_Curves!$E$5:$E$205,1))))))</f>
        <v/>
      </c>
      <c r="V119" s="11">
        <f>IF(Inputs!$D$26=0,0,IF($R119&lt;=Inputs!$C$26,0,IF($R119&gt;=INDEX(LE_Curves!$F$5:$F$205,201),INDEX(LE_Curves!$B$5:$B$205,201),INDEX(LE_Curves!$B$5:$B$205,MATCH($R119,LE_Curves!$F$5:$F$205,1))+($R119-INDEX(LE_Curves!$F$5:$F$205,MATCH($R119,LE_Curves!$F$5:$F$205,1)))*(INDEX(LE_Curves!$B$5:$B$205,MATCH($R119,LE_Curves!$F$5:$F$205,1)+1)-INDEX(LE_Curves!$B$5:$B$205,MATCH($R119,LE_Curves!$F$5:$F$205,1)))/(INDEX(LE_Curves!$F$5:$F$205,MATCH($R119,LE_Curves!$F$5:$F$205,1)+1)-INDEX(LE_Curves!$F$5:$F$205,MATCH($R119,LE_Curves!$F$5:$F$205,1))))))</f>
        <v/>
      </c>
      <c r="W119" s="11">
        <f>IF(Inputs!$D$27=0,0,IF($R119&lt;=Inputs!$C$27,0,IF($R119&gt;=INDEX(LE_Curves!$G$5:$G$205,201),INDEX(LE_Curves!$B$5:$B$205,201),INDEX(LE_Curves!$B$5:$B$205,MATCH($R119,LE_Curves!$G$5:$G$205,1))+($R119-INDEX(LE_Curves!$G$5:$G$205,MATCH($R119,LE_Curves!$G$5:$G$205,1)))*(INDEX(LE_Curves!$B$5:$B$205,MATCH($R119,LE_Curves!$G$5:$G$205,1)+1)-INDEX(LE_Curves!$B$5:$B$205,MATCH($R119,LE_Curves!$G$5:$G$205,1)))/(INDEX(LE_Curves!$G$5:$G$205,MATCH($R119,LE_Curves!$G$5:$G$205,1)+1)-INDEX(LE_Curves!$G$5:$G$205,MATCH($R119,LE_Curves!$G$5:$G$205,1))))))</f>
        <v/>
      </c>
      <c r="X119" s="11">
        <f>IF(Inputs!$D$28=0,0,IF($R119&lt;=Inputs!$C$28,0,IF($R119&gt;=INDEX(LE_Curves!$H$5:$H$205,201),INDEX(LE_Curves!$B$5:$B$205,201),INDEX(LE_Curves!$B$5:$B$205,MATCH($R119,LE_Curves!$H$5:$H$205,1))+($R119-INDEX(LE_Curves!$H$5:$H$205,MATCH($R119,LE_Curves!$H$5:$H$205,1)))*(INDEX(LE_Curves!$B$5:$B$205,MATCH($R119,LE_Curves!$H$5:$H$205,1)+1)-INDEX(LE_Curves!$B$5:$B$205,MATCH($R119,LE_Curves!$H$5:$H$205,1)))/(INDEX(LE_Curves!$H$5:$H$205,MATCH($R119,LE_Curves!$H$5:$H$205,1)+1)-INDEX(LE_Curves!$H$5:$H$205,MATCH($R119,LE_Curves!$H$5:$H$205,1))))))</f>
        <v/>
      </c>
      <c r="Y119" s="11">
        <f>IF(Inputs!$D$29=0,0,IF($R119&lt;=Inputs!$C$29,0,IF($R119&gt;=INDEX(LE_Curves!$I$5:$I$205,201),INDEX(LE_Curves!$B$5:$B$205,201),INDEX(LE_Curves!$B$5:$B$205,MATCH($R119,LE_Curves!$I$5:$I$205,1))+($R119-INDEX(LE_Curves!$I$5:$I$205,MATCH($R119,LE_Curves!$I$5:$I$205,1)))*(INDEX(LE_Curves!$B$5:$B$205,MATCH($R119,LE_Curves!$I$5:$I$205,1)+1)-INDEX(LE_Curves!$B$5:$B$205,MATCH($R119,LE_Curves!$I$5:$I$205,1)))/(INDEX(LE_Curves!$I$5:$I$205,MATCH($R119,LE_Curves!$I$5:$I$205,1)+1)-INDEX(LE_Curves!$I$5:$I$205,MATCH($R119,LE_Curves!$I$5:$I$205,1))))))</f>
        <v/>
      </c>
      <c r="Z119" s="11">
        <f>IF(Inputs!$D$30=0,0,IF($R119&lt;=Inputs!$C$30,0,IF($R119&gt;=INDEX(LE_Curves!$J$5:$J$205,201),INDEX(LE_Curves!$B$5:$B$205,201),INDEX(LE_Curves!$B$5:$B$205,MATCH($R119,LE_Curves!$J$5:$J$205,1))+($R119-INDEX(LE_Curves!$J$5:$J$205,MATCH($R119,LE_Curves!$J$5:$J$205,1)))*(INDEX(LE_Curves!$B$5:$B$205,MATCH($R119,LE_Curves!$J$5:$J$205,1)+1)-INDEX(LE_Curves!$B$5:$B$205,MATCH($R119,LE_Curves!$J$5:$J$205,1)))/(INDEX(LE_Curves!$J$5:$J$205,MATCH($R119,LE_Curves!$J$5:$J$205,1)+1)-INDEX(LE_Curves!$J$5:$J$205,MATCH($R119,LE_Curves!$J$5:$J$205,1))))))</f>
        <v/>
      </c>
      <c r="AA119" s="11">
        <f>IF(Inputs!$D$31=0,0,IF($R119&lt;=Inputs!$C$31,0,IF($R119&gt;=INDEX(LE_Curves!$K$5:$K$205,201),INDEX(LE_Curves!$B$5:$B$205,201),INDEX(LE_Curves!$B$5:$B$205,MATCH($R119,LE_Curves!$K$5:$K$205,1))+($R119-INDEX(LE_Curves!$K$5:$K$205,MATCH($R119,LE_Curves!$K$5:$K$205,1)))*(INDEX(LE_Curves!$B$5:$B$205,MATCH($R119,LE_Curves!$K$5:$K$205,1)+1)-INDEX(LE_Curves!$B$5:$B$205,MATCH($R119,LE_Curves!$K$5:$K$205,1)))/(INDEX(LE_Curves!$K$5:$K$205,MATCH($R119,LE_Curves!$K$5:$K$205,1)+1)-INDEX(LE_Curves!$K$5:$K$205,MATCH($R119,LE_Curves!$K$5:$K$205,1))))))</f>
        <v/>
      </c>
      <c r="AB119" s="11">
        <f>IF(Inputs!$D$32=0,0,IF($R119&lt;=Inputs!$C$32,0,IF($R119&gt;=INDEX(LE_Curves!$L$5:$L$205,201),INDEX(LE_Curves!$B$5:$B$205,201),INDEX(LE_Curves!$B$5:$B$205,MATCH($R119,LE_Curves!$L$5:$L$205,1))+($R119-INDEX(LE_Curves!$L$5:$L$205,MATCH($R119,LE_Curves!$L$5:$L$205,1)))*(INDEX(LE_Curves!$B$5:$B$205,MATCH($R119,LE_Curves!$L$5:$L$205,1)+1)-INDEX(LE_Curves!$B$5:$B$205,MATCH($R119,LE_Curves!$L$5:$L$205,1)))/(INDEX(LE_Curves!$L$5:$L$205,MATCH($R119,LE_Curves!$L$5:$L$205,1)+1)-INDEX(LE_Curves!$L$5:$L$205,MATCH($R119,LE_Curves!$L$5:$L$205,1))))))</f>
        <v/>
      </c>
      <c r="AC119" s="11">
        <f>IF(Inputs!$D$33=0,0,IF($R119&lt;=Inputs!$C$33,0,IF($R119&gt;=INDEX(LE_Curves!$M$5:$M$205,201),INDEX(LE_Curves!$B$5:$B$205,201),INDEX(LE_Curves!$B$5:$B$205,MATCH($R119,LE_Curves!$M$5:$M$205,1))+($R119-INDEX(LE_Curves!$M$5:$M$205,MATCH($R119,LE_Curves!$M$5:$M$205,1)))*(INDEX(LE_Curves!$B$5:$B$205,MATCH($R119,LE_Curves!$M$5:$M$205,1)+1)-INDEX(LE_Curves!$B$5:$B$205,MATCH($R119,LE_Curves!$M$5:$M$205,1)))/(INDEX(LE_Curves!$M$5:$M$205,MATCH($R119,LE_Curves!$M$5:$M$205,1)+1)-INDEX(LE_Curves!$M$5:$M$205,MATCH($R119,LE_Curves!$M$5:$M$205,1))))))</f>
        <v/>
      </c>
      <c r="AD119" s="11">
        <f>IF(Inputs!$D$34=0,0,IF($R119&lt;=Inputs!$C$34,0,IF($R119&gt;=INDEX(LE_Curves!$N$5:$N$205,201),INDEX(LE_Curves!$B$5:$B$205,201),INDEX(LE_Curves!$B$5:$B$205,MATCH($R119,LE_Curves!$N$5:$N$205,1))+($R119-INDEX(LE_Curves!$N$5:$N$205,MATCH($R119,LE_Curves!$N$5:$N$205,1)))*(INDEX(LE_Curves!$B$5:$B$205,MATCH($R119,LE_Curves!$N$5:$N$205,1)+1)-INDEX(LE_Curves!$B$5:$B$205,MATCH($R119,LE_Curves!$N$5:$N$205,1)))/(INDEX(LE_Curves!$N$5:$N$205,MATCH($R119,LE_Curves!$N$5:$N$205,1)+1)-INDEX(LE_Curves!$N$5:$N$205,MATCH($R119,LE_Curves!$N$5:$N$205,1))))))</f>
        <v/>
      </c>
      <c r="AE119" s="37">
        <f>SUM(S119:AD119)</f>
        <v/>
      </c>
    </row>
    <row r="120">
      <c r="A120" s="7" t="n">
        <v>89</v>
      </c>
      <c r="B120" s="37">
        <f>$B$3+($B$4-$B$3)*A120/200</f>
        <v/>
      </c>
      <c r="C120" s="11">
        <f>IF(Inputs!$D$23=0,0,IF($B120&lt;=Inputs!$C$23,0,IF($B120&gt;=INDEX(LE_Curves!$C$5:$C$205,201),INDEX(LE_Curves!$B$5:$B$205,201),INDEX(LE_Curves!$B$5:$B$205,MATCH($B120,LE_Curves!$C$5:$C$205,1))+($B120-INDEX(LE_Curves!$C$5:$C$205,MATCH($B120,LE_Curves!$C$5:$C$205,1)))*(INDEX(LE_Curves!$B$5:$B$205,MATCH($B120,LE_Curves!$C$5:$C$205,1)+1)-INDEX(LE_Curves!$B$5:$B$205,MATCH($B120,LE_Curves!$C$5:$C$205,1)))/(INDEX(LE_Curves!$C$5:$C$205,MATCH($B120,LE_Curves!$C$5:$C$205,1)+1)-INDEX(LE_Curves!$C$5:$C$205,MATCH($B120,LE_Curves!$C$5:$C$205,1))))))</f>
        <v/>
      </c>
      <c r="D120" s="11">
        <f>IF(Inputs!$D$24=0,0,IF($B120&lt;=Inputs!$C$24,0,IF($B120&gt;=INDEX(LE_Curves!$D$5:$D$205,201),INDEX(LE_Curves!$B$5:$B$205,201),INDEX(LE_Curves!$B$5:$B$205,MATCH($B120,LE_Curves!$D$5:$D$205,1))+($B120-INDEX(LE_Curves!$D$5:$D$205,MATCH($B120,LE_Curves!$D$5:$D$205,1)))*(INDEX(LE_Curves!$B$5:$B$205,MATCH($B120,LE_Curves!$D$5:$D$205,1)+1)-INDEX(LE_Curves!$B$5:$B$205,MATCH($B120,LE_Curves!$D$5:$D$205,1)))/(INDEX(LE_Curves!$D$5:$D$205,MATCH($B120,LE_Curves!$D$5:$D$205,1)+1)-INDEX(LE_Curves!$D$5:$D$205,MATCH($B120,LE_Curves!$D$5:$D$205,1))))))</f>
        <v/>
      </c>
      <c r="E120" s="11">
        <f>IF(Inputs!$D$25=0,0,IF($B120&lt;=Inputs!$C$25,0,IF($B120&gt;=INDEX(LE_Curves!$E$5:$E$205,201),INDEX(LE_Curves!$B$5:$B$205,201),INDEX(LE_Curves!$B$5:$B$205,MATCH($B120,LE_Curves!$E$5:$E$205,1))+($B120-INDEX(LE_Curves!$E$5:$E$205,MATCH($B120,LE_Curves!$E$5:$E$205,1)))*(INDEX(LE_Curves!$B$5:$B$205,MATCH($B120,LE_Curves!$E$5:$E$205,1)+1)-INDEX(LE_Curves!$B$5:$B$205,MATCH($B120,LE_Curves!$E$5:$E$205,1)))/(INDEX(LE_Curves!$E$5:$E$205,MATCH($B120,LE_Curves!$E$5:$E$205,1)+1)-INDEX(LE_Curves!$E$5:$E$205,MATCH($B120,LE_Curves!$E$5:$E$205,1))))))</f>
        <v/>
      </c>
      <c r="F120" s="11">
        <f>IF(Inputs!$D$26=0,0,IF($B120&lt;=Inputs!$C$26,0,IF($B120&gt;=INDEX(LE_Curves!$F$5:$F$205,201),INDEX(LE_Curves!$B$5:$B$205,201),INDEX(LE_Curves!$B$5:$B$205,MATCH($B120,LE_Curves!$F$5:$F$205,1))+($B120-INDEX(LE_Curves!$F$5:$F$205,MATCH($B120,LE_Curves!$F$5:$F$205,1)))*(INDEX(LE_Curves!$B$5:$B$205,MATCH($B120,LE_Curves!$F$5:$F$205,1)+1)-INDEX(LE_Curves!$B$5:$B$205,MATCH($B120,LE_Curves!$F$5:$F$205,1)))/(INDEX(LE_Curves!$F$5:$F$205,MATCH($B120,LE_Curves!$F$5:$F$205,1)+1)-INDEX(LE_Curves!$F$5:$F$205,MATCH($B120,LE_Curves!$F$5:$F$205,1))))))</f>
        <v/>
      </c>
      <c r="G120" s="11">
        <f>IF(Inputs!$D$27=0,0,IF($B120&lt;=Inputs!$C$27,0,IF($B120&gt;=INDEX(LE_Curves!$G$5:$G$205,201),INDEX(LE_Curves!$B$5:$B$205,201),INDEX(LE_Curves!$B$5:$B$205,MATCH($B120,LE_Curves!$G$5:$G$205,1))+($B120-INDEX(LE_Curves!$G$5:$G$205,MATCH($B120,LE_Curves!$G$5:$G$205,1)))*(INDEX(LE_Curves!$B$5:$B$205,MATCH($B120,LE_Curves!$G$5:$G$205,1)+1)-INDEX(LE_Curves!$B$5:$B$205,MATCH($B120,LE_Curves!$G$5:$G$205,1)))/(INDEX(LE_Curves!$G$5:$G$205,MATCH($B120,LE_Curves!$G$5:$G$205,1)+1)-INDEX(LE_Curves!$G$5:$G$205,MATCH($B120,LE_Curves!$G$5:$G$205,1))))))</f>
        <v/>
      </c>
      <c r="H120" s="11">
        <f>IF(Inputs!$D$28=0,0,IF($B120&lt;=Inputs!$C$28,0,IF($B120&gt;=INDEX(LE_Curves!$H$5:$H$205,201),INDEX(LE_Curves!$B$5:$B$205,201),INDEX(LE_Curves!$B$5:$B$205,MATCH($B120,LE_Curves!$H$5:$H$205,1))+($B120-INDEX(LE_Curves!$H$5:$H$205,MATCH($B120,LE_Curves!$H$5:$H$205,1)))*(INDEX(LE_Curves!$B$5:$B$205,MATCH($B120,LE_Curves!$H$5:$H$205,1)+1)-INDEX(LE_Curves!$B$5:$B$205,MATCH($B120,LE_Curves!$H$5:$H$205,1)))/(INDEX(LE_Curves!$H$5:$H$205,MATCH($B120,LE_Curves!$H$5:$H$205,1)+1)-INDEX(LE_Curves!$H$5:$H$205,MATCH($B120,LE_Curves!$H$5:$H$205,1))))))</f>
        <v/>
      </c>
      <c r="I120" s="11">
        <f>IF(Inputs!$D$29=0,0,IF($B120&lt;=Inputs!$C$29,0,IF($B120&gt;=INDEX(LE_Curves!$I$5:$I$205,201),INDEX(LE_Curves!$B$5:$B$205,201),INDEX(LE_Curves!$B$5:$B$205,MATCH($B120,LE_Curves!$I$5:$I$205,1))+($B120-INDEX(LE_Curves!$I$5:$I$205,MATCH($B120,LE_Curves!$I$5:$I$205,1)))*(INDEX(LE_Curves!$B$5:$B$205,MATCH($B120,LE_Curves!$I$5:$I$205,1)+1)-INDEX(LE_Curves!$B$5:$B$205,MATCH($B120,LE_Curves!$I$5:$I$205,1)))/(INDEX(LE_Curves!$I$5:$I$205,MATCH($B120,LE_Curves!$I$5:$I$205,1)+1)-INDEX(LE_Curves!$I$5:$I$205,MATCH($B120,LE_Curves!$I$5:$I$205,1))))))</f>
        <v/>
      </c>
      <c r="J120" s="11">
        <f>IF(Inputs!$D$30=0,0,IF($B120&lt;=Inputs!$C$30,0,IF($B120&gt;=INDEX(LE_Curves!$J$5:$J$205,201),INDEX(LE_Curves!$B$5:$B$205,201),INDEX(LE_Curves!$B$5:$B$205,MATCH($B120,LE_Curves!$J$5:$J$205,1))+($B120-INDEX(LE_Curves!$J$5:$J$205,MATCH($B120,LE_Curves!$J$5:$J$205,1)))*(INDEX(LE_Curves!$B$5:$B$205,MATCH($B120,LE_Curves!$J$5:$J$205,1)+1)-INDEX(LE_Curves!$B$5:$B$205,MATCH($B120,LE_Curves!$J$5:$J$205,1)))/(INDEX(LE_Curves!$J$5:$J$205,MATCH($B120,LE_Curves!$J$5:$J$205,1)+1)-INDEX(LE_Curves!$J$5:$J$205,MATCH($B120,LE_Curves!$J$5:$J$205,1))))))</f>
        <v/>
      </c>
      <c r="K120" s="11">
        <f>IF(Inputs!$D$31=0,0,IF($B120&lt;=Inputs!$C$31,0,IF($B120&gt;=INDEX(LE_Curves!$K$5:$K$205,201),INDEX(LE_Curves!$B$5:$B$205,201),INDEX(LE_Curves!$B$5:$B$205,MATCH($B120,LE_Curves!$K$5:$K$205,1))+($B120-INDEX(LE_Curves!$K$5:$K$205,MATCH($B120,LE_Curves!$K$5:$K$205,1)))*(INDEX(LE_Curves!$B$5:$B$205,MATCH($B120,LE_Curves!$K$5:$K$205,1)+1)-INDEX(LE_Curves!$B$5:$B$205,MATCH($B120,LE_Curves!$K$5:$K$205,1)))/(INDEX(LE_Curves!$K$5:$K$205,MATCH($B120,LE_Curves!$K$5:$K$205,1)+1)-INDEX(LE_Curves!$K$5:$K$205,MATCH($B120,LE_Curves!$K$5:$K$205,1))))))</f>
        <v/>
      </c>
      <c r="L120" s="11">
        <f>IF(Inputs!$D$32=0,0,IF($B120&lt;=Inputs!$C$32,0,IF($B120&gt;=INDEX(LE_Curves!$L$5:$L$205,201),INDEX(LE_Curves!$B$5:$B$205,201),INDEX(LE_Curves!$B$5:$B$205,MATCH($B120,LE_Curves!$L$5:$L$205,1))+($B120-INDEX(LE_Curves!$L$5:$L$205,MATCH($B120,LE_Curves!$L$5:$L$205,1)))*(INDEX(LE_Curves!$B$5:$B$205,MATCH($B120,LE_Curves!$L$5:$L$205,1)+1)-INDEX(LE_Curves!$B$5:$B$205,MATCH($B120,LE_Curves!$L$5:$L$205,1)))/(INDEX(LE_Curves!$L$5:$L$205,MATCH($B120,LE_Curves!$L$5:$L$205,1)+1)-INDEX(LE_Curves!$L$5:$L$205,MATCH($B120,LE_Curves!$L$5:$L$205,1))))))</f>
        <v/>
      </c>
      <c r="M120" s="11">
        <f>IF(Inputs!$D$33=0,0,IF($B120&lt;=Inputs!$C$33,0,IF($B120&gt;=INDEX(LE_Curves!$M$5:$M$205,201),INDEX(LE_Curves!$B$5:$B$205,201),INDEX(LE_Curves!$B$5:$B$205,MATCH($B120,LE_Curves!$M$5:$M$205,1))+($B120-INDEX(LE_Curves!$M$5:$M$205,MATCH($B120,LE_Curves!$M$5:$M$205,1)))*(INDEX(LE_Curves!$B$5:$B$205,MATCH($B120,LE_Curves!$M$5:$M$205,1)+1)-INDEX(LE_Curves!$B$5:$B$205,MATCH($B120,LE_Curves!$M$5:$M$205,1)))/(INDEX(LE_Curves!$M$5:$M$205,MATCH($B120,LE_Curves!$M$5:$M$205,1)+1)-INDEX(LE_Curves!$M$5:$M$205,MATCH($B120,LE_Curves!$M$5:$M$205,1))))))</f>
        <v/>
      </c>
      <c r="N120" s="11">
        <f>IF(Inputs!$D$34=0,0,IF($B120&lt;=Inputs!$C$34,0,IF($B120&gt;=INDEX(LE_Curves!$N$5:$N$205,201),INDEX(LE_Curves!$B$5:$B$205,201),INDEX(LE_Curves!$B$5:$B$205,MATCH($B120,LE_Curves!$N$5:$N$205,1))+($B120-INDEX(LE_Curves!$N$5:$N$205,MATCH($B120,LE_Curves!$N$5:$N$205,1)))*(INDEX(LE_Curves!$B$5:$B$205,MATCH($B120,LE_Curves!$N$5:$N$205,1)+1)-INDEX(LE_Curves!$B$5:$B$205,MATCH($B120,LE_Curves!$N$5:$N$205,1)))/(INDEX(LE_Curves!$N$5:$N$205,MATCH($B120,LE_Curves!$N$5:$N$205,1)+1)-INDEX(LE_Curves!$N$5:$N$205,MATCH($B120,LE_Curves!$N$5:$N$205,1))))))</f>
        <v/>
      </c>
      <c r="O120" s="11">
        <f>SUM(C120:N120)</f>
        <v/>
      </c>
      <c r="Q120" s="7" t="n">
        <v>89</v>
      </c>
      <c r="R120" s="23">
        <f>$B$6+($B$7-$B$6)*Q120/200</f>
        <v/>
      </c>
      <c r="S120" s="11">
        <f>IF(Inputs!$D$23=0,0,IF($R120&lt;=Inputs!$C$23,0,IF($R120&gt;=INDEX(LE_Curves!$C$5:$C$205,201),INDEX(LE_Curves!$B$5:$B$205,201),INDEX(LE_Curves!$B$5:$B$205,MATCH($R120,LE_Curves!$C$5:$C$205,1))+($R120-INDEX(LE_Curves!$C$5:$C$205,MATCH($R120,LE_Curves!$C$5:$C$205,1)))*(INDEX(LE_Curves!$B$5:$B$205,MATCH($R120,LE_Curves!$C$5:$C$205,1)+1)-INDEX(LE_Curves!$B$5:$B$205,MATCH($R120,LE_Curves!$C$5:$C$205,1)))/(INDEX(LE_Curves!$C$5:$C$205,MATCH($R120,LE_Curves!$C$5:$C$205,1)+1)-INDEX(LE_Curves!$C$5:$C$205,MATCH($R120,LE_Curves!$C$5:$C$205,1))))))</f>
        <v/>
      </c>
      <c r="T120" s="11">
        <f>IF(Inputs!$D$24=0,0,IF($R120&lt;=Inputs!$C$24,0,IF($R120&gt;=INDEX(LE_Curves!$D$5:$D$205,201),INDEX(LE_Curves!$B$5:$B$205,201),INDEX(LE_Curves!$B$5:$B$205,MATCH($R120,LE_Curves!$D$5:$D$205,1))+($R120-INDEX(LE_Curves!$D$5:$D$205,MATCH($R120,LE_Curves!$D$5:$D$205,1)))*(INDEX(LE_Curves!$B$5:$B$205,MATCH($R120,LE_Curves!$D$5:$D$205,1)+1)-INDEX(LE_Curves!$B$5:$B$205,MATCH($R120,LE_Curves!$D$5:$D$205,1)))/(INDEX(LE_Curves!$D$5:$D$205,MATCH($R120,LE_Curves!$D$5:$D$205,1)+1)-INDEX(LE_Curves!$D$5:$D$205,MATCH($R120,LE_Curves!$D$5:$D$205,1))))))</f>
        <v/>
      </c>
      <c r="U120" s="11">
        <f>IF(Inputs!$D$25=0,0,IF($R120&lt;=Inputs!$C$25,0,IF($R120&gt;=INDEX(LE_Curves!$E$5:$E$205,201),INDEX(LE_Curves!$B$5:$B$205,201),INDEX(LE_Curves!$B$5:$B$205,MATCH($R120,LE_Curves!$E$5:$E$205,1))+($R120-INDEX(LE_Curves!$E$5:$E$205,MATCH($R120,LE_Curves!$E$5:$E$205,1)))*(INDEX(LE_Curves!$B$5:$B$205,MATCH($R120,LE_Curves!$E$5:$E$205,1)+1)-INDEX(LE_Curves!$B$5:$B$205,MATCH($R120,LE_Curves!$E$5:$E$205,1)))/(INDEX(LE_Curves!$E$5:$E$205,MATCH($R120,LE_Curves!$E$5:$E$205,1)+1)-INDEX(LE_Curves!$E$5:$E$205,MATCH($R120,LE_Curves!$E$5:$E$205,1))))))</f>
        <v/>
      </c>
      <c r="V120" s="11">
        <f>IF(Inputs!$D$26=0,0,IF($R120&lt;=Inputs!$C$26,0,IF($R120&gt;=INDEX(LE_Curves!$F$5:$F$205,201),INDEX(LE_Curves!$B$5:$B$205,201),INDEX(LE_Curves!$B$5:$B$205,MATCH($R120,LE_Curves!$F$5:$F$205,1))+($R120-INDEX(LE_Curves!$F$5:$F$205,MATCH($R120,LE_Curves!$F$5:$F$205,1)))*(INDEX(LE_Curves!$B$5:$B$205,MATCH($R120,LE_Curves!$F$5:$F$205,1)+1)-INDEX(LE_Curves!$B$5:$B$205,MATCH($R120,LE_Curves!$F$5:$F$205,1)))/(INDEX(LE_Curves!$F$5:$F$205,MATCH($R120,LE_Curves!$F$5:$F$205,1)+1)-INDEX(LE_Curves!$F$5:$F$205,MATCH($R120,LE_Curves!$F$5:$F$205,1))))))</f>
        <v/>
      </c>
      <c r="W120" s="11">
        <f>IF(Inputs!$D$27=0,0,IF($R120&lt;=Inputs!$C$27,0,IF($R120&gt;=INDEX(LE_Curves!$G$5:$G$205,201),INDEX(LE_Curves!$B$5:$B$205,201),INDEX(LE_Curves!$B$5:$B$205,MATCH($R120,LE_Curves!$G$5:$G$205,1))+($R120-INDEX(LE_Curves!$G$5:$G$205,MATCH($R120,LE_Curves!$G$5:$G$205,1)))*(INDEX(LE_Curves!$B$5:$B$205,MATCH($R120,LE_Curves!$G$5:$G$205,1)+1)-INDEX(LE_Curves!$B$5:$B$205,MATCH($R120,LE_Curves!$G$5:$G$205,1)))/(INDEX(LE_Curves!$G$5:$G$205,MATCH($R120,LE_Curves!$G$5:$G$205,1)+1)-INDEX(LE_Curves!$G$5:$G$205,MATCH($R120,LE_Curves!$G$5:$G$205,1))))))</f>
        <v/>
      </c>
      <c r="X120" s="11">
        <f>IF(Inputs!$D$28=0,0,IF($R120&lt;=Inputs!$C$28,0,IF($R120&gt;=INDEX(LE_Curves!$H$5:$H$205,201),INDEX(LE_Curves!$B$5:$B$205,201),INDEX(LE_Curves!$B$5:$B$205,MATCH($R120,LE_Curves!$H$5:$H$205,1))+($R120-INDEX(LE_Curves!$H$5:$H$205,MATCH($R120,LE_Curves!$H$5:$H$205,1)))*(INDEX(LE_Curves!$B$5:$B$205,MATCH($R120,LE_Curves!$H$5:$H$205,1)+1)-INDEX(LE_Curves!$B$5:$B$205,MATCH($R120,LE_Curves!$H$5:$H$205,1)))/(INDEX(LE_Curves!$H$5:$H$205,MATCH($R120,LE_Curves!$H$5:$H$205,1)+1)-INDEX(LE_Curves!$H$5:$H$205,MATCH($R120,LE_Curves!$H$5:$H$205,1))))))</f>
        <v/>
      </c>
      <c r="Y120" s="11">
        <f>IF(Inputs!$D$29=0,0,IF($R120&lt;=Inputs!$C$29,0,IF($R120&gt;=INDEX(LE_Curves!$I$5:$I$205,201),INDEX(LE_Curves!$B$5:$B$205,201),INDEX(LE_Curves!$B$5:$B$205,MATCH($R120,LE_Curves!$I$5:$I$205,1))+($R120-INDEX(LE_Curves!$I$5:$I$205,MATCH($R120,LE_Curves!$I$5:$I$205,1)))*(INDEX(LE_Curves!$B$5:$B$205,MATCH($R120,LE_Curves!$I$5:$I$205,1)+1)-INDEX(LE_Curves!$B$5:$B$205,MATCH($R120,LE_Curves!$I$5:$I$205,1)))/(INDEX(LE_Curves!$I$5:$I$205,MATCH($R120,LE_Curves!$I$5:$I$205,1)+1)-INDEX(LE_Curves!$I$5:$I$205,MATCH($R120,LE_Curves!$I$5:$I$205,1))))))</f>
        <v/>
      </c>
      <c r="Z120" s="11">
        <f>IF(Inputs!$D$30=0,0,IF($R120&lt;=Inputs!$C$30,0,IF($R120&gt;=INDEX(LE_Curves!$J$5:$J$205,201),INDEX(LE_Curves!$B$5:$B$205,201),INDEX(LE_Curves!$B$5:$B$205,MATCH($R120,LE_Curves!$J$5:$J$205,1))+($R120-INDEX(LE_Curves!$J$5:$J$205,MATCH($R120,LE_Curves!$J$5:$J$205,1)))*(INDEX(LE_Curves!$B$5:$B$205,MATCH($R120,LE_Curves!$J$5:$J$205,1)+1)-INDEX(LE_Curves!$B$5:$B$205,MATCH($R120,LE_Curves!$J$5:$J$205,1)))/(INDEX(LE_Curves!$J$5:$J$205,MATCH($R120,LE_Curves!$J$5:$J$205,1)+1)-INDEX(LE_Curves!$J$5:$J$205,MATCH($R120,LE_Curves!$J$5:$J$205,1))))))</f>
        <v/>
      </c>
      <c r="AA120" s="11">
        <f>IF(Inputs!$D$31=0,0,IF($R120&lt;=Inputs!$C$31,0,IF($R120&gt;=INDEX(LE_Curves!$K$5:$K$205,201),INDEX(LE_Curves!$B$5:$B$205,201),INDEX(LE_Curves!$B$5:$B$205,MATCH($R120,LE_Curves!$K$5:$K$205,1))+($R120-INDEX(LE_Curves!$K$5:$K$205,MATCH($R120,LE_Curves!$K$5:$K$205,1)))*(INDEX(LE_Curves!$B$5:$B$205,MATCH($R120,LE_Curves!$K$5:$K$205,1)+1)-INDEX(LE_Curves!$B$5:$B$205,MATCH($R120,LE_Curves!$K$5:$K$205,1)))/(INDEX(LE_Curves!$K$5:$K$205,MATCH($R120,LE_Curves!$K$5:$K$205,1)+1)-INDEX(LE_Curves!$K$5:$K$205,MATCH($R120,LE_Curves!$K$5:$K$205,1))))))</f>
        <v/>
      </c>
      <c r="AB120" s="11">
        <f>IF(Inputs!$D$32=0,0,IF($R120&lt;=Inputs!$C$32,0,IF($R120&gt;=INDEX(LE_Curves!$L$5:$L$205,201),INDEX(LE_Curves!$B$5:$B$205,201),INDEX(LE_Curves!$B$5:$B$205,MATCH($R120,LE_Curves!$L$5:$L$205,1))+($R120-INDEX(LE_Curves!$L$5:$L$205,MATCH($R120,LE_Curves!$L$5:$L$205,1)))*(INDEX(LE_Curves!$B$5:$B$205,MATCH($R120,LE_Curves!$L$5:$L$205,1)+1)-INDEX(LE_Curves!$B$5:$B$205,MATCH($R120,LE_Curves!$L$5:$L$205,1)))/(INDEX(LE_Curves!$L$5:$L$205,MATCH($R120,LE_Curves!$L$5:$L$205,1)+1)-INDEX(LE_Curves!$L$5:$L$205,MATCH($R120,LE_Curves!$L$5:$L$205,1))))))</f>
        <v/>
      </c>
      <c r="AC120" s="11">
        <f>IF(Inputs!$D$33=0,0,IF($R120&lt;=Inputs!$C$33,0,IF($R120&gt;=INDEX(LE_Curves!$M$5:$M$205,201),INDEX(LE_Curves!$B$5:$B$205,201),INDEX(LE_Curves!$B$5:$B$205,MATCH($R120,LE_Curves!$M$5:$M$205,1))+($R120-INDEX(LE_Curves!$M$5:$M$205,MATCH($R120,LE_Curves!$M$5:$M$205,1)))*(INDEX(LE_Curves!$B$5:$B$205,MATCH($R120,LE_Curves!$M$5:$M$205,1)+1)-INDEX(LE_Curves!$B$5:$B$205,MATCH($R120,LE_Curves!$M$5:$M$205,1)))/(INDEX(LE_Curves!$M$5:$M$205,MATCH($R120,LE_Curves!$M$5:$M$205,1)+1)-INDEX(LE_Curves!$M$5:$M$205,MATCH($R120,LE_Curves!$M$5:$M$205,1))))))</f>
        <v/>
      </c>
      <c r="AD120" s="11">
        <f>IF(Inputs!$D$34=0,0,IF($R120&lt;=Inputs!$C$34,0,IF($R120&gt;=INDEX(LE_Curves!$N$5:$N$205,201),INDEX(LE_Curves!$B$5:$B$205,201),INDEX(LE_Curves!$B$5:$B$205,MATCH($R120,LE_Curves!$N$5:$N$205,1))+($R120-INDEX(LE_Curves!$N$5:$N$205,MATCH($R120,LE_Curves!$N$5:$N$205,1)))*(INDEX(LE_Curves!$B$5:$B$205,MATCH($R120,LE_Curves!$N$5:$N$205,1)+1)-INDEX(LE_Curves!$B$5:$B$205,MATCH($R120,LE_Curves!$N$5:$N$205,1)))/(INDEX(LE_Curves!$N$5:$N$205,MATCH($R120,LE_Curves!$N$5:$N$205,1)+1)-INDEX(LE_Curves!$N$5:$N$205,MATCH($R120,LE_Curves!$N$5:$N$205,1))))))</f>
        <v/>
      </c>
      <c r="AE120" s="37">
        <f>SUM(S120:AD120)</f>
        <v/>
      </c>
    </row>
    <row r="121">
      <c r="A121" s="7" t="n">
        <v>90</v>
      </c>
      <c r="B121" s="37">
        <f>$B$3+($B$4-$B$3)*A121/200</f>
        <v/>
      </c>
      <c r="C121" s="11">
        <f>IF(Inputs!$D$23=0,0,IF($B121&lt;=Inputs!$C$23,0,IF($B121&gt;=INDEX(LE_Curves!$C$5:$C$205,201),INDEX(LE_Curves!$B$5:$B$205,201),INDEX(LE_Curves!$B$5:$B$205,MATCH($B121,LE_Curves!$C$5:$C$205,1))+($B121-INDEX(LE_Curves!$C$5:$C$205,MATCH($B121,LE_Curves!$C$5:$C$205,1)))*(INDEX(LE_Curves!$B$5:$B$205,MATCH($B121,LE_Curves!$C$5:$C$205,1)+1)-INDEX(LE_Curves!$B$5:$B$205,MATCH($B121,LE_Curves!$C$5:$C$205,1)))/(INDEX(LE_Curves!$C$5:$C$205,MATCH($B121,LE_Curves!$C$5:$C$205,1)+1)-INDEX(LE_Curves!$C$5:$C$205,MATCH($B121,LE_Curves!$C$5:$C$205,1))))))</f>
        <v/>
      </c>
      <c r="D121" s="11">
        <f>IF(Inputs!$D$24=0,0,IF($B121&lt;=Inputs!$C$24,0,IF($B121&gt;=INDEX(LE_Curves!$D$5:$D$205,201),INDEX(LE_Curves!$B$5:$B$205,201),INDEX(LE_Curves!$B$5:$B$205,MATCH($B121,LE_Curves!$D$5:$D$205,1))+($B121-INDEX(LE_Curves!$D$5:$D$205,MATCH($B121,LE_Curves!$D$5:$D$205,1)))*(INDEX(LE_Curves!$B$5:$B$205,MATCH($B121,LE_Curves!$D$5:$D$205,1)+1)-INDEX(LE_Curves!$B$5:$B$205,MATCH($B121,LE_Curves!$D$5:$D$205,1)))/(INDEX(LE_Curves!$D$5:$D$205,MATCH($B121,LE_Curves!$D$5:$D$205,1)+1)-INDEX(LE_Curves!$D$5:$D$205,MATCH($B121,LE_Curves!$D$5:$D$205,1))))))</f>
        <v/>
      </c>
      <c r="E121" s="11">
        <f>IF(Inputs!$D$25=0,0,IF($B121&lt;=Inputs!$C$25,0,IF($B121&gt;=INDEX(LE_Curves!$E$5:$E$205,201),INDEX(LE_Curves!$B$5:$B$205,201),INDEX(LE_Curves!$B$5:$B$205,MATCH($B121,LE_Curves!$E$5:$E$205,1))+($B121-INDEX(LE_Curves!$E$5:$E$205,MATCH($B121,LE_Curves!$E$5:$E$205,1)))*(INDEX(LE_Curves!$B$5:$B$205,MATCH($B121,LE_Curves!$E$5:$E$205,1)+1)-INDEX(LE_Curves!$B$5:$B$205,MATCH($B121,LE_Curves!$E$5:$E$205,1)))/(INDEX(LE_Curves!$E$5:$E$205,MATCH($B121,LE_Curves!$E$5:$E$205,1)+1)-INDEX(LE_Curves!$E$5:$E$205,MATCH($B121,LE_Curves!$E$5:$E$205,1))))))</f>
        <v/>
      </c>
      <c r="F121" s="11">
        <f>IF(Inputs!$D$26=0,0,IF($B121&lt;=Inputs!$C$26,0,IF($B121&gt;=INDEX(LE_Curves!$F$5:$F$205,201),INDEX(LE_Curves!$B$5:$B$205,201),INDEX(LE_Curves!$B$5:$B$205,MATCH($B121,LE_Curves!$F$5:$F$205,1))+($B121-INDEX(LE_Curves!$F$5:$F$205,MATCH($B121,LE_Curves!$F$5:$F$205,1)))*(INDEX(LE_Curves!$B$5:$B$205,MATCH($B121,LE_Curves!$F$5:$F$205,1)+1)-INDEX(LE_Curves!$B$5:$B$205,MATCH($B121,LE_Curves!$F$5:$F$205,1)))/(INDEX(LE_Curves!$F$5:$F$205,MATCH($B121,LE_Curves!$F$5:$F$205,1)+1)-INDEX(LE_Curves!$F$5:$F$205,MATCH($B121,LE_Curves!$F$5:$F$205,1))))))</f>
        <v/>
      </c>
      <c r="G121" s="11">
        <f>IF(Inputs!$D$27=0,0,IF($B121&lt;=Inputs!$C$27,0,IF($B121&gt;=INDEX(LE_Curves!$G$5:$G$205,201),INDEX(LE_Curves!$B$5:$B$205,201),INDEX(LE_Curves!$B$5:$B$205,MATCH($B121,LE_Curves!$G$5:$G$205,1))+($B121-INDEX(LE_Curves!$G$5:$G$205,MATCH($B121,LE_Curves!$G$5:$G$205,1)))*(INDEX(LE_Curves!$B$5:$B$205,MATCH($B121,LE_Curves!$G$5:$G$205,1)+1)-INDEX(LE_Curves!$B$5:$B$205,MATCH($B121,LE_Curves!$G$5:$G$205,1)))/(INDEX(LE_Curves!$G$5:$G$205,MATCH($B121,LE_Curves!$G$5:$G$205,1)+1)-INDEX(LE_Curves!$G$5:$G$205,MATCH($B121,LE_Curves!$G$5:$G$205,1))))))</f>
        <v/>
      </c>
      <c r="H121" s="11">
        <f>IF(Inputs!$D$28=0,0,IF($B121&lt;=Inputs!$C$28,0,IF($B121&gt;=INDEX(LE_Curves!$H$5:$H$205,201),INDEX(LE_Curves!$B$5:$B$205,201),INDEX(LE_Curves!$B$5:$B$205,MATCH($B121,LE_Curves!$H$5:$H$205,1))+($B121-INDEX(LE_Curves!$H$5:$H$205,MATCH($B121,LE_Curves!$H$5:$H$205,1)))*(INDEX(LE_Curves!$B$5:$B$205,MATCH($B121,LE_Curves!$H$5:$H$205,1)+1)-INDEX(LE_Curves!$B$5:$B$205,MATCH($B121,LE_Curves!$H$5:$H$205,1)))/(INDEX(LE_Curves!$H$5:$H$205,MATCH($B121,LE_Curves!$H$5:$H$205,1)+1)-INDEX(LE_Curves!$H$5:$H$205,MATCH($B121,LE_Curves!$H$5:$H$205,1))))))</f>
        <v/>
      </c>
      <c r="I121" s="11">
        <f>IF(Inputs!$D$29=0,0,IF($B121&lt;=Inputs!$C$29,0,IF($B121&gt;=INDEX(LE_Curves!$I$5:$I$205,201),INDEX(LE_Curves!$B$5:$B$205,201),INDEX(LE_Curves!$B$5:$B$205,MATCH($B121,LE_Curves!$I$5:$I$205,1))+($B121-INDEX(LE_Curves!$I$5:$I$205,MATCH($B121,LE_Curves!$I$5:$I$205,1)))*(INDEX(LE_Curves!$B$5:$B$205,MATCH($B121,LE_Curves!$I$5:$I$205,1)+1)-INDEX(LE_Curves!$B$5:$B$205,MATCH($B121,LE_Curves!$I$5:$I$205,1)))/(INDEX(LE_Curves!$I$5:$I$205,MATCH($B121,LE_Curves!$I$5:$I$205,1)+1)-INDEX(LE_Curves!$I$5:$I$205,MATCH($B121,LE_Curves!$I$5:$I$205,1))))))</f>
        <v/>
      </c>
      <c r="J121" s="11">
        <f>IF(Inputs!$D$30=0,0,IF($B121&lt;=Inputs!$C$30,0,IF($B121&gt;=INDEX(LE_Curves!$J$5:$J$205,201),INDEX(LE_Curves!$B$5:$B$205,201),INDEX(LE_Curves!$B$5:$B$205,MATCH($B121,LE_Curves!$J$5:$J$205,1))+($B121-INDEX(LE_Curves!$J$5:$J$205,MATCH($B121,LE_Curves!$J$5:$J$205,1)))*(INDEX(LE_Curves!$B$5:$B$205,MATCH($B121,LE_Curves!$J$5:$J$205,1)+1)-INDEX(LE_Curves!$B$5:$B$205,MATCH($B121,LE_Curves!$J$5:$J$205,1)))/(INDEX(LE_Curves!$J$5:$J$205,MATCH($B121,LE_Curves!$J$5:$J$205,1)+1)-INDEX(LE_Curves!$J$5:$J$205,MATCH($B121,LE_Curves!$J$5:$J$205,1))))))</f>
        <v/>
      </c>
      <c r="K121" s="11">
        <f>IF(Inputs!$D$31=0,0,IF($B121&lt;=Inputs!$C$31,0,IF($B121&gt;=INDEX(LE_Curves!$K$5:$K$205,201),INDEX(LE_Curves!$B$5:$B$205,201),INDEX(LE_Curves!$B$5:$B$205,MATCH($B121,LE_Curves!$K$5:$K$205,1))+($B121-INDEX(LE_Curves!$K$5:$K$205,MATCH($B121,LE_Curves!$K$5:$K$205,1)))*(INDEX(LE_Curves!$B$5:$B$205,MATCH($B121,LE_Curves!$K$5:$K$205,1)+1)-INDEX(LE_Curves!$B$5:$B$205,MATCH($B121,LE_Curves!$K$5:$K$205,1)))/(INDEX(LE_Curves!$K$5:$K$205,MATCH($B121,LE_Curves!$K$5:$K$205,1)+1)-INDEX(LE_Curves!$K$5:$K$205,MATCH($B121,LE_Curves!$K$5:$K$205,1))))))</f>
        <v/>
      </c>
      <c r="L121" s="11">
        <f>IF(Inputs!$D$32=0,0,IF($B121&lt;=Inputs!$C$32,0,IF($B121&gt;=INDEX(LE_Curves!$L$5:$L$205,201),INDEX(LE_Curves!$B$5:$B$205,201),INDEX(LE_Curves!$B$5:$B$205,MATCH($B121,LE_Curves!$L$5:$L$205,1))+($B121-INDEX(LE_Curves!$L$5:$L$205,MATCH($B121,LE_Curves!$L$5:$L$205,1)))*(INDEX(LE_Curves!$B$5:$B$205,MATCH($B121,LE_Curves!$L$5:$L$205,1)+1)-INDEX(LE_Curves!$B$5:$B$205,MATCH($B121,LE_Curves!$L$5:$L$205,1)))/(INDEX(LE_Curves!$L$5:$L$205,MATCH($B121,LE_Curves!$L$5:$L$205,1)+1)-INDEX(LE_Curves!$L$5:$L$205,MATCH($B121,LE_Curves!$L$5:$L$205,1))))))</f>
        <v/>
      </c>
      <c r="M121" s="11">
        <f>IF(Inputs!$D$33=0,0,IF($B121&lt;=Inputs!$C$33,0,IF($B121&gt;=INDEX(LE_Curves!$M$5:$M$205,201),INDEX(LE_Curves!$B$5:$B$205,201),INDEX(LE_Curves!$B$5:$B$205,MATCH($B121,LE_Curves!$M$5:$M$205,1))+($B121-INDEX(LE_Curves!$M$5:$M$205,MATCH($B121,LE_Curves!$M$5:$M$205,1)))*(INDEX(LE_Curves!$B$5:$B$205,MATCH($B121,LE_Curves!$M$5:$M$205,1)+1)-INDEX(LE_Curves!$B$5:$B$205,MATCH($B121,LE_Curves!$M$5:$M$205,1)))/(INDEX(LE_Curves!$M$5:$M$205,MATCH($B121,LE_Curves!$M$5:$M$205,1)+1)-INDEX(LE_Curves!$M$5:$M$205,MATCH($B121,LE_Curves!$M$5:$M$205,1))))))</f>
        <v/>
      </c>
      <c r="N121" s="11">
        <f>IF(Inputs!$D$34=0,0,IF($B121&lt;=Inputs!$C$34,0,IF($B121&gt;=INDEX(LE_Curves!$N$5:$N$205,201),INDEX(LE_Curves!$B$5:$B$205,201),INDEX(LE_Curves!$B$5:$B$205,MATCH($B121,LE_Curves!$N$5:$N$205,1))+($B121-INDEX(LE_Curves!$N$5:$N$205,MATCH($B121,LE_Curves!$N$5:$N$205,1)))*(INDEX(LE_Curves!$B$5:$B$205,MATCH($B121,LE_Curves!$N$5:$N$205,1)+1)-INDEX(LE_Curves!$B$5:$B$205,MATCH($B121,LE_Curves!$N$5:$N$205,1)))/(INDEX(LE_Curves!$N$5:$N$205,MATCH($B121,LE_Curves!$N$5:$N$205,1)+1)-INDEX(LE_Curves!$N$5:$N$205,MATCH($B121,LE_Curves!$N$5:$N$205,1))))))</f>
        <v/>
      </c>
      <c r="O121" s="11">
        <f>SUM(C121:N121)</f>
        <v/>
      </c>
      <c r="Q121" s="7" t="n">
        <v>90</v>
      </c>
      <c r="R121" s="23">
        <f>$B$6+($B$7-$B$6)*Q121/200</f>
        <v/>
      </c>
      <c r="S121" s="11">
        <f>IF(Inputs!$D$23=0,0,IF($R121&lt;=Inputs!$C$23,0,IF($R121&gt;=INDEX(LE_Curves!$C$5:$C$205,201),INDEX(LE_Curves!$B$5:$B$205,201),INDEX(LE_Curves!$B$5:$B$205,MATCH($R121,LE_Curves!$C$5:$C$205,1))+($R121-INDEX(LE_Curves!$C$5:$C$205,MATCH($R121,LE_Curves!$C$5:$C$205,1)))*(INDEX(LE_Curves!$B$5:$B$205,MATCH($R121,LE_Curves!$C$5:$C$205,1)+1)-INDEX(LE_Curves!$B$5:$B$205,MATCH($R121,LE_Curves!$C$5:$C$205,1)))/(INDEX(LE_Curves!$C$5:$C$205,MATCH($R121,LE_Curves!$C$5:$C$205,1)+1)-INDEX(LE_Curves!$C$5:$C$205,MATCH($R121,LE_Curves!$C$5:$C$205,1))))))</f>
        <v/>
      </c>
      <c r="T121" s="11">
        <f>IF(Inputs!$D$24=0,0,IF($R121&lt;=Inputs!$C$24,0,IF($R121&gt;=INDEX(LE_Curves!$D$5:$D$205,201),INDEX(LE_Curves!$B$5:$B$205,201),INDEX(LE_Curves!$B$5:$B$205,MATCH($R121,LE_Curves!$D$5:$D$205,1))+($R121-INDEX(LE_Curves!$D$5:$D$205,MATCH($R121,LE_Curves!$D$5:$D$205,1)))*(INDEX(LE_Curves!$B$5:$B$205,MATCH($R121,LE_Curves!$D$5:$D$205,1)+1)-INDEX(LE_Curves!$B$5:$B$205,MATCH($R121,LE_Curves!$D$5:$D$205,1)))/(INDEX(LE_Curves!$D$5:$D$205,MATCH($R121,LE_Curves!$D$5:$D$205,1)+1)-INDEX(LE_Curves!$D$5:$D$205,MATCH($R121,LE_Curves!$D$5:$D$205,1))))))</f>
        <v/>
      </c>
      <c r="U121" s="11">
        <f>IF(Inputs!$D$25=0,0,IF($R121&lt;=Inputs!$C$25,0,IF($R121&gt;=INDEX(LE_Curves!$E$5:$E$205,201),INDEX(LE_Curves!$B$5:$B$205,201),INDEX(LE_Curves!$B$5:$B$205,MATCH($R121,LE_Curves!$E$5:$E$205,1))+($R121-INDEX(LE_Curves!$E$5:$E$205,MATCH($R121,LE_Curves!$E$5:$E$205,1)))*(INDEX(LE_Curves!$B$5:$B$205,MATCH($R121,LE_Curves!$E$5:$E$205,1)+1)-INDEX(LE_Curves!$B$5:$B$205,MATCH($R121,LE_Curves!$E$5:$E$205,1)))/(INDEX(LE_Curves!$E$5:$E$205,MATCH($R121,LE_Curves!$E$5:$E$205,1)+1)-INDEX(LE_Curves!$E$5:$E$205,MATCH($R121,LE_Curves!$E$5:$E$205,1))))))</f>
        <v/>
      </c>
      <c r="V121" s="11">
        <f>IF(Inputs!$D$26=0,0,IF($R121&lt;=Inputs!$C$26,0,IF($R121&gt;=INDEX(LE_Curves!$F$5:$F$205,201),INDEX(LE_Curves!$B$5:$B$205,201),INDEX(LE_Curves!$B$5:$B$205,MATCH($R121,LE_Curves!$F$5:$F$205,1))+($R121-INDEX(LE_Curves!$F$5:$F$205,MATCH($R121,LE_Curves!$F$5:$F$205,1)))*(INDEX(LE_Curves!$B$5:$B$205,MATCH($R121,LE_Curves!$F$5:$F$205,1)+1)-INDEX(LE_Curves!$B$5:$B$205,MATCH($R121,LE_Curves!$F$5:$F$205,1)))/(INDEX(LE_Curves!$F$5:$F$205,MATCH($R121,LE_Curves!$F$5:$F$205,1)+1)-INDEX(LE_Curves!$F$5:$F$205,MATCH($R121,LE_Curves!$F$5:$F$205,1))))))</f>
        <v/>
      </c>
      <c r="W121" s="11">
        <f>IF(Inputs!$D$27=0,0,IF($R121&lt;=Inputs!$C$27,0,IF($R121&gt;=INDEX(LE_Curves!$G$5:$G$205,201),INDEX(LE_Curves!$B$5:$B$205,201),INDEX(LE_Curves!$B$5:$B$205,MATCH($R121,LE_Curves!$G$5:$G$205,1))+($R121-INDEX(LE_Curves!$G$5:$G$205,MATCH($R121,LE_Curves!$G$5:$G$205,1)))*(INDEX(LE_Curves!$B$5:$B$205,MATCH($R121,LE_Curves!$G$5:$G$205,1)+1)-INDEX(LE_Curves!$B$5:$B$205,MATCH($R121,LE_Curves!$G$5:$G$205,1)))/(INDEX(LE_Curves!$G$5:$G$205,MATCH($R121,LE_Curves!$G$5:$G$205,1)+1)-INDEX(LE_Curves!$G$5:$G$205,MATCH($R121,LE_Curves!$G$5:$G$205,1))))))</f>
        <v/>
      </c>
      <c r="X121" s="11">
        <f>IF(Inputs!$D$28=0,0,IF($R121&lt;=Inputs!$C$28,0,IF($R121&gt;=INDEX(LE_Curves!$H$5:$H$205,201),INDEX(LE_Curves!$B$5:$B$205,201),INDEX(LE_Curves!$B$5:$B$205,MATCH($R121,LE_Curves!$H$5:$H$205,1))+($R121-INDEX(LE_Curves!$H$5:$H$205,MATCH($R121,LE_Curves!$H$5:$H$205,1)))*(INDEX(LE_Curves!$B$5:$B$205,MATCH($R121,LE_Curves!$H$5:$H$205,1)+1)-INDEX(LE_Curves!$B$5:$B$205,MATCH($R121,LE_Curves!$H$5:$H$205,1)))/(INDEX(LE_Curves!$H$5:$H$205,MATCH($R121,LE_Curves!$H$5:$H$205,1)+1)-INDEX(LE_Curves!$H$5:$H$205,MATCH($R121,LE_Curves!$H$5:$H$205,1))))))</f>
        <v/>
      </c>
      <c r="Y121" s="11">
        <f>IF(Inputs!$D$29=0,0,IF($R121&lt;=Inputs!$C$29,0,IF($R121&gt;=INDEX(LE_Curves!$I$5:$I$205,201),INDEX(LE_Curves!$B$5:$B$205,201),INDEX(LE_Curves!$B$5:$B$205,MATCH($R121,LE_Curves!$I$5:$I$205,1))+($R121-INDEX(LE_Curves!$I$5:$I$205,MATCH($R121,LE_Curves!$I$5:$I$205,1)))*(INDEX(LE_Curves!$B$5:$B$205,MATCH($R121,LE_Curves!$I$5:$I$205,1)+1)-INDEX(LE_Curves!$B$5:$B$205,MATCH($R121,LE_Curves!$I$5:$I$205,1)))/(INDEX(LE_Curves!$I$5:$I$205,MATCH($R121,LE_Curves!$I$5:$I$205,1)+1)-INDEX(LE_Curves!$I$5:$I$205,MATCH($R121,LE_Curves!$I$5:$I$205,1))))))</f>
        <v/>
      </c>
      <c r="Z121" s="11">
        <f>IF(Inputs!$D$30=0,0,IF($R121&lt;=Inputs!$C$30,0,IF($R121&gt;=INDEX(LE_Curves!$J$5:$J$205,201),INDEX(LE_Curves!$B$5:$B$205,201),INDEX(LE_Curves!$B$5:$B$205,MATCH($R121,LE_Curves!$J$5:$J$205,1))+($R121-INDEX(LE_Curves!$J$5:$J$205,MATCH($R121,LE_Curves!$J$5:$J$205,1)))*(INDEX(LE_Curves!$B$5:$B$205,MATCH($R121,LE_Curves!$J$5:$J$205,1)+1)-INDEX(LE_Curves!$B$5:$B$205,MATCH($R121,LE_Curves!$J$5:$J$205,1)))/(INDEX(LE_Curves!$J$5:$J$205,MATCH($R121,LE_Curves!$J$5:$J$205,1)+1)-INDEX(LE_Curves!$J$5:$J$205,MATCH($R121,LE_Curves!$J$5:$J$205,1))))))</f>
        <v/>
      </c>
      <c r="AA121" s="11">
        <f>IF(Inputs!$D$31=0,0,IF($R121&lt;=Inputs!$C$31,0,IF($R121&gt;=INDEX(LE_Curves!$K$5:$K$205,201),INDEX(LE_Curves!$B$5:$B$205,201),INDEX(LE_Curves!$B$5:$B$205,MATCH($R121,LE_Curves!$K$5:$K$205,1))+($R121-INDEX(LE_Curves!$K$5:$K$205,MATCH($R121,LE_Curves!$K$5:$K$205,1)))*(INDEX(LE_Curves!$B$5:$B$205,MATCH($R121,LE_Curves!$K$5:$K$205,1)+1)-INDEX(LE_Curves!$B$5:$B$205,MATCH($R121,LE_Curves!$K$5:$K$205,1)))/(INDEX(LE_Curves!$K$5:$K$205,MATCH($R121,LE_Curves!$K$5:$K$205,1)+1)-INDEX(LE_Curves!$K$5:$K$205,MATCH($R121,LE_Curves!$K$5:$K$205,1))))))</f>
        <v/>
      </c>
      <c r="AB121" s="11">
        <f>IF(Inputs!$D$32=0,0,IF($R121&lt;=Inputs!$C$32,0,IF($R121&gt;=INDEX(LE_Curves!$L$5:$L$205,201),INDEX(LE_Curves!$B$5:$B$205,201),INDEX(LE_Curves!$B$5:$B$205,MATCH($R121,LE_Curves!$L$5:$L$205,1))+($R121-INDEX(LE_Curves!$L$5:$L$205,MATCH($R121,LE_Curves!$L$5:$L$205,1)))*(INDEX(LE_Curves!$B$5:$B$205,MATCH($R121,LE_Curves!$L$5:$L$205,1)+1)-INDEX(LE_Curves!$B$5:$B$205,MATCH($R121,LE_Curves!$L$5:$L$205,1)))/(INDEX(LE_Curves!$L$5:$L$205,MATCH($R121,LE_Curves!$L$5:$L$205,1)+1)-INDEX(LE_Curves!$L$5:$L$205,MATCH($R121,LE_Curves!$L$5:$L$205,1))))))</f>
        <v/>
      </c>
      <c r="AC121" s="11">
        <f>IF(Inputs!$D$33=0,0,IF($R121&lt;=Inputs!$C$33,0,IF($R121&gt;=INDEX(LE_Curves!$M$5:$M$205,201),INDEX(LE_Curves!$B$5:$B$205,201),INDEX(LE_Curves!$B$5:$B$205,MATCH($R121,LE_Curves!$M$5:$M$205,1))+($R121-INDEX(LE_Curves!$M$5:$M$205,MATCH($R121,LE_Curves!$M$5:$M$205,1)))*(INDEX(LE_Curves!$B$5:$B$205,MATCH($R121,LE_Curves!$M$5:$M$205,1)+1)-INDEX(LE_Curves!$B$5:$B$205,MATCH($R121,LE_Curves!$M$5:$M$205,1)))/(INDEX(LE_Curves!$M$5:$M$205,MATCH($R121,LE_Curves!$M$5:$M$205,1)+1)-INDEX(LE_Curves!$M$5:$M$205,MATCH($R121,LE_Curves!$M$5:$M$205,1))))))</f>
        <v/>
      </c>
      <c r="AD121" s="11">
        <f>IF(Inputs!$D$34=0,0,IF($R121&lt;=Inputs!$C$34,0,IF($R121&gt;=INDEX(LE_Curves!$N$5:$N$205,201),INDEX(LE_Curves!$B$5:$B$205,201),INDEX(LE_Curves!$B$5:$B$205,MATCH($R121,LE_Curves!$N$5:$N$205,1))+($R121-INDEX(LE_Curves!$N$5:$N$205,MATCH($R121,LE_Curves!$N$5:$N$205,1)))*(INDEX(LE_Curves!$B$5:$B$205,MATCH($R121,LE_Curves!$N$5:$N$205,1)+1)-INDEX(LE_Curves!$B$5:$B$205,MATCH($R121,LE_Curves!$N$5:$N$205,1)))/(INDEX(LE_Curves!$N$5:$N$205,MATCH($R121,LE_Curves!$N$5:$N$205,1)+1)-INDEX(LE_Curves!$N$5:$N$205,MATCH($R121,LE_Curves!$N$5:$N$205,1))))))</f>
        <v/>
      </c>
      <c r="AE121" s="37">
        <f>SUM(S121:AD121)</f>
        <v/>
      </c>
    </row>
    <row r="122">
      <c r="A122" s="7" t="n">
        <v>91</v>
      </c>
      <c r="B122" s="37">
        <f>$B$3+($B$4-$B$3)*A122/200</f>
        <v/>
      </c>
      <c r="C122" s="11">
        <f>IF(Inputs!$D$23=0,0,IF($B122&lt;=Inputs!$C$23,0,IF($B122&gt;=INDEX(LE_Curves!$C$5:$C$205,201),INDEX(LE_Curves!$B$5:$B$205,201),INDEX(LE_Curves!$B$5:$B$205,MATCH($B122,LE_Curves!$C$5:$C$205,1))+($B122-INDEX(LE_Curves!$C$5:$C$205,MATCH($B122,LE_Curves!$C$5:$C$205,1)))*(INDEX(LE_Curves!$B$5:$B$205,MATCH($B122,LE_Curves!$C$5:$C$205,1)+1)-INDEX(LE_Curves!$B$5:$B$205,MATCH($B122,LE_Curves!$C$5:$C$205,1)))/(INDEX(LE_Curves!$C$5:$C$205,MATCH($B122,LE_Curves!$C$5:$C$205,1)+1)-INDEX(LE_Curves!$C$5:$C$205,MATCH($B122,LE_Curves!$C$5:$C$205,1))))))</f>
        <v/>
      </c>
      <c r="D122" s="11">
        <f>IF(Inputs!$D$24=0,0,IF($B122&lt;=Inputs!$C$24,0,IF($B122&gt;=INDEX(LE_Curves!$D$5:$D$205,201),INDEX(LE_Curves!$B$5:$B$205,201),INDEX(LE_Curves!$B$5:$B$205,MATCH($B122,LE_Curves!$D$5:$D$205,1))+($B122-INDEX(LE_Curves!$D$5:$D$205,MATCH($B122,LE_Curves!$D$5:$D$205,1)))*(INDEX(LE_Curves!$B$5:$B$205,MATCH($B122,LE_Curves!$D$5:$D$205,1)+1)-INDEX(LE_Curves!$B$5:$B$205,MATCH($B122,LE_Curves!$D$5:$D$205,1)))/(INDEX(LE_Curves!$D$5:$D$205,MATCH($B122,LE_Curves!$D$5:$D$205,1)+1)-INDEX(LE_Curves!$D$5:$D$205,MATCH($B122,LE_Curves!$D$5:$D$205,1))))))</f>
        <v/>
      </c>
      <c r="E122" s="11">
        <f>IF(Inputs!$D$25=0,0,IF($B122&lt;=Inputs!$C$25,0,IF($B122&gt;=INDEX(LE_Curves!$E$5:$E$205,201),INDEX(LE_Curves!$B$5:$B$205,201),INDEX(LE_Curves!$B$5:$B$205,MATCH($B122,LE_Curves!$E$5:$E$205,1))+($B122-INDEX(LE_Curves!$E$5:$E$205,MATCH($B122,LE_Curves!$E$5:$E$205,1)))*(INDEX(LE_Curves!$B$5:$B$205,MATCH($B122,LE_Curves!$E$5:$E$205,1)+1)-INDEX(LE_Curves!$B$5:$B$205,MATCH($B122,LE_Curves!$E$5:$E$205,1)))/(INDEX(LE_Curves!$E$5:$E$205,MATCH($B122,LE_Curves!$E$5:$E$205,1)+1)-INDEX(LE_Curves!$E$5:$E$205,MATCH($B122,LE_Curves!$E$5:$E$205,1))))))</f>
        <v/>
      </c>
      <c r="F122" s="11">
        <f>IF(Inputs!$D$26=0,0,IF($B122&lt;=Inputs!$C$26,0,IF($B122&gt;=INDEX(LE_Curves!$F$5:$F$205,201),INDEX(LE_Curves!$B$5:$B$205,201),INDEX(LE_Curves!$B$5:$B$205,MATCH($B122,LE_Curves!$F$5:$F$205,1))+($B122-INDEX(LE_Curves!$F$5:$F$205,MATCH($B122,LE_Curves!$F$5:$F$205,1)))*(INDEX(LE_Curves!$B$5:$B$205,MATCH($B122,LE_Curves!$F$5:$F$205,1)+1)-INDEX(LE_Curves!$B$5:$B$205,MATCH($B122,LE_Curves!$F$5:$F$205,1)))/(INDEX(LE_Curves!$F$5:$F$205,MATCH($B122,LE_Curves!$F$5:$F$205,1)+1)-INDEX(LE_Curves!$F$5:$F$205,MATCH($B122,LE_Curves!$F$5:$F$205,1))))))</f>
        <v/>
      </c>
      <c r="G122" s="11">
        <f>IF(Inputs!$D$27=0,0,IF($B122&lt;=Inputs!$C$27,0,IF($B122&gt;=INDEX(LE_Curves!$G$5:$G$205,201),INDEX(LE_Curves!$B$5:$B$205,201),INDEX(LE_Curves!$B$5:$B$205,MATCH($B122,LE_Curves!$G$5:$G$205,1))+($B122-INDEX(LE_Curves!$G$5:$G$205,MATCH($B122,LE_Curves!$G$5:$G$205,1)))*(INDEX(LE_Curves!$B$5:$B$205,MATCH($B122,LE_Curves!$G$5:$G$205,1)+1)-INDEX(LE_Curves!$B$5:$B$205,MATCH($B122,LE_Curves!$G$5:$G$205,1)))/(INDEX(LE_Curves!$G$5:$G$205,MATCH($B122,LE_Curves!$G$5:$G$205,1)+1)-INDEX(LE_Curves!$G$5:$G$205,MATCH($B122,LE_Curves!$G$5:$G$205,1))))))</f>
        <v/>
      </c>
      <c r="H122" s="11">
        <f>IF(Inputs!$D$28=0,0,IF($B122&lt;=Inputs!$C$28,0,IF($B122&gt;=INDEX(LE_Curves!$H$5:$H$205,201),INDEX(LE_Curves!$B$5:$B$205,201),INDEX(LE_Curves!$B$5:$B$205,MATCH($B122,LE_Curves!$H$5:$H$205,1))+($B122-INDEX(LE_Curves!$H$5:$H$205,MATCH($B122,LE_Curves!$H$5:$H$205,1)))*(INDEX(LE_Curves!$B$5:$B$205,MATCH($B122,LE_Curves!$H$5:$H$205,1)+1)-INDEX(LE_Curves!$B$5:$B$205,MATCH($B122,LE_Curves!$H$5:$H$205,1)))/(INDEX(LE_Curves!$H$5:$H$205,MATCH($B122,LE_Curves!$H$5:$H$205,1)+1)-INDEX(LE_Curves!$H$5:$H$205,MATCH($B122,LE_Curves!$H$5:$H$205,1))))))</f>
        <v/>
      </c>
      <c r="I122" s="11">
        <f>IF(Inputs!$D$29=0,0,IF($B122&lt;=Inputs!$C$29,0,IF($B122&gt;=INDEX(LE_Curves!$I$5:$I$205,201),INDEX(LE_Curves!$B$5:$B$205,201),INDEX(LE_Curves!$B$5:$B$205,MATCH($B122,LE_Curves!$I$5:$I$205,1))+($B122-INDEX(LE_Curves!$I$5:$I$205,MATCH($B122,LE_Curves!$I$5:$I$205,1)))*(INDEX(LE_Curves!$B$5:$B$205,MATCH($B122,LE_Curves!$I$5:$I$205,1)+1)-INDEX(LE_Curves!$B$5:$B$205,MATCH($B122,LE_Curves!$I$5:$I$205,1)))/(INDEX(LE_Curves!$I$5:$I$205,MATCH($B122,LE_Curves!$I$5:$I$205,1)+1)-INDEX(LE_Curves!$I$5:$I$205,MATCH($B122,LE_Curves!$I$5:$I$205,1))))))</f>
        <v/>
      </c>
      <c r="J122" s="11">
        <f>IF(Inputs!$D$30=0,0,IF($B122&lt;=Inputs!$C$30,0,IF($B122&gt;=INDEX(LE_Curves!$J$5:$J$205,201),INDEX(LE_Curves!$B$5:$B$205,201),INDEX(LE_Curves!$B$5:$B$205,MATCH($B122,LE_Curves!$J$5:$J$205,1))+($B122-INDEX(LE_Curves!$J$5:$J$205,MATCH($B122,LE_Curves!$J$5:$J$205,1)))*(INDEX(LE_Curves!$B$5:$B$205,MATCH($B122,LE_Curves!$J$5:$J$205,1)+1)-INDEX(LE_Curves!$B$5:$B$205,MATCH($B122,LE_Curves!$J$5:$J$205,1)))/(INDEX(LE_Curves!$J$5:$J$205,MATCH($B122,LE_Curves!$J$5:$J$205,1)+1)-INDEX(LE_Curves!$J$5:$J$205,MATCH($B122,LE_Curves!$J$5:$J$205,1))))))</f>
        <v/>
      </c>
      <c r="K122" s="11">
        <f>IF(Inputs!$D$31=0,0,IF($B122&lt;=Inputs!$C$31,0,IF($B122&gt;=INDEX(LE_Curves!$K$5:$K$205,201),INDEX(LE_Curves!$B$5:$B$205,201),INDEX(LE_Curves!$B$5:$B$205,MATCH($B122,LE_Curves!$K$5:$K$205,1))+($B122-INDEX(LE_Curves!$K$5:$K$205,MATCH($B122,LE_Curves!$K$5:$K$205,1)))*(INDEX(LE_Curves!$B$5:$B$205,MATCH($B122,LE_Curves!$K$5:$K$205,1)+1)-INDEX(LE_Curves!$B$5:$B$205,MATCH($B122,LE_Curves!$K$5:$K$205,1)))/(INDEX(LE_Curves!$K$5:$K$205,MATCH($B122,LE_Curves!$K$5:$K$205,1)+1)-INDEX(LE_Curves!$K$5:$K$205,MATCH($B122,LE_Curves!$K$5:$K$205,1))))))</f>
        <v/>
      </c>
      <c r="L122" s="11">
        <f>IF(Inputs!$D$32=0,0,IF($B122&lt;=Inputs!$C$32,0,IF($B122&gt;=INDEX(LE_Curves!$L$5:$L$205,201),INDEX(LE_Curves!$B$5:$B$205,201),INDEX(LE_Curves!$B$5:$B$205,MATCH($B122,LE_Curves!$L$5:$L$205,1))+($B122-INDEX(LE_Curves!$L$5:$L$205,MATCH($B122,LE_Curves!$L$5:$L$205,1)))*(INDEX(LE_Curves!$B$5:$B$205,MATCH($B122,LE_Curves!$L$5:$L$205,1)+1)-INDEX(LE_Curves!$B$5:$B$205,MATCH($B122,LE_Curves!$L$5:$L$205,1)))/(INDEX(LE_Curves!$L$5:$L$205,MATCH($B122,LE_Curves!$L$5:$L$205,1)+1)-INDEX(LE_Curves!$L$5:$L$205,MATCH($B122,LE_Curves!$L$5:$L$205,1))))))</f>
        <v/>
      </c>
      <c r="M122" s="11">
        <f>IF(Inputs!$D$33=0,0,IF($B122&lt;=Inputs!$C$33,0,IF($B122&gt;=INDEX(LE_Curves!$M$5:$M$205,201),INDEX(LE_Curves!$B$5:$B$205,201),INDEX(LE_Curves!$B$5:$B$205,MATCH($B122,LE_Curves!$M$5:$M$205,1))+($B122-INDEX(LE_Curves!$M$5:$M$205,MATCH($B122,LE_Curves!$M$5:$M$205,1)))*(INDEX(LE_Curves!$B$5:$B$205,MATCH($B122,LE_Curves!$M$5:$M$205,1)+1)-INDEX(LE_Curves!$B$5:$B$205,MATCH($B122,LE_Curves!$M$5:$M$205,1)))/(INDEX(LE_Curves!$M$5:$M$205,MATCH($B122,LE_Curves!$M$5:$M$205,1)+1)-INDEX(LE_Curves!$M$5:$M$205,MATCH($B122,LE_Curves!$M$5:$M$205,1))))))</f>
        <v/>
      </c>
      <c r="N122" s="11">
        <f>IF(Inputs!$D$34=0,0,IF($B122&lt;=Inputs!$C$34,0,IF($B122&gt;=INDEX(LE_Curves!$N$5:$N$205,201),INDEX(LE_Curves!$B$5:$B$205,201),INDEX(LE_Curves!$B$5:$B$205,MATCH($B122,LE_Curves!$N$5:$N$205,1))+($B122-INDEX(LE_Curves!$N$5:$N$205,MATCH($B122,LE_Curves!$N$5:$N$205,1)))*(INDEX(LE_Curves!$B$5:$B$205,MATCH($B122,LE_Curves!$N$5:$N$205,1)+1)-INDEX(LE_Curves!$B$5:$B$205,MATCH($B122,LE_Curves!$N$5:$N$205,1)))/(INDEX(LE_Curves!$N$5:$N$205,MATCH($B122,LE_Curves!$N$5:$N$205,1)+1)-INDEX(LE_Curves!$N$5:$N$205,MATCH($B122,LE_Curves!$N$5:$N$205,1))))))</f>
        <v/>
      </c>
      <c r="O122" s="11">
        <f>SUM(C122:N122)</f>
        <v/>
      </c>
      <c r="Q122" s="7" t="n">
        <v>91</v>
      </c>
      <c r="R122" s="23">
        <f>$B$6+($B$7-$B$6)*Q122/200</f>
        <v/>
      </c>
      <c r="S122" s="11">
        <f>IF(Inputs!$D$23=0,0,IF($R122&lt;=Inputs!$C$23,0,IF($R122&gt;=INDEX(LE_Curves!$C$5:$C$205,201),INDEX(LE_Curves!$B$5:$B$205,201),INDEX(LE_Curves!$B$5:$B$205,MATCH($R122,LE_Curves!$C$5:$C$205,1))+($R122-INDEX(LE_Curves!$C$5:$C$205,MATCH($R122,LE_Curves!$C$5:$C$205,1)))*(INDEX(LE_Curves!$B$5:$B$205,MATCH($R122,LE_Curves!$C$5:$C$205,1)+1)-INDEX(LE_Curves!$B$5:$B$205,MATCH($R122,LE_Curves!$C$5:$C$205,1)))/(INDEX(LE_Curves!$C$5:$C$205,MATCH($R122,LE_Curves!$C$5:$C$205,1)+1)-INDEX(LE_Curves!$C$5:$C$205,MATCH($R122,LE_Curves!$C$5:$C$205,1))))))</f>
        <v/>
      </c>
      <c r="T122" s="11">
        <f>IF(Inputs!$D$24=0,0,IF($R122&lt;=Inputs!$C$24,0,IF($R122&gt;=INDEX(LE_Curves!$D$5:$D$205,201),INDEX(LE_Curves!$B$5:$B$205,201),INDEX(LE_Curves!$B$5:$B$205,MATCH($R122,LE_Curves!$D$5:$D$205,1))+($R122-INDEX(LE_Curves!$D$5:$D$205,MATCH($R122,LE_Curves!$D$5:$D$205,1)))*(INDEX(LE_Curves!$B$5:$B$205,MATCH($R122,LE_Curves!$D$5:$D$205,1)+1)-INDEX(LE_Curves!$B$5:$B$205,MATCH($R122,LE_Curves!$D$5:$D$205,1)))/(INDEX(LE_Curves!$D$5:$D$205,MATCH($R122,LE_Curves!$D$5:$D$205,1)+1)-INDEX(LE_Curves!$D$5:$D$205,MATCH($R122,LE_Curves!$D$5:$D$205,1))))))</f>
        <v/>
      </c>
      <c r="U122" s="11">
        <f>IF(Inputs!$D$25=0,0,IF($R122&lt;=Inputs!$C$25,0,IF($R122&gt;=INDEX(LE_Curves!$E$5:$E$205,201),INDEX(LE_Curves!$B$5:$B$205,201),INDEX(LE_Curves!$B$5:$B$205,MATCH($R122,LE_Curves!$E$5:$E$205,1))+($R122-INDEX(LE_Curves!$E$5:$E$205,MATCH($R122,LE_Curves!$E$5:$E$205,1)))*(INDEX(LE_Curves!$B$5:$B$205,MATCH($R122,LE_Curves!$E$5:$E$205,1)+1)-INDEX(LE_Curves!$B$5:$B$205,MATCH($R122,LE_Curves!$E$5:$E$205,1)))/(INDEX(LE_Curves!$E$5:$E$205,MATCH($R122,LE_Curves!$E$5:$E$205,1)+1)-INDEX(LE_Curves!$E$5:$E$205,MATCH($R122,LE_Curves!$E$5:$E$205,1))))))</f>
        <v/>
      </c>
      <c r="V122" s="11">
        <f>IF(Inputs!$D$26=0,0,IF($R122&lt;=Inputs!$C$26,0,IF($R122&gt;=INDEX(LE_Curves!$F$5:$F$205,201),INDEX(LE_Curves!$B$5:$B$205,201),INDEX(LE_Curves!$B$5:$B$205,MATCH($R122,LE_Curves!$F$5:$F$205,1))+($R122-INDEX(LE_Curves!$F$5:$F$205,MATCH($R122,LE_Curves!$F$5:$F$205,1)))*(INDEX(LE_Curves!$B$5:$B$205,MATCH($R122,LE_Curves!$F$5:$F$205,1)+1)-INDEX(LE_Curves!$B$5:$B$205,MATCH($R122,LE_Curves!$F$5:$F$205,1)))/(INDEX(LE_Curves!$F$5:$F$205,MATCH($R122,LE_Curves!$F$5:$F$205,1)+1)-INDEX(LE_Curves!$F$5:$F$205,MATCH($R122,LE_Curves!$F$5:$F$205,1))))))</f>
        <v/>
      </c>
      <c r="W122" s="11">
        <f>IF(Inputs!$D$27=0,0,IF($R122&lt;=Inputs!$C$27,0,IF($R122&gt;=INDEX(LE_Curves!$G$5:$G$205,201),INDEX(LE_Curves!$B$5:$B$205,201),INDEX(LE_Curves!$B$5:$B$205,MATCH($R122,LE_Curves!$G$5:$G$205,1))+($R122-INDEX(LE_Curves!$G$5:$G$205,MATCH($R122,LE_Curves!$G$5:$G$205,1)))*(INDEX(LE_Curves!$B$5:$B$205,MATCH($R122,LE_Curves!$G$5:$G$205,1)+1)-INDEX(LE_Curves!$B$5:$B$205,MATCH($R122,LE_Curves!$G$5:$G$205,1)))/(INDEX(LE_Curves!$G$5:$G$205,MATCH($R122,LE_Curves!$G$5:$G$205,1)+1)-INDEX(LE_Curves!$G$5:$G$205,MATCH($R122,LE_Curves!$G$5:$G$205,1))))))</f>
        <v/>
      </c>
      <c r="X122" s="11">
        <f>IF(Inputs!$D$28=0,0,IF($R122&lt;=Inputs!$C$28,0,IF($R122&gt;=INDEX(LE_Curves!$H$5:$H$205,201),INDEX(LE_Curves!$B$5:$B$205,201),INDEX(LE_Curves!$B$5:$B$205,MATCH($R122,LE_Curves!$H$5:$H$205,1))+($R122-INDEX(LE_Curves!$H$5:$H$205,MATCH($R122,LE_Curves!$H$5:$H$205,1)))*(INDEX(LE_Curves!$B$5:$B$205,MATCH($R122,LE_Curves!$H$5:$H$205,1)+1)-INDEX(LE_Curves!$B$5:$B$205,MATCH($R122,LE_Curves!$H$5:$H$205,1)))/(INDEX(LE_Curves!$H$5:$H$205,MATCH($R122,LE_Curves!$H$5:$H$205,1)+1)-INDEX(LE_Curves!$H$5:$H$205,MATCH($R122,LE_Curves!$H$5:$H$205,1))))))</f>
        <v/>
      </c>
      <c r="Y122" s="11">
        <f>IF(Inputs!$D$29=0,0,IF($R122&lt;=Inputs!$C$29,0,IF($R122&gt;=INDEX(LE_Curves!$I$5:$I$205,201),INDEX(LE_Curves!$B$5:$B$205,201),INDEX(LE_Curves!$B$5:$B$205,MATCH($R122,LE_Curves!$I$5:$I$205,1))+($R122-INDEX(LE_Curves!$I$5:$I$205,MATCH($R122,LE_Curves!$I$5:$I$205,1)))*(INDEX(LE_Curves!$B$5:$B$205,MATCH($R122,LE_Curves!$I$5:$I$205,1)+1)-INDEX(LE_Curves!$B$5:$B$205,MATCH($R122,LE_Curves!$I$5:$I$205,1)))/(INDEX(LE_Curves!$I$5:$I$205,MATCH($R122,LE_Curves!$I$5:$I$205,1)+1)-INDEX(LE_Curves!$I$5:$I$205,MATCH($R122,LE_Curves!$I$5:$I$205,1))))))</f>
        <v/>
      </c>
      <c r="Z122" s="11">
        <f>IF(Inputs!$D$30=0,0,IF($R122&lt;=Inputs!$C$30,0,IF($R122&gt;=INDEX(LE_Curves!$J$5:$J$205,201),INDEX(LE_Curves!$B$5:$B$205,201),INDEX(LE_Curves!$B$5:$B$205,MATCH($R122,LE_Curves!$J$5:$J$205,1))+($R122-INDEX(LE_Curves!$J$5:$J$205,MATCH($R122,LE_Curves!$J$5:$J$205,1)))*(INDEX(LE_Curves!$B$5:$B$205,MATCH($R122,LE_Curves!$J$5:$J$205,1)+1)-INDEX(LE_Curves!$B$5:$B$205,MATCH($R122,LE_Curves!$J$5:$J$205,1)))/(INDEX(LE_Curves!$J$5:$J$205,MATCH($R122,LE_Curves!$J$5:$J$205,1)+1)-INDEX(LE_Curves!$J$5:$J$205,MATCH($R122,LE_Curves!$J$5:$J$205,1))))))</f>
        <v/>
      </c>
      <c r="AA122" s="11">
        <f>IF(Inputs!$D$31=0,0,IF($R122&lt;=Inputs!$C$31,0,IF($R122&gt;=INDEX(LE_Curves!$K$5:$K$205,201),INDEX(LE_Curves!$B$5:$B$205,201),INDEX(LE_Curves!$B$5:$B$205,MATCH($R122,LE_Curves!$K$5:$K$205,1))+($R122-INDEX(LE_Curves!$K$5:$K$205,MATCH($R122,LE_Curves!$K$5:$K$205,1)))*(INDEX(LE_Curves!$B$5:$B$205,MATCH($R122,LE_Curves!$K$5:$K$205,1)+1)-INDEX(LE_Curves!$B$5:$B$205,MATCH($R122,LE_Curves!$K$5:$K$205,1)))/(INDEX(LE_Curves!$K$5:$K$205,MATCH($R122,LE_Curves!$K$5:$K$205,1)+1)-INDEX(LE_Curves!$K$5:$K$205,MATCH($R122,LE_Curves!$K$5:$K$205,1))))))</f>
        <v/>
      </c>
      <c r="AB122" s="11">
        <f>IF(Inputs!$D$32=0,0,IF($R122&lt;=Inputs!$C$32,0,IF($R122&gt;=INDEX(LE_Curves!$L$5:$L$205,201),INDEX(LE_Curves!$B$5:$B$205,201),INDEX(LE_Curves!$B$5:$B$205,MATCH($R122,LE_Curves!$L$5:$L$205,1))+($R122-INDEX(LE_Curves!$L$5:$L$205,MATCH($R122,LE_Curves!$L$5:$L$205,1)))*(INDEX(LE_Curves!$B$5:$B$205,MATCH($R122,LE_Curves!$L$5:$L$205,1)+1)-INDEX(LE_Curves!$B$5:$B$205,MATCH($R122,LE_Curves!$L$5:$L$205,1)))/(INDEX(LE_Curves!$L$5:$L$205,MATCH($R122,LE_Curves!$L$5:$L$205,1)+1)-INDEX(LE_Curves!$L$5:$L$205,MATCH($R122,LE_Curves!$L$5:$L$205,1))))))</f>
        <v/>
      </c>
      <c r="AC122" s="11">
        <f>IF(Inputs!$D$33=0,0,IF($R122&lt;=Inputs!$C$33,0,IF($R122&gt;=INDEX(LE_Curves!$M$5:$M$205,201),INDEX(LE_Curves!$B$5:$B$205,201),INDEX(LE_Curves!$B$5:$B$205,MATCH($R122,LE_Curves!$M$5:$M$205,1))+($R122-INDEX(LE_Curves!$M$5:$M$205,MATCH($R122,LE_Curves!$M$5:$M$205,1)))*(INDEX(LE_Curves!$B$5:$B$205,MATCH($R122,LE_Curves!$M$5:$M$205,1)+1)-INDEX(LE_Curves!$B$5:$B$205,MATCH($R122,LE_Curves!$M$5:$M$205,1)))/(INDEX(LE_Curves!$M$5:$M$205,MATCH($R122,LE_Curves!$M$5:$M$205,1)+1)-INDEX(LE_Curves!$M$5:$M$205,MATCH($R122,LE_Curves!$M$5:$M$205,1))))))</f>
        <v/>
      </c>
      <c r="AD122" s="11">
        <f>IF(Inputs!$D$34=0,0,IF($R122&lt;=Inputs!$C$34,0,IF($R122&gt;=INDEX(LE_Curves!$N$5:$N$205,201),INDEX(LE_Curves!$B$5:$B$205,201),INDEX(LE_Curves!$B$5:$B$205,MATCH($R122,LE_Curves!$N$5:$N$205,1))+($R122-INDEX(LE_Curves!$N$5:$N$205,MATCH($R122,LE_Curves!$N$5:$N$205,1)))*(INDEX(LE_Curves!$B$5:$B$205,MATCH($R122,LE_Curves!$N$5:$N$205,1)+1)-INDEX(LE_Curves!$B$5:$B$205,MATCH($R122,LE_Curves!$N$5:$N$205,1)))/(INDEX(LE_Curves!$N$5:$N$205,MATCH($R122,LE_Curves!$N$5:$N$205,1)+1)-INDEX(LE_Curves!$N$5:$N$205,MATCH($R122,LE_Curves!$N$5:$N$205,1))))))</f>
        <v/>
      </c>
      <c r="AE122" s="37">
        <f>SUM(S122:AD122)</f>
        <v/>
      </c>
    </row>
    <row r="123">
      <c r="A123" s="7" t="n">
        <v>92</v>
      </c>
      <c r="B123" s="37">
        <f>$B$3+($B$4-$B$3)*A123/200</f>
        <v/>
      </c>
      <c r="C123" s="11">
        <f>IF(Inputs!$D$23=0,0,IF($B123&lt;=Inputs!$C$23,0,IF($B123&gt;=INDEX(LE_Curves!$C$5:$C$205,201),INDEX(LE_Curves!$B$5:$B$205,201),INDEX(LE_Curves!$B$5:$B$205,MATCH($B123,LE_Curves!$C$5:$C$205,1))+($B123-INDEX(LE_Curves!$C$5:$C$205,MATCH($B123,LE_Curves!$C$5:$C$205,1)))*(INDEX(LE_Curves!$B$5:$B$205,MATCH($B123,LE_Curves!$C$5:$C$205,1)+1)-INDEX(LE_Curves!$B$5:$B$205,MATCH($B123,LE_Curves!$C$5:$C$205,1)))/(INDEX(LE_Curves!$C$5:$C$205,MATCH($B123,LE_Curves!$C$5:$C$205,1)+1)-INDEX(LE_Curves!$C$5:$C$205,MATCH($B123,LE_Curves!$C$5:$C$205,1))))))</f>
        <v/>
      </c>
      <c r="D123" s="11">
        <f>IF(Inputs!$D$24=0,0,IF($B123&lt;=Inputs!$C$24,0,IF($B123&gt;=INDEX(LE_Curves!$D$5:$D$205,201),INDEX(LE_Curves!$B$5:$B$205,201),INDEX(LE_Curves!$B$5:$B$205,MATCH($B123,LE_Curves!$D$5:$D$205,1))+($B123-INDEX(LE_Curves!$D$5:$D$205,MATCH($B123,LE_Curves!$D$5:$D$205,1)))*(INDEX(LE_Curves!$B$5:$B$205,MATCH($B123,LE_Curves!$D$5:$D$205,1)+1)-INDEX(LE_Curves!$B$5:$B$205,MATCH($B123,LE_Curves!$D$5:$D$205,1)))/(INDEX(LE_Curves!$D$5:$D$205,MATCH($B123,LE_Curves!$D$5:$D$205,1)+1)-INDEX(LE_Curves!$D$5:$D$205,MATCH($B123,LE_Curves!$D$5:$D$205,1))))))</f>
        <v/>
      </c>
      <c r="E123" s="11">
        <f>IF(Inputs!$D$25=0,0,IF($B123&lt;=Inputs!$C$25,0,IF($B123&gt;=INDEX(LE_Curves!$E$5:$E$205,201),INDEX(LE_Curves!$B$5:$B$205,201),INDEX(LE_Curves!$B$5:$B$205,MATCH($B123,LE_Curves!$E$5:$E$205,1))+($B123-INDEX(LE_Curves!$E$5:$E$205,MATCH($B123,LE_Curves!$E$5:$E$205,1)))*(INDEX(LE_Curves!$B$5:$B$205,MATCH($B123,LE_Curves!$E$5:$E$205,1)+1)-INDEX(LE_Curves!$B$5:$B$205,MATCH($B123,LE_Curves!$E$5:$E$205,1)))/(INDEX(LE_Curves!$E$5:$E$205,MATCH($B123,LE_Curves!$E$5:$E$205,1)+1)-INDEX(LE_Curves!$E$5:$E$205,MATCH($B123,LE_Curves!$E$5:$E$205,1))))))</f>
        <v/>
      </c>
      <c r="F123" s="11">
        <f>IF(Inputs!$D$26=0,0,IF($B123&lt;=Inputs!$C$26,0,IF($B123&gt;=INDEX(LE_Curves!$F$5:$F$205,201),INDEX(LE_Curves!$B$5:$B$205,201),INDEX(LE_Curves!$B$5:$B$205,MATCH($B123,LE_Curves!$F$5:$F$205,1))+($B123-INDEX(LE_Curves!$F$5:$F$205,MATCH($B123,LE_Curves!$F$5:$F$205,1)))*(INDEX(LE_Curves!$B$5:$B$205,MATCH($B123,LE_Curves!$F$5:$F$205,1)+1)-INDEX(LE_Curves!$B$5:$B$205,MATCH($B123,LE_Curves!$F$5:$F$205,1)))/(INDEX(LE_Curves!$F$5:$F$205,MATCH($B123,LE_Curves!$F$5:$F$205,1)+1)-INDEX(LE_Curves!$F$5:$F$205,MATCH($B123,LE_Curves!$F$5:$F$205,1))))))</f>
        <v/>
      </c>
      <c r="G123" s="11">
        <f>IF(Inputs!$D$27=0,0,IF($B123&lt;=Inputs!$C$27,0,IF($B123&gt;=INDEX(LE_Curves!$G$5:$G$205,201),INDEX(LE_Curves!$B$5:$B$205,201),INDEX(LE_Curves!$B$5:$B$205,MATCH($B123,LE_Curves!$G$5:$G$205,1))+($B123-INDEX(LE_Curves!$G$5:$G$205,MATCH($B123,LE_Curves!$G$5:$G$205,1)))*(INDEX(LE_Curves!$B$5:$B$205,MATCH($B123,LE_Curves!$G$5:$G$205,1)+1)-INDEX(LE_Curves!$B$5:$B$205,MATCH($B123,LE_Curves!$G$5:$G$205,1)))/(INDEX(LE_Curves!$G$5:$G$205,MATCH($B123,LE_Curves!$G$5:$G$205,1)+1)-INDEX(LE_Curves!$G$5:$G$205,MATCH($B123,LE_Curves!$G$5:$G$205,1))))))</f>
        <v/>
      </c>
      <c r="H123" s="11">
        <f>IF(Inputs!$D$28=0,0,IF($B123&lt;=Inputs!$C$28,0,IF($B123&gt;=INDEX(LE_Curves!$H$5:$H$205,201),INDEX(LE_Curves!$B$5:$B$205,201),INDEX(LE_Curves!$B$5:$B$205,MATCH($B123,LE_Curves!$H$5:$H$205,1))+($B123-INDEX(LE_Curves!$H$5:$H$205,MATCH($B123,LE_Curves!$H$5:$H$205,1)))*(INDEX(LE_Curves!$B$5:$B$205,MATCH($B123,LE_Curves!$H$5:$H$205,1)+1)-INDEX(LE_Curves!$B$5:$B$205,MATCH($B123,LE_Curves!$H$5:$H$205,1)))/(INDEX(LE_Curves!$H$5:$H$205,MATCH($B123,LE_Curves!$H$5:$H$205,1)+1)-INDEX(LE_Curves!$H$5:$H$205,MATCH($B123,LE_Curves!$H$5:$H$205,1))))))</f>
        <v/>
      </c>
      <c r="I123" s="11">
        <f>IF(Inputs!$D$29=0,0,IF($B123&lt;=Inputs!$C$29,0,IF($B123&gt;=INDEX(LE_Curves!$I$5:$I$205,201),INDEX(LE_Curves!$B$5:$B$205,201),INDEX(LE_Curves!$B$5:$B$205,MATCH($B123,LE_Curves!$I$5:$I$205,1))+($B123-INDEX(LE_Curves!$I$5:$I$205,MATCH($B123,LE_Curves!$I$5:$I$205,1)))*(INDEX(LE_Curves!$B$5:$B$205,MATCH($B123,LE_Curves!$I$5:$I$205,1)+1)-INDEX(LE_Curves!$B$5:$B$205,MATCH($B123,LE_Curves!$I$5:$I$205,1)))/(INDEX(LE_Curves!$I$5:$I$205,MATCH($B123,LE_Curves!$I$5:$I$205,1)+1)-INDEX(LE_Curves!$I$5:$I$205,MATCH($B123,LE_Curves!$I$5:$I$205,1))))))</f>
        <v/>
      </c>
      <c r="J123" s="11">
        <f>IF(Inputs!$D$30=0,0,IF($B123&lt;=Inputs!$C$30,0,IF($B123&gt;=INDEX(LE_Curves!$J$5:$J$205,201),INDEX(LE_Curves!$B$5:$B$205,201),INDEX(LE_Curves!$B$5:$B$205,MATCH($B123,LE_Curves!$J$5:$J$205,1))+($B123-INDEX(LE_Curves!$J$5:$J$205,MATCH($B123,LE_Curves!$J$5:$J$205,1)))*(INDEX(LE_Curves!$B$5:$B$205,MATCH($B123,LE_Curves!$J$5:$J$205,1)+1)-INDEX(LE_Curves!$B$5:$B$205,MATCH($B123,LE_Curves!$J$5:$J$205,1)))/(INDEX(LE_Curves!$J$5:$J$205,MATCH($B123,LE_Curves!$J$5:$J$205,1)+1)-INDEX(LE_Curves!$J$5:$J$205,MATCH($B123,LE_Curves!$J$5:$J$205,1))))))</f>
        <v/>
      </c>
      <c r="K123" s="11">
        <f>IF(Inputs!$D$31=0,0,IF($B123&lt;=Inputs!$C$31,0,IF($B123&gt;=INDEX(LE_Curves!$K$5:$K$205,201),INDEX(LE_Curves!$B$5:$B$205,201),INDEX(LE_Curves!$B$5:$B$205,MATCH($B123,LE_Curves!$K$5:$K$205,1))+($B123-INDEX(LE_Curves!$K$5:$K$205,MATCH($B123,LE_Curves!$K$5:$K$205,1)))*(INDEX(LE_Curves!$B$5:$B$205,MATCH($B123,LE_Curves!$K$5:$K$205,1)+1)-INDEX(LE_Curves!$B$5:$B$205,MATCH($B123,LE_Curves!$K$5:$K$205,1)))/(INDEX(LE_Curves!$K$5:$K$205,MATCH($B123,LE_Curves!$K$5:$K$205,1)+1)-INDEX(LE_Curves!$K$5:$K$205,MATCH($B123,LE_Curves!$K$5:$K$205,1))))))</f>
        <v/>
      </c>
      <c r="L123" s="11">
        <f>IF(Inputs!$D$32=0,0,IF($B123&lt;=Inputs!$C$32,0,IF($B123&gt;=INDEX(LE_Curves!$L$5:$L$205,201),INDEX(LE_Curves!$B$5:$B$205,201),INDEX(LE_Curves!$B$5:$B$205,MATCH($B123,LE_Curves!$L$5:$L$205,1))+($B123-INDEX(LE_Curves!$L$5:$L$205,MATCH($B123,LE_Curves!$L$5:$L$205,1)))*(INDEX(LE_Curves!$B$5:$B$205,MATCH($B123,LE_Curves!$L$5:$L$205,1)+1)-INDEX(LE_Curves!$B$5:$B$205,MATCH($B123,LE_Curves!$L$5:$L$205,1)))/(INDEX(LE_Curves!$L$5:$L$205,MATCH($B123,LE_Curves!$L$5:$L$205,1)+1)-INDEX(LE_Curves!$L$5:$L$205,MATCH($B123,LE_Curves!$L$5:$L$205,1))))))</f>
        <v/>
      </c>
      <c r="M123" s="11">
        <f>IF(Inputs!$D$33=0,0,IF($B123&lt;=Inputs!$C$33,0,IF($B123&gt;=INDEX(LE_Curves!$M$5:$M$205,201),INDEX(LE_Curves!$B$5:$B$205,201),INDEX(LE_Curves!$B$5:$B$205,MATCH($B123,LE_Curves!$M$5:$M$205,1))+($B123-INDEX(LE_Curves!$M$5:$M$205,MATCH($B123,LE_Curves!$M$5:$M$205,1)))*(INDEX(LE_Curves!$B$5:$B$205,MATCH($B123,LE_Curves!$M$5:$M$205,1)+1)-INDEX(LE_Curves!$B$5:$B$205,MATCH($B123,LE_Curves!$M$5:$M$205,1)))/(INDEX(LE_Curves!$M$5:$M$205,MATCH($B123,LE_Curves!$M$5:$M$205,1)+1)-INDEX(LE_Curves!$M$5:$M$205,MATCH($B123,LE_Curves!$M$5:$M$205,1))))))</f>
        <v/>
      </c>
      <c r="N123" s="11">
        <f>IF(Inputs!$D$34=0,0,IF($B123&lt;=Inputs!$C$34,0,IF($B123&gt;=INDEX(LE_Curves!$N$5:$N$205,201),INDEX(LE_Curves!$B$5:$B$205,201),INDEX(LE_Curves!$B$5:$B$205,MATCH($B123,LE_Curves!$N$5:$N$205,1))+($B123-INDEX(LE_Curves!$N$5:$N$205,MATCH($B123,LE_Curves!$N$5:$N$205,1)))*(INDEX(LE_Curves!$B$5:$B$205,MATCH($B123,LE_Curves!$N$5:$N$205,1)+1)-INDEX(LE_Curves!$B$5:$B$205,MATCH($B123,LE_Curves!$N$5:$N$205,1)))/(INDEX(LE_Curves!$N$5:$N$205,MATCH($B123,LE_Curves!$N$5:$N$205,1)+1)-INDEX(LE_Curves!$N$5:$N$205,MATCH($B123,LE_Curves!$N$5:$N$205,1))))))</f>
        <v/>
      </c>
      <c r="O123" s="11">
        <f>SUM(C123:N123)</f>
        <v/>
      </c>
      <c r="Q123" s="7" t="n">
        <v>92</v>
      </c>
      <c r="R123" s="23">
        <f>$B$6+($B$7-$B$6)*Q123/200</f>
        <v/>
      </c>
      <c r="S123" s="11">
        <f>IF(Inputs!$D$23=0,0,IF($R123&lt;=Inputs!$C$23,0,IF($R123&gt;=INDEX(LE_Curves!$C$5:$C$205,201),INDEX(LE_Curves!$B$5:$B$205,201),INDEX(LE_Curves!$B$5:$B$205,MATCH($R123,LE_Curves!$C$5:$C$205,1))+($R123-INDEX(LE_Curves!$C$5:$C$205,MATCH($R123,LE_Curves!$C$5:$C$205,1)))*(INDEX(LE_Curves!$B$5:$B$205,MATCH($R123,LE_Curves!$C$5:$C$205,1)+1)-INDEX(LE_Curves!$B$5:$B$205,MATCH($R123,LE_Curves!$C$5:$C$205,1)))/(INDEX(LE_Curves!$C$5:$C$205,MATCH($R123,LE_Curves!$C$5:$C$205,1)+1)-INDEX(LE_Curves!$C$5:$C$205,MATCH($R123,LE_Curves!$C$5:$C$205,1))))))</f>
        <v/>
      </c>
      <c r="T123" s="11">
        <f>IF(Inputs!$D$24=0,0,IF($R123&lt;=Inputs!$C$24,0,IF($R123&gt;=INDEX(LE_Curves!$D$5:$D$205,201),INDEX(LE_Curves!$B$5:$B$205,201),INDEX(LE_Curves!$B$5:$B$205,MATCH($R123,LE_Curves!$D$5:$D$205,1))+($R123-INDEX(LE_Curves!$D$5:$D$205,MATCH($R123,LE_Curves!$D$5:$D$205,1)))*(INDEX(LE_Curves!$B$5:$B$205,MATCH($R123,LE_Curves!$D$5:$D$205,1)+1)-INDEX(LE_Curves!$B$5:$B$205,MATCH($R123,LE_Curves!$D$5:$D$205,1)))/(INDEX(LE_Curves!$D$5:$D$205,MATCH($R123,LE_Curves!$D$5:$D$205,1)+1)-INDEX(LE_Curves!$D$5:$D$205,MATCH($R123,LE_Curves!$D$5:$D$205,1))))))</f>
        <v/>
      </c>
      <c r="U123" s="11">
        <f>IF(Inputs!$D$25=0,0,IF($R123&lt;=Inputs!$C$25,0,IF($R123&gt;=INDEX(LE_Curves!$E$5:$E$205,201),INDEX(LE_Curves!$B$5:$B$205,201),INDEX(LE_Curves!$B$5:$B$205,MATCH($R123,LE_Curves!$E$5:$E$205,1))+($R123-INDEX(LE_Curves!$E$5:$E$205,MATCH($R123,LE_Curves!$E$5:$E$205,1)))*(INDEX(LE_Curves!$B$5:$B$205,MATCH($R123,LE_Curves!$E$5:$E$205,1)+1)-INDEX(LE_Curves!$B$5:$B$205,MATCH($R123,LE_Curves!$E$5:$E$205,1)))/(INDEX(LE_Curves!$E$5:$E$205,MATCH($R123,LE_Curves!$E$5:$E$205,1)+1)-INDEX(LE_Curves!$E$5:$E$205,MATCH($R123,LE_Curves!$E$5:$E$205,1))))))</f>
        <v/>
      </c>
      <c r="V123" s="11">
        <f>IF(Inputs!$D$26=0,0,IF($R123&lt;=Inputs!$C$26,0,IF($R123&gt;=INDEX(LE_Curves!$F$5:$F$205,201),INDEX(LE_Curves!$B$5:$B$205,201),INDEX(LE_Curves!$B$5:$B$205,MATCH($R123,LE_Curves!$F$5:$F$205,1))+($R123-INDEX(LE_Curves!$F$5:$F$205,MATCH($R123,LE_Curves!$F$5:$F$205,1)))*(INDEX(LE_Curves!$B$5:$B$205,MATCH($R123,LE_Curves!$F$5:$F$205,1)+1)-INDEX(LE_Curves!$B$5:$B$205,MATCH($R123,LE_Curves!$F$5:$F$205,1)))/(INDEX(LE_Curves!$F$5:$F$205,MATCH($R123,LE_Curves!$F$5:$F$205,1)+1)-INDEX(LE_Curves!$F$5:$F$205,MATCH($R123,LE_Curves!$F$5:$F$205,1))))))</f>
        <v/>
      </c>
      <c r="W123" s="11">
        <f>IF(Inputs!$D$27=0,0,IF($R123&lt;=Inputs!$C$27,0,IF($R123&gt;=INDEX(LE_Curves!$G$5:$G$205,201),INDEX(LE_Curves!$B$5:$B$205,201),INDEX(LE_Curves!$B$5:$B$205,MATCH($R123,LE_Curves!$G$5:$G$205,1))+($R123-INDEX(LE_Curves!$G$5:$G$205,MATCH($R123,LE_Curves!$G$5:$G$205,1)))*(INDEX(LE_Curves!$B$5:$B$205,MATCH($R123,LE_Curves!$G$5:$G$205,1)+1)-INDEX(LE_Curves!$B$5:$B$205,MATCH($R123,LE_Curves!$G$5:$G$205,1)))/(INDEX(LE_Curves!$G$5:$G$205,MATCH($R123,LE_Curves!$G$5:$G$205,1)+1)-INDEX(LE_Curves!$G$5:$G$205,MATCH($R123,LE_Curves!$G$5:$G$205,1))))))</f>
        <v/>
      </c>
      <c r="X123" s="11">
        <f>IF(Inputs!$D$28=0,0,IF($R123&lt;=Inputs!$C$28,0,IF($R123&gt;=INDEX(LE_Curves!$H$5:$H$205,201),INDEX(LE_Curves!$B$5:$B$205,201),INDEX(LE_Curves!$B$5:$B$205,MATCH($R123,LE_Curves!$H$5:$H$205,1))+($R123-INDEX(LE_Curves!$H$5:$H$205,MATCH($R123,LE_Curves!$H$5:$H$205,1)))*(INDEX(LE_Curves!$B$5:$B$205,MATCH($R123,LE_Curves!$H$5:$H$205,1)+1)-INDEX(LE_Curves!$B$5:$B$205,MATCH($R123,LE_Curves!$H$5:$H$205,1)))/(INDEX(LE_Curves!$H$5:$H$205,MATCH($R123,LE_Curves!$H$5:$H$205,1)+1)-INDEX(LE_Curves!$H$5:$H$205,MATCH($R123,LE_Curves!$H$5:$H$205,1))))))</f>
        <v/>
      </c>
      <c r="Y123" s="11">
        <f>IF(Inputs!$D$29=0,0,IF($R123&lt;=Inputs!$C$29,0,IF($R123&gt;=INDEX(LE_Curves!$I$5:$I$205,201),INDEX(LE_Curves!$B$5:$B$205,201),INDEX(LE_Curves!$B$5:$B$205,MATCH($R123,LE_Curves!$I$5:$I$205,1))+($R123-INDEX(LE_Curves!$I$5:$I$205,MATCH($R123,LE_Curves!$I$5:$I$205,1)))*(INDEX(LE_Curves!$B$5:$B$205,MATCH($R123,LE_Curves!$I$5:$I$205,1)+1)-INDEX(LE_Curves!$B$5:$B$205,MATCH($R123,LE_Curves!$I$5:$I$205,1)))/(INDEX(LE_Curves!$I$5:$I$205,MATCH($R123,LE_Curves!$I$5:$I$205,1)+1)-INDEX(LE_Curves!$I$5:$I$205,MATCH($R123,LE_Curves!$I$5:$I$205,1))))))</f>
        <v/>
      </c>
      <c r="Z123" s="11">
        <f>IF(Inputs!$D$30=0,0,IF($R123&lt;=Inputs!$C$30,0,IF($R123&gt;=INDEX(LE_Curves!$J$5:$J$205,201),INDEX(LE_Curves!$B$5:$B$205,201),INDEX(LE_Curves!$B$5:$B$205,MATCH($R123,LE_Curves!$J$5:$J$205,1))+($R123-INDEX(LE_Curves!$J$5:$J$205,MATCH($R123,LE_Curves!$J$5:$J$205,1)))*(INDEX(LE_Curves!$B$5:$B$205,MATCH($R123,LE_Curves!$J$5:$J$205,1)+1)-INDEX(LE_Curves!$B$5:$B$205,MATCH($R123,LE_Curves!$J$5:$J$205,1)))/(INDEX(LE_Curves!$J$5:$J$205,MATCH($R123,LE_Curves!$J$5:$J$205,1)+1)-INDEX(LE_Curves!$J$5:$J$205,MATCH($R123,LE_Curves!$J$5:$J$205,1))))))</f>
        <v/>
      </c>
      <c r="AA123" s="11">
        <f>IF(Inputs!$D$31=0,0,IF($R123&lt;=Inputs!$C$31,0,IF($R123&gt;=INDEX(LE_Curves!$K$5:$K$205,201),INDEX(LE_Curves!$B$5:$B$205,201),INDEX(LE_Curves!$B$5:$B$205,MATCH($R123,LE_Curves!$K$5:$K$205,1))+($R123-INDEX(LE_Curves!$K$5:$K$205,MATCH($R123,LE_Curves!$K$5:$K$205,1)))*(INDEX(LE_Curves!$B$5:$B$205,MATCH($R123,LE_Curves!$K$5:$K$205,1)+1)-INDEX(LE_Curves!$B$5:$B$205,MATCH($R123,LE_Curves!$K$5:$K$205,1)))/(INDEX(LE_Curves!$K$5:$K$205,MATCH($R123,LE_Curves!$K$5:$K$205,1)+1)-INDEX(LE_Curves!$K$5:$K$205,MATCH($R123,LE_Curves!$K$5:$K$205,1))))))</f>
        <v/>
      </c>
      <c r="AB123" s="11">
        <f>IF(Inputs!$D$32=0,0,IF($R123&lt;=Inputs!$C$32,0,IF($R123&gt;=INDEX(LE_Curves!$L$5:$L$205,201),INDEX(LE_Curves!$B$5:$B$205,201),INDEX(LE_Curves!$B$5:$B$205,MATCH($R123,LE_Curves!$L$5:$L$205,1))+($R123-INDEX(LE_Curves!$L$5:$L$205,MATCH($R123,LE_Curves!$L$5:$L$205,1)))*(INDEX(LE_Curves!$B$5:$B$205,MATCH($R123,LE_Curves!$L$5:$L$205,1)+1)-INDEX(LE_Curves!$B$5:$B$205,MATCH($R123,LE_Curves!$L$5:$L$205,1)))/(INDEX(LE_Curves!$L$5:$L$205,MATCH($R123,LE_Curves!$L$5:$L$205,1)+1)-INDEX(LE_Curves!$L$5:$L$205,MATCH($R123,LE_Curves!$L$5:$L$205,1))))))</f>
        <v/>
      </c>
      <c r="AC123" s="11">
        <f>IF(Inputs!$D$33=0,0,IF($R123&lt;=Inputs!$C$33,0,IF($R123&gt;=INDEX(LE_Curves!$M$5:$M$205,201),INDEX(LE_Curves!$B$5:$B$205,201),INDEX(LE_Curves!$B$5:$B$205,MATCH($R123,LE_Curves!$M$5:$M$205,1))+($R123-INDEX(LE_Curves!$M$5:$M$205,MATCH($R123,LE_Curves!$M$5:$M$205,1)))*(INDEX(LE_Curves!$B$5:$B$205,MATCH($R123,LE_Curves!$M$5:$M$205,1)+1)-INDEX(LE_Curves!$B$5:$B$205,MATCH($R123,LE_Curves!$M$5:$M$205,1)))/(INDEX(LE_Curves!$M$5:$M$205,MATCH($R123,LE_Curves!$M$5:$M$205,1)+1)-INDEX(LE_Curves!$M$5:$M$205,MATCH($R123,LE_Curves!$M$5:$M$205,1))))))</f>
        <v/>
      </c>
      <c r="AD123" s="11">
        <f>IF(Inputs!$D$34=0,0,IF($R123&lt;=Inputs!$C$34,0,IF($R123&gt;=INDEX(LE_Curves!$N$5:$N$205,201),INDEX(LE_Curves!$B$5:$B$205,201),INDEX(LE_Curves!$B$5:$B$205,MATCH($R123,LE_Curves!$N$5:$N$205,1))+($R123-INDEX(LE_Curves!$N$5:$N$205,MATCH($R123,LE_Curves!$N$5:$N$205,1)))*(INDEX(LE_Curves!$B$5:$B$205,MATCH($R123,LE_Curves!$N$5:$N$205,1)+1)-INDEX(LE_Curves!$B$5:$B$205,MATCH($R123,LE_Curves!$N$5:$N$205,1)))/(INDEX(LE_Curves!$N$5:$N$205,MATCH($R123,LE_Curves!$N$5:$N$205,1)+1)-INDEX(LE_Curves!$N$5:$N$205,MATCH($R123,LE_Curves!$N$5:$N$205,1))))))</f>
        <v/>
      </c>
      <c r="AE123" s="37">
        <f>SUM(S123:AD123)</f>
        <v/>
      </c>
    </row>
    <row r="124">
      <c r="A124" s="7" t="n">
        <v>93</v>
      </c>
      <c r="B124" s="37">
        <f>$B$3+($B$4-$B$3)*A124/200</f>
        <v/>
      </c>
      <c r="C124" s="11">
        <f>IF(Inputs!$D$23=0,0,IF($B124&lt;=Inputs!$C$23,0,IF($B124&gt;=INDEX(LE_Curves!$C$5:$C$205,201),INDEX(LE_Curves!$B$5:$B$205,201),INDEX(LE_Curves!$B$5:$B$205,MATCH($B124,LE_Curves!$C$5:$C$205,1))+($B124-INDEX(LE_Curves!$C$5:$C$205,MATCH($B124,LE_Curves!$C$5:$C$205,1)))*(INDEX(LE_Curves!$B$5:$B$205,MATCH($B124,LE_Curves!$C$5:$C$205,1)+1)-INDEX(LE_Curves!$B$5:$B$205,MATCH($B124,LE_Curves!$C$5:$C$205,1)))/(INDEX(LE_Curves!$C$5:$C$205,MATCH($B124,LE_Curves!$C$5:$C$205,1)+1)-INDEX(LE_Curves!$C$5:$C$205,MATCH($B124,LE_Curves!$C$5:$C$205,1))))))</f>
        <v/>
      </c>
      <c r="D124" s="11">
        <f>IF(Inputs!$D$24=0,0,IF($B124&lt;=Inputs!$C$24,0,IF($B124&gt;=INDEX(LE_Curves!$D$5:$D$205,201),INDEX(LE_Curves!$B$5:$B$205,201),INDEX(LE_Curves!$B$5:$B$205,MATCH($B124,LE_Curves!$D$5:$D$205,1))+($B124-INDEX(LE_Curves!$D$5:$D$205,MATCH($B124,LE_Curves!$D$5:$D$205,1)))*(INDEX(LE_Curves!$B$5:$B$205,MATCH($B124,LE_Curves!$D$5:$D$205,1)+1)-INDEX(LE_Curves!$B$5:$B$205,MATCH($B124,LE_Curves!$D$5:$D$205,1)))/(INDEX(LE_Curves!$D$5:$D$205,MATCH($B124,LE_Curves!$D$5:$D$205,1)+1)-INDEX(LE_Curves!$D$5:$D$205,MATCH($B124,LE_Curves!$D$5:$D$205,1))))))</f>
        <v/>
      </c>
      <c r="E124" s="11">
        <f>IF(Inputs!$D$25=0,0,IF($B124&lt;=Inputs!$C$25,0,IF($B124&gt;=INDEX(LE_Curves!$E$5:$E$205,201),INDEX(LE_Curves!$B$5:$B$205,201),INDEX(LE_Curves!$B$5:$B$205,MATCH($B124,LE_Curves!$E$5:$E$205,1))+($B124-INDEX(LE_Curves!$E$5:$E$205,MATCH($B124,LE_Curves!$E$5:$E$205,1)))*(INDEX(LE_Curves!$B$5:$B$205,MATCH($B124,LE_Curves!$E$5:$E$205,1)+1)-INDEX(LE_Curves!$B$5:$B$205,MATCH($B124,LE_Curves!$E$5:$E$205,1)))/(INDEX(LE_Curves!$E$5:$E$205,MATCH($B124,LE_Curves!$E$5:$E$205,1)+1)-INDEX(LE_Curves!$E$5:$E$205,MATCH($B124,LE_Curves!$E$5:$E$205,1))))))</f>
        <v/>
      </c>
      <c r="F124" s="11">
        <f>IF(Inputs!$D$26=0,0,IF($B124&lt;=Inputs!$C$26,0,IF($B124&gt;=INDEX(LE_Curves!$F$5:$F$205,201),INDEX(LE_Curves!$B$5:$B$205,201),INDEX(LE_Curves!$B$5:$B$205,MATCH($B124,LE_Curves!$F$5:$F$205,1))+($B124-INDEX(LE_Curves!$F$5:$F$205,MATCH($B124,LE_Curves!$F$5:$F$205,1)))*(INDEX(LE_Curves!$B$5:$B$205,MATCH($B124,LE_Curves!$F$5:$F$205,1)+1)-INDEX(LE_Curves!$B$5:$B$205,MATCH($B124,LE_Curves!$F$5:$F$205,1)))/(INDEX(LE_Curves!$F$5:$F$205,MATCH($B124,LE_Curves!$F$5:$F$205,1)+1)-INDEX(LE_Curves!$F$5:$F$205,MATCH($B124,LE_Curves!$F$5:$F$205,1))))))</f>
        <v/>
      </c>
      <c r="G124" s="11">
        <f>IF(Inputs!$D$27=0,0,IF($B124&lt;=Inputs!$C$27,0,IF($B124&gt;=INDEX(LE_Curves!$G$5:$G$205,201),INDEX(LE_Curves!$B$5:$B$205,201),INDEX(LE_Curves!$B$5:$B$205,MATCH($B124,LE_Curves!$G$5:$G$205,1))+($B124-INDEX(LE_Curves!$G$5:$G$205,MATCH($B124,LE_Curves!$G$5:$G$205,1)))*(INDEX(LE_Curves!$B$5:$B$205,MATCH($B124,LE_Curves!$G$5:$G$205,1)+1)-INDEX(LE_Curves!$B$5:$B$205,MATCH($B124,LE_Curves!$G$5:$G$205,1)))/(INDEX(LE_Curves!$G$5:$G$205,MATCH($B124,LE_Curves!$G$5:$G$205,1)+1)-INDEX(LE_Curves!$G$5:$G$205,MATCH($B124,LE_Curves!$G$5:$G$205,1))))))</f>
        <v/>
      </c>
      <c r="H124" s="11">
        <f>IF(Inputs!$D$28=0,0,IF($B124&lt;=Inputs!$C$28,0,IF($B124&gt;=INDEX(LE_Curves!$H$5:$H$205,201),INDEX(LE_Curves!$B$5:$B$205,201),INDEX(LE_Curves!$B$5:$B$205,MATCH($B124,LE_Curves!$H$5:$H$205,1))+($B124-INDEX(LE_Curves!$H$5:$H$205,MATCH($B124,LE_Curves!$H$5:$H$205,1)))*(INDEX(LE_Curves!$B$5:$B$205,MATCH($B124,LE_Curves!$H$5:$H$205,1)+1)-INDEX(LE_Curves!$B$5:$B$205,MATCH($B124,LE_Curves!$H$5:$H$205,1)))/(INDEX(LE_Curves!$H$5:$H$205,MATCH($B124,LE_Curves!$H$5:$H$205,1)+1)-INDEX(LE_Curves!$H$5:$H$205,MATCH($B124,LE_Curves!$H$5:$H$205,1))))))</f>
        <v/>
      </c>
      <c r="I124" s="11">
        <f>IF(Inputs!$D$29=0,0,IF($B124&lt;=Inputs!$C$29,0,IF($B124&gt;=INDEX(LE_Curves!$I$5:$I$205,201),INDEX(LE_Curves!$B$5:$B$205,201),INDEX(LE_Curves!$B$5:$B$205,MATCH($B124,LE_Curves!$I$5:$I$205,1))+($B124-INDEX(LE_Curves!$I$5:$I$205,MATCH($B124,LE_Curves!$I$5:$I$205,1)))*(INDEX(LE_Curves!$B$5:$B$205,MATCH($B124,LE_Curves!$I$5:$I$205,1)+1)-INDEX(LE_Curves!$B$5:$B$205,MATCH($B124,LE_Curves!$I$5:$I$205,1)))/(INDEX(LE_Curves!$I$5:$I$205,MATCH($B124,LE_Curves!$I$5:$I$205,1)+1)-INDEX(LE_Curves!$I$5:$I$205,MATCH($B124,LE_Curves!$I$5:$I$205,1))))))</f>
        <v/>
      </c>
      <c r="J124" s="11">
        <f>IF(Inputs!$D$30=0,0,IF($B124&lt;=Inputs!$C$30,0,IF($B124&gt;=INDEX(LE_Curves!$J$5:$J$205,201),INDEX(LE_Curves!$B$5:$B$205,201),INDEX(LE_Curves!$B$5:$B$205,MATCH($B124,LE_Curves!$J$5:$J$205,1))+($B124-INDEX(LE_Curves!$J$5:$J$205,MATCH($B124,LE_Curves!$J$5:$J$205,1)))*(INDEX(LE_Curves!$B$5:$B$205,MATCH($B124,LE_Curves!$J$5:$J$205,1)+1)-INDEX(LE_Curves!$B$5:$B$205,MATCH($B124,LE_Curves!$J$5:$J$205,1)))/(INDEX(LE_Curves!$J$5:$J$205,MATCH($B124,LE_Curves!$J$5:$J$205,1)+1)-INDEX(LE_Curves!$J$5:$J$205,MATCH($B124,LE_Curves!$J$5:$J$205,1))))))</f>
        <v/>
      </c>
      <c r="K124" s="11">
        <f>IF(Inputs!$D$31=0,0,IF($B124&lt;=Inputs!$C$31,0,IF($B124&gt;=INDEX(LE_Curves!$K$5:$K$205,201),INDEX(LE_Curves!$B$5:$B$205,201),INDEX(LE_Curves!$B$5:$B$205,MATCH($B124,LE_Curves!$K$5:$K$205,1))+($B124-INDEX(LE_Curves!$K$5:$K$205,MATCH($B124,LE_Curves!$K$5:$K$205,1)))*(INDEX(LE_Curves!$B$5:$B$205,MATCH($B124,LE_Curves!$K$5:$K$205,1)+1)-INDEX(LE_Curves!$B$5:$B$205,MATCH($B124,LE_Curves!$K$5:$K$205,1)))/(INDEX(LE_Curves!$K$5:$K$205,MATCH($B124,LE_Curves!$K$5:$K$205,1)+1)-INDEX(LE_Curves!$K$5:$K$205,MATCH($B124,LE_Curves!$K$5:$K$205,1))))))</f>
        <v/>
      </c>
      <c r="L124" s="11">
        <f>IF(Inputs!$D$32=0,0,IF($B124&lt;=Inputs!$C$32,0,IF($B124&gt;=INDEX(LE_Curves!$L$5:$L$205,201),INDEX(LE_Curves!$B$5:$B$205,201),INDEX(LE_Curves!$B$5:$B$205,MATCH($B124,LE_Curves!$L$5:$L$205,1))+($B124-INDEX(LE_Curves!$L$5:$L$205,MATCH($B124,LE_Curves!$L$5:$L$205,1)))*(INDEX(LE_Curves!$B$5:$B$205,MATCH($B124,LE_Curves!$L$5:$L$205,1)+1)-INDEX(LE_Curves!$B$5:$B$205,MATCH($B124,LE_Curves!$L$5:$L$205,1)))/(INDEX(LE_Curves!$L$5:$L$205,MATCH($B124,LE_Curves!$L$5:$L$205,1)+1)-INDEX(LE_Curves!$L$5:$L$205,MATCH($B124,LE_Curves!$L$5:$L$205,1))))))</f>
        <v/>
      </c>
      <c r="M124" s="11">
        <f>IF(Inputs!$D$33=0,0,IF($B124&lt;=Inputs!$C$33,0,IF($B124&gt;=INDEX(LE_Curves!$M$5:$M$205,201),INDEX(LE_Curves!$B$5:$B$205,201),INDEX(LE_Curves!$B$5:$B$205,MATCH($B124,LE_Curves!$M$5:$M$205,1))+($B124-INDEX(LE_Curves!$M$5:$M$205,MATCH($B124,LE_Curves!$M$5:$M$205,1)))*(INDEX(LE_Curves!$B$5:$B$205,MATCH($B124,LE_Curves!$M$5:$M$205,1)+1)-INDEX(LE_Curves!$B$5:$B$205,MATCH($B124,LE_Curves!$M$5:$M$205,1)))/(INDEX(LE_Curves!$M$5:$M$205,MATCH($B124,LE_Curves!$M$5:$M$205,1)+1)-INDEX(LE_Curves!$M$5:$M$205,MATCH($B124,LE_Curves!$M$5:$M$205,1))))))</f>
        <v/>
      </c>
      <c r="N124" s="11">
        <f>IF(Inputs!$D$34=0,0,IF($B124&lt;=Inputs!$C$34,0,IF($B124&gt;=INDEX(LE_Curves!$N$5:$N$205,201),INDEX(LE_Curves!$B$5:$B$205,201),INDEX(LE_Curves!$B$5:$B$205,MATCH($B124,LE_Curves!$N$5:$N$205,1))+($B124-INDEX(LE_Curves!$N$5:$N$205,MATCH($B124,LE_Curves!$N$5:$N$205,1)))*(INDEX(LE_Curves!$B$5:$B$205,MATCH($B124,LE_Curves!$N$5:$N$205,1)+1)-INDEX(LE_Curves!$B$5:$B$205,MATCH($B124,LE_Curves!$N$5:$N$205,1)))/(INDEX(LE_Curves!$N$5:$N$205,MATCH($B124,LE_Curves!$N$5:$N$205,1)+1)-INDEX(LE_Curves!$N$5:$N$205,MATCH($B124,LE_Curves!$N$5:$N$205,1))))))</f>
        <v/>
      </c>
      <c r="O124" s="11">
        <f>SUM(C124:N124)</f>
        <v/>
      </c>
      <c r="Q124" s="7" t="n">
        <v>93</v>
      </c>
      <c r="R124" s="23">
        <f>$B$6+($B$7-$B$6)*Q124/200</f>
        <v/>
      </c>
      <c r="S124" s="11">
        <f>IF(Inputs!$D$23=0,0,IF($R124&lt;=Inputs!$C$23,0,IF($R124&gt;=INDEX(LE_Curves!$C$5:$C$205,201),INDEX(LE_Curves!$B$5:$B$205,201),INDEX(LE_Curves!$B$5:$B$205,MATCH($R124,LE_Curves!$C$5:$C$205,1))+($R124-INDEX(LE_Curves!$C$5:$C$205,MATCH($R124,LE_Curves!$C$5:$C$205,1)))*(INDEX(LE_Curves!$B$5:$B$205,MATCH($R124,LE_Curves!$C$5:$C$205,1)+1)-INDEX(LE_Curves!$B$5:$B$205,MATCH($R124,LE_Curves!$C$5:$C$205,1)))/(INDEX(LE_Curves!$C$5:$C$205,MATCH($R124,LE_Curves!$C$5:$C$205,1)+1)-INDEX(LE_Curves!$C$5:$C$205,MATCH($R124,LE_Curves!$C$5:$C$205,1))))))</f>
        <v/>
      </c>
      <c r="T124" s="11">
        <f>IF(Inputs!$D$24=0,0,IF($R124&lt;=Inputs!$C$24,0,IF($R124&gt;=INDEX(LE_Curves!$D$5:$D$205,201),INDEX(LE_Curves!$B$5:$B$205,201),INDEX(LE_Curves!$B$5:$B$205,MATCH($R124,LE_Curves!$D$5:$D$205,1))+($R124-INDEX(LE_Curves!$D$5:$D$205,MATCH($R124,LE_Curves!$D$5:$D$205,1)))*(INDEX(LE_Curves!$B$5:$B$205,MATCH($R124,LE_Curves!$D$5:$D$205,1)+1)-INDEX(LE_Curves!$B$5:$B$205,MATCH($R124,LE_Curves!$D$5:$D$205,1)))/(INDEX(LE_Curves!$D$5:$D$205,MATCH($R124,LE_Curves!$D$5:$D$205,1)+1)-INDEX(LE_Curves!$D$5:$D$205,MATCH($R124,LE_Curves!$D$5:$D$205,1))))))</f>
        <v/>
      </c>
      <c r="U124" s="11">
        <f>IF(Inputs!$D$25=0,0,IF($R124&lt;=Inputs!$C$25,0,IF($R124&gt;=INDEX(LE_Curves!$E$5:$E$205,201),INDEX(LE_Curves!$B$5:$B$205,201),INDEX(LE_Curves!$B$5:$B$205,MATCH($R124,LE_Curves!$E$5:$E$205,1))+($R124-INDEX(LE_Curves!$E$5:$E$205,MATCH($R124,LE_Curves!$E$5:$E$205,1)))*(INDEX(LE_Curves!$B$5:$B$205,MATCH($R124,LE_Curves!$E$5:$E$205,1)+1)-INDEX(LE_Curves!$B$5:$B$205,MATCH($R124,LE_Curves!$E$5:$E$205,1)))/(INDEX(LE_Curves!$E$5:$E$205,MATCH($R124,LE_Curves!$E$5:$E$205,1)+1)-INDEX(LE_Curves!$E$5:$E$205,MATCH($R124,LE_Curves!$E$5:$E$205,1))))))</f>
        <v/>
      </c>
      <c r="V124" s="11">
        <f>IF(Inputs!$D$26=0,0,IF($R124&lt;=Inputs!$C$26,0,IF($R124&gt;=INDEX(LE_Curves!$F$5:$F$205,201),INDEX(LE_Curves!$B$5:$B$205,201),INDEX(LE_Curves!$B$5:$B$205,MATCH($R124,LE_Curves!$F$5:$F$205,1))+($R124-INDEX(LE_Curves!$F$5:$F$205,MATCH($R124,LE_Curves!$F$5:$F$205,1)))*(INDEX(LE_Curves!$B$5:$B$205,MATCH($R124,LE_Curves!$F$5:$F$205,1)+1)-INDEX(LE_Curves!$B$5:$B$205,MATCH($R124,LE_Curves!$F$5:$F$205,1)))/(INDEX(LE_Curves!$F$5:$F$205,MATCH($R124,LE_Curves!$F$5:$F$205,1)+1)-INDEX(LE_Curves!$F$5:$F$205,MATCH($R124,LE_Curves!$F$5:$F$205,1))))))</f>
        <v/>
      </c>
      <c r="W124" s="11">
        <f>IF(Inputs!$D$27=0,0,IF($R124&lt;=Inputs!$C$27,0,IF($R124&gt;=INDEX(LE_Curves!$G$5:$G$205,201),INDEX(LE_Curves!$B$5:$B$205,201),INDEX(LE_Curves!$B$5:$B$205,MATCH($R124,LE_Curves!$G$5:$G$205,1))+($R124-INDEX(LE_Curves!$G$5:$G$205,MATCH($R124,LE_Curves!$G$5:$G$205,1)))*(INDEX(LE_Curves!$B$5:$B$205,MATCH($R124,LE_Curves!$G$5:$G$205,1)+1)-INDEX(LE_Curves!$B$5:$B$205,MATCH($R124,LE_Curves!$G$5:$G$205,1)))/(INDEX(LE_Curves!$G$5:$G$205,MATCH($R124,LE_Curves!$G$5:$G$205,1)+1)-INDEX(LE_Curves!$G$5:$G$205,MATCH($R124,LE_Curves!$G$5:$G$205,1))))))</f>
        <v/>
      </c>
      <c r="X124" s="11">
        <f>IF(Inputs!$D$28=0,0,IF($R124&lt;=Inputs!$C$28,0,IF($R124&gt;=INDEX(LE_Curves!$H$5:$H$205,201),INDEX(LE_Curves!$B$5:$B$205,201),INDEX(LE_Curves!$B$5:$B$205,MATCH($R124,LE_Curves!$H$5:$H$205,1))+($R124-INDEX(LE_Curves!$H$5:$H$205,MATCH($R124,LE_Curves!$H$5:$H$205,1)))*(INDEX(LE_Curves!$B$5:$B$205,MATCH($R124,LE_Curves!$H$5:$H$205,1)+1)-INDEX(LE_Curves!$B$5:$B$205,MATCH($R124,LE_Curves!$H$5:$H$205,1)))/(INDEX(LE_Curves!$H$5:$H$205,MATCH($R124,LE_Curves!$H$5:$H$205,1)+1)-INDEX(LE_Curves!$H$5:$H$205,MATCH($R124,LE_Curves!$H$5:$H$205,1))))))</f>
        <v/>
      </c>
      <c r="Y124" s="11">
        <f>IF(Inputs!$D$29=0,0,IF($R124&lt;=Inputs!$C$29,0,IF($R124&gt;=INDEX(LE_Curves!$I$5:$I$205,201),INDEX(LE_Curves!$B$5:$B$205,201),INDEX(LE_Curves!$B$5:$B$205,MATCH($R124,LE_Curves!$I$5:$I$205,1))+($R124-INDEX(LE_Curves!$I$5:$I$205,MATCH($R124,LE_Curves!$I$5:$I$205,1)))*(INDEX(LE_Curves!$B$5:$B$205,MATCH($R124,LE_Curves!$I$5:$I$205,1)+1)-INDEX(LE_Curves!$B$5:$B$205,MATCH($R124,LE_Curves!$I$5:$I$205,1)))/(INDEX(LE_Curves!$I$5:$I$205,MATCH($R124,LE_Curves!$I$5:$I$205,1)+1)-INDEX(LE_Curves!$I$5:$I$205,MATCH($R124,LE_Curves!$I$5:$I$205,1))))))</f>
        <v/>
      </c>
      <c r="Z124" s="11">
        <f>IF(Inputs!$D$30=0,0,IF($R124&lt;=Inputs!$C$30,0,IF($R124&gt;=INDEX(LE_Curves!$J$5:$J$205,201),INDEX(LE_Curves!$B$5:$B$205,201),INDEX(LE_Curves!$B$5:$B$205,MATCH($R124,LE_Curves!$J$5:$J$205,1))+($R124-INDEX(LE_Curves!$J$5:$J$205,MATCH($R124,LE_Curves!$J$5:$J$205,1)))*(INDEX(LE_Curves!$B$5:$B$205,MATCH($R124,LE_Curves!$J$5:$J$205,1)+1)-INDEX(LE_Curves!$B$5:$B$205,MATCH($R124,LE_Curves!$J$5:$J$205,1)))/(INDEX(LE_Curves!$J$5:$J$205,MATCH($R124,LE_Curves!$J$5:$J$205,1)+1)-INDEX(LE_Curves!$J$5:$J$205,MATCH($R124,LE_Curves!$J$5:$J$205,1))))))</f>
        <v/>
      </c>
      <c r="AA124" s="11">
        <f>IF(Inputs!$D$31=0,0,IF($R124&lt;=Inputs!$C$31,0,IF($R124&gt;=INDEX(LE_Curves!$K$5:$K$205,201),INDEX(LE_Curves!$B$5:$B$205,201),INDEX(LE_Curves!$B$5:$B$205,MATCH($R124,LE_Curves!$K$5:$K$205,1))+($R124-INDEX(LE_Curves!$K$5:$K$205,MATCH($R124,LE_Curves!$K$5:$K$205,1)))*(INDEX(LE_Curves!$B$5:$B$205,MATCH($R124,LE_Curves!$K$5:$K$205,1)+1)-INDEX(LE_Curves!$B$5:$B$205,MATCH($R124,LE_Curves!$K$5:$K$205,1)))/(INDEX(LE_Curves!$K$5:$K$205,MATCH($R124,LE_Curves!$K$5:$K$205,1)+1)-INDEX(LE_Curves!$K$5:$K$205,MATCH($R124,LE_Curves!$K$5:$K$205,1))))))</f>
        <v/>
      </c>
      <c r="AB124" s="11">
        <f>IF(Inputs!$D$32=0,0,IF($R124&lt;=Inputs!$C$32,0,IF($R124&gt;=INDEX(LE_Curves!$L$5:$L$205,201),INDEX(LE_Curves!$B$5:$B$205,201),INDEX(LE_Curves!$B$5:$B$205,MATCH($R124,LE_Curves!$L$5:$L$205,1))+($R124-INDEX(LE_Curves!$L$5:$L$205,MATCH($R124,LE_Curves!$L$5:$L$205,1)))*(INDEX(LE_Curves!$B$5:$B$205,MATCH($R124,LE_Curves!$L$5:$L$205,1)+1)-INDEX(LE_Curves!$B$5:$B$205,MATCH($R124,LE_Curves!$L$5:$L$205,1)))/(INDEX(LE_Curves!$L$5:$L$205,MATCH($R124,LE_Curves!$L$5:$L$205,1)+1)-INDEX(LE_Curves!$L$5:$L$205,MATCH($R124,LE_Curves!$L$5:$L$205,1))))))</f>
        <v/>
      </c>
      <c r="AC124" s="11">
        <f>IF(Inputs!$D$33=0,0,IF($R124&lt;=Inputs!$C$33,0,IF($R124&gt;=INDEX(LE_Curves!$M$5:$M$205,201),INDEX(LE_Curves!$B$5:$B$205,201),INDEX(LE_Curves!$B$5:$B$205,MATCH($R124,LE_Curves!$M$5:$M$205,1))+($R124-INDEX(LE_Curves!$M$5:$M$205,MATCH($R124,LE_Curves!$M$5:$M$205,1)))*(INDEX(LE_Curves!$B$5:$B$205,MATCH($R124,LE_Curves!$M$5:$M$205,1)+1)-INDEX(LE_Curves!$B$5:$B$205,MATCH($R124,LE_Curves!$M$5:$M$205,1)))/(INDEX(LE_Curves!$M$5:$M$205,MATCH($R124,LE_Curves!$M$5:$M$205,1)+1)-INDEX(LE_Curves!$M$5:$M$205,MATCH($R124,LE_Curves!$M$5:$M$205,1))))))</f>
        <v/>
      </c>
      <c r="AD124" s="11">
        <f>IF(Inputs!$D$34=0,0,IF($R124&lt;=Inputs!$C$34,0,IF($R124&gt;=INDEX(LE_Curves!$N$5:$N$205,201),INDEX(LE_Curves!$B$5:$B$205,201),INDEX(LE_Curves!$B$5:$B$205,MATCH($R124,LE_Curves!$N$5:$N$205,1))+($R124-INDEX(LE_Curves!$N$5:$N$205,MATCH($R124,LE_Curves!$N$5:$N$205,1)))*(INDEX(LE_Curves!$B$5:$B$205,MATCH($R124,LE_Curves!$N$5:$N$205,1)+1)-INDEX(LE_Curves!$B$5:$B$205,MATCH($R124,LE_Curves!$N$5:$N$205,1)))/(INDEX(LE_Curves!$N$5:$N$205,MATCH($R124,LE_Curves!$N$5:$N$205,1)+1)-INDEX(LE_Curves!$N$5:$N$205,MATCH($R124,LE_Curves!$N$5:$N$205,1))))))</f>
        <v/>
      </c>
      <c r="AE124" s="37">
        <f>SUM(S124:AD124)</f>
        <v/>
      </c>
    </row>
    <row r="125">
      <c r="A125" s="7" t="n">
        <v>94</v>
      </c>
      <c r="B125" s="37">
        <f>$B$3+($B$4-$B$3)*A125/200</f>
        <v/>
      </c>
      <c r="C125" s="11">
        <f>IF(Inputs!$D$23=0,0,IF($B125&lt;=Inputs!$C$23,0,IF($B125&gt;=INDEX(LE_Curves!$C$5:$C$205,201),INDEX(LE_Curves!$B$5:$B$205,201),INDEX(LE_Curves!$B$5:$B$205,MATCH($B125,LE_Curves!$C$5:$C$205,1))+($B125-INDEX(LE_Curves!$C$5:$C$205,MATCH($B125,LE_Curves!$C$5:$C$205,1)))*(INDEX(LE_Curves!$B$5:$B$205,MATCH($B125,LE_Curves!$C$5:$C$205,1)+1)-INDEX(LE_Curves!$B$5:$B$205,MATCH($B125,LE_Curves!$C$5:$C$205,1)))/(INDEX(LE_Curves!$C$5:$C$205,MATCH($B125,LE_Curves!$C$5:$C$205,1)+1)-INDEX(LE_Curves!$C$5:$C$205,MATCH($B125,LE_Curves!$C$5:$C$205,1))))))</f>
        <v/>
      </c>
      <c r="D125" s="11">
        <f>IF(Inputs!$D$24=0,0,IF($B125&lt;=Inputs!$C$24,0,IF($B125&gt;=INDEX(LE_Curves!$D$5:$D$205,201),INDEX(LE_Curves!$B$5:$B$205,201),INDEX(LE_Curves!$B$5:$B$205,MATCH($B125,LE_Curves!$D$5:$D$205,1))+($B125-INDEX(LE_Curves!$D$5:$D$205,MATCH($B125,LE_Curves!$D$5:$D$205,1)))*(INDEX(LE_Curves!$B$5:$B$205,MATCH($B125,LE_Curves!$D$5:$D$205,1)+1)-INDEX(LE_Curves!$B$5:$B$205,MATCH($B125,LE_Curves!$D$5:$D$205,1)))/(INDEX(LE_Curves!$D$5:$D$205,MATCH($B125,LE_Curves!$D$5:$D$205,1)+1)-INDEX(LE_Curves!$D$5:$D$205,MATCH($B125,LE_Curves!$D$5:$D$205,1))))))</f>
        <v/>
      </c>
      <c r="E125" s="11">
        <f>IF(Inputs!$D$25=0,0,IF($B125&lt;=Inputs!$C$25,0,IF($B125&gt;=INDEX(LE_Curves!$E$5:$E$205,201),INDEX(LE_Curves!$B$5:$B$205,201),INDEX(LE_Curves!$B$5:$B$205,MATCH($B125,LE_Curves!$E$5:$E$205,1))+($B125-INDEX(LE_Curves!$E$5:$E$205,MATCH($B125,LE_Curves!$E$5:$E$205,1)))*(INDEX(LE_Curves!$B$5:$B$205,MATCH($B125,LE_Curves!$E$5:$E$205,1)+1)-INDEX(LE_Curves!$B$5:$B$205,MATCH($B125,LE_Curves!$E$5:$E$205,1)))/(INDEX(LE_Curves!$E$5:$E$205,MATCH($B125,LE_Curves!$E$5:$E$205,1)+1)-INDEX(LE_Curves!$E$5:$E$205,MATCH($B125,LE_Curves!$E$5:$E$205,1))))))</f>
        <v/>
      </c>
      <c r="F125" s="11">
        <f>IF(Inputs!$D$26=0,0,IF($B125&lt;=Inputs!$C$26,0,IF($B125&gt;=INDEX(LE_Curves!$F$5:$F$205,201),INDEX(LE_Curves!$B$5:$B$205,201),INDEX(LE_Curves!$B$5:$B$205,MATCH($B125,LE_Curves!$F$5:$F$205,1))+($B125-INDEX(LE_Curves!$F$5:$F$205,MATCH($B125,LE_Curves!$F$5:$F$205,1)))*(INDEX(LE_Curves!$B$5:$B$205,MATCH($B125,LE_Curves!$F$5:$F$205,1)+1)-INDEX(LE_Curves!$B$5:$B$205,MATCH($B125,LE_Curves!$F$5:$F$205,1)))/(INDEX(LE_Curves!$F$5:$F$205,MATCH($B125,LE_Curves!$F$5:$F$205,1)+1)-INDEX(LE_Curves!$F$5:$F$205,MATCH($B125,LE_Curves!$F$5:$F$205,1))))))</f>
        <v/>
      </c>
      <c r="G125" s="11">
        <f>IF(Inputs!$D$27=0,0,IF($B125&lt;=Inputs!$C$27,0,IF($B125&gt;=INDEX(LE_Curves!$G$5:$G$205,201),INDEX(LE_Curves!$B$5:$B$205,201),INDEX(LE_Curves!$B$5:$B$205,MATCH($B125,LE_Curves!$G$5:$G$205,1))+($B125-INDEX(LE_Curves!$G$5:$G$205,MATCH($B125,LE_Curves!$G$5:$G$205,1)))*(INDEX(LE_Curves!$B$5:$B$205,MATCH($B125,LE_Curves!$G$5:$G$205,1)+1)-INDEX(LE_Curves!$B$5:$B$205,MATCH($B125,LE_Curves!$G$5:$G$205,1)))/(INDEX(LE_Curves!$G$5:$G$205,MATCH($B125,LE_Curves!$G$5:$G$205,1)+1)-INDEX(LE_Curves!$G$5:$G$205,MATCH($B125,LE_Curves!$G$5:$G$205,1))))))</f>
        <v/>
      </c>
      <c r="H125" s="11">
        <f>IF(Inputs!$D$28=0,0,IF($B125&lt;=Inputs!$C$28,0,IF($B125&gt;=INDEX(LE_Curves!$H$5:$H$205,201),INDEX(LE_Curves!$B$5:$B$205,201),INDEX(LE_Curves!$B$5:$B$205,MATCH($B125,LE_Curves!$H$5:$H$205,1))+($B125-INDEX(LE_Curves!$H$5:$H$205,MATCH($B125,LE_Curves!$H$5:$H$205,1)))*(INDEX(LE_Curves!$B$5:$B$205,MATCH($B125,LE_Curves!$H$5:$H$205,1)+1)-INDEX(LE_Curves!$B$5:$B$205,MATCH($B125,LE_Curves!$H$5:$H$205,1)))/(INDEX(LE_Curves!$H$5:$H$205,MATCH($B125,LE_Curves!$H$5:$H$205,1)+1)-INDEX(LE_Curves!$H$5:$H$205,MATCH($B125,LE_Curves!$H$5:$H$205,1))))))</f>
        <v/>
      </c>
      <c r="I125" s="11">
        <f>IF(Inputs!$D$29=0,0,IF($B125&lt;=Inputs!$C$29,0,IF($B125&gt;=INDEX(LE_Curves!$I$5:$I$205,201),INDEX(LE_Curves!$B$5:$B$205,201),INDEX(LE_Curves!$B$5:$B$205,MATCH($B125,LE_Curves!$I$5:$I$205,1))+($B125-INDEX(LE_Curves!$I$5:$I$205,MATCH($B125,LE_Curves!$I$5:$I$205,1)))*(INDEX(LE_Curves!$B$5:$B$205,MATCH($B125,LE_Curves!$I$5:$I$205,1)+1)-INDEX(LE_Curves!$B$5:$B$205,MATCH($B125,LE_Curves!$I$5:$I$205,1)))/(INDEX(LE_Curves!$I$5:$I$205,MATCH($B125,LE_Curves!$I$5:$I$205,1)+1)-INDEX(LE_Curves!$I$5:$I$205,MATCH($B125,LE_Curves!$I$5:$I$205,1))))))</f>
        <v/>
      </c>
      <c r="J125" s="11">
        <f>IF(Inputs!$D$30=0,0,IF($B125&lt;=Inputs!$C$30,0,IF($B125&gt;=INDEX(LE_Curves!$J$5:$J$205,201),INDEX(LE_Curves!$B$5:$B$205,201),INDEX(LE_Curves!$B$5:$B$205,MATCH($B125,LE_Curves!$J$5:$J$205,1))+($B125-INDEX(LE_Curves!$J$5:$J$205,MATCH($B125,LE_Curves!$J$5:$J$205,1)))*(INDEX(LE_Curves!$B$5:$B$205,MATCH($B125,LE_Curves!$J$5:$J$205,1)+1)-INDEX(LE_Curves!$B$5:$B$205,MATCH($B125,LE_Curves!$J$5:$J$205,1)))/(INDEX(LE_Curves!$J$5:$J$205,MATCH($B125,LE_Curves!$J$5:$J$205,1)+1)-INDEX(LE_Curves!$J$5:$J$205,MATCH($B125,LE_Curves!$J$5:$J$205,1))))))</f>
        <v/>
      </c>
      <c r="K125" s="11">
        <f>IF(Inputs!$D$31=0,0,IF($B125&lt;=Inputs!$C$31,0,IF($B125&gt;=INDEX(LE_Curves!$K$5:$K$205,201),INDEX(LE_Curves!$B$5:$B$205,201),INDEX(LE_Curves!$B$5:$B$205,MATCH($B125,LE_Curves!$K$5:$K$205,1))+($B125-INDEX(LE_Curves!$K$5:$K$205,MATCH($B125,LE_Curves!$K$5:$K$205,1)))*(INDEX(LE_Curves!$B$5:$B$205,MATCH($B125,LE_Curves!$K$5:$K$205,1)+1)-INDEX(LE_Curves!$B$5:$B$205,MATCH($B125,LE_Curves!$K$5:$K$205,1)))/(INDEX(LE_Curves!$K$5:$K$205,MATCH($B125,LE_Curves!$K$5:$K$205,1)+1)-INDEX(LE_Curves!$K$5:$K$205,MATCH($B125,LE_Curves!$K$5:$K$205,1))))))</f>
        <v/>
      </c>
      <c r="L125" s="11">
        <f>IF(Inputs!$D$32=0,0,IF($B125&lt;=Inputs!$C$32,0,IF($B125&gt;=INDEX(LE_Curves!$L$5:$L$205,201),INDEX(LE_Curves!$B$5:$B$205,201),INDEX(LE_Curves!$B$5:$B$205,MATCH($B125,LE_Curves!$L$5:$L$205,1))+($B125-INDEX(LE_Curves!$L$5:$L$205,MATCH($B125,LE_Curves!$L$5:$L$205,1)))*(INDEX(LE_Curves!$B$5:$B$205,MATCH($B125,LE_Curves!$L$5:$L$205,1)+1)-INDEX(LE_Curves!$B$5:$B$205,MATCH($B125,LE_Curves!$L$5:$L$205,1)))/(INDEX(LE_Curves!$L$5:$L$205,MATCH($B125,LE_Curves!$L$5:$L$205,1)+1)-INDEX(LE_Curves!$L$5:$L$205,MATCH($B125,LE_Curves!$L$5:$L$205,1))))))</f>
        <v/>
      </c>
      <c r="M125" s="11">
        <f>IF(Inputs!$D$33=0,0,IF($B125&lt;=Inputs!$C$33,0,IF($B125&gt;=INDEX(LE_Curves!$M$5:$M$205,201),INDEX(LE_Curves!$B$5:$B$205,201),INDEX(LE_Curves!$B$5:$B$205,MATCH($B125,LE_Curves!$M$5:$M$205,1))+($B125-INDEX(LE_Curves!$M$5:$M$205,MATCH($B125,LE_Curves!$M$5:$M$205,1)))*(INDEX(LE_Curves!$B$5:$B$205,MATCH($B125,LE_Curves!$M$5:$M$205,1)+1)-INDEX(LE_Curves!$B$5:$B$205,MATCH($B125,LE_Curves!$M$5:$M$205,1)))/(INDEX(LE_Curves!$M$5:$M$205,MATCH($B125,LE_Curves!$M$5:$M$205,1)+1)-INDEX(LE_Curves!$M$5:$M$205,MATCH($B125,LE_Curves!$M$5:$M$205,1))))))</f>
        <v/>
      </c>
      <c r="N125" s="11">
        <f>IF(Inputs!$D$34=0,0,IF($B125&lt;=Inputs!$C$34,0,IF($B125&gt;=INDEX(LE_Curves!$N$5:$N$205,201),INDEX(LE_Curves!$B$5:$B$205,201),INDEX(LE_Curves!$B$5:$B$205,MATCH($B125,LE_Curves!$N$5:$N$205,1))+($B125-INDEX(LE_Curves!$N$5:$N$205,MATCH($B125,LE_Curves!$N$5:$N$205,1)))*(INDEX(LE_Curves!$B$5:$B$205,MATCH($B125,LE_Curves!$N$5:$N$205,1)+1)-INDEX(LE_Curves!$B$5:$B$205,MATCH($B125,LE_Curves!$N$5:$N$205,1)))/(INDEX(LE_Curves!$N$5:$N$205,MATCH($B125,LE_Curves!$N$5:$N$205,1)+1)-INDEX(LE_Curves!$N$5:$N$205,MATCH($B125,LE_Curves!$N$5:$N$205,1))))))</f>
        <v/>
      </c>
      <c r="O125" s="11">
        <f>SUM(C125:N125)</f>
        <v/>
      </c>
      <c r="Q125" s="7" t="n">
        <v>94</v>
      </c>
      <c r="R125" s="23">
        <f>$B$6+($B$7-$B$6)*Q125/200</f>
        <v/>
      </c>
      <c r="S125" s="11">
        <f>IF(Inputs!$D$23=0,0,IF($R125&lt;=Inputs!$C$23,0,IF($R125&gt;=INDEX(LE_Curves!$C$5:$C$205,201),INDEX(LE_Curves!$B$5:$B$205,201),INDEX(LE_Curves!$B$5:$B$205,MATCH($R125,LE_Curves!$C$5:$C$205,1))+($R125-INDEX(LE_Curves!$C$5:$C$205,MATCH($R125,LE_Curves!$C$5:$C$205,1)))*(INDEX(LE_Curves!$B$5:$B$205,MATCH($R125,LE_Curves!$C$5:$C$205,1)+1)-INDEX(LE_Curves!$B$5:$B$205,MATCH($R125,LE_Curves!$C$5:$C$205,1)))/(INDEX(LE_Curves!$C$5:$C$205,MATCH($R125,LE_Curves!$C$5:$C$205,1)+1)-INDEX(LE_Curves!$C$5:$C$205,MATCH($R125,LE_Curves!$C$5:$C$205,1))))))</f>
        <v/>
      </c>
      <c r="T125" s="11">
        <f>IF(Inputs!$D$24=0,0,IF($R125&lt;=Inputs!$C$24,0,IF($R125&gt;=INDEX(LE_Curves!$D$5:$D$205,201),INDEX(LE_Curves!$B$5:$B$205,201),INDEX(LE_Curves!$B$5:$B$205,MATCH($R125,LE_Curves!$D$5:$D$205,1))+($R125-INDEX(LE_Curves!$D$5:$D$205,MATCH($R125,LE_Curves!$D$5:$D$205,1)))*(INDEX(LE_Curves!$B$5:$B$205,MATCH($R125,LE_Curves!$D$5:$D$205,1)+1)-INDEX(LE_Curves!$B$5:$B$205,MATCH($R125,LE_Curves!$D$5:$D$205,1)))/(INDEX(LE_Curves!$D$5:$D$205,MATCH($R125,LE_Curves!$D$5:$D$205,1)+1)-INDEX(LE_Curves!$D$5:$D$205,MATCH($R125,LE_Curves!$D$5:$D$205,1))))))</f>
        <v/>
      </c>
      <c r="U125" s="11">
        <f>IF(Inputs!$D$25=0,0,IF($R125&lt;=Inputs!$C$25,0,IF($R125&gt;=INDEX(LE_Curves!$E$5:$E$205,201),INDEX(LE_Curves!$B$5:$B$205,201),INDEX(LE_Curves!$B$5:$B$205,MATCH($R125,LE_Curves!$E$5:$E$205,1))+($R125-INDEX(LE_Curves!$E$5:$E$205,MATCH($R125,LE_Curves!$E$5:$E$205,1)))*(INDEX(LE_Curves!$B$5:$B$205,MATCH($R125,LE_Curves!$E$5:$E$205,1)+1)-INDEX(LE_Curves!$B$5:$B$205,MATCH($R125,LE_Curves!$E$5:$E$205,1)))/(INDEX(LE_Curves!$E$5:$E$205,MATCH($R125,LE_Curves!$E$5:$E$205,1)+1)-INDEX(LE_Curves!$E$5:$E$205,MATCH($R125,LE_Curves!$E$5:$E$205,1))))))</f>
        <v/>
      </c>
      <c r="V125" s="11">
        <f>IF(Inputs!$D$26=0,0,IF($R125&lt;=Inputs!$C$26,0,IF($R125&gt;=INDEX(LE_Curves!$F$5:$F$205,201),INDEX(LE_Curves!$B$5:$B$205,201),INDEX(LE_Curves!$B$5:$B$205,MATCH($R125,LE_Curves!$F$5:$F$205,1))+($R125-INDEX(LE_Curves!$F$5:$F$205,MATCH($R125,LE_Curves!$F$5:$F$205,1)))*(INDEX(LE_Curves!$B$5:$B$205,MATCH($R125,LE_Curves!$F$5:$F$205,1)+1)-INDEX(LE_Curves!$B$5:$B$205,MATCH($R125,LE_Curves!$F$5:$F$205,1)))/(INDEX(LE_Curves!$F$5:$F$205,MATCH($R125,LE_Curves!$F$5:$F$205,1)+1)-INDEX(LE_Curves!$F$5:$F$205,MATCH($R125,LE_Curves!$F$5:$F$205,1))))))</f>
        <v/>
      </c>
      <c r="W125" s="11">
        <f>IF(Inputs!$D$27=0,0,IF($R125&lt;=Inputs!$C$27,0,IF($R125&gt;=INDEX(LE_Curves!$G$5:$G$205,201),INDEX(LE_Curves!$B$5:$B$205,201),INDEX(LE_Curves!$B$5:$B$205,MATCH($R125,LE_Curves!$G$5:$G$205,1))+($R125-INDEX(LE_Curves!$G$5:$G$205,MATCH($R125,LE_Curves!$G$5:$G$205,1)))*(INDEX(LE_Curves!$B$5:$B$205,MATCH($R125,LE_Curves!$G$5:$G$205,1)+1)-INDEX(LE_Curves!$B$5:$B$205,MATCH($R125,LE_Curves!$G$5:$G$205,1)))/(INDEX(LE_Curves!$G$5:$G$205,MATCH($R125,LE_Curves!$G$5:$G$205,1)+1)-INDEX(LE_Curves!$G$5:$G$205,MATCH($R125,LE_Curves!$G$5:$G$205,1))))))</f>
        <v/>
      </c>
      <c r="X125" s="11">
        <f>IF(Inputs!$D$28=0,0,IF($R125&lt;=Inputs!$C$28,0,IF($R125&gt;=INDEX(LE_Curves!$H$5:$H$205,201),INDEX(LE_Curves!$B$5:$B$205,201),INDEX(LE_Curves!$B$5:$B$205,MATCH($R125,LE_Curves!$H$5:$H$205,1))+($R125-INDEX(LE_Curves!$H$5:$H$205,MATCH($R125,LE_Curves!$H$5:$H$205,1)))*(INDEX(LE_Curves!$B$5:$B$205,MATCH($R125,LE_Curves!$H$5:$H$205,1)+1)-INDEX(LE_Curves!$B$5:$B$205,MATCH($R125,LE_Curves!$H$5:$H$205,1)))/(INDEX(LE_Curves!$H$5:$H$205,MATCH($R125,LE_Curves!$H$5:$H$205,1)+1)-INDEX(LE_Curves!$H$5:$H$205,MATCH($R125,LE_Curves!$H$5:$H$205,1))))))</f>
        <v/>
      </c>
      <c r="Y125" s="11">
        <f>IF(Inputs!$D$29=0,0,IF($R125&lt;=Inputs!$C$29,0,IF($R125&gt;=INDEX(LE_Curves!$I$5:$I$205,201),INDEX(LE_Curves!$B$5:$B$205,201),INDEX(LE_Curves!$B$5:$B$205,MATCH($R125,LE_Curves!$I$5:$I$205,1))+($R125-INDEX(LE_Curves!$I$5:$I$205,MATCH($R125,LE_Curves!$I$5:$I$205,1)))*(INDEX(LE_Curves!$B$5:$B$205,MATCH($R125,LE_Curves!$I$5:$I$205,1)+1)-INDEX(LE_Curves!$B$5:$B$205,MATCH($R125,LE_Curves!$I$5:$I$205,1)))/(INDEX(LE_Curves!$I$5:$I$205,MATCH($R125,LE_Curves!$I$5:$I$205,1)+1)-INDEX(LE_Curves!$I$5:$I$205,MATCH($R125,LE_Curves!$I$5:$I$205,1))))))</f>
        <v/>
      </c>
      <c r="Z125" s="11">
        <f>IF(Inputs!$D$30=0,0,IF($R125&lt;=Inputs!$C$30,0,IF($R125&gt;=INDEX(LE_Curves!$J$5:$J$205,201),INDEX(LE_Curves!$B$5:$B$205,201),INDEX(LE_Curves!$B$5:$B$205,MATCH($R125,LE_Curves!$J$5:$J$205,1))+($R125-INDEX(LE_Curves!$J$5:$J$205,MATCH($R125,LE_Curves!$J$5:$J$205,1)))*(INDEX(LE_Curves!$B$5:$B$205,MATCH($R125,LE_Curves!$J$5:$J$205,1)+1)-INDEX(LE_Curves!$B$5:$B$205,MATCH($R125,LE_Curves!$J$5:$J$205,1)))/(INDEX(LE_Curves!$J$5:$J$205,MATCH($R125,LE_Curves!$J$5:$J$205,1)+1)-INDEX(LE_Curves!$J$5:$J$205,MATCH($R125,LE_Curves!$J$5:$J$205,1))))))</f>
        <v/>
      </c>
      <c r="AA125" s="11">
        <f>IF(Inputs!$D$31=0,0,IF($R125&lt;=Inputs!$C$31,0,IF($R125&gt;=INDEX(LE_Curves!$K$5:$K$205,201),INDEX(LE_Curves!$B$5:$B$205,201),INDEX(LE_Curves!$B$5:$B$205,MATCH($R125,LE_Curves!$K$5:$K$205,1))+($R125-INDEX(LE_Curves!$K$5:$K$205,MATCH($R125,LE_Curves!$K$5:$K$205,1)))*(INDEX(LE_Curves!$B$5:$B$205,MATCH($R125,LE_Curves!$K$5:$K$205,1)+1)-INDEX(LE_Curves!$B$5:$B$205,MATCH($R125,LE_Curves!$K$5:$K$205,1)))/(INDEX(LE_Curves!$K$5:$K$205,MATCH($R125,LE_Curves!$K$5:$K$205,1)+1)-INDEX(LE_Curves!$K$5:$K$205,MATCH($R125,LE_Curves!$K$5:$K$205,1))))))</f>
        <v/>
      </c>
      <c r="AB125" s="11">
        <f>IF(Inputs!$D$32=0,0,IF($R125&lt;=Inputs!$C$32,0,IF($R125&gt;=INDEX(LE_Curves!$L$5:$L$205,201),INDEX(LE_Curves!$B$5:$B$205,201),INDEX(LE_Curves!$B$5:$B$205,MATCH($R125,LE_Curves!$L$5:$L$205,1))+($R125-INDEX(LE_Curves!$L$5:$L$205,MATCH($R125,LE_Curves!$L$5:$L$205,1)))*(INDEX(LE_Curves!$B$5:$B$205,MATCH($R125,LE_Curves!$L$5:$L$205,1)+1)-INDEX(LE_Curves!$B$5:$B$205,MATCH($R125,LE_Curves!$L$5:$L$205,1)))/(INDEX(LE_Curves!$L$5:$L$205,MATCH($R125,LE_Curves!$L$5:$L$205,1)+1)-INDEX(LE_Curves!$L$5:$L$205,MATCH($R125,LE_Curves!$L$5:$L$205,1))))))</f>
        <v/>
      </c>
      <c r="AC125" s="11">
        <f>IF(Inputs!$D$33=0,0,IF($R125&lt;=Inputs!$C$33,0,IF($R125&gt;=INDEX(LE_Curves!$M$5:$M$205,201),INDEX(LE_Curves!$B$5:$B$205,201),INDEX(LE_Curves!$B$5:$B$205,MATCH($R125,LE_Curves!$M$5:$M$205,1))+($R125-INDEX(LE_Curves!$M$5:$M$205,MATCH($R125,LE_Curves!$M$5:$M$205,1)))*(INDEX(LE_Curves!$B$5:$B$205,MATCH($R125,LE_Curves!$M$5:$M$205,1)+1)-INDEX(LE_Curves!$B$5:$B$205,MATCH($R125,LE_Curves!$M$5:$M$205,1)))/(INDEX(LE_Curves!$M$5:$M$205,MATCH($R125,LE_Curves!$M$5:$M$205,1)+1)-INDEX(LE_Curves!$M$5:$M$205,MATCH($R125,LE_Curves!$M$5:$M$205,1))))))</f>
        <v/>
      </c>
      <c r="AD125" s="11">
        <f>IF(Inputs!$D$34=0,0,IF($R125&lt;=Inputs!$C$34,0,IF($R125&gt;=INDEX(LE_Curves!$N$5:$N$205,201),INDEX(LE_Curves!$B$5:$B$205,201),INDEX(LE_Curves!$B$5:$B$205,MATCH($R125,LE_Curves!$N$5:$N$205,1))+($R125-INDEX(LE_Curves!$N$5:$N$205,MATCH($R125,LE_Curves!$N$5:$N$205,1)))*(INDEX(LE_Curves!$B$5:$B$205,MATCH($R125,LE_Curves!$N$5:$N$205,1)+1)-INDEX(LE_Curves!$B$5:$B$205,MATCH($R125,LE_Curves!$N$5:$N$205,1)))/(INDEX(LE_Curves!$N$5:$N$205,MATCH($R125,LE_Curves!$N$5:$N$205,1)+1)-INDEX(LE_Curves!$N$5:$N$205,MATCH($R125,LE_Curves!$N$5:$N$205,1))))))</f>
        <v/>
      </c>
      <c r="AE125" s="37">
        <f>SUM(S125:AD125)</f>
        <v/>
      </c>
    </row>
    <row r="126">
      <c r="A126" s="7" t="n">
        <v>95</v>
      </c>
      <c r="B126" s="37">
        <f>$B$3+($B$4-$B$3)*A126/200</f>
        <v/>
      </c>
      <c r="C126" s="11">
        <f>IF(Inputs!$D$23=0,0,IF($B126&lt;=Inputs!$C$23,0,IF($B126&gt;=INDEX(LE_Curves!$C$5:$C$205,201),INDEX(LE_Curves!$B$5:$B$205,201),INDEX(LE_Curves!$B$5:$B$205,MATCH($B126,LE_Curves!$C$5:$C$205,1))+($B126-INDEX(LE_Curves!$C$5:$C$205,MATCH($B126,LE_Curves!$C$5:$C$205,1)))*(INDEX(LE_Curves!$B$5:$B$205,MATCH($B126,LE_Curves!$C$5:$C$205,1)+1)-INDEX(LE_Curves!$B$5:$B$205,MATCH($B126,LE_Curves!$C$5:$C$205,1)))/(INDEX(LE_Curves!$C$5:$C$205,MATCH($B126,LE_Curves!$C$5:$C$205,1)+1)-INDEX(LE_Curves!$C$5:$C$205,MATCH($B126,LE_Curves!$C$5:$C$205,1))))))</f>
        <v/>
      </c>
      <c r="D126" s="11">
        <f>IF(Inputs!$D$24=0,0,IF($B126&lt;=Inputs!$C$24,0,IF($B126&gt;=INDEX(LE_Curves!$D$5:$D$205,201),INDEX(LE_Curves!$B$5:$B$205,201),INDEX(LE_Curves!$B$5:$B$205,MATCH($B126,LE_Curves!$D$5:$D$205,1))+($B126-INDEX(LE_Curves!$D$5:$D$205,MATCH($B126,LE_Curves!$D$5:$D$205,1)))*(INDEX(LE_Curves!$B$5:$B$205,MATCH($B126,LE_Curves!$D$5:$D$205,1)+1)-INDEX(LE_Curves!$B$5:$B$205,MATCH($B126,LE_Curves!$D$5:$D$205,1)))/(INDEX(LE_Curves!$D$5:$D$205,MATCH($B126,LE_Curves!$D$5:$D$205,1)+1)-INDEX(LE_Curves!$D$5:$D$205,MATCH($B126,LE_Curves!$D$5:$D$205,1))))))</f>
        <v/>
      </c>
      <c r="E126" s="11">
        <f>IF(Inputs!$D$25=0,0,IF($B126&lt;=Inputs!$C$25,0,IF($B126&gt;=INDEX(LE_Curves!$E$5:$E$205,201),INDEX(LE_Curves!$B$5:$B$205,201),INDEX(LE_Curves!$B$5:$B$205,MATCH($B126,LE_Curves!$E$5:$E$205,1))+($B126-INDEX(LE_Curves!$E$5:$E$205,MATCH($B126,LE_Curves!$E$5:$E$205,1)))*(INDEX(LE_Curves!$B$5:$B$205,MATCH($B126,LE_Curves!$E$5:$E$205,1)+1)-INDEX(LE_Curves!$B$5:$B$205,MATCH($B126,LE_Curves!$E$5:$E$205,1)))/(INDEX(LE_Curves!$E$5:$E$205,MATCH($B126,LE_Curves!$E$5:$E$205,1)+1)-INDEX(LE_Curves!$E$5:$E$205,MATCH($B126,LE_Curves!$E$5:$E$205,1))))))</f>
        <v/>
      </c>
      <c r="F126" s="11">
        <f>IF(Inputs!$D$26=0,0,IF($B126&lt;=Inputs!$C$26,0,IF($B126&gt;=INDEX(LE_Curves!$F$5:$F$205,201),INDEX(LE_Curves!$B$5:$B$205,201),INDEX(LE_Curves!$B$5:$B$205,MATCH($B126,LE_Curves!$F$5:$F$205,1))+($B126-INDEX(LE_Curves!$F$5:$F$205,MATCH($B126,LE_Curves!$F$5:$F$205,1)))*(INDEX(LE_Curves!$B$5:$B$205,MATCH($B126,LE_Curves!$F$5:$F$205,1)+1)-INDEX(LE_Curves!$B$5:$B$205,MATCH($B126,LE_Curves!$F$5:$F$205,1)))/(INDEX(LE_Curves!$F$5:$F$205,MATCH($B126,LE_Curves!$F$5:$F$205,1)+1)-INDEX(LE_Curves!$F$5:$F$205,MATCH($B126,LE_Curves!$F$5:$F$205,1))))))</f>
        <v/>
      </c>
      <c r="G126" s="11">
        <f>IF(Inputs!$D$27=0,0,IF($B126&lt;=Inputs!$C$27,0,IF($B126&gt;=INDEX(LE_Curves!$G$5:$G$205,201),INDEX(LE_Curves!$B$5:$B$205,201),INDEX(LE_Curves!$B$5:$B$205,MATCH($B126,LE_Curves!$G$5:$G$205,1))+($B126-INDEX(LE_Curves!$G$5:$G$205,MATCH($B126,LE_Curves!$G$5:$G$205,1)))*(INDEX(LE_Curves!$B$5:$B$205,MATCH($B126,LE_Curves!$G$5:$G$205,1)+1)-INDEX(LE_Curves!$B$5:$B$205,MATCH($B126,LE_Curves!$G$5:$G$205,1)))/(INDEX(LE_Curves!$G$5:$G$205,MATCH($B126,LE_Curves!$G$5:$G$205,1)+1)-INDEX(LE_Curves!$G$5:$G$205,MATCH($B126,LE_Curves!$G$5:$G$205,1))))))</f>
        <v/>
      </c>
      <c r="H126" s="11">
        <f>IF(Inputs!$D$28=0,0,IF($B126&lt;=Inputs!$C$28,0,IF($B126&gt;=INDEX(LE_Curves!$H$5:$H$205,201),INDEX(LE_Curves!$B$5:$B$205,201),INDEX(LE_Curves!$B$5:$B$205,MATCH($B126,LE_Curves!$H$5:$H$205,1))+($B126-INDEX(LE_Curves!$H$5:$H$205,MATCH($B126,LE_Curves!$H$5:$H$205,1)))*(INDEX(LE_Curves!$B$5:$B$205,MATCH($B126,LE_Curves!$H$5:$H$205,1)+1)-INDEX(LE_Curves!$B$5:$B$205,MATCH($B126,LE_Curves!$H$5:$H$205,1)))/(INDEX(LE_Curves!$H$5:$H$205,MATCH($B126,LE_Curves!$H$5:$H$205,1)+1)-INDEX(LE_Curves!$H$5:$H$205,MATCH($B126,LE_Curves!$H$5:$H$205,1))))))</f>
        <v/>
      </c>
      <c r="I126" s="11">
        <f>IF(Inputs!$D$29=0,0,IF($B126&lt;=Inputs!$C$29,0,IF($B126&gt;=INDEX(LE_Curves!$I$5:$I$205,201),INDEX(LE_Curves!$B$5:$B$205,201),INDEX(LE_Curves!$B$5:$B$205,MATCH($B126,LE_Curves!$I$5:$I$205,1))+($B126-INDEX(LE_Curves!$I$5:$I$205,MATCH($B126,LE_Curves!$I$5:$I$205,1)))*(INDEX(LE_Curves!$B$5:$B$205,MATCH($B126,LE_Curves!$I$5:$I$205,1)+1)-INDEX(LE_Curves!$B$5:$B$205,MATCH($B126,LE_Curves!$I$5:$I$205,1)))/(INDEX(LE_Curves!$I$5:$I$205,MATCH($B126,LE_Curves!$I$5:$I$205,1)+1)-INDEX(LE_Curves!$I$5:$I$205,MATCH($B126,LE_Curves!$I$5:$I$205,1))))))</f>
        <v/>
      </c>
      <c r="J126" s="11">
        <f>IF(Inputs!$D$30=0,0,IF($B126&lt;=Inputs!$C$30,0,IF($B126&gt;=INDEX(LE_Curves!$J$5:$J$205,201),INDEX(LE_Curves!$B$5:$B$205,201),INDEX(LE_Curves!$B$5:$B$205,MATCH($B126,LE_Curves!$J$5:$J$205,1))+($B126-INDEX(LE_Curves!$J$5:$J$205,MATCH($B126,LE_Curves!$J$5:$J$205,1)))*(INDEX(LE_Curves!$B$5:$B$205,MATCH($B126,LE_Curves!$J$5:$J$205,1)+1)-INDEX(LE_Curves!$B$5:$B$205,MATCH($B126,LE_Curves!$J$5:$J$205,1)))/(INDEX(LE_Curves!$J$5:$J$205,MATCH($B126,LE_Curves!$J$5:$J$205,1)+1)-INDEX(LE_Curves!$J$5:$J$205,MATCH($B126,LE_Curves!$J$5:$J$205,1))))))</f>
        <v/>
      </c>
      <c r="K126" s="11">
        <f>IF(Inputs!$D$31=0,0,IF($B126&lt;=Inputs!$C$31,0,IF($B126&gt;=INDEX(LE_Curves!$K$5:$K$205,201),INDEX(LE_Curves!$B$5:$B$205,201),INDEX(LE_Curves!$B$5:$B$205,MATCH($B126,LE_Curves!$K$5:$K$205,1))+($B126-INDEX(LE_Curves!$K$5:$K$205,MATCH($B126,LE_Curves!$K$5:$K$205,1)))*(INDEX(LE_Curves!$B$5:$B$205,MATCH($B126,LE_Curves!$K$5:$K$205,1)+1)-INDEX(LE_Curves!$B$5:$B$205,MATCH($B126,LE_Curves!$K$5:$K$205,1)))/(INDEX(LE_Curves!$K$5:$K$205,MATCH($B126,LE_Curves!$K$5:$K$205,1)+1)-INDEX(LE_Curves!$K$5:$K$205,MATCH($B126,LE_Curves!$K$5:$K$205,1))))))</f>
        <v/>
      </c>
      <c r="L126" s="11">
        <f>IF(Inputs!$D$32=0,0,IF($B126&lt;=Inputs!$C$32,0,IF($B126&gt;=INDEX(LE_Curves!$L$5:$L$205,201),INDEX(LE_Curves!$B$5:$B$205,201),INDEX(LE_Curves!$B$5:$B$205,MATCH($B126,LE_Curves!$L$5:$L$205,1))+($B126-INDEX(LE_Curves!$L$5:$L$205,MATCH($B126,LE_Curves!$L$5:$L$205,1)))*(INDEX(LE_Curves!$B$5:$B$205,MATCH($B126,LE_Curves!$L$5:$L$205,1)+1)-INDEX(LE_Curves!$B$5:$B$205,MATCH($B126,LE_Curves!$L$5:$L$205,1)))/(INDEX(LE_Curves!$L$5:$L$205,MATCH($B126,LE_Curves!$L$5:$L$205,1)+1)-INDEX(LE_Curves!$L$5:$L$205,MATCH($B126,LE_Curves!$L$5:$L$205,1))))))</f>
        <v/>
      </c>
      <c r="M126" s="11">
        <f>IF(Inputs!$D$33=0,0,IF($B126&lt;=Inputs!$C$33,0,IF($B126&gt;=INDEX(LE_Curves!$M$5:$M$205,201),INDEX(LE_Curves!$B$5:$B$205,201),INDEX(LE_Curves!$B$5:$B$205,MATCH($B126,LE_Curves!$M$5:$M$205,1))+($B126-INDEX(LE_Curves!$M$5:$M$205,MATCH($B126,LE_Curves!$M$5:$M$205,1)))*(INDEX(LE_Curves!$B$5:$B$205,MATCH($B126,LE_Curves!$M$5:$M$205,1)+1)-INDEX(LE_Curves!$B$5:$B$205,MATCH($B126,LE_Curves!$M$5:$M$205,1)))/(INDEX(LE_Curves!$M$5:$M$205,MATCH($B126,LE_Curves!$M$5:$M$205,1)+1)-INDEX(LE_Curves!$M$5:$M$205,MATCH($B126,LE_Curves!$M$5:$M$205,1))))))</f>
        <v/>
      </c>
      <c r="N126" s="11">
        <f>IF(Inputs!$D$34=0,0,IF($B126&lt;=Inputs!$C$34,0,IF($B126&gt;=INDEX(LE_Curves!$N$5:$N$205,201),INDEX(LE_Curves!$B$5:$B$205,201),INDEX(LE_Curves!$B$5:$B$205,MATCH($B126,LE_Curves!$N$5:$N$205,1))+($B126-INDEX(LE_Curves!$N$5:$N$205,MATCH($B126,LE_Curves!$N$5:$N$205,1)))*(INDEX(LE_Curves!$B$5:$B$205,MATCH($B126,LE_Curves!$N$5:$N$205,1)+1)-INDEX(LE_Curves!$B$5:$B$205,MATCH($B126,LE_Curves!$N$5:$N$205,1)))/(INDEX(LE_Curves!$N$5:$N$205,MATCH($B126,LE_Curves!$N$5:$N$205,1)+1)-INDEX(LE_Curves!$N$5:$N$205,MATCH($B126,LE_Curves!$N$5:$N$205,1))))))</f>
        <v/>
      </c>
      <c r="O126" s="11">
        <f>SUM(C126:N126)</f>
        <v/>
      </c>
      <c r="Q126" s="7" t="n">
        <v>95</v>
      </c>
      <c r="R126" s="23">
        <f>$B$6+($B$7-$B$6)*Q126/200</f>
        <v/>
      </c>
      <c r="S126" s="11">
        <f>IF(Inputs!$D$23=0,0,IF($R126&lt;=Inputs!$C$23,0,IF($R126&gt;=INDEX(LE_Curves!$C$5:$C$205,201),INDEX(LE_Curves!$B$5:$B$205,201),INDEX(LE_Curves!$B$5:$B$205,MATCH($R126,LE_Curves!$C$5:$C$205,1))+($R126-INDEX(LE_Curves!$C$5:$C$205,MATCH($R126,LE_Curves!$C$5:$C$205,1)))*(INDEX(LE_Curves!$B$5:$B$205,MATCH($R126,LE_Curves!$C$5:$C$205,1)+1)-INDEX(LE_Curves!$B$5:$B$205,MATCH($R126,LE_Curves!$C$5:$C$205,1)))/(INDEX(LE_Curves!$C$5:$C$205,MATCH($R126,LE_Curves!$C$5:$C$205,1)+1)-INDEX(LE_Curves!$C$5:$C$205,MATCH($R126,LE_Curves!$C$5:$C$205,1))))))</f>
        <v/>
      </c>
      <c r="T126" s="11">
        <f>IF(Inputs!$D$24=0,0,IF($R126&lt;=Inputs!$C$24,0,IF($R126&gt;=INDEX(LE_Curves!$D$5:$D$205,201),INDEX(LE_Curves!$B$5:$B$205,201),INDEX(LE_Curves!$B$5:$B$205,MATCH($R126,LE_Curves!$D$5:$D$205,1))+($R126-INDEX(LE_Curves!$D$5:$D$205,MATCH($R126,LE_Curves!$D$5:$D$205,1)))*(INDEX(LE_Curves!$B$5:$B$205,MATCH($R126,LE_Curves!$D$5:$D$205,1)+1)-INDEX(LE_Curves!$B$5:$B$205,MATCH($R126,LE_Curves!$D$5:$D$205,1)))/(INDEX(LE_Curves!$D$5:$D$205,MATCH($R126,LE_Curves!$D$5:$D$205,1)+1)-INDEX(LE_Curves!$D$5:$D$205,MATCH($R126,LE_Curves!$D$5:$D$205,1))))))</f>
        <v/>
      </c>
      <c r="U126" s="11">
        <f>IF(Inputs!$D$25=0,0,IF($R126&lt;=Inputs!$C$25,0,IF($R126&gt;=INDEX(LE_Curves!$E$5:$E$205,201),INDEX(LE_Curves!$B$5:$B$205,201),INDEX(LE_Curves!$B$5:$B$205,MATCH($R126,LE_Curves!$E$5:$E$205,1))+($R126-INDEX(LE_Curves!$E$5:$E$205,MATCH($R126,LE_Curves!$E$5:$E$205,1)))*(INDEX(LE_Curves!$B$5:$B$205,MATCH($R126,LE_Curves!$E$5:$E$205,1)+1)-INDEX(LE_Curves!$B$5:$B$205,MATCH($R126,LE_Curves!$E$5:$E$205,1)))/(INDEX(LE_Curves!$E$5:$E$205,MATCH($R126,LE_Curves!$E$5:$E$205,1)+1)-INDEX(LE_Curves!$E$5:$E$205,MATCH($R126,LE_Curves!$E$5:$E$205,1))))))</f>
        <v/>
      </c>
      <c r="V126" s="11">
        <f>IF(Inputs!$D$26=0,0,IF($R126&lt;=Inputs!$C$26,0,IF($R126&gt;=INDEX(LE_Curves!$F$5:$F$205,201),INDEX(LE_Curves!$B$5:$B$205,201),INDEX(LE_Curves!$B$5:$B$205,MATCH($R126,LE_Curves!$F$5:$F$205,1))+($R126-INDEX(LE_Curves!$F$5:$F$205,MATCH($R126,LE_Curves!$F$5:$F$205,1)))*(INDEX(LE_Curves!$B$5:$B$205,MATCH($R126,LE_Curves!$F$5:$F$205,1)+1)-INDEX(LE_Curves!$B$5:$B$205,MATCH($R126,LE_Curves!$F$5:$F$205,1)))/(INDEX(LE_Curves!$F$5:$F$205,MATCH($R126,LE_Curves!$F$5:$F$205,1)+1)-INDEX(LE_Curves!$F$5:$F$205,MATCH($R126,LE_Curves!$F$5:$F$205,1))))))</f>
        <v/>
      </c>
      <c r="W126" s="11">
        <f>IF(Inputs!$D$27=0,0,IF($R126&lt;=Inputs!$C$27,0,IF($R126&gt;=INDEX(LE_Curves!$G$5:$G$205,201),INDEX(LE_Curves!$B$5:$B$205,201),INDEX(LE_Curves!$B$5:$B$205,MATCH($R126,LE_Curves!$G$5:$G$205,1))+($R126-INDEX(LE_Curves!$G$5:$G$205,MATCH($R126,LE_Curves!$G$5:$G$205,1)))*(INDEX(LE_Curves!$B$5:$B$205,MATCH($R126,LE_Curves!$G$5:$G$205,1)+1)-INDEX(LE_Curves!$B$5:$B$205,MATCH($R126,LE_Curves!$G$5:$G$205,1)))/(INDEX(LE_Curves!$G$5:$G$205,MATCH($R126,LE_Curves!$G$5:$G$205,1)+1)-INDEX(LE_Curves!$G$5:$G$205,MATCH($R126,LE_Curves!$G$5:$G$205,1))))))</f>
        <v/>
      </c>
      <c r="X126" s="11">
        <f>IF(Inputs!$D$28=0,0,IF($R126&lt;=Inputs!$C$28,0,IF($R126&gt;=INDEX(LE_Curves!$H$5:$H$205,201),INDEX(LE_Curves!$B$5:$B$205,201),INDEX(LE_Curves!$B$5:$B$205,MATCH($R126,LE_Curves!$H$5:$H$205,1))+($R126-INDEX(LE_Curves!$H$5:$H$205,MATCH($R126,LE_Curves!$H$5:$H$205,1)))*(INDEX(LE_Curves!$B$5:$B$205,MATCH($R126,LE_Curves!$H$5:$H$205,1)+1)-INDEX(LE_Curves!$B$5:$B$205,MATCH($R126,LE_Curves!$H$5:$H$205,1)))/(INDEX(LE_Curves!$H$5:$H$205,MATCH($R126,LE_Curves!$H$5:$H$205,1)+1)-INDEX(LE_Curves!$H$5:$H$205,MATCH($R126,LE_Curves!$H$5:$H$205,1))))))</f>
        <v/>
      </c>
      <c r="Y126" s="11">
        <f>IF(Inputs!$D$29=0,0,IF($R126&lt;=Inputs!$C$29,0,IF($R126&gt;=INDEX(LE_Curves!$I$5:$I$205,201),INDEX(LE_Curves!$B$5:$B$205,201),INDEX(LE_Curves!$B$5:$B$205,MATCH($R126,LE_Curves!$I$5:$I$205,1))+($R126-INDEX(LE_Curves!$I$5:$I$205,MATCH($R126,LE_Curves!$I$5:$I$205,1)))*(INDEX(LE_Curves!$B$5:$B$205,MATCH($R126,LE_Curves!$I$5:$I$205,1)+1)-INDEX(LE_Curves!$B$5:$B$205,MATCH($R126,LE_Curves!$I$5:$I$205,1)))/(INDEX(LE_Curves!$I$5:$I$205,MATCH($R126,LE_Curves!$I$5:$I$205,1)+1)-INDEX(LE_Curves!$I$5:$I$205,MATCH($R126,LE_Curves!$I$5:$I$205,1))))))</f>
        <v/>
      </c>
      <c r="Z126" s="11">
        <f>IF(Inputs!$D$30=0,0,IF($R126&lt;=Inputs!$C$30,0,IF($R126&gt;=INDEX(LE_Curves!$J$5:$J$205,201),INDEX(LE_Curves!$B$5:$B$205,201),INDEX(LE_Curves!$B$5:$B$205,MATCH($R126,LE_Curves!$J$5:$J$205,1))+($R126-INDEX(LE_Curves!$J$5:$J$205,MATCH($R126,LE_Curves!$J$5:$J$205,1)))*(INDEX(LE_Curves!$B$5:$B$205,MATCH($R126,LE_Curves!$J$5:$J$205,1)+1)-INDEX(LE_Curves!$B$5:$B$205,MATCH($R126,LE_Curves!$J$5:$J$205,1)))/(INDEX(LE_Curves!$J$5:$J$205,MATCH($R126,LE_Curves!$J$5:$J$205,1)+1)-INDEX(LE_Curves!$J$5:$J$205,MATCH($R126,LE_Curves!$J$5:$J$205,1))))))</f>
        <v/>
      </c>
      <c r="AA126" s="11">
        <f>IF(Inputs!$D$31=0,0,IF($R126&lt;=Inputs!$C$31,0,IF($R126&gt;=INDEX(LE_Curves!$K$5:$K$205,201),INDEX(LE_Curves!$B$5:$B$205,201),INDEX(LE_Curves!$B$5:$B$205,MATCH($R126,LE_Curves!$K$5:$K$205,1))+($R126-INDEX(LE_Curves!$K$5:$K$205,MATCH($R126,LE_Curves!$K$5:$K$205,1)))*(INDEX(LE_Curves!$B$5:$B$205,MATCH($R126,LE_Curves!$K$5:$K$205,1)+1)-INDEX(LE_Curves!$B$5:$B$205,MATCH($R126,LE_Curves!$K$5:$K$205,1)))/(INDEX(LE_Curves!$K$5:$K$205,MATCH($R126,LE_Curves!$K$5:$K$205,1)+1)-INDEX(LE_Curves!$K$5:$K$205,MATCH($R126,LE_Curves!$K$5:$K$205,1))))))</f>
        <v/>
      </c>
      <c r="AB126" s="11">
        <f>IF(Inputs!$D$32=0,0,IF($R126&lt;=Inputs!$C$32,0,IF($R126&gt;=INDEX(LE_Curves!$L$5:$L$205,201),INDEX(LE_Curves!$B$5:$B$205,201),INDEX(LE_Curves!$B$5:$B$205,MATCH($R126,LE_Curves!$L$5:$L$205,1))+($R126-INDEX(LE_Curves!$L$5:$L$205,MATCH($R126,LE_Curves!$L$5:$L$205,1)))*(INDEX(LE_Curves!$B$5:$B$205,MATCH($R126,LE_Curves!$L$5:$L$205,1)+1)-INDEX(LE_Curves!$B$5:$B$205,MATCH($R126,LE_Curves!$L$5:$L$205,1)))/(INDEX(LE_Curves!$L$5:$L$205,MATCH($R126,LE_Curves!$L$5:$L$205,1)+1)-INDEX(LE_Curves!$L$5:$L$205,MATCH($R126,LE_Curves!$L$5:$L$205,1))))))</f>
        <v/>
      </c>
      <c r="AC126" s="11">
        <f>IF(Inputs!$D$33=0,0,IF($R126&lt;=Inputs!$C$33,0,IF($R126&gt;=INDEX(LE_Curves!$M$5:$M$205,201),INDEX(LE_Curves!$B$5:$B$205,201),INDEX(LE_Curves!$B$5:$B$205,MATCH($R126,LE_Curves!$M$5:$M$205,1))+($R126-INDEX(LE_Curves!$M$5:$M$205,MATCH($R126,LE_Curves!$M$5:$M$205,1)))*(INDEX(LE_Curves!$B$5:$B$205,MATCH($R126,LE_Curves!$M$5:$M$205,1)+1)-INDEX(LE_Curves!$B$5:$B$205,MATCH($R126,LE_Curves!$M$5:$M$205,1)))/(INDEX(LE_Curves!$M$5:$M$205,MATCH($R126,LE_Curves!$M$5:$M$205,1)+1)-INDEX(LE_Curves!$M$5:$M$205,MATCH($R126,LE_Curves!$M$5:$M$205,1))))))</f>
        <v/>
      </c>
      <c r="AD126" s="11">
        <f>IF(Inputs!$D$34=0,0,IF($R126&lt;=Inputs!$C$34,0,IF($R126&gt;=INDEX(LE_Curves!$N$5:$N$205,201),INDEX(LE_Curves!$B$5:$B$205,201),INDEX(LE_Curves!$B$5:$B$205,MATCH($R126,LE_Curves!$N$5:$N$205,1))+($R126-INDEX(LE_Curves!$N$5:$N$205,MATCH($R126,LE_Curves!$N$5:$N$205,1)))*(INDEX(LE_Curves!$B$5:$B$205,MATCH($R126,LE_Curves!$N$5:$N$205,1)+1)-INDEX(LE_Curves!$B$5:$B$205,MATCH($R126,LE_Curves!$N$5:$N$205,1)))/(INDEX(LE_Curves!$N$5:$N$205,MATCH($R126,LE_Curves!$N$5:$N$205,1)+1)-INDEX(LE_Curves!$N$5:$N$205,MATCH($R126,LE_Curves!$N$5:$N$205,1))))))</f>
        <v/>
      </c>
      <c r="AE126" s="37">
        <f>SUM(S126:AD126)</f>
        <v/>
      </c>
    </row>
    <row r="127">
      <c r="A127" s="7" t="n">
        <v>96</v>
      </c>
      <c r="B127" s="37">
        <f>$B$3+($B$4-$B$3)*A127/200</f>
        <v/>
      </c>
      <c r="C127" s="11">
        <f>IF(Inputs!$D$23=0,0,IF($B127&lt;=Inputs!$C$23,0,IF($B127&gt;=INDEX(LE_Curves!$C$5:$C$205,201),INDEX(LE_Curves!$B$5:$B$205,201),INDEX(LE_Curves!$B$5:$B$205,MATCH($B127,LE_Curves!$C$5:$C$205,1))+($B127-INDEX(LE_Curves!$C$5:$C$205,MATCH($B127,LE_Curves!$C$5:$C$205,1)))*(INDEX(LE_Curves!$B$5:$B$205,MATCH($B127,LE_Curves!$C$5:$C$205,1)+1)-INDEX(LE_Curves!$B$5:$B$205,MATCH($B127,LE_Curves!$C$5:$C$205,1)))/(INDEX(LE_Curves!$C$5:$C$205,MATCH($B127,LE_Curves!$C$5:$C$205,1)+1)-INDEX(LE_Curves!$C$5:$C$205,MATCH($B127,LE_Curves!$C$5:$C$205,1))))))</f>
        <v/>
      </c>
      <c r="D127" s="11">
        <f>IF(Inputs!$D$24=0,0,IF($B127&lt;=Inputs!$C$24,0,IF($B127&gt;=INDEX(LE_Curves!$D$5:$D$205,201),INDEX(LE_Curves!$B$5:$B$205,201),INDEX(LE_Curves!$B$5:$B$205,MATCH($B127,LE_Curves!$D$5:$D$205,1))+($B127-INDEX(LE_Curves!$D$5:$D$205,MATCH($B127,LE_Curves!$D$5:$D$205,1)))*(INDEX(LE_Curves!$B$5:$B$205,MATCH($B127,LE_Curves!$D$5:$D$205,1)+1)-INDEX(LE_Curves!$B$5:$B$205,MATCH($B127,LE_Curves!$D$5:$D$205,1)))/(INDEX(LE_Curves!$D$5:$D$205,MATCH($B127,LE_Curves!$D$5:$D$205,1)+1)-INDEX(LE_Curves!$D$5:$D$205,MATCH($B127,LE_Curves!$D$5:$D$205,1))))))</f>
        <v/>
      </c>
      <c r="E127" s="11">
        <f>IF(Inputs!$D$25=0,0,IF($B127&lt;=Inputs!$C$25,0,IF($B127&gt;=INDEX(LE_Curves!$E$5:$E$205,201),INDEX(LE_Curves!$B$5:$B$205,201),INDEX(LE_Curves!$B$5:$B$205,MATCH($B127,LE_Curves!$E$5:$E$205,1))+($B127-INDEX(LE_Curves!$E$5:$E$205,MATCH($B127,LE_Curves!$E$5:$E$205,1)))*(INDEX(LE_Curves!$B$5:$B$205,MATCH($B127,LE_Curves!$E$5:$E$205,1)+1)-INDEX(LE_Curves!$B$5:$B$205,MATCH($B127,LE_Curves!$E$5:$E$205,1)))/(INDEX(LE_Curves!$E$5:$E$205,MATCH($B127,LE_Curves!$E$5:$E$205,1)+1)-INDEX(LE_Curves!$E$5:$E$205,MATCH($B127,LE_Curves!$E$5:$E$205,1))))))</f>
        <v/>
      </c>
      <c r="F127" s="11">
        <f>IF(Inputs!$D$26=0,0,IF($B127&lt;=Inputs!$C$26,0,IF($B127&gt;=INDEX(LE_Curves!$F$5:$F$205,201),INDEX(LE_Curves!$B$5:$B$205,201),INDEX(LE_Curves!$B$5:$B$205,MATCH($B127,LE_Curves!$F$5:$F$205,1))+($B127-INDEX(LE_Curves!$F$5:$F$205,MATCH($B127,LE_Curves!$F$5:$F$205,1)))*(INDEX(LE_Curves!$B$5:$B$205,MATCH($B127,LE_Curves!$F$5:$F$205,1)+1)-INDEX(LE_Curves!$B$5:$B$205,MATCH($B127,LE_Curves!$F$5:$F$205,1)))/(INDEX(LE_Curves!$F$5:$F$205,MATCH($B127,LE_Curves!$F$5:$F$205,1)+1)-INDEX(LE_Curves!$F$5:$F$205,MATCH($B127,LE_Curves!$F$5:$F$205,1))))))</f>
        <v/>
      </c>
      <c r="G127" s="11">
        <f>IF(Inputs!$D$27=0,0,IF($B127&lt;=Inputs!$C$27,0,IF($B127&gt;=INDEX(LE_Curves!$G$5:$G$205,201),INDEX(LE_Curves!$B$5:$B$205,201),INDEX(LE_Curves!$B$5:$B$205,MATCH($B127,LE_Curves!$G$5:$G$205,1))+($B127-INDEX(LE_Curves!$G$5:$G$205,MATCH($B127,LE_Curves!$G$5:$G$205,1)))*(INDEX(LE_Curves!$B$5:$B$205,MATCH($B127,LE_Curves!$G$5:$G$205,1)+1)-INDEX(LE_Curves!$B$5:$B$205,MATCH($B127,LE_Curves!$G$5:$G$205,1)))/(INDEX(LE_Curves!$G$5:$G$205,MATCH($B127,LE_Curves!$G$5:$G$205,1)+1)-INDEX(LE_Curves!$G$5:$G$205,MATCH($B127,LE_Curves!$G$5:$G$205,1))))))</f>
        <v/>
      </c>
      <c r="H127" s="11">
        <f>IF(Inputs!$D$28=0,0,IF($B127&lt;=Inputs!$C$28,0,IF($B127&gt;=INDEX(LE_Curves!$H$5:$H$205,201),INDEX(LE_Curves!$B$5:$B$205,201),INDEX(LE_Curves!$B$5:$B$205,MATCH($B127,LE_Curves!$H$5:$H$205,1))+($B127-INDEX(LE_Curves!$H$5:$H$205,MATCH($B127,LE_Curves!$H$5:$H$205,1)))*(INDEX(LE_Curves!$B$5:$B$205,MATCH($B127,LE_Curves!$H$5:$H$205,1)+1)-INDEX(LE_Curves!$B$5:$B$205,MATCH($B127,LE_Curves!$H$5:$H$205,1)))/(INDEX(LE_Curves!$H$5:$H$205,MATCH($B127,LE_Curves!$H$5:$H$205,1)+1)-INDEX(LE_Curves!$H$5:$H$205,MATCH($B127,LE_Curves!$H$5:$H$205,1))))))</f>
        <v/>
      </c>
      <c r="I127" s="11">
        <f>IF(Inputs!$D$29=0,0,IF($B127&lt;=Inputs!$C$29,0,IF($B127&gt;=INDEX(LE_Curves!$I$5:$I$205,201),INDEX(LE_Curves!$B$5:$B$205,201),INDEX(LE_Curves!$B$5:$B$205,MATCH($B127,LE_Curves!$I$5:$I$205,1))+($B127-INDEX(LE_Curves!$I$5:$I$205,MATCH($B127,LE_Curves!$I$5:$I$205,1)))*(INDEX(LE_Curves!$B$5:$B$205,MATCH($B127,LE_Curves!$I$5:$I$205,1)+1)-INDEX(LE_Curves!$B$5:$B$205,MATCH($B127,LE_Curves!$I$5:$I$205,1)))/(INDEX(LE_Curves!$I$5:$I$205,MATCH($B127,LE_Curves!$I$5:$I$205,1)+1)-INDEX(LE_Curves!$I$5:$I$205,MATCH($B127,LE_Curves!$I$5:$I$205,1))))))</f>
        <v/>
      </c>
      <c r="J127" s="11">
        <f>IF(Inputs!$D$30=0,0,IF($B127&lt;=Inputs!$C$30,0,IF($B127&gt;=INDEX(LE_Curves!$J$5:$J$205,201),INDEX(LE_Curves!$B$5:$B$205,201),INDEX(LE_Curves!$B$5:$B$205,MATCH($B127,LE_Curves!$J$5:$J$205,1))+($B127-INDEX(LE_Curves!$J$5:$J$205,MATCH($B127,LE_Curves!$J$5:$J$205,1)))*(INDEX(LE_Curves!$B$5:$B$205,MATCH($B127,LE_Curves!$J$5:$J$205,1)+1)-INDEX(LE_Curves!$B$5:$B$205,MATCH($B127,LE_Curves!$J$5:$J$205,1)))/(INDEX(LE_Curves!$J$5:$J$205,MATCH($B127,LE_Curves!$J$5:$J$205,1)+1)-INDEX(LE_Curves!$J$5:$J$205,MATCH($B127,LE_Curves!$J$5:$J$205,1))))))</f>
        <v/>
      </c>
      <c r="K127" s="11">
        <f>IF(Inputs!$D$31=0,0,IF($B127&lt;=Inputs!$C$31,0,IF($B127&gt;=INDEX(LE_Curves!$K$5:$K$205,201),INDEX(LE_Curves!$B$5:$B$205,201),INDEX(LE_Curves!$B$5:$B$205,MATCH($B127,LE_Curves!$K$5:$K$205,1))+($B127-INDEX(LE_Curves!$K$5:$K$205,MATCH($B127,LE_Curves!$K$5:$K$205,1)))*(INDEX(LE_Curves!$B$5:$B$205,MATCH($B127,LE_Curves!$K$5:$K$205,1)+1)-INDEX(LE_Curves!$B$5:$B$205,MATCH($B127,LE_Curves!$K$5:$K$205,1)))/(INDEX(LE_Curves!$K$5:$K$205,MATCH($B127,LE_Curves!$K$5:$K$205,1)+1)-INDEX(LE_Curves!$K$5:$K$205,MATCH($B127,LE_Curves!$K$5:$K$205,1))))))</f>
        <v/>
      </c>
      <c r="L127" s="11">
        <f>IF(Inputs!$D$32=0,0,IF($B127&lt;=Inputs!$C$32,0,IF($B127&gt;=INDEX(LE_Curves!$L$5:$L$205,201),INDEX(LE_Curves!$B$5:$B$205,201),INDEX(LE_Curves!$B$5:$B$205,MATCH($B127,LE_Curves!$L$5:$L$205,1))+($B127-INDEX(LE_Curves!$L$5:$L$205,MATCH($B127,LE_Curves!$L$5:$L$205,1)))*(INDEX(LE_Curves!$B$5:$B$205,MATCH($B127,LE_Curves!$L$5:$L$205,1)+1)-INDEX(LE_Curves!$B$5:$B$205,MATCH($B127,LE_Curves!$L$5:$L$205,1)))/(INDEX(LE_Curves!$L$5:$L$205,MATCH($B127,LE_Curves!$L$5:$L$205,1)+1)-INDEX(LE_Curves!$L$5:$L$205,MATCH($B127,LE_Curves!$L$5:$L$205,1))))))</f>
        <v/>
      </c>
      <c r="M127" s="11">
        <f>IF(Inputs!$D$33=0,0,IF($B127&lt;=Inputs!$C$33,0,IF($B127&gt;=INDEX(LE_Curves!$M$5:$M$205,201),INDEX(LE_Curves!$B$5:$B$205,201),INDEX(LE_Curves!$B$5:$B$205,MATCH($B127,LE_Curves!$M$5:$M$205,1))+($B127-INDEX(LE_Curves!$M$5:$M$205,MATCH($B127,LE_Curves!$M$5:$M$205,1)))*(INDEX(LE_Curves!$B$5:$B$205,MATCH($B127,LE_Curves!$M$5:$M$205,1)+1)-INDEX(LE_Curves!$B$5:$B$205,MATCH($B127,LE_Curves!$M$5:$M$205,1)))/(INDEX(LE_Curves!$M$5:$M$205,MATCH($B127,LE_Curves!$M$5:$M$205,1)+1)-INDEX(LE_Curves!$M$5:$M$205,MATCH($B127,LE_Curves!$M$5:$M$205,1))))))</f>
        <v/>
      </c>
      <c r="N127" s="11">
        <f>IF(Inputs!$D$34=0,0,IF($B127&lt;=Inputs!$C$34,0,IF($B127&gt;=INDEX(LE_Curves!$N$5:$N$205,201),INDEX(LE_Curves!$B$5:$B$205,201),INDEX(LE_Curves!$B$5:$B$205,MATCH($B127,LE_Curves!$N$5:$N$205,1))+($B127-INDEX(LE_Curves!$N$5:$N$205,MATCH($B127,LE_Curves!$N$5:$N$205,1)))*(INDEX(LE_Curves!$B$5:$B$205,MATCH($B127,LE_Curves!$N$5:$N$205,1)+1)-INDEX(LE_Curves!$B$5:$B$205,MATCH($B127,LE_Curves!$N$5:$N$205,1)))/(INDEX(LE_Curves!$N$5:$N$205,MATCH($B127,LE_Curves!$N$5:$N$205,1)+1)-INDEX(LE_Curves!$N$5:$N$205,MATCH($B127,LE_Curves!$N$5:$N$205,1))))))</f>
        <v/>
      </c>
      <c r="O127" s="11">
        <f>SUM(C127:N127)</f>
        <v/>
      </c>
      <c r="Q127" s="7" t="n">
        <v>96</v>
      </c>
      <c r="R127" s="23">
        <f>$B$6+($B$7-$B$6)*Q127/200</f>
        <v/>
      </c>
      <c r="S127" s="11">
        <f>IF(Inputs!$D$23=0,0,IF($R127&lt;=Inputs!$C$23,0,IF($R127&gt;=INDEX(LE_Curves!$C$5:$C$205,201),INDEX(LE_Curves!$B$5:$B$205,201),INDEX(LE_Curves!$B$5:$B$205,MATCH($R127,LE_Curves!$C$5:$C$205,1))+($R127-INDEX(LE_Curves!$C$5:$C$205,MATCH($R127,LE_Curves!$C$5:$C$205,1)))*(INDEX(LE_Curves!$B$5:$B$205,MATCH($R127,LE_Curves!$C$5:$C$205,1)+1)-INDEX(LE_Curves!$B$5:$B$205,MATCH($R127,LE_Curves!$C$5:$C$205,1)))/(INDEX(LE_Curves!$C$5:$C$205,MATCH($R127,LE_Curves!$C$5:$C$205,1)+1)-INDEX(LE_Curves!$C$5:$C$205,MATCH($R127,LE_Curves!$C$5:$C$205,1))))))</f>
        <v/>
      </c>
      <c r="T127" s="11">
        <f>IF(Inputs!$D$24=0,0,IF($R127&lt;=Inputs!$C$24,0,IF($R127&gt;=INDEX(LE_Curves!$D$5:$D$205,201),INDEX(LE_Curves!$B$5:$B$205,201),INDEX(LE_Curves!$B$5:$B$205,MATCH($R127,LE_Curves!$D$5:$D$205,1))+($R127-INDEX(LE_Curves!$D$5:$D$205,MATCH($R127,LE_Curves!$D$5:$D$205,1)))*(INDEX(LE_Curves!$B$5:$B$205,MATCH($R127,LE_Curves!$D$5:$D$205,1)+1)-INDEX(LE_Curves!$B$5:$B$205,MATCH($R127,LE_Curves!$D$5:$D$205,1)))/(INDEX(LE_Curves!$D$5:$D$205,MATCH($R127,LE_Curves!$D$5:$D$205,1)+1)-INDEX(LE_Curves!$D$5:$D$205,MATCH($R127,LE_Curves!$D$5:$D$205,1))))))</f>
        <v/>
      </c>
      <c r="U127" s="11">
        <f>IF(Inputs!$D$25=0,0,IF($R127&lt;=Inputs!$C$25,0,IF($R127&gt;=INDEX(LE_Curves!$E$5:$E$205,201),INDEX(LE_Curves!$B$5:$B$205,201),INDEX(LE_Curves!$B$5:$B$205,MATCH($R127,LE_Curves!$E$5:$E$205,1))+($R127-INDEX(LE_Curves!$E$5:$E$205,MATCH($R127,LE_Curves!$E$5:$E$205,1)))*(INDEX(LE_Curves!$B$5:$B$205,MATCH($R127,LE_Curves!$E$5:$E$205,1)+1)-INDEX(LE_Curves!$B$5:$B$205,MATCH($R127,LE_Curves!$E$5:$E$205,1)))/(INDEX(LE_Curves!$E$5:$E$205,MATCH($R127,LE_Curves!$E$5:$E$205,1)+1)-INDEX(LE_Curves!$E$5:$E$205,MATCH($R127,LE_Curves!$E$5:$E$205,1))))))</f>
        <v/>
      </c>
      <c r="V127" s="11">
        <f>IF(Inputs!$D$26=0,0,IF($R127&lt;=Inputs!$C$26,0,IF($R127&gt;=INDEX(LE_Curves!$F$5:$F$205,201),INDEX(LE_Curves!$B$5:$B$205,201),INDEX(LE_Curves!$B$5:$B$205,MATCH($R127,LE_Curves!$F$5:$F$205,1))+($R127-INDEX(LE_Curves!$F$5:$F$205,MATCH($R127,LE_Curves!$F$5:$F$205,1)))*(INDEX(LE_Curves!$B$5:$B$205,MATCH($R127,LE_Curves!$F$5:$F$205,1)+1)-INDEX(LE_Curves!$B$5:$B$205,MATCH($R127,LE_Curves!$F$5:$F$205,1)))/(INDEX(LE_Curves!$F$5:$F$205,MATCH($R127,LE_Curves!$F$5:$F$205,1)+1)-INDEX(LE_Curves!$F$5:$F$205,MATCH($R127,LE_Curves!$F$5:$F$205,1))))))</f>
        <v/>
      </c>
      <c r="W127" s="11">
        <f>IF(Inputs!$D$27=0,0,IF($R127&lt;=Inputs!$C$27,0,IF($R127&gt;=INDEX(LE_Curves!$G$5:$G$205,201),INDEX(LE_Curves!$B$5:$B$205,201),INDEX(LE_Curves!$B$5:$B$205,MATCH($R127,LE_Curves!$G$5:$G$205,1))+($R127-INDEX(LE_Curves!$G$5:$G$205,MATCH($R127,LE_Curves!$G$5:$G$205,1)))*(INDEX(LE_Curves!$B$5:$B$205,MATCH($R127,LE_Curves!$G$5:$G$205,1)+1)-INDEX(LE_Curves!$B$5:$B$205,MATCH($R127,LE_Curves!$G$5:$G$205,1)))/(INDEX(LE_Curves!$G$5:$G$205,MATCH($R127,LE_Curves!$G$5:$G$205,1)+1)-INDEX(LE_Curves!$G$5:$G$205,MATCH($R127,LE_Curves!$G$5:$G$205,1))))))</f>
        <v/>
      </c>
      <c r="X127" s="11">
        <f>IF(Inputs!$D$28=0,0,IF($R127&lt;=Inputs!$C$28,0,IF($R127&gt;=INDEX(LE_Curves!$H$5:$H$205,201),INDEX(LE_Curves!$B$5:$B$205,201),INDEX(LE_Curves!$B$5:$B$205,MATCH($R127,LE_Curves!$H$5:$H$205,1))+($R127-INDEX(LE_Curves!$H$5:$H$205,MATCH($R127,LE_Curves!$H$5:$H$205,1)))*(INDEX(LE_Curves!$B$5:$B$205,MATCH($R127,LE_Curves!$H$5:$H$205,1)+1)-INDEX(LE_Curves!$B$5:$B$205,MATCH($R127,LE_Curves!$H$5:$H$205,1)))/(INDEX(LE_Curves!$H$5:$H$205,MATCH($R127,LE_Curves!$H$5:$H$205,1)+1)-INDEX(LE_Curves!$H$5:$H$205,MATCH($R127,LE_Curves!$H$5:$H$205,1))))))</f>
        <v/>
      </c>
      <c r="Y127" s="11">
        <f>IF(Inputs!$D$29=0,0,IF($R127&lt;=Inputs!$C$29,0,IF($R127&gt;=INDEX(LE_Curves!$I$5:$I$205,201),INDEX(LE_Curves!$B$5:$B$205,201),INDEX(LE_Curves!$B$5:$B$205,MATCH($R127,LE_Curves!$I$5:$I$205,1))+($R127-INDEX(LE_Curves!$I$5:$I$205,MATCH($R127,LE_Curves!$I$5:$I$205,1)))*(INDEX(LE_Curves!$B$5:$B$205,MATCH($R127,LE_Curves!$I$5:$I$205,1)+1)-INDEX(LE_Curves!$B$5:$B$205,MATCH($R127,LE_Curves!$I$5:$I$205,1)))/(INDEX(LE_Curves!$I$5:$I$205,MATCH($R127,LE_Curves!$I$5:$I$205,1)+1)-INDEX(LE_Curves!$I$5:$I$205,MATCH($R127,LE_Curves!$I$5:$I$205,1))))))</f>
        <v/>
      </c>
      <c r="Z127" s="11">
        <f>IF(Inputs!$D$30=0,0,IF($R127&lt;=Inputs!$C$30,0,IF($R127&gt;=INDEX(LE_Curves!$J$5:$J$205,201),INDEX(LE_Curves!$B$5:$B$205,201),INDEX(LE_Curves!$B$5:$B$205,MATCH($R127,LE_Curves!$J$5:$J$205,1))+($R127-INDEX(LE_Curves!$J$5:$J$205,MATCH($R127,LE_Curves!$J$5:$J$205,1)))*(INDEX(LE_Curves!$B$5:$B$205,MATCH($R127,LE_Curves!$J$5:$J$205,1)+1)-INDEX(LE_Curves!$B$5:$B$205,MATCH($R127,LE_Curves!$J$5:$J$205,1)))/(INDEX(LE_Curves!$J$5:$J$205,MATCH($R127,LE_Curves!$J$5:$J$205,1)+1)-INDEX(LE_Curves!$J$5:$J$205,MATCH($R127,LE_Curves!$J$5:$J$205,1))))))</f>
        <v/>
      </c>
      <c r="AA127" s="11">
        <f>IF(Inputs!$D$31=0,0,IF($R127&lt;=Inputs!$C$31,0,IF($R127&gt;=INDEX(LE_Curves!$K$5:$K$205,201),INDEX(LE_Curves!$B$5:$B$205,201),INDEX(LE_Curves!$B$5:$B$205,MATCH($R127,LE_Curves!$K$5:$K$205,1))+($R127-INDEX(LE_Curves!$K$5:$K$205,MATCH($R127,LE_Curves!$K$5:$K$205,1)))*(INDEX(LE_Curves!$B$5:$B$205,MATCH($R127,LE_Curves!$K$5:$K$205,1)+1)-INDEX(LE_Curves!$B$5:$B$205,MATCH($R127,LE_Curves!$K$5:$K$205,1)))/(INDEX(LE_Curves!$K$5:$K$205,MATCH($R127,LE_Curves!$K$5:$K$205,1)+1)-INDEX(LE_Curves!$K$5:$K$205,MATCH($R127,LE_Curves!$K$5:$K$205,1))))))</f>
        <v/>
      </c>
      <c r="AB127" s="11">
        <f>IF(Inputs!$D$32=0,0,IF($R127&lt;=Inputs!$C$32,0,IF($R127&gt;=INDEX(LE_Curves!$L$5:$L$205,201),INDEX(LE_Curves!$B$5:$B$205,201),INDEX(LE_Curves!$B$5:$B$205,MATCH($R127,LE_Curves!$L$5:$L$205,1))+($R127-INDEX(LE_Curves!$L$5:$L$205,MATCH($R127,LE_Curves!$L$5:$L$205,1)))*(INDEX(LE_Curves!$B$5:$B$205,MATCH($R127,LE_Curves!$L$5:$L$205,1)+1)-INDEX(LE_Curves!$B$5:$B$205,MATCH($R127,LE_Curves!$L$5:$L$205,1)))/(INDEX(LE_Curves!$L$5:$L$205,MATCH($R127,LE_Curves!$L$5:$L$205,1)+1)-INDEX(LE_Curves!$L$5:$L$205,MATCH($R127,LE_Curves!$L$5:$L$205,1))))))</f>
        <v/>
      </c>
      <c r="AC127" s="11">
        <f>IF(Inputs!$D$33=0,0,IF($R127&lt;=Inputs!$C$33,0,IF($R127&gt;=INDEX(LE_Curves!$M$5:$M$205,201),INDEX(LE_Curves!$B$5:$B$205,201),INDEX(LE_Curves!$B$5:$B$205,MATCH($R127,LE_Curves!$M$5:$M$205,1))+($R127-INDEX(LE_Curves!$M$5:$M$205,MATCH($R127,LE_Curves!$M$5:$M$205,1)))*(INDEX(LE_Curves!$B$5:$B$205,MATCH($R127,LE_Curves!$M$5:$M$205,1)+1)-INDEX(LE_Curves!$B$5:$B$205,MATCH($R127,LE_Curves!$M$5:$M$205,1)))/(INDEX(LE_Curves!$M$5:$M$205,MATCH($R127,LE_Curves!$M$5:$M$205,1)+1)-INDEX(LE_Curves!$M$5:$M$205,MATCH($R127,LE_Curves!$M$5:$M$205,1))))))</f>
        <v/>
      </c>
      <c r="AD127" s="11">
        <f>IF(Inputs!$D$34=0,0,IF($R127&lt;=Inputs!$C$34,0,IF($R127&gt;=INDEX(LE_Curves!$N$5:$N$205,201),INDEX(LE_Curves!$B$5:$B$205,201),INDEX(LE_Curves!$B$5:$B$205,MATCH($R127,LE_Curves!$N$5:$N$205,1))+($R127-INDEX(LE_Curves!$N$5:$N$205,MATCH($R127,LE_Curves!$N$5:$N$205,1)))*(INDEX(LE_Curves!$B$5:$B$205,MATCH($R127,LE_Curves!$N$5:$N$205,1)+1)-INDEX(LE_Curves!$B$5:$B$205,MATCH($R127,LE_Curves!$N$5:$N$205,1)))/(INDEX(LE_Curves!$N$5:$N$205,MATCH($R127,LE_Curves!$N$5:$N$205,1)+1)-INDEX(LE_Curves!$N$5:$N$205,MATCH($R127,LE_Curves!$N$5:$N$205,1))))))</f>
        <v/>
      </c>
      <c r="AE127" s="37">
        <f>SUM(S127:AD127)</f>
        <v/>
      </c>
    </row>
    <row r="128">
      <c r="A128" s="7" t="n">
        <v>97</v>
      </c>
      <c r="B128" s="37">
        <f>$B$3+($B$4-$B$3)*A128/200</f>
        <v/>
      </c>
      <c r="C128" s="11">
        <f>IF(Inputs!$D$23=0,0,IF($B128&lt;=Inputs!$C$23,0,IF($B128&gt;=INDEX(LE_Curves!$C$5:$C$205,201),INDEX(LE_Curves!$B$5:$B$205,201),INDEX(LE_Curves!$B$5:$B$205,MATCH($B128,LE_Curves!$C$5:$C$205,1))+($B128-INDEX(LE_Curves!$C$5:$C$205,MATCH($B128,LE_Curves!$C$5:$C$205,1)))*(INDEX(LE_Curves!$B$5:$B$205,MATCH($B128,LE_Curves!$C$5:$C$205,1)+1)-INDEX(LE_Curves!$B$5:$B$205,MATCH($B128,LE_Curves!$C$5:$C$205,1)))/(INDEX(LE_Curves!$C$5:$C$205,MATCH($B128,LE_Curves!$C$5:$C$205,1)+1)-INDEX(LE_Curves!$C$5:$C$205,MATCH($B128,LE_Curves!$C$5:$C$205,1))))))</f>
        <v/>
      </c>
      <c r="D128" s="11">
        <f>IF(Inputs!$D$24=0,0,IF($B128&lt;=Inputs!$C$24,0,IF($B128&gt;=INDEX(LE_Curves!$D$5:$D$205,201),INDEX(LE_Curves!$B$5:$B$205,201),INDEX(LE_Curves!$B$5:$B$205,MATCH($B128,LE_Curves!$D$5:$D$205,1))+($B128-INDEX(LE_Curves!$D$5:$D$205,MATCH($B128,LE_Curves!$D$5:$D$205,1)))*(INDEX(LE_Curves!$B$5:$B$205,MATCH($B128,LE_Curves!$D$5:$D$205,1)+1)-INDEX(LE_Curves!$B$5:$B$205,MATCH($B128,LE_Curves!$D$5:$D$205,1)))/(INDEX(LE_Curves!$D$5:$D$205,MATCH($B128,LE_Curves!$D$5:$D$205,1)+1)-INDEX(LE_Curves!$D$5:$D$205,MATCH($B128,LE_Curves!$D$5:$D$205,1))))))</f>
        <v/>
      </c>
      <c r="E128" s="11">
        <f>IF(Inputs!$D$25=0,0,IF($B128&lt;=Inputs!$C$25,0,IF($B128&gt;=INDEX(LE_Curves!$E$5:$E$205,201),INDEX(LE_Curves!$B$5:$B$205,201),INDEX(LE_Curves!$B$5:$B$205,MATCH($B128,LE_Curves!$E$5:$E$205,1))+($B128-INDEX(LE_Curves!$E$5:$E$205,MATCH($B128,LE_Curves!$E$5:$E$205,1)))*(INDEX(LE_Curves!$B$5:$B$205,MATCH($B128,LE_Curves!$E$5:$E$205,1)+1)-INDEX(LE_Curves!$B$5:$B$205,MATCH($B128,LE_Curves!$E$5:$E$205,1)))/(INDEX(LE_Curves!$E$5:$E$205,MATCH($B128,LE_Curves!$E$5:$E$205,1)+1)-INDEX(LE_Curves!$E$5:$E$205,MATCH($B128,LE_Curves!$E$5:$E$205,1))))))</f>
        <v/>
      </c>
      <c r="F128" s="11">
        <f>IF(Inputs!$D$26=0,0,IF($B128&lt;=Inputs!$C$26,0,IF($B128&gt;=INDEX(LE_Curves!$F$5:$F$205,201),INDEX(LE_Curves!$B$5:$B$205,201),INDEX(LE_Curves!$B$5:$B$205,MATCH($B128,LE_Curves!$F$5:$F$205,1))+($B128-INDEX(LE_Curves!$F$5:$F$205,MATCH($B128,LE_Curves!$F$5:$F$205,1)))*(INDEX(LE_Curves!$B$5:$B$205,MATCH($B128,LE_Curves!$F$5:$F$205,1)+1)-INDEX(LE_Curves!$B$5:$B$205,MATCH($B128,LE_Curves!$F$5:$F$205,1)))/(INDEX(LE_Curves!$F$5:$F$205,MATCH($B128,LE_Curves!$F$5:$F$205,1)+1)-INDEX(LE_Curves!$F$5:$F$205,MATCH($B128,LE_Curves!$F$5:$F$205,1))))))</f>
        <v/>
      </c>
      <c r="G128" s="11">
        <f>IF(Inputs!$D$27=0,0,IF($B128&lt;=Inputs!$C$27,0,IF($B128&gt;=INDEX(LE_Curves!$G$5:$G$205,201),INDEX(LE_Curves!$B$5:$B$205,201),INDEX(LE_Curves!$B$5:$B$205,MATCH($B128,LE_Curves!$G$5:$G$205,1))+($B128-INDEX(LE_Curves!$G$5:$G$205,MATCH($B128,LE_Curves!$G$5:$G$205,1)))*(INDEX(LE_Curves!$B$5:$B$205,MATCH($B128,LE_Curves!$G$5:$G$205,1)+1)-INDEX(LE_Curves!$B$5:$B$205,MATCH($B128,LE_Curves!$G$5:$G$205,1)))/(INDEX(LE_Curves!$G$5:$G$205,MATCH($B128,LE_Curves!$G$5:$G$205,1)+1)-INDEX(LE_Curves!$G$5:$G$205,MATCH($B128,LE_Curves!$G$5:$G$205,1))))))</f>
        <v/>
      </c>
      <c r="H128" s="11">
        <f>IF(Inputs!$D$28=0,0,IF($B128&lt;=Inputs!$C$28,0,IF($B128&gt;=INDEX(LE_Curves!$H$5:$H$205,201),INDEX(LE_Curves!$B$5:$B$205,201),INDEX(LE_Curves!$B$5:$B$205,MATCH($B128,LE_Curves!$H$5:$H$205,1))+($B128-INDEX(LE_Curves!$H$5:$H$205,MATCH($B128,LE_Curves!$H$5:$H$205,1)))*(INDEX(LE_Curves!$B$5:$B$205,MATCH($B128,LE_Curves!$H$5:$H$205,1)+1)-INDEX(LE_Curves!$B$5:$B$205,MATCH($B128,LE_Curves!$H$5:$H$205,1)))/(INDEX(LE_Curves!$H$5:$H$205,MATCH($B128,LE_Curves!$H$5:$H$205,1)+1)-INDEX(LE_Curves!$H$5:$H$205,MATCH($B128,LE_Curves!$H$5:$H$205,1))))))</f>
        <v/>
      </c>
      <c r="I128" s="11">
        <f>IF(Inputs!$D$29=0,0,IF($B128&lt;=Inputs!$C$29,0,IF($B128&gt;=INDEX(LE_Curves!$I$5:$I$205,201),INDEX(LE_Curves!$B$5:$B$205,201),INDEX(LE_Curves!$B$5:$B$205,MATCH($B128,LE_Curves!$I$5:$I$205,1))+($B128-INDEX(LE_Curves!$I$5:$I$205,MATCH($B128,LE_Curves!$I$5:$I$205,1)))*(INDEX(LE_Curves!$B$5:$B$205,MATCH($B128,LE_Curves!$I$5:$I$205,1)+1)-INDEX(LE_Curves!$B$5:$B$205,MATCH($B128,LE_Curves!$I$5:$I$205,1)))/(INDEX(LE_Curves!$I$5:$I$205,MATCH($B128,LE_Curves!$I$5:$I$205,1)+1)-INDEX(LE_Curves!$I$5:$I$205,MATCH($B128,LE_Curves!$I$5:$I$205,1))))))</f>
        <v/>
      </c>
      <c r="J128" s="11">
        <f>IF(Inputs!$D$30=0,0,IF($B128&lt;=Inputs!$C$30,0,IF($B128&gt;=INDEX(LE_Curves!$J$5:$J$205,201),INDEX(LE_Curves!$B$5:$B$205,201),INDEX(LE_Curves!$B$5:$B$205,MATCH($B128,LE_Curves!$J$5:$J$205,1))+($B128-INDEX(LE_Curves!$J$5:$J$205,MATCH($B128,LE_Curves!$J$5:$J$205,1)))*(INDEX(LE_Curves!$B$5:$B$205,MATCH($B128,LE_Curves!$J$5:$J$205,1)+1)-INDEX(LE_Curves!$B$5:$B$205,MATCH($B128,LE_Curves!$J$5:$J$205,1)))/(INDEX(LE_Curves!$J$5:$J$205,MATCH($B128,LE_Curves!$J$5:$J$205,1)+1)-INDEX(LE_Curves!$J$5:$J$205,MATCH($B128,LE_Curves!$J$5:$J$205,1))))))</f>
        <v/>
      </c>
      <c r="K128" s="11">
        <f>IF(Inputs!$D$31=0,0,IF($B128&lt;=Inputs!$C$31,0,IF($B128&gt;=INDEX(LE_Curves!$K$5:$K$205,201),INDEX(LE_Curves!$B$5:$B$205,201),INDEX(LE_Curves!$B$5:$B$205,MATCH($B128,LE_Curves!$K$5:$K$205,1))+($B128-INDEX(LE_Curves!$K$5:$K$205,MATCH($B128,LE_Curves!$K$5:$K$205,1)))*(INDEX(LE_Curves!$B$5:$B$205,MATCH($B128,LE_Curves!$K$5:$K$205,1)+1)-INDEX(LE_Curves!$B$5:$B$205,MATCH($B128,LE_Curves!$K$5:$K$205,1)))/(INDEX(LE_Curves!$K$5:$K$205,MATCH($B128,LE_Curves!$K$5:$K$205,1)+1)-INDEX(LE_Curves!$K$5:$K$205,MATCH($B128,LE_Curves!$K$5:$K$205,1))))))</f>
        <v/>
      </c>
      <c r="L128" s="11">
        <f>IF(Inputs!$D$32=0,0,IF($B128&lt;=Inputs!$C$32,0,IF($B128&gt;=INDEX(LE_Curves!$L$5:$L$205,201),INDEX(LE_Curves!$B$5:$B$205,201),INDEX(LE_Curves!$B$5:$B$205,MATCH($B128,LE_Curves!$L$5:$L$205,1))+($B128-INDEX(LE_Curves!$L$5:$L$205,MATCH($B128,LE_Curves!$L$5:$L$205,1)))*(INDEX(LE_Curves!$B$5:$B$205,MATCH($B128,LE_Curves!$L$5:$L$205,1)+1)-INDEX(LE_Curves!$B$5:$B$205,MATCH($B128,LE_Curves!$L$5:$L$205,1)))/(INDEX(LE_Curves!$L$5:$L$205,MATCH($B128,LE_Curves!$L$5:$L$205,1)+1)-INDEX(LE_Curves!$L$5:$L$205,MATCH($B128,LE_Curves!$L$5:$L$205,1))))))</f>
        <v/>
      </c>
      <c r="M128" s="11">
        <f>IF(Inputs!$D$33=0,0,IF($B128&lt;=Inputs!$C$33,0,IF($B128&gt;=INDEX(LE_Curves!$M$5:$M$205,201),INDEX(LE_Curves!$B$5:$B$205,201),INDEX(LE_Curves!$B$5:$B$205,MATCH($B128,LE_Curves!$M$5:$M$205,1))+($B128-INDEX(LE_Curves!$M$5:$M$205,MATCH($B128,LE_Curves!$M$5:$M$205,1)))*(INDEX(LE_Curves!$B$5:$B$205,MATCH($B128,LE_Curves!$M$5:$M$205,1)+1)-INDEX(LE_Curves!$B$5:$B$205,MATCH($B128,LE_Curves!$M$5:$M$205,1)))/(INDEX(LE_Curves!$M$5:$M$205,MATCH($B128,LE_Curves!$M$5:$M$205,1)+1)-INDEX(LE_Curves!$M$5:$M$205,MATCH($B128,LE_Curves!$M$5:$M$205,1))))))</f>
        <v/>
      </c>
      <c r="N128" s="11">
        <f>IF(Inputs!$D$34=0,0,IF($B128&lt;=Inputs!$C$34,0,IF($B128&gt;=INDEX(LE_Curves!$N$5:$N$205,201),INDEX(LE_Curves!$B$5:$B$205,201),INDEX(LE_Curves!$B$5:$B$205,MATCH($B128,LE_Curves!$N$5:$N$205,1))+($B128-INDEX(LE_Curves!$N$5:$N$205,MATCH($B128,LE_Curves!$N$5:$N$205,1)))*(INDEX(LE_Curves!$B$5:$B$205,MATCH($B128,LE_Curves!$N$5:$N$205,1)+1)-INDEX(LE_Curves!$B$5:$B$205,MATCH($B128,LE_Curves!$N$5:$N$205,1)))/(INDEX(LE_Curves!$N$5:$N$205,MATCH($B128,LE_Curves!$N$5:$N$205,1)+1)-INDEX(LE_Curves!$N$5:$N$205,MATCH($B128,LE_Curves!$N$5:$N$205,1))))))</f>
        <v/>
      </c>
      <c r="O128" s="11">
        <f>SUM(C128:N128)</f>
        <v/>
      </c>
      <c r="Q128" s="7" t="n">
        <v>97</v>
      </c>
      <c r="R128" s="23">
        <f>$B$6+($B$7-$B$6)*Q128/200</f>
        <v/>
      </c>
      <c r="S128" s="11">
        <f>IF(Inputs!$D$23=0,0,IF($R128&lt;=Inputs!$C$23,0,IF($R128&gt;=INDEX(LE_Curves!$C$5:$C$205,201),INDEX(LE_Curves!$B$5:$B$205,201),INDEX(LE_Curves!$B$5:$B$205,MATCH($R128,LE_Curves!$C$5:$C$205,1))+($R128-INDEX(LE_Curves!$C$5:$C$205,MATCH($R128,LE_Curves!$C$5:$C$205,1)))*(INDEX(LE_Curves!$B$5:$B$205,MATCH($R128,LE_Curves!$C$5:$C$205,1)+1)-INDEX(LE_Curves!$B$5:$B$205,MATCH($R128,LE_Curves!$C$5:$C$205,1)))/(INDEX(LE_Curves!$C$5:$C$205,MATCH($R128,LE_Curves!$C$5:$C$205,1)+1)-INDEX(LE_Curves!$C$5:$C$205,MATCH($R128,LE_Curves!$C$5:$C$205,1))))))</f>
        <v/>
      </c>
      <c r="T128" s="11">
        <f>IF(Inputs!$D$24=0,0,IF($R128&lt;=Inputs!$C$24,0,IF($R128&gt;=INDEX(LE_Curves!$D$5:$D$205,201),INDEX(LE_Curves!$B$5:$B$205,201),INDEX(LE_Curves!$B$5:$B$205,MATCH($R128,LE_Curves!$D$5:$D$205,1))+($R128-INDEX(LE_Curves!$D$5:$D$205,MATCH($R128,LE_Curves!$D$5:$D$205,1)))*(INDEX(LE_Curves!$B$5:$B$205,MATCH($R128,LE_Curves!$D$5:$D$205,1)+1)-INDEX(LE_Curves!$B$5:$B$205,MATCH($R128,LE_Curves!$D$5:$D$205,1)))/(INDEX(LE_Curves!$D$5:$D$205,MATCH($R128,LE_Curves!$D$5:$D$205,1)+1)-INDEX(LE_Curves!$D$5:$D$205,MATCH($R128,LE_Curves!$D$5:$D$205,1))))))</f>
        <v/>
      </c>
      <c r="U128" s="11">
        <f>IF(Inputs!$D$25=0,0,IF($R128&lt;=Inputs!$C$25,0,IF($R128&gt;=INDEX(LE_Curves!$E$5:$E$205,201),INDEX(LE_Curves!$B$5:$B$205,201),INDEX(LE_Curves!$B$5:$B$205,MATCH($R128,LE_Curves!$E$5:$E$205,1))+($R128-INDEX(LE_Curves!$E$5:$E$205,MATCH($R128,LE_Curves!$E$5:$E$205,1)))*(INDEX(LE_Curves!$B$5:$B$205,MATCH($R128,LE_Curves!$E$5:$E$205,1)+1)-INDEX(LE_Curves!$B$5:$B$205,MATCH($R128,LE_Curves!$E$5:$E$205,1)))/(INDEX(LE_Curves!$E$5:$E$205,MATCH($R128,LE_Curves!$E$5:$E$205,1)+1)-INDEX(LE_Curves!$E$5:$E$205,MATCH($R128,LE_Curves!$E$5:$E$205,1))))))</f>
        <v/>
      </c>
      <c r="V128" s="11">
        <f>IF(Inputs!$D$26=0,0,IF($R128&lt;=Inputs!$C$26,0,IF($R128&gt;=INDEX(LE_Curves!$F$5:$F$205,201),INDEX(LE_Curves!$B$5:$B$205,201),INDEX(LE_Curves!$B$5:$B$205,MATCH($R128,LE_Curves!$F$5:$F$205,1))+($R128-INDEX(LE_Curves!$F$5:$F$205,MATCH($R128,LE_Curves!$F$5:$F$205,1)))*(INDEX(LE_Curves!$B$5:$B$205,MATCH($R128,LE_Curves!$F$5:$F$205,1)+1)-INDEX(LE_Curves!$B$5:$B$205,MATCH($R128,LE_Curves!$F$5:$F$205,1)))/(INDEX(LE_Curves!$F$5:$F$205,MATCH($R128,LE_Curves!$F$5:$F$205,1)+1)-INDEX(LE_Curves!$F$5:$F$205,MATCH($R128,LE_Curves!$F$5:$F$205,1))))))</f>
        <v/>
      </c>
      <c r="W128" s="11">
        <f>IF(Inputs!$D$27=0,0,IF($R128&lt;=Inputs!$C$27,0,IF($R128&gt;=INDEX(LE_Curves!$G$5:$G$205,201),INDEX(LE_Curves!$B$5:$B$205,201),INDEX(LE_Curves!$B$5:$B$205,MATCH($R128,LE_Curves!$G$5:$G$205,1))+($R128-INDEX(LE_Curves!$G$5:$G$205,MATCH($R128,LE_Curves!$G$5:$G$205,1)))*(INDEX(LE_Curves!$B$5:$B$205,MATCH($R128,LE_Curves!$G$5:$G$205,1)+1)-INDEX(LE_Curves!$B$5:$B$205,MATCH($R128,LE_Curves!$G$5:$G$205,1)))/(INDEX(LE_Curves!$G$5:$G$205,MATCH($R128,LE_Curves!$G$5:$G$205,1)+1)-INDEX(LE_Curves!$G$5:$G$205,MATCH($R128,LE_Curves!$G$5:$G$205,1))))))</f>
        <v/>
      </c>
      <c r="X128" s="11">
        <f>IF(Inputs!$D$28=0,0,IF($R128&lt;=Inputs!$C$28,0,IF($R128&gt;=INDEX(LE_Curves!$H$5:$H$205,201),INDEX(LE_Curves!$B$5:$B$205,201),INDEX(LE_Curves!$B$5:$B$205,MATCH($R128,LE_Curves!$H$5:$H$205,1))+($R128-INDEX(LE_Curves!$H$5:$H$205,MATCH($R128,LE_Curves!$H$5:$H$205,1)))*(INDEX(LE_Curves!$B$5:$B$205,MATCH($R128,LE_Curves!$H$5:$H$205,1)+1)-INDEX(LE_Curves!$B$5:$B$205,MATCH($R128,LE_Curves!$H$5:$H$205,1)))/(INDEX(LE_Curves!$H$5:$H$205,MATCH($R128,LE_Curves!$H$5:$H$205,1)+1)-INDEX(LE_Curves!$H$5:$H$205,MATCH($R128,LE_Curves!$H$5:$H$205,1))))))</f>
        <v/>
      </c>
      <c r="Y128" s="11">
        <f>IF(Inputs!$D$29=0,0,IF($R128&lt;=Inputs!$C$29,0,IF($R128&gt;=INDEX(LE_Curves!$I$5:$I$205,201),INDEX(LE_Curves!$B$5:$B$205,201),INDEX(LE_Curves!$B$5:$B$205,MATCH($R128,LE_Curves!$I$5:$I$205,1))+($R128-INDEX(LE_Curves!$I$5:$I$205,MATCH($R128,LE_Curves!$I$5:$I$205,1)))*(INDEX(LE_Curves!$B$5:$B$205,MATCH($R128,LE_Curves!$I$5:$I$205,1)+1)-INDEX(LE_Curves!$B$5:$B$205,MATCH($R128,LE_Curves!$I$5:$I$205,1)))/(INDEX(LE_Curves!$I$5:$I$205,MATCH($R128,LE_Curves!$I$5:$I$205,1)+1)-INDEX(LE_Curves!$I$5:$I$205,MATCH($R128,LE_Curves!$I$5:$I$205,1))))))</f>
        <v/>
      </c>
      <c r="Z128" s="11">
        <f>IF(Inputs!$D$30=0,0,IF($R128&lt;=Inputs!$C$30,0,IF($R128&gt;=INDEX(LE_Curves!$J$5:$J$205,201),INDEX(LE_Curves!$B$5:$B$205,201),INDEX(LE_Curves!$B$5:$B$205,MATCH($R128,LE_Curves!$J$5:$J$205,1))+($R128-INDEX(LE_Curves!$J$5:$J$205,MATCH($R128,LE_Curves!$J$5:$J$205,1)))*(INDEX(LE_Curves!$B$5:$B$205,MATCH($R128,LE_Curves!$J$5:$J$205,1)+1)-INDEX(LE_Curves!$B$5:$B$205,MATCH($R128,LE_Curves!$J$5:$J$205,1)))/(INDEX(LE_Curves!$J$5:$J$205,MATCH($R128,LE_Curves!$J$5:$J$205,1)+1)-INDEX(LE_Curves!$J$5:$J$205,MATCH($R128,LE_Curves!$J$5:$J$205,1))))))</f>
        <v/>
      </c>
      <c r="AA128" s="11">
        <f>IF(Inputs!$D$31=0,0,IF($R128&lt;=Inputs!$C$31,0,IF($R128&gt;=INDEX(LE_Curves!$K$5:$K$205,201),INDEX(LE_Curves!$B$5:$B$205,201),INDEX(LE_Curves!$B$5:$B$205,MATCH($R128,LE_Curves!$K$5:$K$205,1))+($R128-INDEX(LE_Curves!$K$5:$K$205,MATCH($R128,LE_Curves!$K$5:$K$205,1)))*(INDEX(LE_Curves!$B$5:$B$205,MATCH($R128,LE_Curves!$K$5:$K$205,1)+1)-INDEX(LE_Curves!$B$5:$B$205,MATCH($R128,LE_Curves!$K$5:$K$205,1)))/(INDEX(LE_Curves!$K$5:$K$205,MATCH($R128,LE_Curves!$K$5:$K$205,1)+1)-INDEX(LE_Curves!$K$5:$K$205,MATCH($R128,LE_Curves!$K$5:$K$205,1))))))</f>
        <v/>
      </c>
      <c r="AB128" s="11">
        <f>IF(Inputs!$D$32=0,0,IF($R128&lt;=Inputs!$C$32,0,IF($R128&gt;=INDEX(LE_Curves!$L$5:$L$205,201),INDEX(LE_Curves!$B$5:$B$205,201),INDEX(LE_Curves!$B$5:$B$205,MATCH($R128,LE_Curves!$L$5:$L$205,1))+($R128-INDEX(LE_Curves!$L$5:$L$205,MATCH($R128,LE_Curves!$L$5:$L$205,1)))*(INDEX(LE_Curves!$B$5:$B$205,MATCH($R128,LE_Curves!$L$5:$L$205,1)+1)-INDEX(LE_Curves!$B$5:$B$205,MATCH($R128,LE_Curves!$L$5:$L$205,1)))/(INDEX(LE_Curves!$L$5:$L$205,MATCH($R128,LE_Curves!$L$5:$L$205,1)+1)-INDEX(LE_Curves!$L$5:$L$205,MATCH($R128,LE_Curves!$L$5:$L$205,1))))))</f>
        <v/>
      </c>
      <c r="AC128" s="11">
        <f>IF(Inputs!$D$33=0,0,IF($R128&lt;=Inputs!$C$33,0,IF($R128&gt;=INDEX(LE_Curves!$M$5:$M$205,201),INDEX(LE_Curves!$B$5:$B$205,201),INDEX(LE_Curves!$B$5:$B$205,MATCH($R128,LE_Curves!$M$5:$M$205,1))+($R128-INDEX(LE_Curves!$M$5:$M$205,MATCH($R128,LE_Curves!$M$5:$M$205,1)))*(INDEX(LE_Curves!$B$5:$B$205,MATCH($R128,LE_Curves!$M$5:$M$205,1)+1)-INDEX(LE_Curves!$B$5:$B$205,MATCH($R128,LE_Curves!$M$5:$M$205,1)))/(INDEX(LE_Curves!$M$5:$M$205,MATCH($R128,LE_Curves!$M$5:$M$205,1)+1)-INDEX(LE_Curves!$M$5:$M$205,MATCH($R128,LE_Curves!$M$5:$M$205,1))))))</f>
        <v/>
      </c>
      <c r="AD128" s="11">
        <f>IF(Inputs!$D$34=0,0,IF($R128&lt;=Inputs!$C$34,0,IF($R128&gt;=INDEX(LE_Curves!$N$5:$N$205,201),INDEX(LE_Curves!$B$5:$B$205,201),INDEX(LE_Curves!$B$5:$B$205,MATCH($R128,LE_Curves!$N$5:$N$205,1))+($R128-INDEX(LE_Curves!$N$5:$N$205,MATCH($R128,LE_Curves!$N$5:$N$205,1)))*(INDEX(LE_Curves!$B$5:$B$205,MATCH($R128,LE_Curves!$N$5:$N$205,1)+1)-INDEX(LE_Curves!$B$5:$B$205,MATCH($R128,LE_Curves!$N$5:$N$205,1)))/(INDEX(LE_Curves!$N$5:$N$205,MATCH($R128,LE_Curves!$N$5:$N$205,1)+1)-INDEX(LE_Curves!$N$5:$N$205,MATCH($R128,LE_Curves!$N$5:$N$205,1))))))</f>
        <v/>
      </c>
      <c r="AE128" s="37">
        <f>SUM(S128:AD128)</f>
        <v/>
      </c>
    </row>
    <row r="129">
      <c r="A129" s="7" t="n">
        <v>98</v>
      </c>
      <c r="B129" s="37">
        <f>$B$3+($B$4-$B$3)*A129/200</f>
        <v/>
      </c>
      <c r="C129" s="11">
        <f>IF(Inputs!$D$23=0,0,IF($B129&lt;=Inputs!$C$23,0,IF($B129&gt;=INDEX(LE_Curves!$C$5:$C$205,201),INDEX(LE_Curves!$B$5:$B$205,201),INDEX(LE_Curves!$B$5:$B$205,MATCH($B129,LE_Curves!$C$5:$C$205,1))+($B129-INDEX(LE_Curves!$C$5:$C$205,MATCH($B129,LE_Curves!$C$5:$C$205,1)))*(INDEX(LE_Curves!$B$5:$B$205,MATCH($B129,LE_Curves!$C$5:$C$205,1)+1)-INDEX(LE_Curves!$B$5:$B$205,MATCH($B129,LE_Curves!$C$5:$C$205,1)))/(INDEX(LE_Curves!$C$5:$C$205,MATCH($B129,LE_Curves!$C$5:$C$205,1)+1)-INDEX(LE_Curves!$C$5:$C$205,MATCH($B129,LE_Curves!$C$5:$C$205,1))))))</f>
        <v/>
      </c>
      <c r="D129" s="11">
        <f>IF(Inputs!$D$24=0,0,IF($B129&lt;=Inputs!$C$24,0,IF($B129&gt;=INDEX(LE_Curves!$D$5:$D$205,201),INDEX(LE_Curves!$B$5:$B$205,201),INDEX(LE_Curves!$B$5:$B$205,MATCH($B129,LE_Curves!$D$5:$D$205,1))+($B129-INDEX(LE_Curves!$D$5:$D$205,MATCH($B129,LE_Curves!$D$5:$D$205,1)))*(INDEX(LE_Curves!$B$5:$B$205,MATCH($B129,LE_Curves!$D$5:$D$205,1)+1)-INDEX(LE_Curves!$B$5:$B$205,MATCH($B129,LE_Curves!$D$5:$D$205,1)))/(INDEX(LE_Curves!$D$5:$D$205,MATCH($B129,LE_Curves!$D$5:$D$205,1)+1)-INDEX(LE_Curves!$D$5:$D$205,MATCH($B129,LE_Curves!$D$5:$D$205,1))))))</f>
        <v/>
      </c>
      <c r="E129" s="11">
        <f>IF(Inputs!$D$25=0,0,IF($B129&lt;=Inputs!$C$25,0,IF($B129&gt;=INDEX(LE_Curves!$E$5:$E$205,201),INDEX(LE_Curves!$B$5:$B$205,201),INDEX(LE_Curves!$B$5:$B$205,MATCH($B129,LE_Curves!$E$5:$E$205,1))+($B129-INDEX(LE_Curves!$E$5:$E$205,MATCH($B129,LE_Curves!$E$5:$E$205,1)))*(INDEX(LE_Curves!$B$5:$B$205,MATCH($B129,LE_Curves!$E$5:$E$205,1)+1)-INDEX(LE_Curves!$B$5:$B$205,MATCH($B129,LE_Curves!$E$5:$E$205,1)))/(INDEX(LE_Curves!$E$5:$E$205,MATCH($B129,LE_Curves!$E$5:$E$205,1)+1)-INDEX(LE_Curves!$E$5:$E$205,MATCH($B129,LE_Curves!$E$5:$E$205,1))))))</f>
        <v/>
      </c>
      <c r="F129" s="11">
        <f>IF(Inputs!$D$26=0,0,IF($B129&lt;=Inputs!$C$26,0,IF($B129&gt;=INDEX(LE_Curves!$F$5:$F$205,201),INDEX(LE_Curves!$B$5:$B$205,201),INDEX(LE_Curves!$B$5:$B$205,MATCH($B129,LE_Curves!$F$5:$F$205,1))+($B129-INDEX(LE_Curves!$F$5:$F$205,MATCH($B129,LE_Curves!$F$5:$F$205,1)))*(INDEX(LE_Curves!$B$5:$B$205,MATCH($B129,LE_Curves!$F$5:$F$205,1)+1)-INDEX(LE_Curves!$B$5:$B$205,MATCH($B129,LE_Curves!$F$5:$F$205,1)))/(INDEX(LE_Curves!$F$5:$F$205,MATCH($B129,LE_Curves!$F$5:$F$205,1)+1)-INDEX(LE_Curves!$F$5:$F$205,MATCH($B129,LE_Curves!$F$5:$F$205,1))))))</f>
        <v/>
      </c>
      <c r="G129" s="11">
        <f>IF(Inputs!$D$27=0,0,IF($B129&lt;=Inputs!$C$27,0,IF($B129&gt;=INDEX(LE_Curves!$G$5:$G$205,201),INDEX(LE_Curves!$B$5:$B$205,201),INDEX(LE_Curves!$B$5:$B$205,MATCH($B129,LE_Curves!$G$5:$G$205,1))+($B129-INDEX(LE_Curves!$G$5:$G$205,MATCH($B129,LE_Curves!$G$5:$G$205,1)))*(INDEX(LE_Curves!$B$5:$B$205,MATCH($B129,LE_Curves!$G$5:$G$205,1)+1)-INDEX(LE_Curves!$B$5:$B$205,MATCH($B129,LE_Curves!$G$5:$G$205,1)))/(INDEX(LE_Curves!$G$5:$G$205,MATCH($B129,LE_Curves!$G$5:$G$205,1)+1)-INDEX(LE_Curves!$G$5:$G$205,MATCH($B129,LE_Curves!$G$5:$G$205,1))))))</f>
        <v/>
      </c>
      <c r="H129" s="11">
        <f>IF(Inputs!$D$28=0,0,IF($B129&lt;=Inputs!$C$28,0,IF($B129&gt;=INDEX(LE_Curves!$H$5:$H$205,201),INDEX(LE_Curves!$B$5:$B$205,201),INDEX(LE_Curves!$B$5:$B$205,MATCH($B129,LE_Curves!$H$5:$H$205,1))+($B129-INDEX(LE_Curves!$H$5:$H$205,MATCH($B129,LE_Curves!$H$5:$H$205,1)))*(INDEX(LE_Curves!$B$5:$B$205,MATCH($B129,LE_Curves!$H$5:$H$205,1)+1)-INDEX(LE_Curves!$B$5:$B$205,MATCH($B129,LE_Curves!$H$5:$H$205,1)))/(INDEX(LE_Curves!$H$5:$H$205,MATCH($B129,LE_Curves!$H$5:$H$205,1)+1)-INDEX(LE_Curves!$H$5:$H$205,MATCH($B129,LE_Curves!$H$5:$H$205,1))))))</f>
        <v/>
      </c>
      <c r="I129" s="11">
        <f>IF(Inputs!$D$29=0,0,IF($B129&lt;=Inputs!$C$29,0,IF($B129&gt;=INDEX(LE_Curves!$I$5:$I$205,201),INDEX(LE_Curves!$B$5:$B$205,201),INDEX(LE_Curves!$B$5:$B$205,MATCH($B129,LE_Curves!$I$5:$I$205,1))+($B129-INDEX(LE_Curves!$I$5:$I$205,MATCH($B129,LE_Curves!$I$5:$I$205,1)))*(INDEX(LE_Curves!$B$5:$B$205,MATCH($B129,LE_Curves!$I$5:$I$205,1)+1)-INDEX(LE_Curves!$B$5:$B$205,MATCH($B129,LE_Curves!$I$5:$I$205,1)))/(INDEX(LE_Curves!$I$5:$I$205,MATCH($B129,LE_Curves!$I$5:$I$205,1)+1)-INDEX(LE_Curves!$I$5:$I$205,MATCH($B129,LE_Curves!$I$5:$I$205,1))))))</f>
        <v/>
      </c>
      <c r="J129" s="11">
        <f>IF(Inputs!$D$30=0,0,IF($B129&lt;=Inputs!$C$30,0,IF($B129&gt;=INDEX(LE_Curves!$J$5:$J$205,201),INDEX(LE_Curves!$B$5:$B$205,201),INDEX(LE_Curves!$B$5:$B$205,MATCH($B129,LE_Curves!$J$5:$J$205,1))+($B129-INDEX(LE_Curves!$J$5:$J$205,MATCH($B129,LE_Curves!$J$5:$J$205,1)))*(INDEX(LE_Curves!$B$5:$B$205,MATCH($B129,LE_Curves!$J$5:$J$205,1)+1)-INDEX(LE_Curves!$B$5:$B$205,MATCH($B129,LE_Curves!$J$5:$J$205,1)))/(INDEX(LE_Curves!$J$5:$J$205,MATCH($B129,LE_Curves!$J$5:$J$205,1)+1)-INDEX(LE_Curves!$J$5:$J$205,MATCH($B129,LE_Curves!$J$5:$J$205,1))))))</f>
        <v/>
      </c>
      <c r="K129" s="11">
        <f>IF(Inputs!$D$31=0,0,IF($B129&lt;=Inputs!$C$31,0,IF($B129&gt;=INDEX(LE_Curves!$K$5:$K$205,201),INDEX(LE_Curves!$B$5:$B$205,201),INDEX(LE_Curves!$B$5:$B$205,MATCH($B129,LE_Curves!$K$5:$K$205,1))+($B129-INDEX(LE_Curves!$K$5:$K$205,MATCH($B129,LE_Curves!$K$5:$K$205,1)))*(INDEX(LE_Curves!$B$5:$B$205,MATCH($B129,LE_Curves!$K$5:$K$205,1)+1)-INDEX(LE_Curves!$B$5:$B$205,MATCH($B129,LE_Curves!$K$5:$K$205,1)))/(INDEX(LE_Curves!$K$5:$K$205,MATCH($B129,LE_Curves!$K$5:$K$205,1)+1)-INDEX(LE_Curves!$K$5:$K$205,MATCH($B129,LE_Curves!$K$5:$K$205,1))))))</f>
        <v/>
      </c>
      <c r="L129" s="11">
        <f>IF(Inputs!$D$32=0,0,IF($B129&lt;=Inputs!$C$32,0,IF($B129&gt;=INDEX(LE_Curves!$L$5:$L$205,201),INDEX(LE_Curves!$B$5:$B$205,201),INDEX(LE_Curves!$B$5:$B$205,MATCH($B129,LE_Curves!$L$5:$L$205,1))+($B129-INDEX(LE_Curves!$L$5:$L$205,MATCH($B129,LE_Curves!$L$5:$L$205,1)))*(INDEX(LE_Curves!$B$5:$B$205,MATCH($B129,LE_Curves!$L$5:$L$205,1)+1)-INDEX(LE_Curves!$B$5:$B$205,MATCH($B129,LE_Curves!$L$5:$L$205,1)))/(INDEX(LE_Curves!$L$5:$L$205,MATCH($B129,LE_Curves!$L$5:$L$205,1)+1)-INDEX(LE_Curves!$L$5:$L$205,MATCH($B129,LE_Curves!$L$5:$L$205,1))))))</f>
        <v/>
      </c>
      <c r="M129" s="11">
        <f>IF(Inputs!$D$33=0,0,IF($B129&lt;=Inputs!$C$33,0,IF($B129&gt;=INDEX(LE_Curves!$M$5:$M$205,201),INDEX(LE_Curves!$B$5:$B$205,201),INDEX(LE_Curves!$B$5:$B$205,MATCH($B129,LE_Curves!$M$5:$M$205,1))+($B129-INDEX(LE_Curves!$M$5:$M$205,MATCH($B129,LE_Curves!$M$5:$M$205,1)))*(INDEX(LE_Curves!$B$5:$B$205,MATCH($B129,LE_Curves!$M$5:$M$205,1)+1)-INDEX(LE_Curves!$B$5:$B$205,MATCH($B129,LE_Curves!$M$5:$M$205,1)))/(INDEX(LE_Curves!$M$5:$M$205,MATCH($B129,LE_Curves!$M$5:$M$205,1)+1)-INDEX(LE_Curves!$M$5:$M$205,MATCH($B129,LE_Curves!$M$5:$M$205,1))))))</f>
        <v/>
      </c>
      <c r="N129" s="11">
        <f>IF(Inputs!$D$34=0,0,IF($B129&lt;=Inputs!$C$34,0,IF($B129&gt;=INDEX(LE_Curves!$N$5:$N$205,201),INDEX(LE_Curves!$B$5:$B$205,201),INDEX(LE_Curves!$B$5:$B$205,MATCH($B129,LE_Curves!$N$5:$N$205,1))+($B129-INDEX(LE_Curves!$N$5:$N$205,MATCH($B129,LE_Curves!$N$5:$N$205,1)))*(INDEX(LE_Curves!$B$5:$B$205,MATCH($B129,LE_Curves!$N$5:$N$205,1)+1)-INDEX(LE_Curves!$B$5:$B$205,MATCH($B129,LE_Curves!$N$5:$N$205,1)))/(INDEX(LE_Curves!$N$5:$N$205,MATCH($B129,LE_Curves!$N$5:$N$205,1)+1)-INDEX(LE_Curves!$N$5:$N$205,MATCH($B129,LE_Curves!$N$5:$N$205,1))))))</f>
        <v/>
      </c>
      <c r="O129" s="11">
        <f>SUM(C129:N129)</f>
        <v/>
      </c>
      <c r="Q129" s="7" t="n">
        <v>98</v>
      </c>
      <c r="R129" s="23">
        <f>$B$6+($B$7-$B$6)*Q129/200</f>
        <v/>
      </c>
      <c r="S129" s="11">
        <f>IF(Inputs!$D$23=0,0,IF($R129&lt;=Inputs!$C$23,0,IF($R129&gt;=INDEX(LE_Curves!$C$5:$C$205,201),INDEX(LE_Curves!$B$5:$B$205,201),INDEX(LE_Curves!$B$5:$B$205,MATCH($R129,LE_Curves!$C$5:$C$205,1))+($R129-INDEX(LE_Curves!$C$5:$C$205,MATCH($R129,LE_Curves!$C$5:$C$205,1)))*(INDEX(LE_Curves!$B$5:$B$205,MATCH($R129,LE_Curves!$C$5:$C$205,1)+1)-INDEX(LE_Curves!$B$5:$B$205,MATCH($R129,LE_Curves!$C$5:$C$205,1)))/(INDEX(LE_Curves!$C$5:$C$205,MATCH($R129,LE_Curves!$C$5:$C$205,1)+1)-INDEX(LE_Curves!$C$5:$C$205,MATCH($R129,LE_Curves!$C$5:$C$205,1))))))</f>
        <v/>
      </c>
      <c r="T129" s="11">
        <f>IF(Inputs!$D$24=0,0,IF($R129&lt;=Inputs!$C$24,0,IF($R129&gt;=INDEX(LE_Curves!$D$5:$D$205,201),INDEX(LE_Curves!$B$5:$B$205,201),INDEX(LE_Curves!$B$5:$B$205,MATCH($R129,LE_Curves!$D$5:$D$205,1))+($R129-INDEX(LE_Curves!$D$5:$D$205,MATCH($R129,LE_Curves!$D$5:$D$205,1)))*(INDEX(LE_Curves!$B$5:$B$205,MATCH($R129,LE_Curves!$D$5:$D$205,1)+1)-INDEX(LE_Curves!$B$5:$B$205,MATCH($R129,LE_Curves!$D$5:$D$205,1)))/(INDEX(LE_Curves!$D$5:$D$205,MATCH($R129,LE_Curves!$D$5:$D$205,1)+1)-INDEX(LE_Curves!$D$5:$D$205,MATCH($R129,LE_Curves!$D$5:$D$205,1))))))</f>
        <v/>
      </c>
      <c r="U129" s="11">
        <f>IF(Inputs!$D$25=0,0,IF($R129&lt;=Inputs!$C$25,0,IF($R129&gt;=INDEX(LE_Curves!$E$5:$E$205,201),INDEX(LE_Curves!$B$5:$B$205,201),INDEX(LE_Curves!$B$5:$B$205,MATCH($R129,LE_Curves!$E$5:$E$205,1))+($R129-INDEX(LE_Curves!$E$5:$E$205,MATCH($R129,LE_Curves!$E$5:$E$205,1)))*(INDEX(LE_Curves!$B$5:$B$205,MATCH($R129,LE_Curves!$E$5:$E$205,1)+1)-INDEX(LE_Curves!$B$5:$B$205,MATCH($R129,LE_Curves!$E$5:$E$205,1)))/(INDEX(LE_Curves!$E$5:$E$205,MATCH($R129,LE_Curves!$E$5:$E$205,1)+1)-INDEX(LE_Curves!$E$5:$E$205,MATCH($R129,LE_Curves!$E$5:$E$205,1))))))</f>
        <v/>
      </c>
      <c r="V129" s="11">
        <f>IF(Inputs!$D$26=0,0,IF($R129&lt;=Inputs!$C$26,0,IF($R129&gt;=INDEX(LE_Curves!$F$5:$F$205,201),INDEX(LE_Curves!$B$5:$B$205,201),INDEX(LE_Curves!$B$5:$B$205,MATCH($R129,LE_Curves!$F$5:$F$205,1))+($R129-INDEX(LE_Curves!$F$5:$F$205,MATCH($R129,LE_Curves!$F$5:$F$205,1)))*(INDEX(LE_Curves!$B$5:$B$205,MATCH($R129,LE_Curves!$F$5:$F$205,1)+1)-INDEX(LE_Curves!$B$5:$B$205,MATCH($R129,LE_Curves!$F$5:$F$205,1)))/(INDEX(LE_Curves!$F$5:$F$205,MATCH($R129,LE_Curves!$F$5:$F$205,1)+1)-INDEX(LE_Curves!$F$5:$F$205,MATCH($R129,LE_Curves!$F$5:$F$205,1))))))</f>
        <v/>
      </c>
      <c r="W129" s="11">
        <f>IF(Inputs!$D$27=0,0,IF($R129&lt;=Inputs!$C$27,0,IF($R129&gt;=INDEX(LE_Curves!$G$5:$G$205,201),INDEX(LE_Curves!$B$5:$B$205,201),INDEX(LE_Curves!$B$5:$B$205,MATCH($R129,LE_Curves!$G$5:$G$205,1))+($R129-INDEX(LE_Curves!$G$5:$G$205,MATCH($R129,LE_Curves!$G$5:$G$205,1)))*(INDEX(LE_Curves!$B$5:$B$205,MATCH($R129,LE_Curves!$G$5:$G$205,1)+1)-INDEX(LE_Curves!$B$5:$B$205,MATCH($R129,LE_Curves!$G$5:$G$205,1)))/(INDEX(LE_Curves!$G$5:$G$205,MATCH($R129,LE_Curves!$G$5:$G$205,1)+1)-INDEX(LE_Curves!$G$5:$G$205,MATCH($R129,LE_Curves!$G$5:$G$205,1))))))</f>
        <v/>
      </c>
      <c r="X129" s="11">
        <f>IF(Inputs!$D$28=0,0,IF($R129&lt;=Inputs!$C$28,0,IF($R129&gt;=INDEX(LE_Curves!$H$5:$H$205,201),INDEX(LE_Curves!$B$5:$B$205,201),INDEX(LE_Curves!$B$5:$B$205,MATCH($R129,LE_Curves!$H$5:$H$205,1))+($R129-INDEX(LE_Curves!$H$5:$H$205,MATCH($R129,LE_Curves!$H$5:$H$205,1)))*(INDEX(LE_Curves!$B$5:$B$205,MATCH($R129,LE_Curves!$H$5:$H$205,1)+1)-INDEX(LE_Curves!$B$5:$B$205,MATCH($R129,LE_Curves!$H$5:$H$205,1)))/(INDEX(LE_Curves!$H$5:$H$205,MATCH($R129,LE_Curves!$H$5:$H$205,1)+1)-INDEX(LE_Curves!$H$5:$H$205,MATCH($R129,LE_Curves!$H$5:$H$205,1))))))</f>
        <v/>
      </c>
      <c r="Y129" s="11">
        <f>IF(Inputs!$D$29=0,0,IF($R129&lt;=Inputs!$C$29,0,IF($R129&gt;=INDEX(LE_Curves!$I$5:$I$205,201),INDEX(LE_Curves!$B$5:$B$205,201),INDEX(LE_Curves!$B$5:$B$205,MATCH($R129,LE_Curves!$I$5:$I$205,1))+($R129-INDEX(LE_Curves!$I$5:$I$205,MATCH($R129,LE_Curves!$I$5:$I$205,1)))*(INDEX(LE_Curves!$B$5:$B$205,MATCH($R129,LE_Curves!$I$5:$I$205,1)+1)-INDEX(LE_Curves!$B$5:$B$205,MATCH($R129,LE_Curves!$I$5:$I$205,1)))/(INDEX(LE_Curves!$I$5:$I$205,MATCH($R129,LE_Curves!$I$5:$I$205,1)+1)-INDEX(LE_Curves!$I$5:$I$205,MATCH($R129,LE_Curves!$I$5:$I$205,1))))))</f>
        <v/>
      </c>
      <c r="Z129" s="11">
        <f>IF(Inputs!$D$30=0,0,IF($R129&lt;=Inputs!$C$30,0,IF($R129&gt;=INDEX(LE_Curves!$J$5:$J$205,201),INDEX(LE_Curves!$B$5:$B$205,201),INDEX(LE_Curves!$B$5:$B$205,MATCH($R129,LE_Curves!$J$5:$J$205,1))+($R129-INDEX(LE_Curves!$J$5:$J$205,MATCH($R129,LE_Curves!$J$5:$J$205,1)))*(INDEX(LE_Curves!$B$5:$B$205,MATCH($R129,LE_Curves!$J$5:$J$205,1)+1)-INDEX(LE_Curves!$B$5:$B$205,MATCH($R129,LE_Curves!$J$5:$J$205,1)))/(INDEX(LE_Curves!$J$5:$J$205,MATCH($R129,LE_Curves!$J$5:$J$205,1)+1)-INDEX(LE_Curves!$J$5:$J$205,MATCH($R129,LE_Curves!$J$5:$J$205,1))))))</f>
        <v/>
      </c>
      <c r="AA129" s="11">
        <f>IF(Inputs!$D$31=0,0,IF($R129&lt;=Inputs!$C$31,0,IF($R129&gt;=INDEX(LE_Curves!$K$5:$K$205,201),INDEX(LE_Curves!$B$5:$B$205,201),INDEX(LE_Curves!$B$5:$B$205,MATCH($R129,LE_Curves!$K$5:$K$205,1))+($R129-INDEX(LE_Curves!$K$5:$K$205,MATCH($R129,LE_Curves!$K$5:$K$205,1)))*(INDEX(LE_Curves!$B$5:$B$205,MATCH($R129,LE_Curves!$K$5:$K$205,1)+1)-INDEX(LE_Curves!$B$5:$B$205,MATCH($R129,LE_Curves!$K$5:$K$205,1)))/(INDEX(LE_Curves!$K$5:$K$205,MATCH($R129,LE_Curves!$K$5:$K$205,1)+1)-INDEX(LE_Curves!$K$5:$K$205,MATCH($R129,LE_Curves!$K$5:$K$205,1))))))</f>
        <v/>
      </c>
      <c r="AB129" s="11">
        <f>IF(Inputs!$D$32=0,0,IF($R129&lt;=Inputs!$C$32,0,IF($R129&gt;=INDEX(LE_Curves!$L$5:$L$205,201),INDEX(LE_Curves!$B$5:$B$205,201),INDEX(LE_Curves!$B$5:$B$205,MATCH($R129,LE_Curves!$L$5:$L$205,1))+($R129-INDEX(LE_Curves!$L$5:$L$205,MATCH($R129,LE_Curves!$L$5:$L$205,1)))*(INDEX(LE_Curves!$B$5:$B$205,MATCH($R129,LE_Curves!$L$5:$L$205,1)+1)-INDEX(LE_Curves!$B$5:$B$205,MATCH($R129,LE_Curves!$L$5:$L$205,1)))/(INDEX(LE_Curves!$L$5:$L$205,MATCH($R129,LE_Curves!$L$5:$L$205,1)+1)-INDEX(LE_Curves!$L$5:$L$205,MATCH($R129,LE_Curves!$L$5:$L$205,1))))))</f>
        <v/>
      </c>
      <c r="AC129" s="11">
        <f>IF(Inputs!$D$33=0,0,IF($R129&lt;=Inputs!$C$33,0,IF($R129&gt;=INDEX(LE_Curves!$M$5:$M$205,201),INDEX(LE_Curves!$B$5:$B$205,201),INDEX(LE_Curves!$B$5:$B$205,MATCH($R129,LE_Curves!$M$5:$M$205,1))+($R129-INDEX(LE_Curves!$M$5:$M$205,MATCH($R129,LE_Curves!$M$5:$M$205,1)))*(INDEX(LE_Curves!$B$5:$B$205,MATCH($R129,LE_Curves!$M$5:$M$205,1)+1)-INDEX(LE_Curves!$B$5:$B$205,MATCH($R129,LE_Curves!$M$5:$M$205,1)))/(INDEX(LE_Curves!$M$5:$M$205,MATCH($R129,LE_Curves!$M$5:$M$205,1)+1)-INDEX(LE_Curves!$M$5:$M$205,MATCH($R129,LE_Curves!$M$5:$M$205,1))))))</f>
        <v/>
      </c>
      <c r="AD129" s="11">
        <f>IF(Inputs!$D$34=0,0,IF($R129&lt;=Inputs!$C$34,0,IF($R129&gt;=INDEX(LE_Curves!$N$5:$N$205,201),INDEX(LE_Curves!$B$5:$B$205,201),INDEX(LE_Curves!$B$5:$B$205,MATCH($R129,LE_Curves!$N$5:$N$205,1))+($R129-INDEX(LE_Curves!$N$5:$N$205,MATCH($R129,LE_Curves!$N$5:$N$205,1)))*(INDEX(LE_Curves!$B$5:$B$205,MATCH($R129,LE_Curves!$N$5:$N$205,1)+1)-INDEX(LE_Curves!$B$5:$B$205,MATCH($R129,LE_Curves!$N$5:$N$205,1)))/(INDEX(LE_Curves!$N$5:$N$205,MATCH($R129,LE_Curves!$N$5:$N$205,1)+1)-INDEX(LE_Curves!$N$5:$N$205,MATCH($R129,LE_Curves!$N$5:$N$205,1))))))</f>
        <v/>
      </c>
      <c r="AE129" s="37">
        <f>SUM(S129:AD129)</f>
        <v/>
      </c>
    </row>
    <row r="130">
      <c r="A130" s="7" t="n">
        <v>99</v>
      </c>
      <c r="B130" s="37">
        <f>$B$3+($B$4-$B$3)*A130/200</f>
        <v/>
      </c>
      <c r="C130" s="11">
        <f>IF(Inputs!$D$23=0,0,IF($B130&lt;=Inputs!$C$23,0,IF($B130&gt;=INDEX(LE_Curves!$C$5:$C$205,201),INDEX(LE_Curves!$B$5:$B$205,201),INDEX(LE_Curves!$B$5:$B$205,MATCH($B130,LE_Curves!$C$5:$C$205,1))+($B130-INDEX(LE_Curves!$C$5:$C$205,MATCH($B130,LE_Curves!$C$5:$C$205,1)))*(INDEX(LE_Curves!$B$5:$B$205,MATCH($B130,LE_Curves!$C$5:$C$205,1)+1)-INDEX(LE_Curves!$B$5:$B$205,MATCH($B130,LE_Curves!$C$5:$C$205,1)))/(INDEX(LE_Curves!$C$5:$C$205,MATCH($B130,LE_Curves!$C$5:$C$205,1)+1)-INDEX(LE_Curves!$C$5:$C$205,MATCH($B130,LE_Curves!$C$5:$C$205,1))))))</f>
        <v/>
      </c>
      <c r="D130" s="11">
        <f>IF(Inputs!$D$24=0,0,IF($B130&lt;=Inputs!$C$24,0,IF($B130&gt;=INDEX(LE_Curves!$D$5:$D$205,201),INDEX(LE_Curves!$B$5:$B$205,201),INDEX(LE_Curves!$B$5:$B$205,MATCH($B130,LE_Curves!$D$5:$D$205,1))+($B130-INDEX(LE_Curves!$D$5:$D$205,MATCH($B130,LE_Curves!$D$5:$D$205,1)))*(INDEX(LE_Curves!$B$5:$B$205,MATCH($B130,LE_Curves!$D$5:$D$205,1)+1)-INDEX(LE_Curves!$B$5:$B$205,MATCH($B130,LE_Curves!$D$5:$D$205,1)))/(INDEX(LE_Curves!$D$5:$D$205,MATCH($B130,LE_Curves!$D$5:$D$205,1)+1)-INDEX(LE_Curves!$D$5:$D$205,MATCH($B130,LE_Curves!$D$5:$D$205,1))))))</f>
        <v/>
      </c>
      <c r="E130" s="11">
        <f>IF(Inputs!$D$25=0,0,IF($B130&lt;=Inputs!$C$25,0,IF($B130&gt;=INDEX(LE_Curves!$E$5:$E$205,201),INDEX(LE_Curves!$B$5:$B$205,201),INDEX(LE_Curves!$B$5:$B$205,MATCH($B130,LE_Curves!$E$5:$E$205,1))+($B130-INDEX(LE_Curves!$E$5:$E$205,MATCH($B130,LE_Curves!$E$5:$E$205,1)))*(INDEX(LE_Curves!$B$5:$B$205,MATCH($B130,LE_Curves!$E$5:$E$205,1)+1)-INDEX(LE_Curves!$B$5:$B$205,MATCH($B130,LE_Curves!$E$5:$E$205,1)))/(INDEX(LE_Curves!$E$5:$E$205,MATCH($B130,LE_Curves!$E$5:$E$205,1)+1)-INDEX(LE_Curves!$E$5:$E$205,MATCH($B130,LE_Curves!$E$5:$E$205,1))))))</f>
        <v/>
      </c>
      <c r="F130" s="11">
        <f>IF(Inputs!$D$26=0,0,IF($B130&lt;=Inputs!$C$26,0,IF($B130&gt;=INDEX(LE_Curves!$F$5:$F$205,201),INDEX(LE_Curves!$B$5:$B$205,201),INDEX(LE_Curves!$B$5:$B$205,MATCH($B130,LE_Curves!$F$5:$F$205,1))+($B130-INDEX(LE_Curves!$F$5:$F$205,MATCH($B130,LE_Curves!$F$5:$F$205,1)))*(INDEX(LE_Curves!$B$5:$B$205,MATCH($B130,LE_Curves!$F$5:$F$205,1)+1)-INDEX(LE_Curves!$B$5:$B$205,MATCH($B130,LE_Curves!$F$5:$F$205,1)))/(INDEX(LE_Curves!$F$5:$F$205,MATCH($B130,LE_Curves!$F$5:$F$205,1)+1)-INDEX(LE_Curves!$F$5:$F$205,MATCH($B130,LE_Curves!$F$5:$F$205,1))))))</f>
        <v/>
      </c>
      <c r="G130" s="11">
        <f>IF(Inputs!$D$27=0,0,IF($B130&lt;=Inputs!$C$27,0,IF($B130&gt;=INDEX(LE_Curves!$G$5:$G$205,201),INDEX(LE_Curves!$B$5:$B$205,201),INDEX(LE_Curves!$B$5:$B$205,MATCH($B130,LE_Curves!$G$5:$G$205,1))+($B130-INDEX(LE_Curves!$G$5:$G$205,MATCH($B130,LE_Curves!$G$5:$G$205,1)))*(INDEX(LE_Curves!$B$5:$B$205,MATCH($B130,LE_Curves!$G$5:$G$205,1)+1)-INDEX(LE_Curves!$B$5:$B$205,MATCH($B130,LE_Curves!$G$5:$G$205,1)))/(INDEX(LE_Curves!$G$5:$G$205,MATCH($B130,LE_Curves!$G$5:$G$205,1)+1)-INDEX(LE_Curves!$G$5:$G$205,MATCH($B130,LE_Curves!$G$5:$G$205,1))))))</f>
        <v/>
      </c>
      <c r="H130" s="11">
        <f>IF(Inputs!$D$28=0,0,IF($B130&lt;=Inputs!$C$28,0,IF($B130&gt;=INDEX(LE_Curves!$H$5:$H$205,201),INDEX(LE_Curves!$B$5:$B$205,201),INDEX(LE_Curves!$B$5:$B$205,MATCH($B130,LE_Curves!$H$5:$H$205,1))+($B130-INDEX(LE_Curves!$H$5:$H$205,MATCH($B130,LE_Curves!$H$5:$H$205,1)))*(INDEX(LE_Curves!$B$5:$B$205,MATCH($B130,LE_Curves!$H$5:$H$205,1)+1)-INDEX(LE_Curves!$B$5:$B$205,MATCH($B130,LE_Curves!$H$5:$H$205,1)))/(INDEX(LE_Curves!$H$5:$H$205,MATCH($B130,LE_Curves!$H$5:$H$205,1)+1)-INDEX(LE_Curves!$H$5:$H$205,MATCH($B130,LE_Curves!$H$5:$H$205,1))))))</f>
        <v/>
      </c>
      <c r="I130" s="11">
        <f>IF(Inputs!$D$29=0,0,IF($B130&lt;=Inputs!$C$29,0,IF($B130&gt;=INDEX(LE_Curves!$I$5:$I$205,201),INDEX(LE_Curves!$B$5:$B$205,201),INDEX(LE_Curves!$B$5:$B$205,MATCH($B130,LE_Curves!$I$5:$I$205,1))+($B130-INDEX(LE_Curves!$I$5:$I$205,MATCH($B130,LE_Curves!$I$5:$I$205,1)))*(INDEX(LE_Curves!$B$5:$B$205,MATCH($B130,LE_Curves!$I$5:$I$205,1)+1)-INDEX(LE_Curves!$B$5:$B$205,MATCH($B130,LE_Curves!$I$5:$I$205,1)))/(INDEX(LE_Curves!$I$5:$I$205,MATCH($B130,LE_Curves!$I$5:$I$205,1)+1)-INDEX(LE_Curves!$I$5:$I$205,MATCH($B130,LE_Curves!$I$5:$I$205,1))))))</f>
        <v/>
      </c>
      <c r="J130" s="11">
        <f>IF(Inputs!$D$30=0,0,IF($B130&lt;=Inputs!$C$30,0,IF($B130&gt;=INDEX(LE_Curves!$J$5:$J$205,201),INDEX(LE_Curves!$B$5:$B$205,201),INDEX(LE_Curves!$B$5:$B$205,MATCH($B130,LE_Curves!$J$5:$J$205,1))+($B130-INDEX(LE_Curves!$J$5:$J$205,MATCH($B130,LE_Curves!$J$5:$J$205,1)))*(INDEX(LE_Curves!$B$5:$B$205,MATCH($B130,LE_Curves!$J$5:$J$205,1)+1)-INDEX(LE_Curves!$B$5:$B$205,MATCH($B130,LE_Curves!$J$5:$J$205,1)))/(INDEX(LE_Curves!$J$5:$J$205,MATCH($B130,LE_Curves!$J$5:$J$205,1)+1)-INDEX(LE_Curves!$J$5:$J$205,MATCH($B130,LE_Curves!$J$5:$J$205,1))))))</f>
        <v/>
      </c>
      <c r="K130" s="11">
        <f>IF(Inputs!$D$31=0,0,IF($B130&lt;=Inputs!$C$31,0,IF($B130&gt;=INDEX(LE_Curves!$K$5:$K$205,201),INDEX(LE_Curves!$B$5:$B$205,201),INDEX(LE_Curves!$B$5:$B$205,MATCH($B130,LE_Curves!$K$5:$K$205,1))+($B130-INDEX(LE_Curves!$K$5:$K$205,MATCH($B130,LE_Curves!$K$5:$K$205,1)))*(INDEX(LE_Curves!$B$5:$B$205,MATCH($B130,LE_Curves!$K$5:$K$205,1)+1)-INDEX(LE_Curves!$B$5:$B$205,MATCH($B130,LE_Curves!$K$5:$K$205,1)))/(INDEX(LE_Curves!$K$5:$K$205,MATCH($B130,LE_Curves!$K$5:$K$205,1)+1)-INDEX(LE_Curves!$K$5:$K$205,MATCH($B130,LE_Curves!$K$5:$K$205,1))))))</f>
        <v/>
      </c>
      <c r="L130" s="11">
        <f>IF(Inputs!$D$32=0,0,IF($B130&lt;=Inputs!$C$32,0,IF($B130&gt;=INDEX(LE_Curves!$L$5:$L$205,201),INDEX(LE_Curves!$B$5:$B$205,201),INDEX(LE_Curves!$B$5:$B$205,MATCH($B130,LE_Curves!$L$5:$L$205,1))+($B130-INDEX(LE_Curves!$L$5:$L$205,MATCH($B130,LE_Curves!$L$5:$L$205,1)))*(INDEX(LE_Curves!$B$5:$B$205,MATCH($B130,LE_Curves!$L$5:$L$205,1)+1)-INDEX(LE_Curves!$B$5:$B$205,MATCH($B130,LE_Curves!$L$5:$L$205,1)))/(INDEX(LE_Curves!$L$5:$L$205,MATCH($B130,LE_Curves!$L$5:$L$205,1)+1)-INDEX(LE_Curves!$L$5:$L$205,MATCH($B130,LE_Curves!$L$5:$L$205,1))))))</f>
        <v/>
      </c>
      <c r="M130" s="11">
        <f>IF(Inputs!$D$33=0,0,IF($B130&lt;=Inputs!$C$33,0,IF($B130&gt;=INDEX(LE_Curves!$M$5:$M$205,201),INDEX(LE_Curves!$B$5:$B$205,201),INDEX(LE_Curves!$B$5:$B$205,MATCH($B130,LE_Curves!$M$5:$M$205,1))+($B130-INDEX(LE_Curves!$M$5:$M$205,MATCH($B130,LE_Curves!$M$5:$M$205,1)))*(INDEX(LE_Curves!$B$5:$B$205,MATCH($B130,LE_Curves!$M$5:$M$205,1)+1)-INDEX(LE_Curves!$B$5:$B$205,MATCH($B130,LE_Curves!$M$5:$M$205,1)))/(INDEX(LE_Curves!$M$5:$M$205,MATCH($B130,LE_Curves!$M$5:$M$205,1)+1)-INDEX(LE_Curves!$M$5:$M$205,MATCH($B130,LE_Curves!$M$5:$M$205,1))))))</f>
        <v/>
      </c>
      <c r="N130" s="11">
        <f>IF(Inputs!$D$34=0,0,IF($B130&lt;=Inputs!$C$34,0,IF($B130&gt;=INDEX(LE_Curves!$N$5:$N$205,201),INDEX(LE_Curves!$B$5:$B$205,201),INDEX(LE_Curves!$B$5:$B$205,MATCH($B130,LE_Curves!$N$5:$N$205,1))+($B130-INDEX(LE_Curves!$N$5:$N$205,MATCH($B130,LE_Curves!$N$5:$N$205,1)))*(INDEX(LE_Curves!$B$5:$B$205,MATCH($B130,LE_Curves!$N$5:$N$205,1)+1)-INDEX(LE_Curves!$B$5:$B$205,MATCH($B130,LE_Curves!$N$5:$N$205,1)))/(INDEX(LE_Curves!$N$5:$N$205,MATCH($B130,LE_Curves!$N$5:$N$205,1)+1)-INDEX(LE_Curves!$N$5:$N$205,MATCH($B130,LE_Curves!$N$5:$N$205,1))))))</f>
        <v/>
      </c>
      <c r="O130" s="11">
        <f>SUM(C130:N130)</f>
        <v/>
      </c>
      <c r="Q130" s="7" t="n">
        <v>99</v>
      </c>
      <c r="R130" s="23">
        <f>$B$6+($B$7-$B$6)*Q130/200</f>
        <v/>
      </c>
      <c r="S130" s="11">
        <f>IF(Inputs!$D$23=0,0,IF($R130&lt;=Inputs!$C$23,0,IF($R130&gt;=INDEX(LE_Curves!$C$5:$C$205,201),INDEX(LE_Curves!$B$5:$B$205,201),INDEX(LE_Curves!$B$5:$B$205,MATCH($R130,LE_Curves!$C$5:$C$205,1))+($R130-INDEX(LE_Curves!$C$5:$C$205,MATCH($R130,LE_Curves!$C$5:$C$205,1)))*(INDEX(LE_Curves!$B$5:$B$205,MATCH($R130,LE_Curves!$C$5:$C$205,1)+1)-INDEX(LE_Curves!$B$5:$B$205,MATCH($R130,LE_Curves!$C$5:$C$205,1)))/(INDEX(LE_Curves!$C$5:$C$205,MATCH($R130,LE_Curves!$C$5:$C$205,1)+1)-INDEX(LE_Curves!$C$5:$C$205,MATCH($R130,LE_Curves!$C$5:$C$205,1))))))</f>
        <v/>
      </c>
      <c r="T130" s="11">
        <f>IF(Inputs!$D$24=0,0,IF($R130&lt;=Inputs!$C$24,0,IF($R130&gt;=INDEX(LE_Curves!$D$5:$D$205,201),INDEX(LE_Curves!$B$5:$B$205,201),INDEX(LE_Curves!$B$5:$B$205,MATCH($R130,LE_Curves!$D$5:$D$205,1))+($R130-INDEX(LE_Curves!$D$5:$D$205,MATCH($R130,LE_Curves!$D$5:$D$205,1)))*(INDEX(LE_Curves!$B$5:$B$205,MATCH($R130,LE_Curves!$D$5:$D$205,1)+1)-INDEX(LE_Curves!$B$5:$B$205,MATCH($R130,LE_Curves!$D$5:$D$205,1)))/(INDEX(LE_Curves!$D$5:$D$205,MATCH($R130,LE_Curves!$D$5:$D$205,1)+1)-INDEX(LE_Curves!$D$5:$D$205,MATCH($R130,LE_Curves!$D$5:$D$205,1))))))</f>
        <v/>
      </c>
      <c r="U130" s="11">
        <f>IF(Inputs!$D$25=0,0,IF($R130&lt;=Inputs!$C$25,0,IF($R130&gt;=INDEX(LE_Curves!$E$5:$E$205,201),INDEX(LE_Curves!$B$5:$B$205,201),INDEX(LE_Curves!$B$5:$B$205,MATCH($R130,LE_Curves!$E$5:$E$205,1))+($R130-INDEX(LE_Curves!$E$5:$E$205,MATCH($R130,LE_Curves!$E$5:$E$205,1)))*(INDEX(LE_Curves!$B$5:$B$205,MATCH($R130,LE_Curves!$E$5:$E$205,1)+1)-INDEX(LE_Curves!$B$5:$B$205,MATCH($R130,LE_Curves!$E$5:$E$205,1)))/(INDEX(LE_Curves!$E$5:$E$205,MATCH($R130,LE_Curves!$E$5:$E$205,1)+1)-INDEX(LE_Curves!$E$5:$E$205,MATCH($R130,LE_Curves!$E$5:$E$205,1))))))</f>
        <v/>
      </c>
      <c r="V130" s="11">
        <f>IF(Inputs!$D$26=0,0,IF($R130&lt;=Inputs!$C$26,0,IF($R130&gt;=INDEX(LE_Curves!$F$5:$F$205,201),INDEX(LE_Curves!$B$5:$B$205,201),INDEX(LE_Curves!$B$5:$B$205,MATCH($R130,LE_Curves!$F$5:$F$205,1))+($R130-INDEX(LE_Curves!$F$5:$F$205,MATCH($R130,LE_Curves!$F$5:$F$205,1)))*(INDEX(LE_Curves!$B$5:$B$205,MATCH($R130,LE_Curves!$F$5:$F$205,1)+1)-INDEX(LE_Curves!$B$5:$B$205,MATCH($R130,LE_Curves!$F$5:$F$205,1)))/(INDEX(LE_Curves!$F$5:$F$205,MATCH($R130,LE_Curves!$F$5:$F$205,1)+1)-INDEX(LE_Curves!$F$5:$F$205,MATCH($R130,LE_Curves!$F$5:$F$205,1))))))</f>
        <v/>
      </c>
      <c r="W130" s="11">
        <f>IF(Inputs!$D$27=0,0,IF($R130&lt;=Inputs!$C$27,0,IF($R130&gt;=INDEX(LE_Curves!$G$5:$G$205,201),INDEX(LE_Curves!$B$5:$B$205,201),INDEX(LE_Curves!$B$5:$B$205,MATCH($R130,LE_Curves!$G$5:$G$205,1))+($R130-INDEX(LE_Curves!$G$5:$G$205,MATCH($R130,LE_Curves!$G$5:$G$205,1)))*(INDEX(LE_Curves!$B$5:$B$205,MATCH($R130,LE_Curves!$G$5:$G$205,1)+1)-INDEX(LE_Curves!$B$5:$B$205,MATCH($R130,LE_Curves!$G$5:$G$205,1)))/(INDEX(LE_Curves!$G$5:$G$205,MATCH($R130,LE_Curves!$G$5:$G$205,1)+1)-INDEX(LE_Curves!$G$5:$G$205,MATCH($R130,LE_Curves!$G$5:$G$205,1))))))</f>
        <v/>
      </c>
      <c r="X130" s="11">
        <f>IF(Inputs!$D$28=0,0,IF($R130&lt;=Inputs!$C$28,0,IF($R130&gt;=INDEX(LE_Curves!$H$5:$H$205,201),INDEX(LE_Curves!$B$5:$B$205,201),INDEX(LE_Curves!$B$5:$B$205,MATCH($R130,LE_Curves!$H$5:$H$205,1))+($R130-INDEX(LE_Curves!$H$5:$H$205,MATCH($R130,LE_Curves!$H$5:$H$205,1)))*(INDEX(LE_Curves!$B$5:$B$205,MATCH($R130,LE_Curves!$H$5:$H$205,1)+1)-INDEX(LE_Curves!$B$5:$B$205,MATCH($R130,LE_Curves!$H$5:$H$205,1)))/(INDEX(LE_Curves!$H$5:$H$205,MATCH($R130,LE_Curves!$H$5:$H$205,1)+1)-INDEX(LE_Curves!$H$5:$H$205,MATCH($R130,LE_Curves!$H$5:$H$205,1))))))</f>
        <v/>
      </c>
      <c r="Y130" s="11">
        <f>IF(Inputs!$D$29=0,0,IF($R130&lt;=Inputs!$C$29,0,IF($R130&gt;=INDEX(LE_Curves!$I$5:$I$205,201),INDEX(LE_Curves!$B$5:$B$205,201),INDEX(LE_Curves!$B$5:$B$205,MATCH($R130,LE_Curves!$I$5:$I$205,1))+($R130-INDEX(LE_Curves!$I$5:$I$205,MATCH($R130,LE_Curves!$I$5:$I$205,1)))*(INDEX(LE_Curves!$B$5:$B$205,MATCH($R130,LE_Curves!$I$5:$I$205,1)+1)-INDEX(LE_Curves!$B$5:$B$205,MATCH($R130,LE_Curves!$I$5:$I$205,1)))/(INDEX(LE_Curves!$I$5:$I$205,MATCH($R130,LE_Curves!$I$5:$I$205,1)+1)-INDEX(LE_Curves!$I$5:$I$205,MATCH($R130,LE_Curves!$I$5:$I$205,1))))))</f>
        <v/>
      </c>
      <c r="Z130" s="11">
        <f>IF(Inputs!$D$30=0,0,IF($R130&lt;=Inputs!$C$30,0,IF($R130&gt;=INDEX(LE_Curves!$J$5:$J$205,201),INDEX(LE_Curves!$B$5:$B$205,201),INDEX(LE_Curves!$B$5:$B$205,MATCH($R130,LE_Curves!$J$5:$J$205,1))+($R130-INDEX(LE_Curves!$J$5:$J$205,MATCH($R130,LE_Curves!$J$5:$J$205,1)))*(INDEX(LE_Curves!$B$5:$B$205,MATCH($R130,LE_Curves!$J$5:$J$205,1)+1)-INDEX(LE_Curves!$B$5:$B$205,MATCH($R130,LE_Curves!$J$5:$J$205,1)))/(INDEX(LE_Curves!$J$5:$J$205,MATCH($R130,LE_Curves!$J$5:$J$205,1)+1)-INDEX(LE_Curves!$J$5:$J$205,MATCH($R130,LE_Curves!$J$5:$J$205,1))))))</f>
        <v/>
      </c>
      <c r="AA130" s="11">
        <f>IF(Inputs!$D$31=0,0,IF($R130&lt;=Inputs!$C$31,0,IF($R130&gt;=INDEX(LE_Curves!$K$5:$K$205,201),INDEX(LE_Curves!$B$5:$B$205,201),INDEX(LE_Curves!$B$5:$B$205,MATCH($R130,LE_Curves!$K$5:$K$205,1))+($R130-INDEX(LE_Curves!$K$5:$K$205,MATCH($R130,LE_Curves!$K$5:$K$205,1)))*(INDEX(LE_Curves!$B$5:$B$205,MATCH($R130,LE_Curves!$K$5:$K$205,1)+1)-INDEX(LE_Curves!$B$5:$B$205,MATCH($R130,LE_Curves!$K$5:$K$205,1)))/(INDEX(LE_Curves!$K$5:$K$205,MATCH($R130,LE_Curves!$K$5:$K$205,1)+1)-INDEX(LE_Curves!$K$5:$K$205,MATCH($R130,LE_Curves!$K$5:$K$205,1))))))</f>
        <v/>
      </c>
      <c r="AB130" s="11">
        <f>IF(Inputs!$D$32=0,0,IF($R130&lt;=Inputs!$C$32,0,IF($R130&gt;=INDEX(LE_Curves!$L$5:$L$205,201),INDEX(LE_Curves!$B$5:$B$205,201),INDEX(LE_Curves!$B$5:$B$205,MATCH($R130,LE_Curves!$L$5:$L$205,1))+($R130-INDEX(LE_Curves!$L$5:$L$205,MATCH($R130,LE_Curves!$L$5:$L$205,1)))*(INDEX(LE_Curves!$B$5:$B$205,MATCH($R130,LE_Curves!$L$5:$L$205,1)+1)-INDEX(LE_Curves!$B$5:$B$205,MATCH($R130,LE_Curves!$L$5:$L$205,1)))/(INDEX(LE_Curves!$L$5:$L$205,MATCH($R130,LE_Curves!$L$5:$L$205,1)+1)-INDEX(LE_Curves!$L$5:$L$205,MATCH($R130,LE_Curves!$L$5:$L$205,1))))))</f>
        <v/>
      </c>
      <c r="AC130" s="11">
        <f>IF(Inputs!$D$33=0,0,IF($R130&lt;=Inputs!$C$33,0,IF($R130&gt;=INDEX(LE_Curves!$M$5:$M$205,201),INDEX(LE_Curves!$B$5:$B$205,201),INDEX(LE_Curves!$B$5:$B$205,MATCH($R130,LE_Curves!$M$5:$M$205,1))+($R130-INDEX(LE_Curves!$M$5:$M$205,MATCH($R130,LE_Curves!$M$5:$M$205,1)))*(INDEX(LE_Curves!$B$5:$B$205,MATCH($R130,LE_Curves!$M$5:$M$205,1)+1)-INDEX(LE_Curves!$B$5:$B$205,MATCH($R130,LE_Curves!$M$5:$M$205,1)))/(INDEX(LE_Curves!$M$5:$M$205,MATCH($R130,LE_Curves!$M$5:$M$205,1)+1)-INDEX(LE_Curves!$M$5:$M$205,MATCH($R130,LE_Curves!$M$5:$M$205,1))))))</f>
        <v/>
      </c>
      <c r="AD130" s="11">
        <f>IF(Inputs!$D$34=0,0,IF($R130&lt;=Inputs!$C$34,0,IF($R130&gt;=INDEX(LE_Curves!$N$5:$N$205,201),INDEX(LE_Curves!$B$5:$B$205,201),INDEX(LE_Curves!$B$5:$B$205,MATCH($R130,LE_Curves!$N$5:$N$205,1))+($R130-INDEX(LE_Curves!$N$5:$N$205,MATCH($R130,LE_Curves!$N$5:$N$205,1)))*(INDEX(LE_Curves!$B$5:$B$205,MATCH($R130,LE_Curves!$N$5:$N$205,1)+1)-INDEX(LE_Curves!$B$5:$B$205,MATCH($R130,LE_Curves!$N$5:$N$205,1)))/(INDEX(LE_Curves!$N$5:$N$205,MATCH($R130,LE_Curves!$N$5:$N$205,1)+1)-INDEX(LE_Curves!$N$5:$N$205,MATCH($R130,LE_Curves!$N$5:$N$205,1))))))</f>
        <v/>
      </c>
      <c r="AE130" s="37">
        <f>SUM(S130:AD130)</f>
        <v/>
      </c>
    </row>
    <row r="131">
      <c r="A131" s="7" t="n">
        <v>100</v>
      </c>
      <c r="B131" s="37">
        <f>$B$3+($B$4-$B$3)*A131/200</f>
        <v/>
      </c>
      <c r="C131" s="11">
        <f>IF(Inputs!$D$23=0,0,IF($B131&lt;=Inputs!$C$23,0,IF($B131&gt;=INDEX(LE_Curves!$C$5:$C$205,201),INDEX(LE_Curves!$B$5:$B$205,201),INDEX(LE_Curves!$B$5:$B$205,MATCH($B131,LE_Curves!$C$5:$C$205,1))+($B131-INDEX(LE_Curves!$C$5:$C$205,MATCH($B131,LE_Curves!$C$5:$C$205,1)))*(INDEX(LE_Curves!$B$5:$B$205,MATCH($B131,LE_Curves!$C$5:$C$205,1)+1)-INDEX(LE_Curves!$B$5:$B$205,MATCH($B131,LE_Curves!$C$5:$C$205,1)))/(INDEX(LE_Curves!$C$5:$C$205,MATCH($B131,LE_Curves!$C$5:$C$205,1)+1)-INDEX(LE_Curves!$C$5:$C$205,MATCH($B131,LE_Curves!$C$5:$C$205,1))))))</f>
        <v/>
      </c>
      <c r="D131" s="11">
        <f>IF(Inputs!$D$24=0,0,IF($B131&lt;=Inputs!$C$24,0,IF($B131&gt;=INDEX(LE_Curves!$D$5:$D$205,201),INDEX(LE_Curves!$B$5:$B$205,201),INDEX(LE_Curves!$B$5:$B$205,MATCH($B131,LE_Curves!$D$5:$D$205,1))+($B131-INDEX(LE_Curves!$D$5:$D$205,MATCH($B131,LE_Curves!$D$5:$D$205,1)))*(INDEX(LE_Curves!$B$5:$B$205,MATCH($B131,LE_Curves!$D$5:$D$205,1)+1)-INDEX(LE_Curves!$B$5:$B$205,MATCH($B131,LE_Curves!$D$5:$D$205,1)))/(INDEX(LE_Curves!$D$5:$D$205,MATCH($B131,LE_Curves!$D$5:$D$205,1)+1)-INDEX(LE_Curves!$D$5:$D$205,MATCH($B131,LE_Curves!$D$5:$D$205,1))))))</f>
        <v/>
      </c>
      <c r="E131" s="11">
        <f>IF(Inputs!$D$25=0,0,IF($B131&lt;=Inputs!$C$25,0,IF($B131&gt;=INDEX(LE_Curves!$E$5:$E$205,201),INDEX(LE_Curves!$B$5:$B$205,201),INDEX(LE_Curves!$B$5:$B$205,MATCH($B131,LE_Curves!$E$5:$E$205,1))+($B131-INDEX(LE_Curves!$E$5:$E$205,MATCH($B131,LE_Curves!$E$5:$E$205,1)))*(INDEX(LE_Curves!$B$5:$B$205,MATCH($B131,LE_Curves!$E$5:$E$205,1)+1)-INDEX(LE_Curves!$B$5:$B$205,MATCH($B131,LE_Curves!$E$5:$E$205,1)))/(INDEX(LE_Curves!$E$5:$E$205,MATCH($B131,LE_Curves!$E$5:$E$205,1)+1)-INDEX(LE_Curves!$E$5:$E$205,MATCH($B131,LE_Curves!$E$5:$E$205,1))))))</f>
        <v/>
      </c>
      <c r="F131" s="11">
        <f>IF(Inputs!$D$26=0,0,IF($B131&lt;=Inputs!$C$26,0,IF($B131&gt;=INDEX(LE_Curves!$F$5:$F$205,201),INDEX(LE_Curves!$B$5:$B$205,201),INDEX(LE_Curves!$B$5:$B$205,MATCH($B131,LE_Curves!$F$5:$F$205,1))+($B131-INDEX(LE_Curves!$F$5:$F$205,MATCH($B131,LE_Curves!$F$5:$F$205,1)))*(INDEX(LE_Curves!$B$5:$B$205,MATCH($B131,LE_Curves!$F$5:$F$205,1)+1)-INDEX(LE_Curves!$B$5:$B$205,MATCH($B131,LE_Curves!$F$5:$F$205,1)))/(INDEX(LE_Curves!$F$5:$F$205,MATCH($B131,LE_Curves!$F$5:$F$205,1)+1)-INDEX(LE_Curves!$F$5:$F$205,MATCH($B131,LE_Curves!$F$5:$F$205,1))))))</f>
        <v/>
      </c>
      <c r="G131" s="11">
        <f>IF(Inputs!$D$27=0,0,IF($B131&lt;=Inputs!$C$27,0,IF($B131&gt;=INDEX(LE_Curves!$G$5:$G$205,201),INDEX(LE_Curves!$B$5:$B$205,201),INDEX(LE_Curves!$B$5:$B$205,MATCH($B131,LE_Curves!$G$5:$G$205,1))+($B131-INDEX(LE_Curves!$G$5:$G$205,MATCH($B131,LE_Curves!$G$5:$G$205,1)))*(INDEX(LE_Curves!$B$5:$B$205,MATCH($B131,LE_Curves!$G$5:$G$205,1)+1)-INDEX(LE_Curves!$B$5:$B$205,MATCH($B131,LE_Curves!$G$5:$G$205,1)))/(INDEX(LE_Curves!$G$5:$G$205,MATCH($B131,LE_Curves!$G$5:$G$205,1)+1)-INDEX(LE_Curves!$G$5:$G$205,MATCH($B131,LE_Curves!$G$5:$G$205,1))))))</f>
        <v/>
      </c>
      <c r="H131" s="11">
        <f>IF(Inputs!$D$28=0,0,IF($B131&lt;=Inputs!$C$28,0,IF($B131&gt;=INDEX(LE_Curves!$H$5:$H$205,201),INDEX(LE_Curves!$B$5:$B$205,201),INDEX(LE_Curves!$B$5:$B$205,MATCH($B131,LE_Curves!$H$5:$H$205,1))+($B131-INDEX(LE_Curves!$H$5:$H$205,MATCH($B131,LE_Curves!$H$5:$H$205,1)))*(INDEX(LE_Curves!$B$5:$B$205,MATCH($B131,LE_Curves!$H$5:$H$205,1)+1)-INDEX(LE_Curves!$B$5:$B$205,MATCH($B131,LE_Curves!$H$5:$H$205,1)))/(INDEX(LE_Curves!$H$5:$H$205,MATCH($B131,LE_Curves!$H$5:$H$205,1)+1)-INDEX(LE_Curves!$H$5:$H$205,MATCH($B131,LE_Curves!$H$5:$H$205,1))))))</f>
        <v/>
      </c>
      <c r="I131" s="11">
        <f>IF(Inputs!$D$29=0,0,IF($B131&lt;=Inputs!$C$29,0,IF($B131&gt;=INDEX(LE_Curves!$I$5:$I$205,201),INDEX(LE_Curves!$B$5:$B$205,201),INDEX(LE_Curves!$B$5:$B$205,MATCH($B131,LE_Curves!$I$5:$I$205,1))+($B131-INDEX(LE_Curves!$I$5:$I$205,MATCH($B131,LE_Curves!$I$5:$I$205,1)))*(INDEX(LE_Curves!$B$5:$B$205,MATCH($B131,LE_Curves!$I$5:$I$205,1)+1)-INDEX(LE_Curves!$B$5:$B$205,MATCH($B131,LE_Curves!$I$5:$I$205,1)))/(INDEX(LE_Curves!$I$5:$I$205,MATCH($B131,LE_Curves!$I$5:$I$205,1)+1)-INDEX(LE_Curves!$I$5:$I$205,MATCH($B131,LE_Curves!$I$5:$I$205,1))))))</f>
        <v/>
      </c>
      <c r="J131" s="11">
        <f>IF(Inputs!$D$30=0,0,IF($B131&lt;=Inputs!$C$30,0,IF($B131&gt;=INDEX(LE_Curves!$J$5:$J$205,201),INDEX(LE_Curves!$B$5:$B$205,201),INDEX(LE_Curves!$B$5:$B$205,MATCH($B131,LE_Curves!$J$5:$J$205,1))+($B131-INDEX(LE_Curves!$J$5:$J$205,MATCH($B131,LE_Curves!$J$5:$J$205,1)))*(INDEX(LE_Curves!$B$5:$B$205,MATCH($B131,LE_Curves!$J$5:$J$205,1)+1)-INDEX(LE_Curves!$B$5:$B$205,MATCH($B131,LE_Curves!$J$5:$J$205,1)))/(INDEX(LE_Curves!$J$5:$J$205,MATCH($B131,LE_Curves!$J$5:$J$205,1)+1)-INDEX(LE_Curves!$J$5:$J$205,MATCH($B131,LE_Curves!$J$5:$J$205,1))))))</f>
        <v/>
      </c>
      <c r="K131" s="11">
        <f>IF(Inputs!$D$31=0,0,IF($B131&lt;=Inputs!$C$31,0,IF($B131&gt;=INDEX(LE_Curves!$K$5:$K$205,201),INDEX(LE_Curves!$B$5:$B$205,201),INDEX(LE_Curves!$B$5:$B$205,MATCH($B131,LE_Curves!$K$5:$K$205,1))+($B131-INDEX(LE_Curves!$K$5:$K$205,MATCH($B131,LE_Curves!$K$5:$K$205,1)))*(INDEX(LE_Curves!$B$5:$B$205,MATCH($B131,LE_Curves!$K$5:$K$205,1)+1)-INDEX(LE_Curves!$B$5:$B$205,MATCH($B131,LE_Curves!$K$5:$K$205,1)))/(INDEX(LE_Curves!$K$5:$K$205,MATCH($B131,LE_Curves!$K$5:$K$205,1)+1)-INDEX(LE_Curves!$K$5:$K$205,MATCH($B131,LE_Curves!$K$5:$K$205,1))))))</f>
        <v/>
      </c>
      <c r="L131" s="11">
        <f>IF(Inputs!$D$32=0,0,IF($B131&lt;=Inputs!$C$32,0,IF($B131&gt;=INDEX(LE_Curves!$L$5:$L$205,201),INDEX(LE_Curves!$B$5:$B$205,201),INDEX(LE_Curves!$B$5:$B$205,MATCH($B131,LE_Curves!$L$5:$L$205,1))+($B131-INDEX(LE_Curves!$L$5:$L$205,MATCH($B131,LE_Curves!$L$5:$L$205,1)))*(INDEX(LE_Curves!$B$5:$B$205,MATCH($B131,LE_Curves!$L$5:$L$205,1)+1)-INDEX(LE_Curves!$B$5:$B$205,MATCH($B131,LE_Curves!$L$5:$L$205,1)))/(INDEX(LE_Curves!$L$5:$L$205,MATCH($B131,LE_Curves!$L$5:$L$205,1)+1)-INDEX(LE_Curves!$L$5:$L$205,MATCH($B131,LE_Curves!$L$5:$L$205,1))))))</f>
        <v/>
      </c>
      <c r="M131" s="11">
        <f>IF(Inputs!$D$33=0,0,IF($B131&lt;=Inputs!$C$33,0,IF($B131&gt;=INDEX(LE_Curves!$M$5:$M$205,201),INDEX(LE_Curves!$B$5:$B$205,201),INDEX(LE_Curves!$B$5:$B$205,MATCH($B131,LE_Curves!$M$5:$M$205,1))+($B131-INDEX(LE_Curves!$M$5:$M$205,MATCH($B131,LE_Curves!$M$5:$M$205,1)))*(INDEX(LE_Curves!$B$5:$B$205,MATCH($B131,LE_Curves!$M$5:$M$205,1)+1)-INDEX(LE_Curves!$B$5:$B$205,MATCH($B131,LE_Curves!$M$5:$M$205,1)))/(INDEX(LE_Curves!$M$5:$M$205,MATCH($B131,LE_Curves!$M$5:$M$205,1)+1)-INDEX(LE_Curves!$M$5:$M$205,MATCH($B131,LE_Curves!$M$5:$M$205,1))))))</f>
        <v/>
      </c>
      <c r="N131" s="11">
        <f>IF(Inputs!$D$34=0,0,IF($B131&lt;=Inputs!$C$34,0,IF($B131&gt;=INDEX(LE_Curves!$N$5:$N$205,201),INDEX(LE_Curves!$B$5:$B$205,201),INDEX(LE_Curves!$B$5:$B$205,MATCH($B131,LE_Curves!$N$5:$N$205,1))+($B131-INDEX(LE_Curves!$N$5:$N$205,MATCH($B131,LE_Curves!$N$5:$N$205,1)))*(INDEX(LE_Curves!$B$5:$B$205,MATCH($B131,LE_Curves!$N$5:$N$205,1)+1)-INDEX(LE_Curves!$B$5:$B$205,MATCH($B131,LE_Curves!$N$5:$N$205,1)))/(INDEX(LE_Curves!$N$5:$N$205,MATCH($B131,LE_Curves!$N$5:$N$205,1)+1)-INDEX(LE_Curves!$N$5:$N$205,MATCH($B131,LE_Curves!$N$5:$N$205,1))))))</f>
        <v/>
      </c>
      <c r="O131" s="11">
        <f>SUM(C131:N131)</f>
        <v/>
      </c>
      <c r="Q131" s="7" t="n">
        <v>100</v>
      </c>
      <c r="R131" s="23">
        <f>$B$6+($B$7-$B$6)*Q131/200</f>
        <v/>
      </c>
      <c r="S131" s="11">
        <f>IF(Inputs!$D$23=0,0,IF($R131&lt;=Inputs!$C$23,0,IF($R131&gt;=INDEX(LE_Curves!$C$5:$C$205,201),INDEX(LE_Curves!$B$5:$B$205,201),INDEX(LE_Curves!$B$5:$B$205,MATCH($R131,LE_Curves!$C$5:$C$205,1))+($R131-INDEX(LE_Curves!$C$5:$C$205,MATCH($R131,LE_Curves!$C$5:$C$205,1)))*(INDEX(LE_Curves!$B$5:$B$205,MATCH($R131,LE_Curves!$C$5:$C$205,1)+1)-INDEX(LE_Curves!$B$5:$B$205,MATCH($R131,LE_Curves!$C$5:$C$205,1)))/(INDEX(LE_Curves!$C$5:$C$205,MATCH($R131,LE_Curves!$C$5:$C$205,1)+1)-INDEX(LE_Curves!$C$5:$C$205,MATCH($R131,LE_Curves!$C$5:$C$205,1))))))</f>
        <v/>
      </c>
      <c r="T131" s="11">
        <f>IF(Inputs!$D$24=0,0,IF($R131&lt;=Inputs!$C$24,0,IF($R131&gt;=INDEX(LE_Curves!$D$5:$D$205,201),INDEX(LE_Curves!$B$5:$B$205,201),INDEX(LE_Curves!$B$5:$B$205,MATCH($R131,LE_Curves!$D$5:$D$205,1))+($R131-INDEX(LE_Curves!$D$5:$D$205,MATCH($R131,LE_Curves!$D$5:$D$205,1)))*(INDEX(LE_Curves!$B$5:$B$205,MATCH($R131,LE_Curves!$D$5:$D$205,1)+1)-INDEX(LE_Curves!$B$5:$B$205,MATCH($R131,LE_Curves!$D$5:$D$205,1)))/(INDEX(LE_Curves!$D$5:$D$205,MATCH($R131,LE_Curves!$D$5:$D$205,1)+1)-INDEX(LE_Curves!$D$5:$D$205,MATCH($R131,LE_Curves!$D$5:$D$205,1))))))</f>
        <v/>
      </c>
      <c r="U131" s="11">
        <f>IF(Inputs!$D$25=0,0,IF($R131&lt;=Inputs!$C$25,0,IF($R131&gt;=INDEX(LE_Curves!$E$5:$E$205,201),INDEX(LE_Curves!$B$5:$B$205,201),INDEX(LE_Curves!$B$5:$B$205,MATCH($R131,LE_Curves!$E$5:$E$205,1))+($R131-INDEX(LE_Curves!$E$5:$E$205,MATCH($R131,LE_Curves!$E$5:$E$205,1)))*(INDEX(LE_Curves!$B$5:$B$205,MATCH($R131,LE_Curves!$E$5:$E$205,1)+1)-INDEX(LE_Curves!$B$5:$B$205,MATCH($R131,LE_Curves!$E$5:$E$205,1)))/(INDEX(LE_Curves!$E$5:$E$205,MATCH($R131,LE_Curves!$E$5:$E$205,1)+1)-INDEX(LE_Curves!$E$5:$E$205,MATCH($R131,LE_Curves!$E$5:$E$205,1))))))</f>
        <v/>
      </c>
      <c r="V131" s="11">
        <f>IF(Inputs!$D$26=0,0,IF($R131&lt;=Inputs!$C$26,0,IF($R131&gt;=INDEX(LE_Curves!$F$5:$F$205,201),INDEX(LE_Curves!$B$5:$B$205,201),INDEX(LE_Curves!$B$5:$B$205,MATCH($R131,LE_Curves!$F$5:$F$205,1))+($R131-INDEX(LE_Curves!$F$5:$F$205,MATCH($R131,LE_Curves!$F$5:$F$205,1)))*(INDEX(LE_Curves!$B$5:$B$205,MATCH($R131,LE_Curves!$F$5:$F$205,1)+1)-INDEX(LE_Curves!$B$5:$B$205,MATCH($R131,LE_Curves!$F$5:$F$205,1)))/(INDEX(LE_Curves!$F$5:$F$205,MATCH($R131,LE_Curves!$F$5:$F$205,1)+1)-INDEX(LE_Curves!$F$5:$F$205,MATCH($R131,LE_Curves!$F$5:$F$205,1))))))</f>
        <v/>
      </c>
      <c r="W131" s="11">
        <f>IF(Inputs!$D$27=0,0,IF($R131&lt;=Inputs!$C$27,0,IF($R131&gt;=INDEX(LE_Curves!$G$5:$G$205,201),INDEX(LE_Curves!$B$5:$B$205,201),INDEX(LE_Curves!$B$5:$B$205,MATCH($R131,LE_Curves!$G$5:$G$205,1))+($R131-INDEX(LE_Curves!$G$5:$G$205,MATCH($R131,LE_Curves!$G$5:$G$205,1)))*(INDEX(LE_Curves!$B$5:$B$205,MATCH($R131,LE_Curves!$G$5:$G$205,1)+1)-INDEX(LE_Curves!$B$5:$B$205,MATCH($R131,LE_Curves!$G$5:$G$205,1)))/(INDEX(LE_Curves!$G$5:$G$205,MATCH($R131,LE_Curves!$G$5:$G$205,1)+1)-INDEX(LE_Curves!$G$5:$G$205,MATCH($R131,LE_Curves!$G$5:$G$205,1))))))</f>
        <v/>
      </c>
      <c r="X131" s="11">
        <f>IF(Inputs!$D$28=0,0,IF($R131&lt;=Inputs!$C$28,0,IF($R131&gt;=INDEX(LE_Curves!$H$5:$H$205,201),INDEX(LE_Curves!$B$5:$B$205,201),INDEX(LE_Curves!$B$5:$B$205,MATCH($R131,LE_Curves!$H$5:$H$205,1))+($R131-INDEX(LE_Curves!$H$5:$H$205,MATCH($R131,LE_Curves!$H$5:$H$205,1)))*(INDEX(LE_Curves!$B$5:$B$205,MATCH($R131,LE_Curves!$H$5:$H$205,1)+1)-INDEX(LE_Curves!$B$5:$B$205,MATCH($R131,LE_Curves!$H$5:$H$205,1)))/(INDEX(LE_Curves!$H$5:$H$205,MATCH($R131,LE_Curves!$H$5:$H$205,1)+1)-INDEX(LE_Curves!$H$5:$H$205,MATCH($R131,LE_Curves!$H$5:$H$205,1))))))</f>
        <v/>
      </c>
      <c r="Y131" s="11">
        <f>IF(Inputs!$D$29=0,0,IF($R131&lt;=Inputs!$C$29,0,IF($R131&gt;=INDEX(LE_Curves!$I$5:$I$205,201),INDEX(LE_Curves!$B$5:$B$205,201),INDEX(LE_Curves!$B$5:$B$205,MATCH($R131,LE_Curves!$I$5:$I$205,1))+($R131-INDEX(LE_Curves!$I$5:$I$205,MATCH($R131,LE_Curves!$I$5:$I$205,1)))*(INDEX(LE_Curves!$B$5:$B$205,MATCH($R131,LE_Curves!$I$5:$I$205,1)+1)-INDEX(LE_Curves!$B$5:$B$205,MATCH($R131,LE_Curves!$I$5:$I$205,1)))/(INDEX(LE_Curves!$I$5:$I$205,MATCH($R131,LE_Curves!$I$5:$I$205,1)+1)-INDEX(LE_Curves!$I$5:$I$205,MATCH($R131,LE_Curves!$I$5:$I$205,1))))))</f>
        <v/>
      </c>
      <c r="Z131" s="11">
        <f>IF(Inputs!$D$30=0,0,IF($R131&lt;=Inputs!$C$30,0,IF($R131&gt;=INDEX(LE_Curves!$J$5:$J$205,201),INDEX(LE_Curves!$B$5:$B$205,201),INDEX(LE_Curves!$B$5:$B$205,MATCH($R131,LE_Curves!$J$5:$J$205,1))+($R131-INDEX(LE_Curves!$J$5:$J$205,MATCH($R131,LE_Curves!$J$5:$J$205,1)))*(INDEX(LE_Curves!$B$5:$B$205,MATCH($R131,LE_Curves!$J$5:$J$205,1)+1)-INDEX(LE_Curves!$B$5:$B$205,MATCH($R131,LE_Curves!$J$5:$J$205,1)))/(INDEX(LE_Curves!$J$5:$J$205,MATCH($R131,LE_Curves!$J$5:$J$205,1)+1)-INDEX(LE_Curves!$J$5:$J$205,MATCH($R131,LE_Curves!$J$5:$J$205,1))))))</f>
        <v/>
      </c>
      <c r="AA131" s="11">
        <f>IF(Inputs!$D$31=0,0,IF($R131&lt;=Inputs!$C$31,0,IF($R131&gt;=INDEX(LE_Curves!$K$5:$K$205,201),INDEX(LE_Curves!$B$5:$B$205,201),INDEX(LE_Curves!$B$5:$B$205,MATCH($R131,LE_Curves!$K$5:$K$205,1))+($R131-INDEX(LE_Curves!$K$5:$K$205,MATCH($R131,LE_Curves!$K$5:$K$205,1)))*(INDEX(LE_Curves!$B$5:$B$205,MATCH($R131,LE_Curves!$K$5:$K$205,1)+1)-INDEX(LE_Curves!$B$5:$B$205,MATCH($R131,LE_Curves!$K$5:$K$205,1)))/(INDEX(LE_Curves!$K$5:$K$205,MATCH($R131,LE_Curves!$K$5:$K$205,1)+1)-INDEX(LE_Curves!$K$5:$K$205,MATCH($R131,LE_Curves!$K$5:$K$205,1))))))</f>
        <v/>
      </c>
      <c r="AB131" s="11">
        <f>IF(Inputs!$D$32=0,0,IF($R131&lt;=Inputs!$C$32,0,IF($R131&gt;=INDEX(LE_Curves!$L$5:$L$205,201),INDEX(LE_Curves!$B$5:$B$205,201),INDEX(LE_Curves!$B$5:$B$205,MATCH($R131,LE_Curves!$L$5:$L$205,1))+($R131-INDEX(LE_Curves!$L$5:$L$205,MATCH($R131,LE_Curves!$L$5:$L$205,1)))*(INDEX(LE_Curves!$B$5:$B$205,MATCH($R131,LE_Curves!$L$5:$L$205,1)+1)-INDEX(LE_Curves!$B$5:$B$205,MATCH($R131,LE_Curves!$L$5:$L$205,1)))/(INDEX(LE_Curves!$L$5:$L$205,MATCH($R131,LE_Curves!$L$5:$L$205,1)+1)-INDEX(LE_Curves!$L$5:$L$205,MATCH($R131,LE_Curves!$L$5:$L$205,1))))))</f>
        <v/>
      </c>
      <c r="AC131" s="11">
        <f>IF(Inputs!$D$33=0,0,IF($R131&lt;=Inputs!$C$33,0,IF($R131&gt;=INDEX(LE_Curves!$M$5:$M$205,201),INDEX(LE_Curves!$B$5:$B$205,201),INDEX(LE_Curves!$B$5:$B$205,MATCH($R131,LE_Curves!$M$5:$M$205,1))+($R131-INDEX(LE_Curves!$M$5:$M$205,MATCH($R131,LE_Curves!$M$5:$M$205,1)))*(INDEX(LE_Curves!$B$5:$B$205,MATCH($R131,LE_Curves!$M$5:$M$205,1)+1)-INDEX(LE_Curves!$B$5:$B$205,MATCH($R131,LE_Curves!$M$5:$M$205,1)))/(INDEX(LE_Curves!$M$5:$M$205,MATCH($R131,LE_Curves!$M$5:$M$205,1)+1)-INDEX(LE_Curves!$M$5:$M$205,MATCH($R131,LE_Curves!$M$5:$M$205,1))))))</f>
        <v/>
      </c>
      <c r="AD131" s="11">
        <f>IF(Inputs!$D$34=0,0,IF($R131&lt;=Inputs!$C$34,0,IF($R131&gt;=INDEX(LE_Curves!$N$5:$N$205,201),INDEX(LE_Curves!$B$5:$B$205,201),INDEX(LE_Curves!$B$5:$B$205,MATCH($R131,LE_Curves!$N$5:$N$205,1))+($R131-INDEX(LE_Curves!$N$5:$N$205,MATCH($R131,LE_Curves!$N$5:$N$205,1)))*(INDEX(LE_Curves!$B$5:$B$205,MATCH($R131,LE_Curves!$N$5:$N$205,1)+1)-INDEX(LE_Curves!$B$5:$B$205,MATCH($R131,LE_Curves!$N$5:$N$205,1)))/(INDEX(LE_Curves!$N$5:$N$205,MATCH($R131,LE_Curves!$N$5:$N$205,1)+1)-INDEX(LE_Curves!$N$5:$N$205,MATCH($R131,LE_Curves!$N$5:$N$205,1))))))</f>
        <v/>
      </c>
      <c r="AE131" s="37">
        <f>SUM(S131:AD131)</f>
        <v/>
      </c>
    </row>
    <row r="132">
      <c r="A132" s="7" t="n">
        <v>101</v>
      </c>
      <c r="B132" s="37">
        <f>$B$3+($B$4-$B$3)*A132/200</f>
        <v/>
      </c>
      <c r="C132" s="11">
        <f>IF(Inputs!$D$23=0,0,IF($B132&lt;=Inputs!$C$23,0,IF($B132&gt;=INDEX(LE_Curves!$C$5:$C$205,201),INDEX(LE_Curves!$B$5:$B$205,201),INDEX(LE_Curves!$B$5:$B$205,MATCH($B132,LE_Curves!$C$5:$C$205,1))+($B132-INDEX(LE_Curves!$C$5:$C$205,MATCH($B132,LE_Curves!$C$5:$C$205,1)))*(INDEX(LE_Curves!$B$5:$B$205,MATCH($B132,LE_Curves!$C$5:$C$205,1)+1)-INDEX(LE_Curves!$B$5:$B$205,MATCH($B132,LE_Curves!$C$5:$C$205,1)))/(INDEX(LE_Curves!$C$5:$C$205,MATCH($B132,LE_Curves!$C$5:$C$205,1)+1)-INDEX(LE_Curves!$C$5:$C$205,MATCH($B132,LE_Curves!$C$5:$C$205,1))))))</f>
        <v/>
      </c>
      <c r="D132" s="11">
        <f>IF(Inputs!$D$24=0,0,IF($B132&lt;=Inputs!$C$24,0,IF($B132&gt;=INDEX(LE_Curves!$D$5:$D$205,201),INDEX(LE_Curves!$B$5:$B$205,201),INDEX(LE_Curves!$B$5:$B$205,MATCH($B132,LE_Curves!$D$5:$D$205,1))+($B132-INDEX(LE_Curves!$D$5:$D$205,MATCH($B132,LE_Curves!$D$5:$D$205,1)))*(INDEX(LE_Curves!$B$5:$B$205,MATCH($B132,LE_Curves!$D$5:$D$205,1)+1)-INDEX(LE_Curves!$B$5:$B$205,MATCH($B132,LE_Curves!$D$5:$D$205,1)))/(INDEX(LE_Curves!$D$5:$D$205,MATCH($B132,LE_Curves!$D$5:$D$205,1)+1)-INDEX(LE_Curves!$D$5:$D$205,MATCH($B132,LE_Curves!$D$5:$D$205,1))))))</f>
        <v/>
      </c>
      <c r="E132" s="11">
        <f>IF(Inputs!$D$25=0,0,IF($B132&lt;=Inputs!$C$25,0,IF($B132&gt;=INDEX(LE_Curves!$E$5:$E$205,201),INDEX(LE_Curves!$B$5:$B$205,201),INDEX(LE_Curves!$B$5:$B$205,MATCH($B132,LE_Curves!$E$5:$E$205,1))+($B132-INDEX(LE_Curves!$E$5:$E$205,MATCH($B132,LE_Curves!$E$5:$E$205,1)))*(INDEX(LE_Curves!$B$5:$B$205,MATCH($B132,LE_Curves!$E$5:$E$205,1)+1)-INDEX(LE_Curves!$B$5:$B$205,MATCH($B132,LE_Curves!$E$5:$E$205,1)))/(INDEX(LE_Curves!$E$5:$E$205,MATCH($B132,LE_Curves!$E$5:$E$205,1)+1)-INDEX(LE_Curves!$E$5:$E$205,MATCH($B132,LE_Curves!$E$5:$E$205,1))))))</f>
        <v/>
      </c>
      <c r="F132" s="11">
        <f>IF(Inputs!$D$26=0,0,IF($B132&lt;=Inputs!$C$26,0,IF($B132&gt;=INDEX(LE_Curves!$F$5:$F$205,201),INDEX(LE_Curves!$B$5:$B$205,201),INDEX(LE_Curves!$B$5:$B$205,MATCH($B132,LE_Curves!$F$5:$F$205,1))+($B132-INDEX(LE_Curves!$F$5:$F$205,MATCH($B132,LE_Curves!$F$5:$F$205,1)))*(INDEX(LE_Curves!$B$5:$B$205,MATCH($B132,LE_Curves!$F$5:$F$205,1)+1)-INDEX(LE_Curves!$B$5:$B$205,MATCH($B132,LE_Curves!$F$5:$F$205,1)))/(INDEX(LE_Curves!$F$5:$F$205,MATCH($B132,LE_Curves!$F$5:$F$205,1)+1)-INDEX(LE_Curves!$F$5:$F$205,MATCH($B132,LE_Curves!$F$5:$F$205,1))))))</f>
        <v/>
      </c>
      <c r="G132" s="11">
        <f>IF(Inputs!$D$27=0,0,IF($B132&lt;=Inputs!$C$27,0,IF($B132&gt;=INDEX(LE_Curves!$G$5:$G$205,201),INDEX(LE_Curves!$B$5:$B$205,201),INDEX(LE_Curves!$B$5:$B$205,MATCH($B132,LE_Curves!$G$5:$G$205,1))+($B132-INDEX(LE_Curves!$G$5:$G$205,MATCH($B132,LE_Curves!$G$5:$G$205,1)))*(INDEX(LE_Curves!$B$5:$B$205,MATCH($B132,LE_Curves!$G$5:$G$205,1)+1)-INDEX(LE_Curves!$B$5:$B$205,MATCH($B132,LE_Curves!$G$5:$G$205,1)))/(INDEX(LE_Curves!$G$5:$G$205,MATCH($B132,LE_Curves!$G$5:$G$205,1)+1)-INDEX(LE_Curves!$G$5:$G$205,MATCH($B132,LE_Curves!$G$5:$G$205,1))))))</f>
        <v/>
      </c>
      <c r="H132" s="11">
        <f>IF(Inputs!$D$28=0,0,IF($B132&lt;=Inputs!$C$28,0,IF($B132&gt;=INDEX(LE_Curves!$H$5:$H$205,201),INDEX(LE_Curves!$B$5:$B$205,201),INDEX(LE_Curves!$B$5:$B$205,MATCH($B132,LE_Curves!$H$5:$H$205,1))+($B132-INDEX(LE_Curves!$H$5:$H$205,MATCH($B132,LE_Curves!$H$5:$H$205,1)))*(INDEX(LE_Curves!$B$5:$B$205,MATCH($B132,LE_Curves!$H$5:$H$205,1)+1)-INDEX(LE_Curves!$B$5:$B$205,MATCH($B132,LE_Curves!$H$5:$H$205,1)))/(INDEX(LE_Curves!$H$5:$H$205,MATCH($B132,LE_Curves!$H$5:$H$205,1)+1)-INDEX(LE_Curves!$H$5:$H$205,MATCH($B132,LE_Curves!$H$5:$H$205,1))))))</f>
        <v/>
      </c>
      <c r="I132" s="11">
        <f>IF(Inputs!$D$29=0,0,IF($B132&lt;=Inputs!$C$29,0,IF($B132&gt;=INDEX(LE_Curves!$I$5:$I$205,201),INDEX(LE_Curves!$B$5:$B$205,201),INDEX(LE_Curves!$B$5:$B$205,MATCH($B132,LE_Curves!$I$5:$I$205,1))+($B132-INDEX(LE_Curves!$I$5:$I$205,MATCH($B132,LE_Curves!$I$5:$I$205,1)))*(INDEX(LE_Curves!$B$5:$B$205,MATCH($B132,LE_Curves!$I$5:$I$205,1)+1)-INDEX(LE_Curves!$B$5:$B$205,MATCH($B132,LE_Curves!$I$5:$I$205,1)))/(INDEX(LE_Curves!$I$5:$I$205,MATCH($B132,LE_Curves!$I$5:$I$205,1)+1)-INDEX(LE_Curves!$I$5:$I$205,MATCH($B132,LE_Curves!$I$5:$I$205,1))))))</f>
        <v/>
      </c>
      <c r="J132" s="11">
        <f>IF(Inputs!$D$30=0,0,IF($B132&lt;=Inputs!$C$30,0,IF($B132&gt;=INDEX(LE_Curves!$J$5:$J$205,201),INDEX(LE_Curves!$B$5:$B$205,201),INDEX(LE_Curves!$B$5:$B$205,MATCH($B132,LE_Curves!$J$5:$J$205,1))+($B132-INDEX(LE_Curves!$J$5:$J$205,MATCH($B132,LE_Curves!$J$5:$J$205,1)))*(INDEX(LE_Curves!$B$5:$B$205,MATCH($B132,LE_Curves!$J$5:$J$205,1)+1)-INDEX(LE_Curves!$B$5:$B$205,MATCH($B132,LE_Curves!$J$5:$J$205,1)))/(INDEX(LE_Curves!$J$5:$J$205,MATCH($B132,LE_Curves!$J$5:$J$205,1)+1)-INDEX(LE_Curves!$J$5:$J$205,MATCH($B132,LE_Curves!$J$5:$J$205,1))))))</f>
        <v/>
      </c>
      <c r="K132" s="11">
        <f>IF(Inputs!$D$31=0,0,IF($B132&lt;=Inputs!$C$31,0,IF($B132&gt;=INDEX(LE_Curves!$K$5:$K$205,201),INDEX(LE_Curves!$B$5:$B$205,201),INDEX(LE_Curves!$B$5:$B$205,MATCH($B132,LE_Curves!$K$5:$K$205,1))+($B132-INDEX(LE_Curves!$K$5:$K$205,MATCH($B132,LE_Curves!$K$5:$K$205,1)))*(INDEX(LE_Curves!$B$5:$B$205,MATCH($B132,LE_Curves!$K$5:$K$205,1)+1)-INDEX(LE_Curves!$B$5:$B$205,MATCH($B132,LE_Curves!$K$5:$K$205,1)))/(INDEX(LE_Curves!$K$5:$K$205,MATCH($B132,LE_Curves!$K$5:$K$205,1)+1)-INDEX(LE_Curves!$K$5:$K$205,MATCH($B132,LE_Curves!$K$5:$K$205,1))))))</f>
        <v/>
      </c>
      <c r="L132" s="11">
        <f>IF(Inputs!$D$32=0,0,IF($B132&lt;=Inputs!$C$32,0,IF($B132&gt;=INDEX(LE_Curves!$L$5:$L$205,201),INDEX(LE_Curves!$B$5:$B$205,201),INDEX(LE_Curves!$B$5:$B$205,MATCH($B132,LE_Curves!$L$5:$L$205,1))+($B132-INDEX(LE_Curves!$L$5:$L$205,MATCH($B132,LE_Curves!$L$5:$L$205,1)))*(INDEX(LE_Curves!$B$5:$B$205,MATCH($B132,LE_Curves!$L$5:$L$205,1)+1)-INDEX(LE_Curves!$B$5:$B$205,MATCH($B132,LE_Curves!$L$5:$L$205,1)))/(INDEX(LE_Curves!$L$5:$L$205,MATCH($B132,LE_Curves!$L$5:$L$205,1)+1)-INDEX(LE_Curves!$L$5:$L$205,MATCH($B132,LE_Curves!$L$5:$L$205,1))))))</f>
        <v/>
      </c>
      <c r="M132" s="11">
        <f>IF(Inputs!$D$33=0,0,IF($B132&lt;=Inputs!$C$33,0,IF($B132&gt;=INDEX(LE_Curves!$M$5:$M$205,201),INDEX(LE_Curves!$B$5:$B$205,201),INDEX(LE_Curves!$B$5:$B$205,MATCH($B132,LE_Curves!$M$5:$M$205,1))+($B132-INDEX(LE_Curves!$M$5:$M$205,MATCH($B132,LE_Curves!$M$5:$M$205,1)))*(INDEX(LE_Curves!$B$5:$B$205,MATCH($B132,LE_Curves!$M$5:$M$205,1)+1)-INDEX(LE_Curves!$B$5:$B$205,MATCH($B132,LE_Curves!$M$5:$M$205,1)))/(INDEX(LE_Curves!$M$5:$M$205,MATCH($B132,LE_Curves!$M$5:$M$205,1)+1)-INDEX(LE_Curves!$M$5:$M$205,MATCH($B132,LE_Curves!$M$5:$M$205,1))))))</f>
        <v/>
      </c>
      <c r="N132" s="11">
        <f>IF(Inputs!$D$34=0,0,IF($B132&lt;=Inputs!$C$34,0,IF($B132&gt;=INDEX(LE_Curves!$N$5:$N$205,201),INDEX(LE_Curves!$B$5:$B$205,201),INDEX(LE_Curves!$B$5:$B$205,MATCH($B132,LE_Curves!$N$5:$N$205,1))+($B132-INDEX(LE_Curves!$N$5:$N$205,MATCH($B132,LE_Curves!$N$5:$N$205,1)))*(INDEX(LE_Curves!$B$5:$B$205,MATCH($B132,LE_Curves!$N$5:$N$205,1)+1)-INDEX(LE_Curves!$B$5:$B$205,MATCH($B132,LE_Curves!$N$5:$N$205,1)))/(INDEX(LE_Curves!$N$5:$N$205,MATCH($B132,LE_Curves!$N$5:$N$205,1)+1)-INDEX(LE_Curves!$N$5:$N$205,MATCH($B132,LE_Curves!$N$5:$N$205,1))))))</f>
        <v/>
      </c>
      <c r="O132" s="11">
        <f>SUM(C132:N132)</f>
        <v/>
      </c>
      <c r="Q132" s="7" t="n">
        <v>101</v>
      </c>
      <c r="R132" s="23">
        <f>$B$6+($B$7-$B$6)*Q132/200</f>
        <v/>
      </c>
      <c r="S132" s="11">
        <f>IF(Inputs!$D$23=0,0,IF($R132&lt;=Inputs!$C$23,0,IF($R132&gt;=INDEX(LE_Curves!$C$5:$C$205,201),INDEX(LE_Curves!$B$5:$B$205,201),INDEX(LE_Curves!$B$5:$B$205,MATCH($R132,LE_Curves!$C$5:$C$205,1))+($R132-INDEX(LE_Curves!$C$5:$C$205,MATCH($R132,LE_Curves!$C$5:$C$205,1)))*(INDEX(LE_Curves!$B$5:$B$205,MATCH($R132,LE_Curves!$C$5:$C$205,1)+1)-INDEX(LE_Curves!$B$5:$B$205,MATCH($R132,LE_Curves!$C$5:$C$205,1)))/(INDEX(LE_Curves!$C$5:$C$205,MATCH($R132,LE_Curves!$C$5:$C$205,1)+1)-INDEX(LE_Curves!$C$5:$C$205,MATCH($R132,LE_Curves!$C$5:$C$205,1))))))</f>
        <v/>
      </c>
      <c r="T132" s="11">
        <f>IF(Inputs!$D$24=0,0,IF($R132&lt;=Inputs!$C$24,0,IF($R132&gt;=INDEX(LE_Curves!$D$5:$D$205,201),INDEX(LE_Curves!$B$5:$B$205,201),INDEX(LE_Curves!$B$5:$B$205,MATCH($R132,LE_Curves!$D$5:$D$205,1))+($R132-INDEX(LE_Curves!$D$5:$D$205,MATCH($R132,LE_Curves!$D$5:$D$205,1)))*(INDEX(LE_Curves!$B$5:$B$205,MATCH($R132,LE_Curves!$D$5:$D$205,1)+1)-INDEX(LE_Curves!$B$5:$B$205,MATCH($R132,LE_Curves!$D$5:$D$205,1)))/(INDEX(LE_Curves!$D$5:$D$205,MATCH($R132,LE_Curves!$D$5:$D$205,1)+1)-INDEX(LE_Curves!$D$5:$D$205,MATCH($R132,LE_Curves!$D$5:$D$205,1))))))</f>
        <v/>
      </c>
      <c r="U132" s="11">
        <f>IF(Inputs!$D$25=0,0,IF($R132&lt;=Inputs!$C$25,0,IF($R132&gt;=INDEX(LE_Curves!$E$5:$E$205,201),INDEX(LE_Curves!$B$5:$B$205,201),INDEX(LE_Curves!$B$5:$B$205,MATCH($R132,LE_Curves!$E$5:$E$205,1))+($R132-INDEX(LE_Curves!$E$5:$E$205,MATCH($R132,LE_Curves!$E$5:$E$205,1)))*(INDEX(LE_Curves!$B$5:$B$205,MATCH($R132,LE_Curves!$E$5:$E$205,1)+1)-INDEX(LE_Curves!$B$5:$B$205,MATCH($R132,LE_Curves!$E$5:$E$205,1)))/(INDEX(LE_Curves!$E$5:$E$205,MATCH($R132,LE_Curves!$E$5:$E$205,1)+1)-INDEX(LE_Curves!$E$5:$E$205,MATCH($R132,LE_Curves!$E$5:$E$205,1))))))</f>
        <v/>
      </c>
      <c r="V132" s="11">
        <f>IF(Inputs!$D$26=0,0,IF($R132&lt;=Inputs!$C$26,0,IF($R132&gt;=INDEX(LE_Curves!$F$5:$F$205,201),INDEX(LE_Curves!$B$5:$B$205,201),INDEX(LE_Curves!$B$5:$B$205,MATCH($R132,LE_Curves!$F$5:$F$205,1))+($R132-INDEX(LE_Curves!$F$5:$F$205,MATCH($R132,LE_Curves!$F$5:$F$205,1)))*(INDEX(LE_Curves!$B$5:$B$205,MATCH($R132,LE_Curves!$F$5:$F$205,1)+1)-INDEX(LE_Curves!$B$5:$B$205,MATCH($R132,LE_Curves!$F$5:$F$205,1)))/(INDEX(LE_Curves!$F$5:$F$205,MATCH($R132,LE_Curves!$F$5:$F$205,1)+1)-INDEX(LE_Curves!$F$5:$F$205,MATCH($R132,LE_Curves!$F$5:$F$205,1))))))</f>
        <v/>
      </c>
      <c r="W132" s="11">
        <f>IF(Inputs!$D$27=0,0,IF($R132&lt;=Inputs!$C$27,0,IF($R132&gt;=INDEX(LE_Curves!$G$5:$G$205,201),INDEX(LE_Curves!$B$5:$B$205,201),INDEX(LE_Curves!$B$5:$B$205,MATCH($R132,LE_Curves!$G$5:$G$205,1))+($R132-INDEX(LE_Curves!$G$5:$G$205,MATCH($R132,LE_Curves!$G$5:$G$205,1)))*(INDEX(LE_Curves!$B$5:$B$205,MATCH($R132,LE_Curves!$G$5:$G$205,1)+1)-INDEX(LE_Curves!$B$5:$B$205,MATCH($R132,LE_Curves!$G$5:$G$205,1)))/(INDEX(LE_Curves!$G$5:$G$205,MATCH($R132,LE_Curves!$G$5:$G$205,1)+1)-INDEX(LE_Curves!$G$5:$G$205,MATCH($R132,LE_Curves!$G$5:$G$205,1))))))</f>
        <v/>
      </c>
      <c r="X132" s="11">
        <f>IF(Inputs!$D$28=0,0,IF($R132&lt;=Inputs!$C$28,0,IF($R132&gt;=INDEX(LE_Curves!$H$5:$H$205,201),INDEX(LE_Curves!$B$5:$B$205,201),INDEX(LE_Curves!$B$5:$B$205,MATCH($R132,LE_Curves!$H$5:$H$205,1))+($R132-INDEX(LE_Curves!$H$5:$H$205,MATCH($R132,LE_Curves!$H$5:$H$205,1)))*(INDEX(LE_Curves!$B$5:$B$205,MATCH($R132,LE_Curves!$H$5:$H$205,1)+1)-INDEX(LE_Curves!$B$5:$B$205,MATCH($R132,LE_Curves!$H$5:$H$205,1)))/(INDEX(LE_Curves!$H$5:$H$205,MATCH($R132,LE_Curves!$H$5:$H$205,1)+1)-INDEX(LE_Curves!$H$5:$H$205,MATCH($R132,LE_Curves!$H$5:$H$205,1))))))</f>
        <v/>
      </c>
      <c r="Y132" s="11">
        <f>IF(Inputs!$D$29=0,0,IF($R132&lt;=Inputs!$C$29,0,IF($R132&gt;=INDEX(LE_Curves!$I$5:$I$205,201),INDEX(LE_Curves!$B$5:$B$205,201),INDEX(LE_Curves!$B$5:$B$205,MATCH($R132,LE_Curves!$I$5:$I$205,1))+($R132-INDEX(LE_Curves!$I$5:$I$205,MATCH($R132,LE_Curves!$I$5:$I$205,1)))*(INDEX(LE_Curves!$B$5:$B$205,MATCH($R132,LE_Curves!$I$5:$I$205,1)+1)-INDEX(LE_Curves!$B$5:$B$205,MATCH($R132,LE_Curves!$I$5:$I$205,1)))/(INDEX(LE_Curves!$I$5:$I$205,MATCH($R132,LE_Curves!$I$5:$I$205,1)+1)-INDEX(LE_Curves!$I$5:$I$205,MATCH($R132,LE_Curves!$I$5:$I$205,1))))))</f>
        <v/>
      </c>
      <c r="Z132" s="11">
        <f>IF(Inputs!$D$30=0,0,IF($R132&lt;=Inputs!$C$30,0,IF($R132&gt;=INDEX(LE_Curves!$J$5:$J$205,201),INDEX(LE_Curves!$B$5:$B$205,201),INDEX(LE_Curves!$B$5:$B$205,MATCH($R132,LE_Curves!$J$5:$J$205,1))+($R132-INDEX(LE_Curves!$J$5:$J$205,MATCH($R132,LE_Curves!$J$5:$J$205,1)))*(INDEX(LE_Curves!$B$5:$B$205,MATCH($R132,LE_Curves!$J$5:$J$205,1)+1)-INDEX(LE_Curves!$B$5:$B$205,MATCH($R132,LE_Curves!$J$5:$J$205,1)))/(INDEX(LE_Curves!$J$5:$J$205,MATCH($R132,LE_Curves!$J$5:$J$205,1)+1)-INDEX(LE_Curves!$J$5:$J$205,MATCH($R132,LE_Curves!$J$5:$J$205,1))))))</f>
        <v/>
      </c>
      <c r="AA132" s="11">
        <f>IF(Inputs!$D$31=0,0,IF($R132&lt;=Inputs!$C$31,0,IF($R132&gt;=INDEX(LE_Curves!$K$5:$K$205,201),INDEX(LE_Curves!$B$5:$B$205,201),INDEX(LE_Curves!$B$5:$B$205,MATCH($R132,LE_Curves!$K$5:$K$205,1))+($R132-INDEX(LE_Curves!$K$5:$K$205,MATCH($R132,LE_Curves!$K$5:$K$205,1)))*(INDEX(LE_Curves!$B$5:$B$205,MATCH($R132,LE_Curves!$K$5:$K$205,1)+1)-INDEX(LE_Curves!$B$5:$B$205,MATCH($R132,LE_Curves!$K$5:$K$205,1)))/(INDEX(LE_Curves!$K$5:$K$205,MATCH($R132,LE_Curves!$K$5:$K$205,1)+1)-INDEX(LE_Curves!$K$5:$K$205,MATCH($R132,LE_Curves!$K$5:$K$205,1))))))</f>
        <v/>
      </c>
      <c r="AB132" s="11">
        <f>IF(Inputs!$D$32=0,0,IF($R132&lt;=Inputs!$C$32,0,IF($R132&gt;=INDEX(LE_Curves!$L$5:$L$205,201),INDEX(LE_Curves!$B$5:$B$205,201),INDEX(LE_Curves!$B$5:$B$205,MATCH($R132,LE_Curves!$L$5:$L$205,1))+($R132-INDEX(LE_Curves!$L$5:$L$205,MATCH($R132,LE_Curves!$L$5:$L$205,1)))*(INDEX(LE_Curves!$B$5:$B$205,MATCH($R132,LE_Curves!$L$5:$L$205,1)+1)-INDEX(LE_Curves!$B$5:$B$205,MATCH($R132,LE_Curves!$L$5:$L$205,1)))/(INDEX(LE_Curves!$L$5:$L$205,MATCH($R132,LE_Curves!$L$5:$L$205,1)+1)-INDEX(LE_Curves!$L$5:$L$205,MATCH($R132,LE_Curves!$L$5:$L$205,1))))))</f>
        <v/>
      </c>
      <c r="AC132" s="11">
        <f>IF(Inputs!$D$33=0,0,IF($R132&lt;=Inputs!$C$33,0,IF($R132&gt;=INDEX(LE_Curves!$M$5:$M$205,201),INDEX(LE_Curves!$B$5:$B$205,201),INDEX(LE_Curves!$B$5:$B$205,MATCH($R132,LE_Curves!$M$5:$M$205,1))+($R132-INDEX(LE_Curves!$M$5:$M$205,MATCH($R132,LE_Curves!$M$5:$M$205,1)))*(INDEX(LE_Curves!$B$5:$B$205,MATCH($R132,LE_Curves!$M$5:$M$205,1)+1)-INDEX(LE_Curves!$B$5:$B$205,MATCH($R132,LE_Curves!$M$5:$M$205,1)))/(INDEX(LE_Curves!$M$5:$M$205,MATCH($R132,LE_Curves!$M$5:$M$205,1)+1)-INDEX(LE_Curves!$M$5:$M$205,MATCH($R132,LE_Curves!$M$5:$M$205,1))))))</f>
        <v/>
      </c>
      <c r="AD132" s="11">
        <f>IF(Inputs!$D$34=0,0,IF($R132&lt;=Inputs!$C$34,0,IF($R132&gt;=INDEX(LE_Curves!$N$5:$N$205,201),INDEX(LE_Curves!$B$5:$B$205,201),INDEX(LE_Curves!$B$5:$B$205,MATCH($R132,LE_Curves!$N$5:$N$205,1))+($R132-INDEX(LE_Curves!$N$5:$N$205,MATCH($R132,LE_Curves!$N$5:$N$205,1)))*(INDEX(LE_Curves!$B$5:$B$205,MATCH($R132,LE_Curves!$N$5:$N$205,1)+1)-INDEX(LE_Curves!$B$5:$B$205,MATCH($R132,LE_Curves!$N$5:$N$205,1)))/(INDEX(LE_Curves!$N$5:$N$205,MATCH($R132,LE_Curves!$N$5:$N$205,1)+1)-INDEX(LE_Curves!$N$5:$N$205,MATCH($R132,LE_Curves!$N$5:$N$205,1))))))</f>
        <v/>
      </c>
      <c r="AE132" s="37">
        <f>SUM(S132:AD132)</f>
        <v/>
      </c>
    </row>
    <row r="133">
      <c r="A133" s="7" t="n">
        <v>102</v>
      </c>
      <c r="B133" s="37">
        <f>$B$3+($B$4-$B$3)*A133/200</f>
        <v/>
      </c>
      <c r="C133" s="11">
        <f>IF(Inputs!$D$23=0,0,IF($B133&lt;=Inputs!$C$23,0,IF($B133&gt;=INDEX(LE_Curves!$C$5:$C$205,201),INDEX(LE_Curves!$B$5:$B$205,201),INDEX(LE_Curves!$B$5:$B$205,MATCH($B133,LE_Curves!$C$5:$C$205,1))+($B133-INDEX(LE_Curves!$C$5:$C$205,MATCH($B133,LE_Curves!$C$5:$C$205,1)))*(INDEX(LE_Curves!$B$5:$B$205,MATCH($B133,LE_Curves!$C$5:$C$205,1)+1)-INDEX(LE_Curves!$B$5:$B$205,MATCH($B133,LE_Curves!$C$5:$C$205,1)))/(INDEX(LE_Curves!$C$5:$C$205,MATCH($B133,LE_Curves!$C$5:$C$205,1)+1)-INDEX(LE_Curves!$C$5:$C$205,MATCH($B133,LE_Curves!$C$5:$C$205,1))))))</f>
        <v/>
      </c>
      <c r="D133" s="11">
        <f>IF(Inputs!$D$24=0,0,IF($B133&lt;=Inputs!$C$24,0,IF($B133&gt;=INDEX(LE_Curves!$D$5:$D$205,201),INDEX(LE_Curves!$B$5:$B$205,201),INDEX(LE_Curves!$B$5:$B$205,MATCH($B133,LE_Curves!$D$5:$D$205,1))+($B133-INDEX(LE_Curves!$D$5:$D$205,MATCH($B133,LE_Curves!$D$5:$D$205,1)))*(INDEX(LE_Curves!$B$5:$B$205,MATCH($B133,LE_Curves!$D$5:$D$205,1)+1)-INDEX(LE_Curves!$B$5:$B$205,MATCH($B133,LE_Curves!$D$5:$D$205,1)))/(INDEX(LE_Curves!$D$5:$D$205,MATCH($B133,LE_Curves!$D$5:$D$205,1)+1)-INDEX(LE_Curves!$D$5:$D$205,MATCH($B133,LE_Curves!$D$5:$D$205,1))))))</f>
        <v/>
      </c>
      <c r="E133" s="11">
        <f>IF(Inputs!$D$25=0,0,IF($B133&lt;=Inputs!$C$25,0,IF($B133&gt;=INDEX(LE_Curves!$E$5:$E$205,201),INDEX(LE_Curves!$B$5:$B$205,201),INDEX(LE_Curves!$B$5:$B$205,MATCH($B133,LE_Curves!$E$5:$E$205,1))+($B133-INDEX(LE_Curves!$E$5:$E$205,MATCH($B133,LE_Curves!$E$5:$E$205,1)))*(INDEX(LE_Curves!$B$5:$B$205,MATCH($B133,LE_Curves!$E$5:$E$205,1)+1)-INDEX(LE_Curves!$B$5:$B$205,MATCH($B133,LE_Curves!$E$5:$E$205,1)))/(INDEX(LE_Curves!$E$5:$E$205,MATCH($B133,LE_Curves!$E$5:$E$205,1)+1)-INDEX(LE_Curves!$E$5:$E$205,MATCH($B133,LE_Curves!$E$5:$E$205,1))))))</f>
        <v/>
      </c>
      <c r="F133" s="11">
        <f>IF(Inputs!$D$26=0,0,IF($B133&lt;=Inputs!$C$26,0,IF($B133&gt;=INDEX(LE_Curves!$F$5:$F$205,201),INDEX(LE_Curves!$B$5:$B$205,201),INDEX(LE_Curves!$B$5:$B$205,MATCH($B133,LE_Curves!$F$5:$F$205,1))+($B133-INDEX(LE_Curves!$F$5:$F$205,MATCH($B133,LE_Curves!$F$5:$F$205,1)))*(INDEX(LE_Curves!$B$5:$B$205,MATCH($B133,LE_Curves!$F$5:$F$205,1)+1)-INDEX(LE_Curves!$B$5:$B$205,MATCH($B133,LE_Curves!$F$5:$F$205,1)))/(INDEX(LE_Curves!$F$5:$F$205,MATCH($B133,LE_Curves!$F$5:$F$205,1)+1)-INDEX(LE_Curves!$F$5:$F$205,MATCH($B133,LE_Curves!$F$5:$F$205,1))))))</f>
        <v/>
      </c>
      <c r="G133" s="11">
        <f>IF(Inputs!$D$27=0,0,IF($B133&lt;=Inputs!$C$27,0,IF($B133&gt;=INDEX(LE_Curves!$G$5:$G$205,201),INDEX(LE_Curves!$B$5:$B$205,201),INDEX(LE_Curves!$B$5:$B$205,MATCH($B133,LE_Curves!$G$5:$G$205,1))+($B133-INDEX(LE_Curves!$G$5:$G$205,MATCH($B133,LE_Curves!$G$5:$G$205,1)))*(INDEX(LE_Curves!$B$5:$B$205,MATCH($B133,LE_Curves!$G$5:$G$205,1)+1)-INDEX(LE_Curves!$B$5:$B$205,MATCH($B133,LE_Curves!$G$5:$G$205,1)))/(INDEX(LE_Curves!$G$5:$G$205,MATCH($B133,LE_Curves!$G$5:$G$205,1)+1)-INDEX(LE_Curves!$G$5:$G$205,MATCH($B133,LE_Curves!$G$5:$G$205,1))))))</f>
        <v/>
      </c>
      <c r="H133" s="11">
        <f>IF(Inputs!$D$28=0,0,IF($B133&lt;=Inputs!$C$28,0,IF($B133&gt;=INDEX(LE_Curves!$H$5:$H$205,201),INDEX(LE_Curves!$B$5:$B$205,201),INDEX(LE_Curves!$B$5:$B$205,MATCH($B133,LE_Curves!$H$5:$H$205,1))+($B133-INDEX(LE_Curves!$H$5:$H$205,MATCH($B133,LE_Curves!$H$5:$H$205,1)))*(INDEX(LE_Curves!$B$5:$B$205,MATCH($B133,LE_Curves!$H$5:$H$205,1)+1)-INDEX(LE_Curves!$B$5:$B$205,MATCH($B133,LE_Curves!$H$5:$H$205,1)))/(INDEX(LE_Curves!$H$5:$H$205,MATCH($B133,LE_Curves!$H$5:$H$205,1)+1)-INDEX(LE_Curves!$H$5:$H$205,MATCH($B133,LE_Curves!$H$5:$H$205,1))))))</f>
        <v/>
      </c>
      <c r="I133" s="11">
        <f>IF(Inputs!$D$29=0,0,IF($B133&lt;=Inputs!$C$29,0,IF($B133&gt;=INDEX(LE_Curves!$I$5:$I$205,201),INDEX(LE_Curves!$B$5:$B$205,201),INDEX(LE_Curves!$B$5:$B$205,MATCH($B133,LE_Curves!$I$5:$I$205,1))+($B133-INDEX(LE_Curves!$I$5:$I$205,MATCH($B133,LE_Curves!$I$5:$I$205,1)))*(INDEX(LE_Curves!$B$5:$B$205,MATCH($B133,LE_Curves!$I$5:$I$205,1)+1)-INDEX(LE_Curves!$B$5:$B$205,MATCH($B133,LE_Curves!$I$5:$I$205,1)))/(INDEX(LE_Curves!$I$5:$I$205,MATCH($B133,LE_Curves!$I$5:$I$205,1)+1)-INDEX(LE_Curves!$I$5:$I$205,MATCH($B133,LE_Curves!$I$5:$I$205,1))))))</f>
        <v/>
      </c>
      <c r="J133" s="11">
        <f>IF(Inputs!$D$30=0,0,IF($B133&lt;=Inputs!$C$30,0,IF($B133&gt;=INDEX(LE_Curves!$J$5:$J$205,201),INDEX(LE_Curves!$B$5:$B$205,201),INDEX(LE_Curves!$B$5:$B$205,MATCH($B133,LE_Curves!$J$5:$J$205,1))+($B133-INDEX(LE_Curves!$J$5:$J$205,MATCH($B133,LE_Curves!$J$5:$J$205,1)))*(INDEX(LE_Curves!$B$5:$B$205,MATCH($B133,LE_Curves!$J$5:$J$205,1)+1)-INDEX(LE_Curves!$B$5:$B$205,MATCH($B133,LE_Curves!$J$5:$J$205,1)))/(INDEX(LE_Curves!$J$5:$J$205,MATCH($B133,LE_Curves!$J$5:$J$205,1)+1)-INDEX(LE_Curves!$J$5:$J$205,MATCH($B133,LE_Curves!$J$5:$J$205,1))))))</f>
        <v/>
      </c>
      <c r="K133" s="11">
        <f>IF(Inputs!$D$31=0,0,IF($B133&lt;=Inputs!$C$31,0,IF($B133&gt;=INDEX(LE_Curves!$K$5:$K$205,201),INDEX(LE_Curves!$B$5:$B$205,201),INDEX(LE_Curves!$B$5:$B$205,MATCH($B133,LE_Curves!$K$5:$K$205,1))+($B133-INDEX(LE_Curves!$K$5:$K$205,MATCH($B133,LE_Curves!$K$5:$K$205,1)))*(INDEX(LE_Curves!$B$5:$B$205,MATCH($B133,LE_Curves!$K$5:$K$205,1)+1)-INDEX(LE_Curves!$B$5:$B$205,MATCH($B133,LE_Curves!$K$5:$K$205,1)))/(INDEX(LE_Curves!$K$5:$K$205,MATCH($B133,LE_Curves!$K$5:$K$205,1)+1)-INDEX(LE_Curves!$K$5:$K$205,MATCH($B133,LE_Curves!$K$5:$K$205,1))))))</f>
        <v/>
      </c>
      <c r="L133" s="11">
        <f>IF(Inputs!$D$32=0,0,IF($B133&lt;=Inputs!$C$32,0,IF($B133&gt;=INDEX(LE_Curves!$L$5:$L$205,201),INDEX(LE_Curves!$B$5:$B$205,201),INDEX(LE_Curves!$B$5:$B$205,MATCH($B133,LE_Curves!$L$5:$L$205,1))+($B133-INDEX(LE_Curves!$L$5:$L$205,MATCH($B133,LE_Curves!$L$5:$L$205,1)))*(INDEX(LE_Curves!$B$5:$B$205,MATCH($B133,LE_Curves!$L$5:$L$205,1)+1)-INDEX(LE_Curves!$B$5:$B$205,MATCH($B133,LE_Curves!$L$5:$L$205,1)))/(INDEX(LE_Curves!$L$5:$L$205,MATCH($B133,LE_Curves!$L$5:$L$205,1)+1)-INDEX(LE_Curves!$L$5:$L$205,MATCH($B133,LE_Curves!$L$5:$L$205,1))))))</f>
        <v/>
      </c>
      <c r="M133" s="11">
        <f>IF(Inputs!$D$33=0,0,IF($B133&lt;=Inputs!$C$33,0,IF($B133&gt;=INDEX(LE_Curves!$M$5:$M$205,201),INDEX(LE_Curves!$B$5:$B$205,201),INDEX(LE_Curves!$B$5:$B$205,MATCH($B133,LE_Curves!$M$5:$M$205,1))+($B133-INDEX(LE_Curves!$M$5:$M$205,MATCH($B133,LE_Curves!$M$5:$M$205,1)))*(INDEX(LE_Curves!$B$5:$B$205,MATCH($B133,LE_Curves!$M$5:$M$205,1)+1)-INDEX(LE_Curves!$B$5:$B$205,MATCH($B133,LE_Curves!$M$5:$M$205,1)))/(INDEX(LE_Curves!$M$5:$M$205,MATCH($B133,LE_Curves!$M$5:$M$205,1)+1)-INDEX(LE_Curves!$M$5:$M$205,MATCH($B133,LE_Curves!$M$5:$M$205,1))))))</f>
        <v/>
      </c>
      <c r="N133" s="11">
        <f>IF(Inputs!$D$34=0,0,IF($B133&lt;=Inputs!$C$34,0,IF($B133&gt;=INDEX(LE_Curves!$N$5:$N$205,201),INDEX(LE_Curves!$B$5:$B$205,201),INDEX(LE_Curves!$B$5:$B$205,MATCH($B133,LE_Curves!$N$5:$N$205,1))+($B133-INDEX(LE_Curves!$N$5:$N$205,MATCH($B133,LE_Curves!$N$5:$N$205,1)))*(INDEX(LE_Curves!$B$5:$B$205,MATCH($B133,LE_Curves!$N$5:$N$205,1)+1)-INDEX(LE_Curves!$B$5:$B$205,MATCH($B133,LE_Curves!$N$5:$N$205,1)))/(INDEX(LE_Curves!$N$5:$N$205,MATCH($B133,LE_Curves!$N$5:$N$205,1)+1)-INDEX(LE_Curves!$N$5:$N$205,MATCH($B133,LE_Curves!$N$5:$N$205,1))))))</f>
        <v/>
      </c>
      <c r="O133" s="11">
        <f>SUM(C133:N133)</f>
        <v/>
      </c>
      <c r="Q133" s="7" t="n">
        <v>102</v>
      </c>
      <c r="R133" s="23">
        <f>$B$6+($B$7-$B$6)*Q133/200</f>
        <v/>
      </c>
      <c r="S133" s="11">
        <f>IF(Inputs!$D$23=0,0,IF($R133&lt;=Inputs!$C$23,0,IF($R133&gt;=INDEX(LE_Curves!$C$5:$C$205,201),INDEX(LE_Curves!$B$5:$B$205,201),INDEX(LE_Curves!$B$5:$B$205,MATCH($R133,LE_Curves!$C$5:$C$205,1))+($R133-INDEX(LE_Curves!$C$5:$C$205,MATCH($R133,LE_Curves!$C$5:$C$205,1)))*(INDEX(LE_Curves!$B$5:$B$205,MATCH($R133,LE_Curves!$C$5:$C$205,1)+1)-INDEX(LE_Curves!$B$5:$B$205,MATCH($R133,LE_Curves!$C$5:$C$205,1)))/(INDEX(LE_Curves!$C$5:$C$205,MATCH($R133,LE_Curves!$C$5:$C$205,1)+1)-INDEX(LE_Curves!$C$5:$C$205,MATCH($R133,LE_Curves!$C$5:$C$205,1))))))</f>
        <v/>
      </c>
      <c r="T133" s="11">
        <f>IF(Inputs!$D$24=0,0,IF($R133&lt;=Inputs!$C$24,0,IF($R133&gt;=INDEX(LE_Curves!$D$5:$D$205,201),INDEX(LE_Curves!$B$5:$B$205,201),INDEX(LE_Curves!$B$5:$B$205,MATCH($R133,LE_Curves!$D$5:$D$205,1))+($R133-INDEX(LE_Curves!$D$5:$D$205,MATCH($R133,LE_Curves!$D$5:$D$205,1)))*(INDEX(LE_Curves!$B$5:$B$205,MATCH($R133,LE_Curves!$D$5:$D$205,1)+1)-INDEX(LE_Curves!$B$5:$B$205,MATCH($R133,LE_Curves!$D$5:$D$205,1)))/(INDEX(LE_Curves!$D$5:$D$205,MATCH($R133,LE_Curves!$D$5:$D$205,1)+1)-INDEX(LE_Curves!$D$5:$D$205,MATCH($R133,LE_Curves!$D$5:$D$205,1))))))</f>
        <v/>
      </c>
      <c r="U133" s="11">
        <f>IF(Inputs!$D$25=0,0,IF($R133&lt;=Inputs!$C$25,0,IF($R133&gt;=INDEX(LE_Curves!$E$5:$E$205,201),INDEX(LE_Curves!$B$5:$B$205,201),INDEX(LE_Curves!$B$5:$B$205,MATCH($R133,LE_Curves!$E$5:$E$205,1))+($R133-INDEX(LE_Curves!$E$5:$E$205,MATCH($R133,LE_Curves!$E$5:$E$205,1)))*(INDEX(LE_Curves!$B$5:$B$205,MATCH($R133,LE_Curves!$E$5:$E$205,1)+1)-INDEX(LE_Curves!$B$5:$B$205,MATCH($R133,LE_Curves!$E$5:$E$205,1)))/(INDEX(LE_Curves!$E$5:$E$205,MATCH($R133,LE_Curves!$E$5:$E$205,1)+1)-INDEX(LE_Curves!$E$5:$E$205,MATCH($R133,LE_Curves!$E$5:$E$205,1))))))</f>
        <v/>
      </c>
      <c r="V133" s="11">
        <f>IF(Inputs!$D$26=0,0,IF($R133&lt;=Inputs!$C$26,0,IF($R133&gt;=INDEX(LE_Curves!$F$5:$F$205,201),INDEX(LE_Curves!$B$5:$B$205,201),INDEX(LE_Curves!$B$5:$B$205,MATCH($R133,LE_Curves!$F$5:$F$205,1))+($R133-INDEX(LE_Curves!$F$5:$F$205,MATCH($R133,LE_Curves!$F$5:$F$205,1)))*(INDEX(LE_Curves!$B$5:$B$205,MATCH($R133,LE_Curves!$F$5:$F$205,1)+1)-INDEX(LE_Curves!$B$5:$B$205,MATCH($R133,LE_Curves!$F$5:$F$205,1)))/(INDEX(LE_Curves!$F$5:$F$205,MATCH($R133,LE_Curves!$F$5:$F$205,1)+1)-INDEX(LE_Curves!$F$5:$F$205,MATCH($R133,LE_Curves!$F$5:$F$205,1))))))</f>
        <v/>
      </c>
      <c r="W133" s="11">
        <f>IF(Inputs!$D$27=0,0,IF($R133&lt;=Inputs!$C$27,0,IF($R133&gt;=INDEX(LE_Curves!$G$5:$G$205,201),INDEX(LE_Curves!$B$5:$B$205,201),INDEX(LE_Curves!$B$5:$B$205,MATCH($R133,LE_Curves!$G$5:$G$205,1))+($R133-INDEX(LE_Curves!$G$5:$G$205,MATCH($R133,LE_Curves!$G$5:$G$205,1)))*(INDEX(LE_Curves!$B$5:$B$205,MATCH($R133,LE_Curves!$G$5:$G$205,1)+1)-INDEX(LE_Curves!$B$5:$B$205,MATCH($R133,LE_Curves!$G$5:$G$205,1)))/(INDEX(LE_Curves!$G$5:$G$205,MATCH($R133,LE_Curves!$G$5:$G$205,1)+1)-INDEX(LE_Curves!$G$5:$G$205,MATCH($R133,LE_Curves!$G$5:$G$205,1))))))</f>
        <v/>
      </c>
      <c r="X133" s="11">
        <f>IF(Inputs!$D$28=0,0,IF($R133&lt;=Inputs!$C$28,0,IF($R133&gt;=INDEX(LE_Curves!$H$5:$H$205,201),INDEX(LE_Curves!$B$5:$B$205,201),INDEX(LE_Curves!$B$5:$B$205,MATCH($R133,LE_Curves!$H$5:$H$205,1))+($R133-INDEX(LE_Curves!$H$5:$H$205,MATCH($R133,LE_Curves!$H$5:$H$205,1)))*(INDEX(LE_Curves!$B$5:$B$205,MATCH($R133,LE_Curves!$H$5:$H$205,1)+1)-INDEX(LE_Curves!$B$5:$B$205,MATCH($R133,LE_Curves!$H$5:$H$205,1)))/(INDEX(LE_Curves!$H$5:$H$205,MATCH($R133,LE_Curves!$H$5:$H$205,1)+1)-INDEX(LE_Curves!$H$5:$H$205,MATCH($R133,LE_Curves!$H$5:$H$205,1))))))</f>
        <v/>
      </c>
      <c r="Y133" s="11">
        <f>IF(Inputs!$D$29=0,0,IF($R133&lt;=Inputs!$C$29,0,IF($R133&gt;=INDEX(LE_Curves!$I$5:$I$205,201),INDEX(LE_Curves!$B$5:$B$205,201),INDEX(LE_Curves!$B$5:$B$205,MATCH($R133,LE_Curves!$I$5:$I$205,1))+($R133-INDEX(LE_Curves!$I$5:$I$205,MATCH($R133,LE_Curves!$I$5:$I$205,1)))*(INDEX(LE_Curves!$B$5:$B$205,MATCH($R133,LE_Curves!$I$5:$I$205,1)+1)-INDEX(LE_Curves!$B$5:$B$205,MATCH($R133,LE_Curves!$I$5:$I$205,1)))/(INDEX(LE_Curves!$I$5:$I$205,MATCH($R133,LE_Curves!$I$5:$I$205,1)+1)-INDEX(LE_Curves!$I$5:$I$205,MATCH($R133,LE_Curves!$I$5:$I$205,1))))))</f>
        <v/>
      </c>
      <c r="Z133" s="11">
        <f>IF(Inputs!$D$30=0,0,IF($R133&lt;=Inputs!$C$30,0,IF($R133&gt;=INDEX(LE_Curves!$J$5:$J$205,201),INDEX(LE_Curves!$B$5:$B$205,201),INDEX(LE_Curves!$B$5:$B$205,MATCH($R133,LE_Curves!$J$5:$J$205,1))+($R133-INDEX(LE_Curves!$J$5:$J$205,MATCH($R133,LE_Curves!$J$5:$J$205,1)))*(INDEX(LE_Curves!$B$5:$B$205,MATCH($R133,LE_Curves!$J$5:$J$205,1)+1)-INDEX(LE_Curves!$B$5:$B$205,MATCH($R133,LE_Curves!$J$5:$J$205,1)))/(INDEX(LE_Curves!$J$5:$J$205,MATCH($R133,LE_Curves!$J$5:$J$205,1)+1)-INDEX(LE_Curves!$J$5:$J$205,MATCH($R133,LE_Curves!$J$5:$J$205,1))))))</f>
        <v/>
      </c>
      <c r="AA133" s="11">
        <f>IF(Inputs!$D$31=0,0,IF($R133&lt;=Inputs!$C$31,0,IF($R133&gt;=INDEX(LE_Curves!$K$5:$K$205,201),INDEX(LE_Curves!$B$5:$B$205,201),INDEX(LE_Curves!$B$5:$B$205,MATCH($R133,LE_Curves!$K$5:$K$205,1))+($R133-INDEX(LE_Curves!$K$5:$K$205,MATCH($R133,LE_Curves!$K$5:$K$205,1)))*(INDEX(LE_Curves!$B$5:$B$205,MATCH($R133,LE_Curves!$K$5:$K$205,1)+1)-INDEX(LE_Curves!$B$5:$B$205,MATCH($R133,LE_Curves!$K$5:$K$205,1)))/(INDEX(LE_Curves!$K$5:$K$205,MATCH($R133,LE_Curves!$K$5:$K$205,1)+1)-INDEX(LE_Curves!$K$5:$K$205,MATCH($R133,LE_Curves!$K$5:$K$205,1))))))</f>
        <v/>
      </c>
      <c r="AB133" s="11">
        <f>IF(Inputs!$D$32=0,0,IF($R133&lt;=Inputs!$C$32,0,IF($R133&gt;=INDEX(LE_Curves!$L$5:$L$205,201),INDEX(LE_Curves!$B$5:$B$205,201),INDEX(LE_Curves!$B$5:$B$205,MATCH($R133,LE_Curves!$L$5:$L$205,1))+($R133-INDEX(LE_Curves!$L$5:$L$205,MATCH($R133,LE_Curves!$L$5:$L$205,1)))*(INDEX(LE_Curves!$B$5:$B$205,MATCH($R133,LE_Curves!$L$5:$L$205,1)+1)-INDEX(LE_Curves!$B$5:$B$205,MATCH($R133,LE_Curves!$L$5:$L$205,1)))/(INDEX(LE_Curves!$L$5:$L$205,MATCH($R133,LE_Curves!$L$5:$L$205,1)+1)-INDEX(LE_Curves!$L$5:$L$205,MATCH($R133,LE_Curves!$L$5:$L$205,1))))))</f>
        <v/>
      </c>
      <c r="AC133" s="11">
        <f>IF(Inputs!$D$33=0,0,IF($R133&lt;=Inputs!$C$33,0,IF($R133&gt;=INDEX(LE_Curves!$M$5:$M$205,201),INDEX(LE_Curves!$B$5:$B$205,201),INDEX(LE_Curves!$B$5:$B$205,MATCH($R133,LE_Curves!$M$5:$M$205,1))+($R133-INDEX(LE_Curves!$M$5:$M$205,MATCH($R133,LE_Curves!$M$5:$M$205,1)))*(INDEX(LE_Curves!$B$5:$B$205,MATCH($R133,LE_Curves!$M$5:$M$205,1)+1)-INDEX(LE_Curves!$B$5:$B$205,MATCH($R133,LE_Curves!$M$5:$M$205,1)))/(INDEX(LE_Curves!$M$5:$M$205,MATCH($R133,LE_Curves!$M$5:$M$205,1)+1)-INDEX(LE_Curves!$M$5:$M$205,MATCH($R133,LE_Curves!$M$5:$M$205,1))))))</f>
        <v/>
      </c>
      <c r="AD133" s="11">
        <f>IF(Inputs!$D$34=0,0,IF($R133&lt;=Inputs!$C$34,0,IF($R133&gt;=INDEX(LE_Curves!$N$5:$N$205,201),INDEX(LE_Curves!$B$5:$B$205,201),INDEX(LE_Curves!$B$5:$B$205,MATCH($R133,LE_Curves!$N$5:$N$205,1))+($R133-INDEX(LE_Curves!$N$5:$N$205,MATCH($R133,LE_Curves!$N$5:$N$205,1)))*(INDEX(LE_Curves!$B$5:$B$205,MATCH($R133,LE_Curves!$N$5:$N$205,1)+1)-INDEX(LE_Curves!$B$5:$B$205,MATCH($R133,LE_Curves!$N$5:$N$205,1)))/(INDEX(LE_Curves!$N$5:$N$205,MATCH($R133,LE_Curves!$N$5:$N$205,1)+1)-INDEX(LE_Curves!$N$5:$N$205,MATCH($R133,LE_Curves!$N$5:$N$205,1))))))</f>
        <v/>
      </c>
      <c r="AE133" s="37">
        <f>SUM(S133:AD133)</f>
        <v/>
      </c>
    </row>
    <row r="134">
      <c r="A134" s="7" t="n">
        <v>103</v>
      </c>
      <c r="B134" s="37">
        <f>$B$3+($B$4-$B$3)*A134/200</f>
        <v/>
      </c>
      <c r="C134" s="11">
        <f>IF(Inputs!$D$23=0,0,IF($B134&lt;=Inputs!$C$23,0,IF($B134&gt;=INDEX(LE_Curves!$C$5:$C$205,201),INDEX(LE_Curves!$B$5:$B$205,201),INDEX(LE_Curves!$B$5:$B$205,MATCH($B134,LE_Curves!$C$5:$C$205,1))+($B134-INDEX(LE_Curves!$C$5:$C$205,MATCH($B134,LE_Curves!$C$5:$C$205,1)))*(INDEX(LE_Curves!$B$5:$B$205,MATCH($B134,LE_Curves!$C$5:$C$205,1)+1)-INDEX(LE_Curves!$B$5:$B$205,MATCH($B134,LE_Curves!$C$5:$C$205,1)))/(INDEX(LE_Curves!$C$5:$C$205,MATCH($B134,LE_Curves!$C$5:$C$205,1)+1)-INDEX(LE_Curves!$C$5:$C$205,MATCH($B134,LE_Curves!$C$5:$C$205,1))))))</f>
        <v/>
      </c>
      <c r="D134" s="11">
        <f>IF(Inputs!$D$24=0,0,IF($B134&lt;=Inputs!$C$24,0,IF($B134&gt;=INDEX(LE_Curves!$D$5:$D$205,201),INDEX(LE_Curves!$B$5:$B$205,201),INDEX(LE_Curves!$B$5:$B$205,MATCH($B134,LE_Curves!$D$5:$D$205,1))+($B134-INDEX(LE_Curves!$D$5:$D$205,MATCH($B134,LE_Curves!$D$5:$D$205,1)))*(INDEX(LE_Curves!$B$5:$B$205,MATCH($B134,LE_Curves!$D$5:$D$205,1)+1)-INDEX(LE_Curves!$B$5:$B$205,MATCH($B134,LE_Curves!$D$5:$D$205,1)))/(INDEX(LE_Curves!$D$5:$D$205,MATCH($B134,LE_Curves!$D$5:$D$205,1)+1)-INDEX(LE_Curves!$D$5:$D$205,MATCH($B134,LE_Curves!$D$5:$D$205,1))))))</f>
        <v/>
      </c>
      <c r="E134" s="11">
        <f>IF(Inputs!$D$25=0,0,IF($B134&lt;=Inputs!$C$25,0,IF($B134&gt;=INDEX(LE_Curves!$E$5:$E$205,201),INDEX(LE_Curves!$B$5:$B$205,201),INDEX(LE_Curves!$B$5:$B$205,MATCH($B134,LE_Curves!$E$5:$E$205,1))+($B134-INDEX(LE_Curves!$E$5:$E$205,MATCH($B134,LE_Curves!$E$5:$E$205,1)))*(INDEX(LE_Curves!$B$5:$B$205,MATCH($B134,LE_Curves!$E$5:$E$205,1)+1)-INDEX(LE_Curves!$B$5:$B$205,MATCH($B134,LE_Curves!$E$5:$E$205,1)))/(INDEX(LE_Curves!$E$5:$E$205,MATCH($B134,LE_Curves!$E$5:$E$205,1)+1)-INDEX(LE_Curves!$E$5:$E$205,MATCH($B134,LE_Curves!$E$5:$E$205,1))))))</f>
        <v/>
      </c>
      <c r="F134" s="11">
        <f>IF(Inputs!$D$26=0,0,IF($B134&lt;=Inputs!$C$26,0,IF($B134&gt;=INDEX(LE_Curves!$F$5:$F$205,201),INDEX(LE_Curves!$B$5:$B$205,201),INDEX(LE_Curves!$B$5:$B$205,MATCH($B134,LE_Curves!$F$5:$F$205,1))+($B134-INDEX(LE_Curves!$F$5:$F$205,MATCH($B134,LE_Curves!$F$5:$F$205,1)))*(INDEX(LE_Curves!$B$5:$B$205,MATCH($B134,LE_Curves!$F$5:$F$205,1)+1)-INDEX(LE_Curves!$B$5:$B$205,MATCH($B134,LE_Curves!$F$5:$F$205,1)))/(INDEX(LE_Curves!$F$5:$F$205,MATCH($B134,LE_Curves!$F$5:$F$205,1)+1)-INDEX(LE_Curves!$F$5:$F$205,MATCH($B134,LE_Curves!$F$5:$F$205,1))))))</f>
        <v/>
      </c>
      <c r="G134" s="11">
        <f>IF(Inputs!$D$27=0,0,IF($B134&lt;=Inputs!$C$27,0,IF($B134&gt;=INDEX(LE_Curves!$G$5:$G$205,201),INDEX(LE_Curves!$B$5:$B$205,201),INDEX(LE_Curves!$B$5:$B$205,MATCH($B134,LE_Curves!$G$5:$G$205,1))+($B134-INDEX(LE_Curves!$G$5:$G$205,MATCH($B134,LE_Curves!$G$5:$G$205,1)))*(INDEX(LE_Curves!$B$5:$B$205,MATCH($B134,LE_Curves!$G$5:$G$205,1)+1)-INDEX(LE_Curves!$B$5:$B$205,MATCH($B134,LE_Curves!$G$5:$G$205,1)))/(INDEX(LE_Curves!$G$5:$G$205,MATCH($B134,LE_Curves!$G$5:$G$205,1)+1)-INDEX(LE_Curves!$G$5:$G$205,MATCH($B134,LE_Curves!$G$5:$G$205,1))))))</f>
        <v/>
      </c>
      <c r="H134" s="11">
        <f>IF(Inputs!$D$28=0,0,IF($B134&lt;=Inputs!$C$28,0,IF($B134&gt;=INDEX(LE_Curves!$H$5:$H$205,201),INDEX(LE_Curves!$B$5:$B$205,201),INDEX(LE_Curves!$B$5:$B$205,MATCH($B134,LE_Curves!$H$5:$H$205,1))+($B134-INDEX(LE_Curves!$H$5:$H$205,MATCH($B134,LE_Curves!$H$5:$H$205,1)))*(INDEX(LE_Curves!$B$5:$B$205,MATCH($B134,LE_Curves!$H$5:$H$205,1)+1)-INDEX(LE_Curves!$B$5:$B$205,MATCH($B134,LE_Curves!$H$5:$H$205,1)))/(INDEX(LE_Curves!$H$5:$H$205,MATCH($B134,LE_Curves!$H$5:$H$205,1)+1)-INDEX(LE_Curves!$H$5:$H$205,MATCH($B134,LE_Curves!$H$5:$H$205,1))))))</f>
        <v/>
      </c>
      <c r="I134" s="11">
        <f>IF(Inputs!$D$29=0,0,IF($B134&lt;=Inputs!$C$29,0,IF($B134&gt;=INDEX(LE_Curves!$I$5:$I$205,201),INDEX(LE_Curves!$B$5:$B$205,201),INDEX(LE_Curves!$B$5:$B$205,MATCH($B134,LE_Curves!$I$5:$I$205,1))+($B134-INDEX(LE_Curves!$I$5:$I$205,MATCH($B134,LE_Curves!$I$5:$I$205,1)))*(INDEX(LE_Curves!$B$5:$B$205,MATCH($B134,LE_Curves!$I$5:$I$205,1)+1)-INDEX(LE_Curves!$B$5:$B$205,MATCH($B134,LE_Curves!$I$5:$I$205,1)))/(INDEX(LE_Curves!$I$5:$I$205,MATCH($B134,LE_Curves!$I$5:$I$205,1)+1)-INDEX(LE_Curves!$I$5:$I$205,MATCH($B134,LE_Curves!$I$5:$I$205,1))))))</f>
        <v/>
      </c>
      <c r="J134" s="11">
        <f>IF(Inputs!$D$30=0,0,IF($B134&lt;=Inputs!$C$30,0,IF($B134&gt;=INDEX(LE_Curves!$J$5:$J$205,201),INDEX(LE_Curves!$B$5:$B$205,201),INDEX(LE_Curves!$B$5:$B$205,MATCH($B134,LE_Curves!$J$5:$J$205,1))+($B134-INDEX(LE_Curves!$J$5:$J$205,MATCH($B134,LE_Curves!$J$5:$J$205,1)))*(INDEX(LE_Curves!$B$5:$B$205,MATCH($B134,LE_Curves!$J$5:$J$205,1)+1)-INDEX(LE_Curves!$B$5:$B$205,MATCH($B134,LE_Curves!$J$5:$J$205,1)))/(INDEX(LE_Curves!$J$5:$J$205,MATCH($B134,LE_Curves!$J$5:$J$205,1)+1)-INDEX(LE_Curves!$J$5:$J$205,MATCH($B134,LE_Curves!$J$5:$J$205,1))))))</f>
        <v/>
      </c>
      <c r="K134" s="11">
        <f>IF(Inputs!$D$31=0,0,IF($B134&lt;=Inputs!$C$31,0,IF($B134&gt;=INDEX(LE_Curves!$K$5:$K$205,201),INDEX(LE_Curves!$B$5:$B$205,201),INDEX(LE_Curves!$B$5:$B$205,MATCH($B134,LE_Curves!$K$5:$K$205,1))+($B134-INDEX(LE_Curves!$K$5:$K$205,MATCH($B134,LE_Curves!$K$5:$K$205,1)))*(INDEX(LE_Curves!$B$5:$B$205,MATCH($B134,LE_Curves!$K$5:$K$205,1)+1)-INDEX(LE_Curves!$B$5:$B$205,MATCH($B134,LE_Curves!$K$5:$K$205,1)))/(INDEX(LE_Curves!$K$5:$K$205,MATCH($B134,LE_Curves!$K$5:$K$205,1)+1)-INDEX(LE_Curves!$K$5:$K$205,MATCH($B134,LE_Curves!$K$5:$K$205,1))))))</f>
        <v/>
      </c>
      <c r="L134" s="11">
        <f>IF(Inputs!$D$32=0,0,IF($B134&lt;=Inputs!$C$32,0,IF($B134&gt;=INDEX(LE_Curves!$L$5:$L$205,201),INDEX(LE_Curves!$B$5:$B$205,201),INDEX(LE_Curves!$B$5:$B$205,MATCH($B134,LE_Curves!$L$5:$L$205,1))+($B134-INDEX(LE_Curves!$L$5:$L$205,MATCH($B134,LE_Curves!$L$5:$L$205,1)))*(INDEX(LE_Curves!$B$5:$B$205,MATCH($B134,LE_Curves!$L$5:$L$205,1)+1)-INDEX(LE_Curves!$B$5:$B$205,MATCH($B134,LE_Curves!$L$5:$L$205,1)))/(INDEX(LE_Curves!$L$5:$L$205,MATCH($B134,LE_Curves!$L$5:$L$205,1)+1)-INDEX(LE_Curves!$L$5:$L$205,MATCH($B134,LE_Curves!$L$5:$L$205,1))))))</f>
        <v/>
      </c>
      <c r="M134" s="11">
        <f>IF(Inputs!$D$33=0,0,IF($B134&lt;=Inputs!$C$33,0,IF($B134&gt;=INDEX(LE_Curves!$M$5:$M$205,201),INDEX(LE_Curves!$B$5:$B$205,201),INDEX(LE_Curves!$B$5:$B$205,MATCH($B134,LE_Curves!$M$5:$M$205,1))+($B134-INDEX(LE_Curves!$M$5:$M$205,MATCH($B134,LE_Curves!$M$5:$M$205,1)))*(INDEX(LE_Curves!$B$5:$B$205,MATCH($B134,LE_Curves!$M$5:$M$205,1)+1)-INDEX(LE_Curves!$B$5:$B$205,MATCH($B134,LE_Curves!$M$5:$M$205,1)))/(INDEX(LE_Curves!$M$5:$M$205,MATCH($B134,LE_Curves!$M$5:$M$205,1)+1)-INDEX(LE_Curves!$M$5:$M$205,MATCH($B134,LE_Curves!$M$5:$M$205,1))))))</f>
        <v/>
      </c>
      <c r="N134" s="11">
        <f>IF(Inputs!$D$34=0,0,IF($B134&lt;=Inputs!$C$34,0,IF($B134&gt;=INDEX(LE_Curves!$N$5:$N$205,201),INDEX(LE_Curves!$B$5:$B$205,201),INDEX(LE_Curves!$B$5:$B$205,MATCH($B134,LE_Curves!$N$5:$N$205,1))+($B134-INDEX(LE_Curves!$N$5:$N$205,MATCH($B134,LE_Curves!$N$5:$N$205,1)))*(INDEX(LE_Curves!$B$5:$B$205,MATCH($B134,LE_Curves!$N$5:$N$205,1)+1)-INDEX(LE_Curves!$B$5:$B$205,MATCH($B134,LE_Curves!$N$5:$N$205,1)))/(INDEX(LE_Curves!$N$5:$N$205,MATCH($B134,LE_Curves!$N$5:$N$205,1)+1)-INDEX(LE_Curves!$N$5:$N$205,MATCH($B134,LE_Curves!$N$5:$N$205,1))))))</f>
        <v/>
      </c>
      <c r="O134" s="11">
        <f>SUM(C134:N134)</f>
        <v/>
      </c>
      <c r="Q134" s="7" t="n">
        <v>103</v>
      </c>
      <c r="R134" s="23">
        <f>$B$6+($B$7-$B$6)*Q134/200</f>
        <v/>
      </c>
      <c r="S134" s="11">
        <f>IF(Inputs!$D$23=0,0,IF($R134&lt;=Inputs!$C$23,0,IF($R134&gt;=INDEX(LE_Curves!$C$5:$C$205,201),INDEX(LE_Curves!$B$5:$B$205,201),INDEX(LE_Curves!$B$5:$B$205,MATCH($R134,LE_Curves!$C$5:$C$205,1))+($R134-INDEX(LE_Curves!$C$5:$C$205,MATCH($R134,LE_Curves!$C$5:$C$205,1)))*(INDEX(LE_Curves!$B$5:$B$205,MATCH($R134,LE_Curves!$C$5:$C$205,1)+1)-INDEX(LE_Curves!$B$5:$B$205,MATCH($R134,LE_Curves!$C$5:$C$205,1)))/(INDEX(LE_Curves!$C$5:$C$205,MATCH($R134,LE_Curves!$C$5:$C$205,1)+1)-INDEX(LE_Curves!$C$5:$C$205,MATCH($R134,LE_Curves!$C$5:$C$205,1))))))</f>
        <v/>
      </c>
      <c r="T134" s="11">
        <f>IF(Inputs!$D$24=0,0,IF($R134&lt;=Inputs!$C$24,0,IF($R134&gt;=INDEX(LE_Curves!$D$5:$D$205,201),INDEX(LE_Curves!$B$5:$B$205,201),INDEX(LE_Curves!$B$5:$B$205,MATCH($R134,LE_Curves!$D$5:$D$205,1))+($R134-INDEX(LE_Curves!$D$5:$D$205,MATCH($R134,LE_Curves!$D$5:$D$205,1)))*(INDEX(LE_Curves!$B$5:$B$205,MATCH($R134,LE_Curves!$D$5:$D$205,1)+1)-INDEX(LE_Curves!$B$5:$B$205,MATCH($R134,LE_Curves!$D$5:$D$205,1)))/(INDEX(LE_Curves!$D$5:$D$205,MATCH($R134,LE_Curves!$D$5:$D$205,1)+1)-INDEX(LE_Curves!$D$5:$D$205,MATCH($R134,LE_Curves!$D$5:$D$205,1))))))</f>
        <v/>
      </c>
      <c r="U134" s="11">
        <f>IF(Inputs!$D$25=0,0,IF($R134&lt;=Inputs!$C$25,0,IF($R134&gt;=INDEX(LE_Curves!$E$5:$E$205,201),INDEX(LE_Curves!$B$5:$B$205,201),INDEX(LE_Curves!$B$5:$B$205,MATCH($R134,LE_Curves!$E$5:$E$205,1))+($R134-INDEX(LE_Curves!$E$5:$E$205,MATCH($R134,LE_Curves!$E$5:$E$205,1)))*(INDEX(LE_Curves!$B$5:$B$205,MATCH($R134,LE_Curves!$E$5:$E$205,1)+1)-INDEX(LE_Curves!$B$5:$B$205,MATCH($R134,LE_Curves!$E$5:$E$205,1)))/(INDEX(LE_Curves!$E$5:$E$205,MATCH($R134,LE_Curves!$E$5:$E$205,1)+1)-INDEX(LE_Curves!$E$5:$E$205,MATCH($R134,LE_Curves!$E$5:$E$205,1))))))</f>
        <v/>
      </c>
      <c r="V134" s="11">
        <f>IF(Inputs!$D$26=0,0,IF($R134&lt;=Inputs!$C$26,0,IF($R134&gt;=INDEX(LE_Curves!$F$5:$F$205,201),INDEX(LE_Curves!$B$5:$B$205,201),INDEX(LE_Curves!$B$5:$B$205,MATCH($R134,LE_Curves!$F$5:$F$205,1))+($R134-INDEX(LE_Curves!$F$5:$F$205,MATCH($R134,LE_Curves!$F$5:$F$205,1)))*(INDEX(LE_Curves!$B$5:$B$205,MATCH($R134,LE_Curves!$F$5:$F$205,1)+1)-INDEX(LE_Curves!$B$5:$B$205,MATCH($R134,LE_Curves!$F$5:$F$205,1)))/(INDEX(LE_Curves!$F$5:$F$205,MATCH($R134,LE_Curves!$F$5:$F$205,1)+1)-INDEX(LE_Curves!$F$5:$F$205,MATCH($R134,LE_Curves!$F$5:$F$205,1))))))</f>
        <v/>
      </c>
      <c r="W134" s="11">
        <f>IF(Inputs!$D$27=0,0,IF($R134&lt;=Inputs!$C$27,0,IF($R134&gt;=INDEX(LE_Curves!$G$5:$G$205,201),INDEX(LE_Curves!$B$5:$B$205,201),INDEX(LE_Curves!$B$5:$B$205,MATCH($R134,LE_Curves!$G$5:$G$205,1))+($R134-INDEX(LE_Curves!$G$5:$G$205,MATCH($R134,LE_Curves!$G$5:$G$205,1)))*(INDEX(LE_Curves!$B$5:$B$205,MATCH($R134,LE_Curves!$G$5:$G$205,1)+1)-INDEX(LE_Curves!$B$5:$B$205,MATCH($R134,LE_Curves!$G$5:$G$205,1)))/(INDEX(LE_Curves!$G$5:$G$205,MATCH($R134,LE_Curves!$G$5:$G$205,1)+1)-INDEX(LE_Curves!$G$5:$G$205,MATCH($R134,LE_Curves!$G$5:$G$205,1))))))</f>
        <v/>
      </c>
      <c r="X134" s="11">
        <f>IF(Inputs!$D$28=0,0,IF($R134&lt;=Inputs!$C$28,0,IF($R134&gt;=INDEX(LE_Curves!$H$5:$H$205,201),INDEX(LE_Curves!$B$5:$B$205,201),INDEX(LE_Curves!$B$5:$B$205,MATCH($R134,LE_Curves!$H$5:$H$205,1))+($R134-INDEX(LE_Curves!$H$5:$H$205,MATCH($R134,LE_Curves!$H$5:$H$205,1)))*(INDEX(LE_Curves!$B$5:$B$205,MATCH($R134,LE_Curves!$H$5:$H$205,1)+1)-INDEX(LE_Curves!$B$5:$B$205,MATCH($R134,LE_Curves!$H$5:$H$205,1)))/(INDEX(LE_Curves!$H$5:$H$205,MATCH($R134,LE_Curves!$H$5:$H$205,1)+1)-INDEX(LE_Curves!$H$5:$H$205,MATCH($R134,LE_Curves!$H$5:$H$205,1))))))</f>
        <v/>
      </c>
      <c r="Y134" s="11">
        <f>IF(Inputs!$D$29=0,0,IF($R134&lt;=Inputs!$C$29,0,IF($R134&gt;=INDEX(LE_Curves!$I$5:$I$205,201),INDEX(LE_Curves!$B$5:$B$205,201),INDEX(LE_Curves!$B$5:$B$205,MATCH($R134,LE_Curves!$I$5:$I$205,1))+($R134-INDEX(LE_Curves!$I$5:$I$205,MATCH($R134,LE_Curves!$I$5:$I$205,1)))*(INDEX(LE_Curves!$B$5:$B$205,MATCH($R134,LE_Curves!$I$5:$I$205,1)+1)-INDEX(LE_Curves!$B$5:$B$205,MATCH($R134,LE_Curves!$I$5:$I$205,1)))/(INDEX(LE_Curves!$I$5:$I$205,MATCH($R134,LE_Curves!$I$5:$I$205,1)+1)-INDEX(LE_Curves!$I$5:$I$205,MATCH($R134,LE_Curves!$I$5:$I$205,1))))))</f>
        <v/>
      </c>
      <c r="Z134" s="11">
        <f>IF(Inputs!$D$30=0,0,IF($R134&lt;=Inputs!$C$30,0,IF($R134&gt;=INDEX(LE_Curves!$J$5:$J$205,201),INDEX(LE_Curves!$B$5:$B$205,201),INDEX(LE_Curves!$B$5:$B$205,MATCH($R134,LE_Curves!$J$5:$J$205,1))+($R134-INDEX(LE_Curves!$J$5:$J$205,MATCH($R134,LE_Curves!$J$5:$J$205,1)))*(INDEX(LE_Curves!$B$5:$B$205,MATCH($R134,LE_Curves!$J$5:$J$205,1)+1)-INDEX(LE_Curves!$B$5:$B$205,MATCH($R134,LE_Curves!$J$5:$J$205,1)))/(INDEX(LE_Curves!$J$5:$J$205,MATCH($R134,LE_Curves!$J$5:$J$205,1)+1)-INDEX(LE_Curves!$J$5:$J$205,MATCH($R134,LE_Curves!$J$5:$J$205,1))))))</f>
        <v/>
      </c>
      <c r="AA134" s="11">
        <f>IF(Inputs!$D$31=0,0,IF($R134&lt;=Inputs!$C$31,0,IF($R134&gt;=INDEX(LE_Curves!$K$5:$K$205,201),INDEX(LE_Curves!$B$5:$B$205,201),INDEX(LE_Curves!$B$5:$B$205,MATCH($R134,LE_Curves!$K$5:$K$205,1))+($R134-INDEX(LE_Curves!$K$5:$K$205,MATCH($R134,LE_Curves!$K$5:$K$205,1)))*(INDEX(LE_Curves!$B$5:$B$205,MATCH($R134,LE_Curves!$K$5:$K$205,1)+1)-INDEX(LE_Curves!$B$5:$B$205,MATCH($R134,LE_Curves!$K$5:$K$205,1)))/(INDEX(LE_Curves!$K$5:$K$205,MATCH($R134,LE_Curves!$K$5:$K$205,1)+1)-INDEX(LE_Curves!$K$5:$K$205,MATCH($R134,LE_Curves!$K$5:$K$205,1))))))</f>
        <v/>
      </c>
      <c r="AB134" s="11">
        <f>IF(Inputs!$D$32=0,0,IF($R134&lt;=Inputs!$C$32,0,IF($R134&gt;=INDEX(LE_Curves!$L$5:$L$205,201),INDEX(LE_Curves!$B$5:$B$205,201),INDEX(LE_Curves!$B$5:$B$205,MATCH($R134,LE_Curves!$L$5:$L$205,1))+($R134-INDEX(LE_Curves!$L$5:$L$205,MATCH($R134,LE_Curves!$L$5:$L$205,1)))*(INDEX(LE_Curves!$B$5:$B$205,MATCH($R134,LE_Curves!$L$5:$L$205,1)+1)-INDEX(LE_Curves!$B$5:$B$205,MATCH($R134,LE_Curves!$L$5:$L$205,1)))/(INDEX(LE_Curves!$L$5:$L$205,MATCH($R134,LE_Curves!$L$5:$L$205,1)+1)-INDEX(LE_Curves!$L$5:$L$205,MATCH($R134,LE_Curves!$L$5:$L$205,1))))))</f>
        <v/>
      </c>
      <c r="AC134" s="11">
        <f>IF(Inputs!$D$33=0,0,IF($R134&lt;=Inputs!$C$33,0,IF($R134&gt;=INDEX(LE_Curves!$M$5:$M$205,201),INDEX(LE_Curves!$B$5:$B$205,201),INDEX(LE_Curves!$B$5:$B$205,MATCH($R134,LE_Curves!$M$5:$M$205,1))+($R134-INDEX(LE_Curves!$M$5:$M$205,MATCH($R134,LE_Curves!$M$5:$M$205,1)))*(INDEX(LE_Curves!$B$5:$B$205,MATCH($R134,LE_Curves!$M$5:$M$205,1)+1)-INDEX(LE_Curves!$B$5:$B$205,MATCH($R134,LE_Curves!$M$5:$M$205,1)))/(INDEX(LE_Curves!$M$5:$M$205,MATCH($R134,LE_Curves!$M$5:$M$205,1)+1)-INDEX(LE_Curves!$M$5:$M$205,MATCH($R134,LE_Curves!$M$5:$M$205,1))))))</f>
        <v/>
      </c>
      <c r="AD134" s="11">
        <f>IF(Inputs!$D$34=0,0,IF($R134&lt;=Inputs!$C$34,0,IF($R134&gt;=INDEX(LE_Curves!$N$5:$N$205,201),INDEX(LE_Curves!$B$5:$B$205,201),INDEX(LE_Curves!$B$5:$B$205,MATCH($R134,LE_Curves!$N$5:$N$205,1))+($R134-INDEX(LE_Curves!$N$5:$N$205,MATCH($R134,LE_Curves!$N$5:$N$205,1)))*(INDEX(LE_Curves!$B$5:$B$205,MATCH($R134,LE_Curves!$N$5:$N$205,1)+1)-INDEX(LE_Curves!$B$5:$B$205,MATCH($R134,LE_Curves!$N$5:$N$205,1)))/(INDEX(LE_Curves!$N$5:$N$205,MATCH($R134,LE_Curves!$N$5:$N$205,1)+1)-INDEX(LE_Curves!$N$5:$N$205,MATCH($R134,LE_Curves!$N$5:$N$205,1))))))</f>
        <v/>
      </c>
      <c r="AE134" s="37">
        <f>SUM(S134:AD134)</f>
        <v/>
      </c>
    </row>
    <row r="135">
      <c r="A135" s="7" t="n">
        <v>104</v>
      </c>
      <c r="B135" s="37">
        <f>$B$3+($B$4-$B$3)*A135/200</f>
        <v/>
      </c>
      <c r="C135" s="11">
        <f>IF(Inputs!$D$23=0,0,IF($B135&lt;=Inputs!$C$23,0,IF($B135&gt;=INDEX(LE_Curves!$C$5:$C$205,201),INDEX(LE_Curves!$B$5:$B$205,201),INDEX(LE_Curves!$B$5:$B$205,MATCH($B135,LE_Curves!$C$5:$C$205,1))+($B135-INDEX(LE_Curves!$C$5:$C$205,MATCH($B135,LE_Curves!$C$5:$C$205,1)))*(INDEX(LE_Curves!$B$5:$B$205,MATCH($B135,LE_Curves!$C$5:$C$205,1)+1)-INDEX(LE_Curves!$B$5:$B$205,MATCH($B135,LE_Curves!$C$5:$C$205,1)))/(INDEX(LE_Curves!$C$5:$C$205,MATCH($B135,LE_Curves!$C$5:$C$205,1)+1)-INDEX(LE_Curves!$C$5:$C$205,MATCH($B135,LE_Curves!$C$5:$C$205,1))))))</f>
        <v/>
      </c>
      <c r="D135" s="11">
        <f>IF(Inputs!$D$24=0,0,IF($B135&lt;=Inputs!$C$24,0,IF($B135&gt;=INDEX(LE_Curves!$D$5:$D$205,201),INDEX(LE_Curves!$B$5:$B$205,201),INDEX(LE_Curves!$B$5:$B$205,MATCH($B135,LE_Curves!$D$5:$D$205,1))+($B135-INDEX(LE_Curves!$D$5:$D$205,MATCH($B135,LE_Curves!$D$5:$D$205,1)))*(INDEX(LE_Curves!$B$5:$B$205,MATCH($B135,LE_Curves!$D$5:$D$205,1)+1)-INDEX(LE_Curves!$B$5:$B$205,MATCH($B135,LE_Curves!$D$5:$D$205,1)))/(INDEX(LE_Curves!$D$5:$D$205,MATCH($B135,LE_Curves!$D$5:$D$205,1)+1)-INDEX(LE_Curves!$D$5:$D$205,MATCH($B135,LE_Curves!$D$5:$D$205,1))))))</f>
        <v/>
      </c>
      <c r="E135" s="11">
        <f>IF(Inputs!$D$25=0,0,IF($B135&lt;=Inputs!$C$25,0,IF($B135&gt;=INDEX(LE_Curves!$E$5:$E$205,201),INDEX(LE_Curves!$B$5:$B$205,201),INDEX(LE_Curves!$B$5:$B$205,MATCH($B135,LE_Curves!$E$5:$E$205,1))+($B135-INDEX(LE_Curves!$E$5:$E$205,MATCH($B135,LE_Curves!$E$5:$E$205,1)))*(INDEX(LE_Curves!$B$5:$B$205,MATCH($B135,LE_Curves!$E$5:$E$205,1)+1)-INDEX(LE_Curves!$B$5:$B$205,MATCH($B135,LE_Curves!$E$5:$E$205,1)))/(INDEX(LE_Curves!$E$5:$E$205,MATCH($B135,LE_Curves!$E$5:$E$205,1)+1)-INDEX(LE_Curves!$E$5:$E$205,MATCH($B135,LE_Curves!$E$5:$E$205,1))))))</f>
        <v/>
      </c>
      <c r="F135" s="11">
        <f>IF(Inputs!$D$26=0,0,IF($B135&lt;=Inputs!$C$26,0,IF($B135&gt;=INDEX(LE_Curves!$F$5:$F$205,201),INDEX(LE_Curves!$B$5:$B$205,201),INDEX(LE_Curves!$B$5:$B$205,MATCH($B135,LE_Curves!$F$5:$F$205,1))+($B135-INDEX(LE_Curves!$F$5:$F$205,MATCH($B135,LE_Curves!$F$5:$F$205,1)))*(INDEX(LE_Curves!$B$5:$B$205,MATCH($B135,LE_Curves!$F$5:$F$205,1)+1)-INDEX(LE_Curves!$B$5:$B$205,MATCH($B135,LE_Curves!$F$5:$F$205,1)))/(INDEX(LE_Curves!$F$5:$F$205,MATCH($B135,LE_Curves!$F$5:$F$205,1)+1)-INDEX(LE_Curves!$F$5:$F$205,MATCH($B135,LE_Curves!$F$5:$F$205,1))))))</f>
        <v/>
      </c>
      <c r="G135" s="11">
        <f>IF(Inputs!$D$27=0,0,IF($B135&lt;=Inputs!$C$27,0,IF($B135&gt;=INDEX(LE_Curves!$G$5:$G$205,201),INDEX(LE_Curves!$B$5:$B$205,201),INDEX(LE_Curves!$B$5:$B$205,MATCH($B135,LE_Curves!$G$5:$G$205,1))+($B135-INDEX(LE_Curves!$G$5:$G$205,MATCH($B135,LE_Curves!$G$5:$G$205,1)))*(INDEX(LE_Curves!$B$5:$B$205,MATCH($B135,LE_Curves!$G$5:$G$205,1)+1)-INDEX(LE_Curves!$B$5:$B$205,MATCH($B135,LE_Curves!$G$5:$G$205,1)))/(INDEX(LE_Curves!$G$5:$G$205,MATCH($B135,LE_Curves!$G$5:$G$205,1)+1)-INDEX(LE_Curves!$G$5:$G$205,MATCH($B135,LE_Curves!$G$5:$G$205,1))))))</f>
        <v/>
      </c>
      <c r="H135" s="11">
        <f>IF(Inputs!$D$28=0,0,IF($B135&lt;=Inputs!$C$28,0,IF($B135&gt;=INDEX(LE_Curves!$H$5:$H$205,201),INDEX(LE_Curves!$B$5:$B$205,201),INDEX(LE_Curves!$B$5:$B$205,MATCH($B135,LE_Curves!$H$5:$H$205,1))+($B135-INDEX(LE_Curves!$H$5:$H$205,MATCH($B135,LE_Curves!$H$5:$H$205,1)))*(INDEX(LE_Curves!$B$5:$B$205,MATCH($B135,LE_Curves!$H$5:$H$205,1)+1)-INDEX(LE_Curves!$B$5:$B$205,MATCH($B135,LE_Curves!$H$5:$H$205,1)))/(INDEX(LE_Curves!$H$5:$H$205,MATCH($B135,LE_Curves!$H$5:$H$205,1)+1)-INDEX(LE_Curves!$H$5:$H$205,MATCH($B135,LE_Curves!$H$5:$H$205,1))))))</f>
        <v/>
      </c>
      <c r="I135" s="11">
        <f>IF(Inputs!$D$29=0,0,IF($B135&lt;=Inputs!$C$29,0,IF($B135&gt;=INDEX(LE_Curves!$I$5:$I$205,201),INDEX(LE_Curves!$B$5:$B$205,201),INDEX(LE_Curves!$B$5:$B$205,MATCH($B135,LE_Curves!$I$5:$I$205,1))+($B135-INDEX(LE_Curves!$I$5:$I$205,MATCH($B135,LE_Curves!$I$5:$I$205,1)))*(INDEX(LE_Curves!$B$5:$B$205,MATCH($B135,LE_Curves!$I$5:$I$205,1)+1)-INDEX(LE_Curves!$B$5:$B$205,MATCH($B135,LE_Curves!$I$5:$I$205,1)))/(INDEX(LE_Curves!$I$5:$I$205,MATCH($B135,LE_Curves!$I$5:$I$205,1)+1)-INDEX(LE_Curves!$I$5:$I$205,MATCH($B135,LE_Curves!$I$5:$I$205,1))))))</f>
        <v/>
      </c>
      <c r="J135" s="11">
        <f>IF(Inputs!$D$30=0,0,IF($B135&lt;=Inputs!$C$30,0,IF($B135&gt;=INDEX(LE_Curves!$J$5:$J$205,201),INDEX(LE_Curves!$B$5:$B$205,201),INDEX(LE_Curves!$B$5:$B$205,MATCH($B135,LE_Curves!$J$5:$J$205,1))+($B135-INDEX(LE_Curves!$J$5:$J$205,MATCH($B135,LE_Curves!$J$5:$J$205,1)))*(INDEX(LE_Curves!$B$5:$B$205,MATCH($B135,LE_Curves!$J$5:$J$205,1)+1)-INDEX(LE_Curves!$B$5:$B$205,MATCH($B135,LE_Curves!$J$5:$J$205,1)))/(INDEX(LE_Curves!$J$5:$J$205,MATCH($B135,LE_Curves!$J$5:$J$205,1)+1)-INDEX(LE_Curves!$J$5:$J$205,MATCH($B135,LE_Curves!$J$5:$J$205,1))))))</f>
        <v/>
      </c>
      <c r="K135" s="11">
        <f>IF(Inputs!$D$31=0,0,IF($B135&lt;=Inputs!$C$31,0,IF($B135&gt;=INDEX(LE_Curves!$K$5:$K$205,201),INDEX(LE_Curves!$B$5:$B$205,201),INDEX(LE_Curves!$B$5:$B$205,MATCH($B135,LE_Curves!$K$5:$K$205,1))+($B135-INDEX(LE_Curves!$K$5:$K$205,MATCH($B135,LE_Curves!$K$5:$K$205,1)))*(INDEX(LE_Curves!$B$5:$B$205,MATCH($B135,LE_Curves!$K$5:$K$205,1)+1)-INDEX(LE_Curves!$B$5:$B$205,MATCH($B135,LE_Curves!$K$5:$K$205,1)))/(INDEX(LE_Curves!$K$5:$K$205,MATCH($B135,LE_Curves!$K$5:$K$205,1)+1)-INDEX(LE_Curves!$K$5:$K$205,MATCH($B135,LE_Curves!$K$5:$K$205,1))))))</f>
        <v/>
      </c>
      <c r="L135" s="11">
        <f>IF(Inputs!$D$32=0,0,IF($B135&lt;=Inputs!$C$32,0,IF($B135&gt;=INDEX(LE_Curves!$L$5:$L$205,201),INDEX(LE_Curves!$B$5:$B$205,201),INDEX(LE_Curves!$B$5:$B$205,MATCH($B135,LE_Curves!$L$5:$L$205,1))+($B135-INDEX(LE_Curves!$L$5:$L$205,MATCH($B135,LE_Curves!$L$5:$L$205,1)))*(INDEX(LE_Curves!$B$5:$B$205,MATCH($B135,LE_Curves!$L$5:$L$205,1)+1)-INDEX(LE_Curves!$B$5:$B$205,MATCH($B135,LE_Curves!$L$5:$L$205,1)))/(INDEX(LE_Curves!$L$5:$L$205,MATCH($B135,LE_Curves!$L$5:$L$205,1)+1)-INDEX(LE_Curves!$L$5:$L$205,MATCH($B135,LE_Curves!$L$5:$L$205,1))))))</f>
        <v/>
      </c>
      <c r="M135" s="11">
        <f>IF(Inputs!$D$33=0,0,IF($B135&lt;=Inputs!$C$33,0,IF($B135&gt;=INDEX(LE_Curves!$M$5:$M$205,201),INDEX(LE_Curves!$B$5:$B$205,201),INDEX(LE_Curves!$B$5:$B$205,MATCH($B135,LE_Curves!$M$5:$M$205,1))+($B135-INDEX(LE_Curves!$M$5:$M$205,MATCH($B135,LE_Curves!$M$5:$M$205,1)))*(INDEX(LE_Curves!$B$5:$B$205,MATCH($B135,LE_Curves!$M$5:$M$205,1)+1)-INDEX(LE_Curves!$B$5:$B$205,MATCH($B135,LE_Curves!$M$5:$M$205,1)))/(INDEX(LE_Curves!$M$5:$M$205,MATCH($B135,LE_Curves!$M$5:$M$205,1)+1)-INDEX(LE_Curves!$M$5:$M$205,MATCH($B135,LE_Curves!$M$5:$M$205,1))))))</f>
        <v/>
      </c>
      <c r="N135" s="11">
        <f>IF(Inputs!$D$34=0,0,IF($B135&lt;=Inputs!$C$34,0,IF($B135&gt;=INDEX(LE_Curves!$N$5:$N$205,201),INDEX(LE_Curves!$B$5:$B$205,201),INDEX(LE_Curves!$B$5:$B$205,MATCH($B135,LE_Curves!$N$5:$N$205,1))+($B135-INDEX(LE_Curves!$N$5:$N$205,MATCH($B135,LE_Curves!$N$5:$N$205,1)))*(INDEX(LE_Curves!$B$5:$B$205,MATCH($B135,LE_Curves!$N$5:$N$205,1)+1)-INDEX(LE_Curves!$B$5:$B$205,MATCH($B135,LE_Curves!$N$5:$N$205,1)))/(INDEX(LE_Curves!$N$5:$N$205,MATCH($B135,LE_Curves!$N$5:$N$205,1)+1)-INDEX(LE_Curves!$N$5:$N$205,MATCH($B135,LE_Curves!$N$5:$N$205,1))))))</f>
        <v/>
      </c>
      <c r="O135" s="11">
        <f>SUM(C135:N135)</f>
        <v/>
      </c>
      <c r="Q135" s="7" t="n">
        <v>104</v>
      </c>
      <c r="R135" s="23">
        <f>$B$6+($B$7-$B$6)*Q135/200</f>
        <v/>
      </c>
      <c r="S135" s="11">
        <f>IF(Inputs!$D$23=0,0,IF($R135&lt;=Inputs!$C$23,0,IF($R135&gt;=INDEX(LE_Curves!$C$5:$C$205,201),INDEX(LE_Curves!$B$5:$B$205,201),INDEX(LE_Curves!$B$5:$B$205,MATCH($R135,LE_Curves!$C$5:$C$205,1))+($R135-INDEX(LE_Curves!$C$5:$C$205,MATCH($R135,LE_Curves!$C$5:$C$205,1)))*(INDEX(LE_Curves!$B$5:$B$205,MATCH($R135,LE_Curves!$C$5:$C$205,1)+1)-INDEX(LE_Curves!$B$5:$B$205,MATCH($R135,LE_Curves!$C$5:$C$205,1)))/(INDEX(LE_Curves!$C$5:$C$205,MATCH($R135,LE_Curves!$C$5:$C$205,1)+1)-INDEX(LE_Curves!$C$5:$C$205,MATCH($R135,LE_Curves!$C$5:$C$205,1))))))</f>
        <v/>
      </c>
      <c r="T135" s="11">
        <f>IF(Inputs!$D$24=0,0,IF($R135&lt;=Inputs!$C$24,0,IF($R135&gt;=INDEX(LE_Curves!$D$5:$D$205,201),INDEX(LE_Curves!$B$5:$B$205,201),INDEX(LE_Curves!$B$5:$B$205,MATCH($R135,LE_Curves!$D$5:$D$205,1))+($R135-INDEX(LE_Curves!$D$5:$D$205,MATCH($R135,LE_Curves!$D$5:$D$205,1)))*(INDEX(LE_Curves!$B$5:$B$205,MATCH($R135,LE_Curves!$D$5:$D$205,1)+1)-INDEX(LE_Curves!$B$5:$B$205,MATCH($R135,LE_Curves!$D$5:$D$205,1)))/(INDEX(LE_Curves!$D$5:$D$205,MATCH($R135,LE_Curves!$D$5:$D$205,1)+1)-INDEX(LE_Curves!$D$5:$D$205,MATCH($R135,LE_Curves!$D$5:$D$205,1))))))</f>
        <v/>
      </c>
      <c r="U135" s="11">
        <f>IF(Inputs!$D$25=0,0,IF($R135&lt;=Inputs!$C$25,0,IF($R135&gt;=INDEX(LE_Curves!$E$5:$E$205,201),INDEX(LE_Curves!$B$5:$B$205,201),INDEX(LE_Curves!$B$5:$B$205,MATCH($R135,LE_Curves!$E$5:$E$205,1))+($R135-INDEX(LE_Curves!$E$5:$E$205,MATCH($R135,LE_Curves!$E$5:$E$205,1)))*(INDEX(LE_Curves!$B$5:$B$205,MATCH($R135,LE_Curves!$E$5:$E$205,1)+1)-INDEX(LE_Curves!$B$5:$B$205,MATCH($R135,LE_Curves!$E$5:$E$205,1)))/(INDEX(LE_Curves!$E$5:$E$205,MATCH($R135,LE_Curves!$E$5:$E$205,1)+1)-INDEX(LE_Curves!$E$5:$E$205,MATCH($R135,LE_Curves!$E$5:$E$205,1))))))</f>
        <v/>
      </c>
      <c r="V135" s="11">
        <f>IF(Inputs!$D$26=0,0,IF($R135&lt;=Inputs!$C$26,0,IF($R135&gt;=INDEX(LE_Curves!$F$5:$F$205,201),INDEX(LE_Curves!$B$5:$B$205,201),INDEX(LE_Curves!$B$5:$B$205,MATCH($R135,LE_Curves!$F$5:$F$205,1))+($R135-INDEX(LE_Curves!$F$5:$F$205,MATCH($R135,LE_Curves!$F$5:$F$205,1)))*(INDEX(LE_Curves!$B$5:$B$205,MATCH($R135,LE_Curves!$F$5:$F$205,1)+1)-INDEX(LE_Curves!$B$5:$B$205,MATCH($R135,LE_Curves!$F$5:$F$205,1)))/(INDEX(LE_Curves!$F$5:$F$205,MATCH($R135,LE_Curves!$F$5:$F$205,1)+1)-INDEX(LE_Curves!$F$5:$F$205,MATCH($R135,LE_Curves!$F$5:$F$205,1))))))</f>
        <v/>
      </c>
      <c r="W135" s="11">
        <f>IF(Inputs!$D$27=0,0,IF($R135&lt;=Inputs!$C$27,0,IF($R135&gt;=INDEX(LE_Curves!$G$5:$G$205,201),INDEX(LE_Curves!$B$5:$B$205,201),INDEX(LE_Curves!$B$5:$B$205,MATCH($R135,LE_Curves!$G$5:$G$205,1))+($R135-INDEX(LE_Curves!$G$5:$G$205,MATCH($R135,LE_Curves!$G$5:$G$205,1)))*(INDEX(LE_Curves!$B$5:$B$205,MATCH($R135,LE_Curves!$G$5:$G$205,1)+1)-INDEX(LE_Curves!$B$5:$B$205,MATCH($R135,LE_Curves!$G$5:$G$205,1)))/(INDEX(LE_Curves!$G$5:$G$205,MATCH($R135,LE_Curves!$G$5:$G$205,1)+1)-INDEX(LE_Curves!$G$5:$G$205,MATCH($R135,LE_Curves!$G$5:$G$205,1))))))</f>
        <v/>
      </c>
      <c r="X135" s="11">
        <f>IF(Inputs!$D$28=0,0,IF($R135&lt;=Inputs!$C$28,0,IF($R135&gt;=INDEX(LE_Curves!$H$5:$H$205,201),INDEX(LE_Curves!$B$5:$B$205,201),INDEX(LE_Curves!$B$5:$B$205,MATCH($R135,LE_Curves!$H$5:$H$205,1))+($R135-INDEX(LE_Curves!$H$5:$H$205,MATCH($R135,LE_Curves!$H$5:$H$205,1)))*(INDEX(LE_Curves!$B$5:$B$205,MATCH($R135,LE_Curves!$H$5:$H$205,1)+1)-INDEX(LE_Curves!$B$5:$B$205,MATCH($R135,LE_Curves!$H$5:$H$205,1)))/(INDEX(LE_Curves!$H$5:$H$205,MATCH($R135,LE_Curves!$H$5:$H$205,1)+1)-INDEX(LE_Curves!$H$5:$H$205,MATCH($R135,LE_Curves!$H$5:$H$205,1))))))</f>
        <v/>
      </c>
      <c r="Y135" s="11">
        <f>IF(Inputs!$D$29=0,0,IF($R135&lt;=Inputs!$C$29,0,IF($R135&gt;=INDEX(LE_Curves!$I$5:$I$205,201),INDEX(LE_Curves!$B$5:$B$205,201),INDEX(LE_Curves!$B$5:$B$205,MATCH($R135,LE_Curves!$I$5:$I$205,1))+($R135-INDEX(LE_Curves!$I$5:$I$205,MATCH($R135,LE_Curves!$I$5:$I$205,1)))*(INDEX(LE_Curves!$B$5:$B$205,MATCH($R135,LE_Curves!$I$5:$I$205,1)+1)-INDEX(LE_Curves!$B$5:$B$205,MATCH($R135,LE_Curves!$I$5:$I$205,1)))/(INDEX(LE_Curves!$I$5:$I$205,MATCH($R135,LE_Curves!$I$5:$I$205,1)+1)-INDEX(LE_Curves!$I$5:$I$205,MATCH($R135,LE_Curves!$I$5:$I$205,1))))))</f>
        <v/>
      </c>
      <c r="Z135" s="11">
        <f>IF(Inputs!$D$30=0,0,IF($R135&lt;=Inputs!$C$30,0,IF($R135&gt;=INDEX(LE_Curves!$J$5:$J$205,201),INDEX(LE_Curves!$B$5:$B$205,201),INDEX(LE_Curves!$B$5:$B$205,MATCH($R135,LE_Curves!$J$5:$J$205,1))+($R135-INDEX(LE_Curves!$J$5:$J$205,MATCH($R135,LE_Curves!$J$5:$J$205,1)))*(INDEX(LE_Curves!$B$5:$B$205,MATCH($R135,LE_Curves!$J$5:$J$205,1)+1)-INDEX(LE_Curves!$B$5:$B$205,MATCH($R135,LE_Curves!$J$5:$J$205,1)))/(INDEX(LE_Curves!$J$5:$J$205,MATCH($R135,LE_Curves!$J$5:$J$205,1)+1)-INDEX(LE_Curves!$J$5:$J$205,MATCH($R135,LE_Curves!$J$5:$J$205,1))))))</f>
        <v/>
      </c>
      <c r="AA135" s="11">
        <f>IF(Inputs!$D$31=0,0,IF($R135&lt;=Inputs!$C$31,0,IF($R135&gt;=INDEX(LE_Curves!$K$5:$K$205,201),INDEX(LE_Curves!$B$5:$B$205,201),INDEX(LE_Curves!$B$5:$B$205,MATCH($R135,LE_Curves!$K$5:$K$205,1))+($R135-INDEX(LE_Curves!$K$5:$K$205,MATCH($R135,LE_Curves!$K$5:$K$205,1)))*(INDEX(LE_Curves!$B$5:$B$205,MATCH($R135,LE_Curves!$K$5:$K$205,1)+1)-INDEX(LE_Curves!$B$5:$B$205,MATCH($R135,LE_Curves!$K$5:$K$205,1)))/(INDEX(LE_Curves!$K$5:$K$205,MATCH($R135,LE_Curves!$K$5:$K$205,1)+1)-INDEX(LE_Curves!$K$5:$K$205,MATCH($R135,LE_Curves!$K$5:$K$205,1))))))</f>
        <v/>
      </c>
      <c r="AB135" s="11">
        <f>IF(Inputs!$D$32=0,0,IF($R135&lt;=Inputs!$C$32,0,IF($R135&gt;=INDEX(LE_Curves!$L$5:$L$205,201),INDEX(LE_Curves!$B$5:$B$205,201),INDEX(LE_Curves!$B$5:$B$205,MATCH($R135,LE_Curves!$L$5:$L$205,1))+($R135-INDEX(LE_Curves!$L$5:$L$205,MATCH($R135,LE_Curves!$L$5:$L$205,1)))*(INDEX(LE_Curves!$B$5:$B$205,MATCH($R135,LE_Curves!$L$5:$L$205,1)+1)-INDEX(LE_Curves!$B$5:$B$205,MATCH($R135,LE_Curves!$L$5:$L$205,1)))/(INDEX(LE_Curves!$L$5:$L$205,MATCH($R135,LE_Curves!$L$5:$L$205,1)+1)-INDEX(LE_Curves!$L$5:$L$205,MATCH($R135,LE_Curves!$L$5:$L$205,1))))))</f>
        <v/>
      </c>
      <c r="AC135" s="11">
        <f>IF(Inputs!$D$33=0,0,IF($R135&lt;=Inputs!$C$33,0,IF($R135&gt;=INDEX(LE_Curves!$M$5:$M$205,201),INDEX(LE_Curves!$B$5:$B$205,201),INDEX(LE_Curves!$B$5:$B$205,MATCH($R135,LE_Curves!$M$5:$M$205,1))+($R135-INDEX(LE_Curves!$M$5:$M$205,MATCH($R135,LE_Curves!$M$5:$M$205,1)))*(INDEX(LE_Curves!$B$5:$B$205,MATCH($R135,LE_Curves!$M$5:$M$205,1)+1)-INDEX(LE_Curves!$B$5:$B$205,MATCH($R135,LE_Curves!$M$5:$M$205,1)))/(INDEX(LE_Curves!$M$5:$M$205,MATCH($R135,LE_Curves!$M$5:$M$205,1)+1)-INDEX(LE_Curves!$M$5:$M$205,MATCH($R135,LE_Curves!$M$5:$M$205,1))))))</f>
        <v/>
      </c>
      <c r="AD135" s="11">
        <f>IF(Inputs!$D$34=0,0,IF($R135&lt;=Inputs!$C$34,0,IF($R135&gt;=INDEX(LE_Curves!$N$5:$N$205,201),INDEX(LE_Curves!$B$5:$B$205,201),INDEX(LE_Curves!$B$5:$B$205,MATCH($R135,LE_Curves!$N$5:$N$205,1))+($R135-INDEX(LE_Curves!$N$5:$N$205,MATCH($R135,LE_Curves!$N$5:$N$205,1)))*(INDEX(LE_Curves!$B$5:$B$205,MATCH($R135,LE_Curves!$N$5:$N$205,1)+1)-INDEX(LE_Curves!$B$5:$B$205,MATCH($R135,LE_Curves!$N$5:$N$205,1)))/(INDEX(LE_Curves!$N$5:$N$205,MATCH($R135,LE_Curves!$N$5:$N$205,1)+1)-INDEX(LE_Curves!$N$5:$N$205,MATCH($R135,LE_Curves!$N$5:$N$205,1))))))</f>
        <v/>
      </c>
      <c r="AE135" s="37">
        <f>SUM(S135:AD135)</f>
        <v/>
      </c>
    </row>
    <row r="136">
      <c r="A136" s="7" t="n">
        <v>105</v>
      </c>
      <c r="B136" s="37">
        <f>$B$3+($B$4-$B$3)*A136/200</f>
        <v/>
      </c>
      <c r="C136" s="11">
        <f>IF(Inputs!$D$23=0,0,IF($B136&lt;=Inputs!$C$23,0,IF($B136&gt;=INDEX(LE_Curves!$C$5:$C$205,201),INDEX(LE_Curves!$B$5:$B$205,201),INDEX(LE_Curves!$B$5:$B$205,MATCH($B136,LE_Curves!$C$5:$C$205,1))+($B136-INDEX(LE_Curves!$C$5:$C$205,MATCH($B136,LE_Curves!$C$5:$C$205,1)))*(INDEX(LE_Curves!$B$5:$B$205,MATCH($B136,LE_Curves!$C$5:$C$205,1)+1)-INDEX(LE_Curves!$B$5:$B$205,MATCH($B136,LE_Curves!$C$5:$C$205,1)))/(INDEX(LE_Curves!$C$5:$C$205,MATCH($B136,LE_Curves!$C$5:$C$205,1)+1)-INDEX(LE_Curves!$C$5:$C$205,MATCH($B136,LE_Curves!$C$5:$C$205,1))))))</f>
        <v/>
      </c>
      <c r="D136" s="11">
        <f>IF(Inputs!$D$24=0,0,IF($B136&lt;=Inputs!$C$24,0,IF($B136&gt;=INDEX(LE_Curves!$D$5:$D$205,201),INDEX(LE_Curves!$B$5:$B$205,201),INDEX(LE_Curves!$B$5:$B$205,MATCH($B136,LE_Curves!$D$5:$D$205,1))+($B136-INDEX(LE_Curves!$D$5:$D$205,MATCH($B136,LE_Curves!$D$5:$D$205,1)))*(INDEX(LE_Curves!$B$5:$B$205,MATCH($B136,LE_Curves!$D$5:$D$205,1)+1)-INDEX(LE_Curves!$B$5:$B$205,MATCH($B136,LE_Curves!$D$5:$D$205,1)))/(INDEX(LE_Curves!$D$5:$D$205,MATCH($B136,LE_Curves!$D$5:$D$205,1)+1)-INDEX(LE_Curves!$D$5:$D$205,MATCH($B136,LE_Curves!$D$5:$D$205,1))))))</f>
        <v/>
      </c>
      <c r="E136" s="11">
        <f>IF(Inputs!$D$25=0,0,IF($B136&lt;=Inputs!$C$25,0,IF($B136&gt;=INDEX(LE_Curves!$E$5:$E$205,201),INDEX(LE_Curves!$B$5:$B$205,201),INDEX(LE_Curves!$B$5:$B$205,MATCH($B136,LE_Curves!$E$5:$E$205,1))+($B136-INDEX(LE_Curves!$E$5:$E$205,MATCH($B136,LE_Curves!$E$5:$E$205,1)))*(INDEX(LE_Curves!$B$5:$B$205,MATCH($B136,LE_Curves!$E$5:$E$205,1)+1)-INDEX(LE_Curves!$B$5:$B$205,MATCH($B136,LE_Curves!$E$5:$E$205,1)))/(INDEX(LE_Curves!$E$5:$E$205,MATCH($B136,LE_Curves!$E$5:$E$205,1)+1)-INDEX(LE_Curves!$E$5:$E$205,MATCH($B136,LE_Curves!$E$5:$E$205,1))))))</f>
        <v/>
      </c>
      <c r="F136" s="11">
        <f>IF(Inputs!$D$26=0,0,IF($B136&lt;=Inputs!$C$26,0,IF($B136&gt;=INDEX(LE_Curves!$F$5:$F$205,201),INDEX(LE_Curves!$B$5:$B$205,201),INDEX(LE_Curves!$B$5:$B$205,MATCH($B136,LE_Curves!$F$5:$F$205,1))+($B136-INDEX(LE_Curves!$F$5:$F$205,MATCH($B136,LE_Curves!$F$5:$F$205,1)))*(INDEX(LE_Curves!$B$5:$B$205,MATCH($B136,LE_Curves!$F$5:$F$205,1)+1)-INDEX(LE_Curves!$B$5:$B$205,MATCH($B136,LE_Curves!$F$5:$F$205,1)))/(INDEX(LE_Curves!$F$5:$F$205,MATCH($B136,LE_Curves!$F$5:$F$205,1)+1)-INDEX(LE_Curves!$F$5:$F$205,MATCH($B136,LE_Curves!$F$5:$F$205,1))))))</f>
        <v/>
      </c>
      <c r="G136" s="11">
        <f>IF(Inputs!$D$27=0,0,IF($B136&lt;=Inputs!$C$27,0,IF($B136&gt;=INDEX(LE_Curves!$G$5:$G$205,201),INDEX(LE_Curves!$B$5:$B$205,201),INDEX(LE_Curves!$B$5:$B$205,MATCH($B136,LE_Curves!$G$5:$G$205,1))+($B136-INDEX(LE_Curves!$G$5:$G$205,MATCH($B136,LE_Curves!$G$5:$G$205,1)))*(INDEX(LE_Curves!$B$5:$B$205,MATCH($B136,LE_Curves!$G$5:$G$205,1)+1)-INDEX(LE_Curves!$B$5:$B$205,MATCH($B136,LE_Curves!$G$5:$G$205,1)))/(INDEX(LE_Curves!$G$5:$G$205,MATCH($B136,LE_Curves!$G$5:$G$205,1)+1)-INDEX(LE_Curves!$G$5:$G$205,MATCH($B136,LE_Curves!$G$5:$G$205,1))))))</f>
        <v/>
      </c>
      <c r="H136" s="11">
        <f>IF(Inputs!$D$28=0,0,IF($B136&lt;=Inputs!$C$28,0,IF($B136&gt;=INDEX(LE_Curves!$H$5:$H$205,201),INDEX(LE_Curves!$B$5:$B$205,201),INDEX(LE_Curves!$B$5:$B$205,MATCH($B136,LE_Curves!$H$5:$H$205,1))+($B136-INDEX(LE_Curves!$H$5:$H$205,MATCH($B136,LE_Curves!$H$5:$H$205,1)))*(INDEX(LE_Curves!$B$5:$B$205,MATCH($B136,LE_Curves!$H$5:$H$205,1)+1)-INDEX(LE_Curves!$B$5:$B$205,MATCH($B136,LE_Curves!$H$5:$H$205,1)))/(INDEX(LE_Curves!$H$5:$H$205,MATCH($B136,LE_Curves!$H$5:$H$205,1)+1)-INDEX(LE_Curves!$H$5:$H$205,MATCH($B136,LE_Curves!$H$5:$H$205,1))))))</f>
        <v/>
      </c>
      <c r="I136" s="11">
        <f>IF(Inputs!$D$29=0,0,IF($B136&lt;=Inputs!$C$29,0,IF($B136&gt;=INDEX(LE_Curves!$I$5:$I$205,201),INDEX(LE_Curves!$B$5:$B$205,201),INDEX(LE_Curves!$B$5:$B$205,MATCH($B136,LE_Curves!$I$5:$I$205,1))+($B136-INDEX(LE_Curves!$I$5:$I$205,MATCH($B136,LE_Curves!$I$5:$I$205,1)))*(INDEX(LE_Curves!$B$5:$B$205,MATCH($B136,LE_Curves!$I$5:$I$205,1)+1)-INDEX(LE_Curves!$B$5:$B$205,MATCH($B136,LE_Curves!$I$5:$I$205,1)))/(INDEX(LE_Curves!$I$5:$I$205,MATCH($B136,LE_Curves!$I$5:$I$205,1)+1)-INDEX(LE_Curves!$I$5:$I$205,MATCH($B136,LE_Curves!$I$5:$I$205,1))))))</f>
        <v/>
      </c>
      <c r="J136" s="11">
        <f>IF(Inputs!$D$30=0,0,IF($B136&lt;=Inputs!$C$30,0,IF($B136&gt;=INDEX(LE_Curves!$J$5:$J$205,201),INDEX(LE_Curves!$B$5:$B$205,201),INDEX(LE_Curves!$B$5:$B$205,MATCH($B136,LE_Curves!$J$5:$J$205,1))+($B136-INDEX(LE_Curves!$J$5:$J$205,MATCH($B136,LE_Curves!$J$5:$J$205,1)))*(INDEX(LE_Curves!$B$5:$B$205,MATCH($B136,LE_Curves!$J$5:$J$205,1)+1)-INDEX(LE_Curves!$B$5:$B$205,MATCH($B136,LE_Curves!$J$5:$J$205,1)))/(INDEX(LE_Curves!$J$5:$J$205,MATCH($B136,LE_Curves!$J$5:$J$205,1)+1)-INDEX(LE_Curves!$J$5:$J$205,MATCH($B136,LE_Curves!$J$5:$J$205,1))))))</f>
        <v/>
      </c>
      <c r="K136" s="11">
        <f>IF(Inputs!$D$31=0,0,IF($B136&lt;=Inputs!$C$31,0,IF($B136&gt;=INDEX(LE_Curves!$K$5:$K$205,201),INDEX(LE_Curves!$B$5:$B$205,201),INDEX(LE_Curves!$B$5:$B$205,MATCH($B136,LE_Curves!$K$5:$K$205,1))+($B136-INDEX(LE_Curves!$K$5:$K$205,MATCH($B136,LE_Curves!$K$5:$K$205,1)))*(INDEX(LE_Curves!$B$5:$B$205,MATCH($B136,LE_Curves!$K$5:$K$205,1)+1)-INDEX(LE_Curves!$B$5:$B$205,MATCH($B136,LE_Curves!$K$5:$K$205,1)))/(INDEX(LE_Curves!$K$5:$K$205,MATCH($B136,LE_Curves!$K$5:$K$205,1)+1)-INDEX(LE_Curves!$K$5:$K$205,MATCH($B136,LE_Curves!$K$5:$K$205,1))))))</f>
        <v/>
      </c>
      <c r="L136" s="11">
        <f>IF(Inputs!$D$32=0,0,IF($B136&lt;=Inputs!$C$32,0,IF($B136&gt;=INDEX(LE_Curves!$L$5:$L$205,201),INDEX(LE_Curves!$B$5:$B$205,201),INDEX(LE_Curves!$B$5:$B$205,MATCH($B136,LE_Curves!$L$5:$L$205,1))+($B136-INDEX(LE_Curves!$L$5:$L$205,MATCH($B136,LE_Curves!$L$5:$L$205,1)))*(INDEX(LE_Curves!$B$5:$B$205,MATCH($B136,LE_Curves!$L$5:$L$205,1)+1)-INDEX(LE_Curves!$B$5:$B$205,MATCH($B136,LE_Curves!$L$5:$L$205,1)))/(INDEX(LE_Curves!$L$5:$L$205,MATCH($B136,LE_Curves!$L$5:$L$205,1)+1)-INDEX(LE_Curves!$L$5:$L$205,MATCH($B136,LE_Curves!$L$5:$L$205,1))))))</f>
        <v/>
      </c>
      <c r="M136" s="11">
        <f>IF(Inputs!$D$33=0,0,IF($B136&lt;=Inputs!$C$33,0,IF($B136&gt;=INDEX(LE_Curves!$M$5:$M$205,201),INDEX(LE_Curves!$B$5:$B$205,201),INDEX(LE_Curves!$B$5:$B$205,MATCH($B136,LE_Curves!$M$5:$M$205,1))+($B136-INDEX(LE_Curves!$M$5:$M$205,MATCH($B136,LE_Curves!$M$5:$M$205,1)))*(INDEX(LE_Curves!$B$5:$B$205,MATCH($B136,LE_Curves!$M$5:$M$205,1)+1)-INDEX(LE_Curves!$B$5:$B$205,MATCH($B136,LE_Curves!$M$5:$M$205,1)))/(INDEX(LE_Curves!$M$5:$M$205,MATCH($B136,LE_Curves!$M$5:$M$205,1)+1)-INDEX(LE_Curves!$M$5:$M$205,MATCH($B136,LE_Curves!$M$5:$M$205,1))))))</f>
        <v/>
      </c>
      <c r="N136" s="11">
        <f>IF(Inputs!$D$34=0,0,IF($B136&lt;=Inputs!$C$34,0,IF($B136&gt;=INDEX(LE_Curves!$N$5:$N$205,201),INDEX(LE_Curves!$B$5:$B$205,201),INDEX(LE_Curves!$B$5:$B$205,MATCH($B136,LE_Curves!$N$5:$N$205,1))+($B136-INDEX(LE_Curves!$N$5:$N$205,MATCH($B136,LE_Curves!$N$5:$N$205,1)))*(INDEX(LE_Curves!$B$5:$B$205,MATCH($B136,LE_Curves!$N$5:$N$205,1)+1)-INDEX(LE_Curves!$B$5:$B$205,MATCH($B136,LE_Curves!$N$5:$N$205,1)))/(INDEX(LE_Curves!$N$5:$N$205,MATCH($B136,LE_Curves!$N$5:$N$205,1)+1)-INDEX(LE_Curves!$N$5:$N$205,MATCH($B136,LE_Curves!$N$5:$N$205,1))))))</f>
        <v/>
      </c>
      <c r="O136" s="11">
        <f>SUM(C136:N136)</f>
        <v/>
      </c>
      <c r="Q136" s="7" t="n">
        <v>105</v>
      </c>
      <c r="R136" s="23">
        <f>$B$6+($B$7-$B$6)*Q136/200</f>
        <v/>
      </c>
      <c r="S136" s="11">
        <f>IF(Inputs!$D$23=0,0,IF($R136&lt;=Inputs!$C$23,0,IF($R136&gt;=INDEX(LE_Curves!$C$5:$C$205,201),INDEX(LE_Curves!$B$5:$B$205,201),INDEX(LE_Curves!$B$5:$B$205,MATCH($R136,LE_Curves!$C$5:$C$205,1))+($R136-INDEX(LE_Curves!$C$5:$C$205,MATCH($R136,LE_Curves!$C$5:$C$205,1)))*(INDEX(LE_Curves!$B$5:$B$205,MATCH($R136,LE_Curves!$C$5:$C$205,1)+1)-INDEX(LE_Curves!$B$5:$B$205,MATCH($R136,LE_Curves!$C$5:$C$205,1)))/(INDEX(LE_Curves!$C$5:$C$205,MATCH($R136,LE_Curves!$C$5:$C$205,1)+1)-INDEX(LE_Curves!$C$5:$C$205,MATCH($R136,LE_Curves!$C$5:$C$205,1))))))</f>
        <v/>
      </c>
      <c r="T136" s="11">
        <f>IF(Inputs!$D$24=0,0,IF($R136&lt;=Inputs!$C$24,0,IF($R136&gt;=INDEX(LE_Curves!$D$5:$D$205,201),INDEX(LE_Curves!$B$5:$B$205,201),INDEX(LE_Curves!$B$5:$B$205,MATCH($R136,LE_Curves!$D$5:$D$205,1))+($R136-INDEX(LE_Curves!$D$5:$D$205,MATCH($R136,LE_Curves!$D$5:$D$205,1)))*(INDEX(LE_Curves!$B$5:$B$205,MATCH($R136,LE_Curves!$D$5:$D$205,1)+1)-INDEX(LE_Curves!$B$5:$B$205,MATCH($R136,LE_Curves!$D$5:$D$205,1)))/(INDEX(LE_Curves!$D$5:$D$205,MATCH($R136,LE_Curves!$D$5:$D$205,1)+1)-INDEX(LE_Curves!$D$5:$D$205,MATCH($R136,LE_Curves!$D$5:$D$205,1))))))</f>
        <v/>
      </c>
      <c r="U136" s="11">
        <f>IF(Inputs!$D$25=0,0,IF($R136&lt;=Inputs!$C$25,0,IF($R136&gt;=INDEX(LE_Curves!$E$5:$E$205,201),INDEX(LE_Curves!$B$5:$B$205,201),INDEX(LE_Curves!$B$5:$B$205,MATCH($R136,LE_Curves!$E$5:$E$205,1))+($R136-INDEX(LE_Curves!$E$5:$E$205,MATCH($R136,LE_Curves!$E$5:$E$205,1)))*(INDEX(LE_Curves!$B$5:$B$205,MATCH($R136,LE_Curves!$E$5:$E$205,1)+1)-INDEX(LE_Curves!$B$5:$B$205,MATCH($R136,LE_Curves!$E$5:$E$205,1)))/(INDEX(LE_Curves!$E$5:$E$205,MATCH($R136,LE_Curves!$E$5:$E$205,1)+1)-INDEX(LE_Curves!$E$5:$E$205,MATCH($R136,LE_Curves!$E$5:$E$205,1))))))</f>
        <v/>
      </c>
      <c r="V136" s="11">
        <f>IF(Inputs!$D$26=0,0,IF($R136&lt;=Inputs!$C$26,0,IF($R136&gt;=INDEX(LE_Curves!$F$5:$F$205,201),INDEX(LE_Curves!$B$5:$B$205,201),INDEX(LE_Curves!$B$5:$B$205,MATCH($R136,LE_Curves!$F$5:$F$205,1))+($R136-INDEX(LE_Curves!$F$5:$F$205,MATCH($R136,LE_Curves!$F$5:$F$205,1)))*(INDEX(LE_Curves!$B$5:$B$205,MATCH($R136,LE_Curves!$F$5:$F$205,1)+1)-INDEX(LE_Curves!$B$5:$B$205,MATCH($R136,LE_Curves!$F$5:$F$205,1)))/(INDEX(LE_Curves!$F$5:$F$205,MATCH($R136,LE_Curves!$F$5:$F$205,1)+1)-INDEX(LE_Curves!$F$5:$F$205,MATCH($R136,LE_Curves!$F$5:$F$205,1))))))</f>
        <v/>
      </c>
      <c r="W136" s="11">
        <f>IF(Inputs!$D$27=0,0,IF($R136&lt;=Inputs!$C$27,0,IF($R136&gt;=INDEX(LE_Curves!$G$5:$G$205,201),INDEX(LE_Curves!$B$5:$B$205,201),INDEX(LE_Curves!$B$5:$B$205,MATCH($R136,LE_Curves!$G$5:$G$205,1))+($R136-INDEX(LE_Curves!$G$5:$G$205,MATCH($R136,LE_Curves!$G$5:$G$205,1)))*(INDEX(LE_Curves!$B$5:$B$205,MATCH($R136,LE_Curves!$G$5:$G$205,1)+1)-INDEX(LE_Curves!$B$5:$B$205,MATCH($R136,LE_Curves!$G$5:$G$205,1)))/(INDEX(LE_Curves!$G$5:$G$205,MATCH($R136,LE_Curves!$G$5:$G$205,1)+1)-INDEX(LE_Curves!$G$5:$G$205,MATCH($R136,LE_Curves!$G$5:$G$205,1))))))</f>
        <v/>
      </c>
      <c r="X136" s="11">
        <f>IF(Inputs!$D$28=0,0,IF($R136&lt;=Inputs!$C$28,0,IF($R136&gt;=INDEX(LE_Curves!$H$5:$H$205,201),INDEX(LE_Curves!$B$5:$B$205,201),INDEX(LE_Curves!$B$5:$B$205,MATCH($R136,LE_Curves!$H$5:$H$205,1))+($R136-INDEX(LE_Curves!$H$5:$H$205,MATCH($R136,LE_Curves!$H$5:$H$205,1)))*(INDEX(LE_Curves!$B$5:$B$205,MATCH($R136,LE_Curves!$H$5:$H$205,1)+1)-INDEX(LE_Curves!$B$5:$B$205,MATCH($R136,LE_Curves!$H$5:$H$205,1)))/(INDEX(LE_Curves!$H$5:$H$205,MATCH($R136,LE_Curves!$H$5:$H$205,1)+1)-INDEX(LE_Curves!$H$5:$H$205,MATCH($R136,LE_Curves!$H$5:$H$205,1))))))</f>
        <v/>
      </c>
      <c r="Y136" s="11">
        <f>IF(Inputs!$D$29=0,0,IF($R136&lt;=Inputs!$C$29,0,IF($R136&gt;=INDEX(LE_Curves!$I$5:$I$205,201),INDEX(LE_Curves!$B$5:$B$205,201),INDEX(LE_Curves!$B$5:$B$205,MATCH($R136,LE_Curves!$I$5:$I$205,1))+($R136-INDEX(LE_Curves!$I$5:$I$205,MATCH($R136,LE_Curves!$I$5:$I$205,1)))*(INDEX(LE_Curves!$B$5:$B$205,MATCH($R136,LE_Curves!$I$5:$I$205,1)+1)-INDEX(LE_Curves!$B$5:$B$205,MATCH($R136,LE_Curves!$I$5:$I$205,1)))/(INDEX(LE_Curves!$I$5:$I$205,MATCH($R136,LE_Curves!$I$5:$I$205,1)+1)-INDEX(LE_Curves!$I$5:$I$205,MATCH($R136,LE_Curves!$I$5:$I$205,1))))))</f>
        <v/>
      </c>
      <c r="Z136" s="11">
        <f>IF(Inputs!$D$30=0,0,IF($R136&lt;=Inputs!$C$30,0,IF($R136&gt;=INDEX(LE_Curves!$J$5:$J$205,201),INDEX(LE_Curves!$B$5:$B$205,201),INDEX(LE_Curves!$B$5:$B$205,MATCH($R136,LE_Curves!$J$5:$J$205,1))+($R136-INDEX(LE_Curves!$J$5:$J$205,MATCH($R136,LE_Curves!$J$5:$J$205,1)))*(INDEX(LE_Curves!$B$5:$B$205,MATCH($R136,LE_Curves!$J$5:$J$205,1)+1)-INDEX(LE_Curves!$B$5:$B$205,MATCH($R136,LE_Curves!$J$5:$J$205,1)))/(INDEX(LE_Curves!$J$5:$J$205,MATCH($R136,LE_Curves!$J$5:$J$205,1)+1)-INDEX(LE_Curves!$J$5:$J$205,MATCH($R136,LE_Curves!$J$5:$J$205,1))))))</f>
        <v/>
      </c>
      <c r="AA136" s="11">
        <f>IF(Inputs!$D$31=0,0,IF($R136&lt;=Inputs!$C$31,0,IF($R136&gt;=INDEX(LE_Curves!$K$5:$K$205,201),INDEX(LE_Curves!$B$5:$B$205,201),INDEX(LE_Curves!$B$5:$B$205,MATCH($R136,LE_Curves!$K$5:$K$205,1))+($R136-INDEX(LE_Curves!$K$5:$K$205,MATCH($R136,LE_Curves!$K$5:$K$205,1)))*(INDEX(LE_Curves!$B$5:$B$205,MATCH($R136,LE_Curves!$K$5:$K$205,1)+1)-INDEX(LE_Curves!$B$5:$B$205,MATCH($R136,LE_Curves!$K$5:$K$205,1)))/(INDEX(LE_Curves!$K$5:$K$205,MATCH($R136,LE_Curves!$K$5:$K$205,1)+1)-INDEX(LE_Curves!$K$5:$K$205,MATCH($R136,LE_Curves!$K$5:$K$205,1))))))</f>
        <v/>
      </c>
      <c r="AB136" s="11">
        <f>IF(Inputs!$D$32=0,0,IF($R136&lt;=Inputs!$C$32,0,IF($R136&gt;=INDEX(LE_Curves!$L$5:$L$205,201),INDEX(LE_Curves!$B$5:$B$205,201),INDEX(LE_Curves!$B$5:$B$205,MATCH($R136,LE_Curves!$L$5:$L$205,1))+($R136-INDEX(LE_Curves!$L$5:$L$205,MATCH($R136,LE_Curves!$L$5:$L$205,1)))*(INDEX(LE_Curves!$B$5:$B$205,MATCH($R136,LE_Curves!$L$5:$L$205,1)+1)-INDEX(LE_Curves!$B$5:$B$205,MATCH($R136,LE_Curves!$L$5:$L$205,1)))/(INDEX(LE_Curves!$L$5:$L$205,MATCH($R136,LE_Curves!$L$5:$L$205,1)+1)-INDEX(LE_Curves!$L$5:$L$205,MATCH($R136,LE_Curves!$L$5:$L$205,1))))))</f>
        <v/>
      </c>
      <c r="AC136" s="11">
        <f>IF(Inputs!$D$33=0,0,IF($R136&lt;=Inputs!$C$33,0,IF($R136&gt;=INDEX(LE_Curves!$M$5:$M$205,201),INDEX(LE_Curves!$B$5:$B$205,201),INDEX(LE_Curves!$B$5:$B$205,MATCH($R136,LE_Curves!$M$5:$M$205,1))+($R136-INDEX(LE_Curves!$M$5:$M$205,MATCH($R136,LE_Curves!$M$5:$M$205,1)))*(INDEX(LE_Curves!$B$5:$B$205,MATCH($R136,LE_Curves!$M$5:$M$205,1)+1)-INDEX(LE_Curves!$B$5:$B$205,MATCH($R136,LE_Curves!$M$5:$M$205,1)))/(INDEX(LE_Curves!$M$5:$M$205,MATCH($R136,LE_Curves!$M$5:$M$205,1)+1)-INDEX(LE_Curves!$M$5:$M$205,MATCH($R136,LE_Curves!$M$5:$M$205,1))))))</f>
        <v/>
      </c>
      <c r="AD136" s="11">
        <f>IF(Inputs!$D$34=0,0,IF($R136&lt;=Inputs!$C$34,0,IF($R136&gt;=INDEX(LE_Curves!$N$5:$N$205,201),INDEX(LE_Curves!$B$5:$B$205,201),INDEX(LE_Curves!$B$5:$B$205,MATCH($R136,LE_Curves!$N$5:$N$205,1))+($R136-INDEX(LE_Curves!$N$5:$N$205,MATCH($R136,LE_Curves!$N$5:$N$205,1)))*(INDEX(LE_Curves!$B$5:$B$205,MATCH($R136,LE_Curves!$N$5:$N$205,1)+1)-INDEX(LE_Curves!$B$5:$B$205,MATCH($R136,LE_Curves!$N$5:$N$205,1)))/(INDEX(LE_Curves!$N$5:$N$205,MATCH($R136,LE_Curves!$N$5:$N$205,1)+1)-INDEX(LE_Curves!$N$5:$N$205,MATCH($R136,LE_Curves!$N$5:$N$205,1))))))</f>
        <v/>
      </c>
      <c r="AE136" s="37">
        <f>SUM(S136:AD136)</f>
        <v/>
      </c>
    </row>
    <row r="137">
      <c r="A137" s="7" t="n">
        <v>106</v>
      </c>
      <c r="B137" s="37">
        <f>$B$3+($B$4-$B$3)*A137/200</f>
        <v/>
      </c>
      <c r="C137" s="11">
        <f>IF(Inputs!$D$23=0,0,IF($B137&lt;=Inputs!$C$23,0,IF($B137&gt;=INDEX(LE_Curves!$C$5:$C$205,201),INDEX(LE_Curves!$B$5:$B$205,201),INDEX(LE_Curves!$B$5:$B$205,MATCH($B137,LE_Curves!$C$5:$C$205,1))+($B137-INDEX(LE_Curves!$C$5:$C$205,MATCH($B137,LE_Curves!$C$5:$C$205,1)))*(INDEX(LE_Curves!$B$5:$B$205,MATCH($B137,LE_Curves!$C$5:$C$205,1)+1)-INDEX(LE_Curves!$B$5:$B$205,MATCH($B137,LE_Curves!$C$5:$C$205,1)))/(INDEX(LE_Curves!$C$5:$C$205,MATCH($B137,LE_Curves!$C$5:$C$205,1)+1)-INDEX(LE_Curves!$C$5:$C$205,MATCH($B137,LE_Curves!$C$5:$C$205,1))))))</f>
        <v/>
      </c>
      <c r="D137" s="11">
        <f>IF(Inputs!$D$24=0,0,IF($B137&lt;=Inputs!$C$24,0,IF($B137&gt;=INDEX(LE_Curves!$D$5:$D$205,201),INDEX(LE_Curves!$B$5:$B$205,201),INDEX(LE_Curves!$B$5:$B$205,MATCH($B137,LE_Curves!$D$5:$D$205,1))+($B137-INDEX(LE_Curves!$D$5:$D$205,MATCH($B137,LE_Curves!$D$5:$D$205,1)))*(INDEX(LE_Curves!$B$5:$B$205,MATCH($B137,LE_Curves!$D$5:$D$205,1)+1)-INDEX(LE_Curves!$B$5:$B$205,MATCH($B137,LE_Curves!$D$5:$D$205,1)))/(INDEX(LE_Curves!$D$5:$D$205,MATCH($B137,LE_Curves!$D$5:$D$205,1)+1)-INDEX(LE_Curves!$D$5:$D$205,MATCH($B137,LE_Curves!$D$5:$D$205,1))))))</f>
        <v/>
      </c>
      <c r="E137" s="11">
        <f>IF(Inputs!$D$25=0,0,IF($B137&lt;=Inputs!$C$25,0,IF($B137&gt;=INDEX(LE_Curves!$E$5:$E$205,201),INDEX(LE_Curves!$B$5:$B$205,201),INDEX(LE_Curves!$B$5:$B$205,MATCH($B137,LE_Curves!$E$5:$E$205,1))+($B137-INDEX(LE_Curves!$E$5:$E$205,MATCH($B137,LE_Curves!$E$5:$E$205,1)))*(INDEX(LE_Curves!$B$5:$B$205,MATCH($B137,LE_Curves!$E$5:$E$205,1)+1)-INDEX(LE_Curves!$B$5:$B$205,MATCH($B137,LE_Curves!$E$5:$E$205,1)))/(INDEX(LE_Curves!$E$5:$E$205,MATCH($B137,LE_Curves!$E$5:$E$205,1)+1)-INDEX(LE_Curves!$E$5:$E$205,MATCH($B137,LE_Curves!$E$5:$E$205,1))))))</f>
        <v/>
      </c>
      <c r="F137" s="11">
        <f>IF(Inputs!$D$26=0,0,IF($B137&lt;=Inputs!$C$26,0,IF($B137&gt;=INDEX(LE_Curves!$F$5:$F$205,201),INDEX(LE_Curves!$B$5:$B$205,201),INDEX(LE_Curves!$B$5:$B$205,MATCH($B137,LE_Curves!$F$5:$F$205,1))+($B137-INDEX(LE_Curves!$F$5:$F$205,MATCH($B137,LE_Curves!$F$5:$F$205,1)))*(INDEX(LE_Curves!$B$5:$B$205,MATCH($B137,LE_Curves!$F$5:$F$205,1)+1)-INDEX(LE_Curves!$B$5:$B$205,MATCH($B137,LE_Curves!$F$5:$F$205,1)))/(INDEX(LE_Curves!$F$5:$F$205,MATCH($B137,LE_Curves!$F$5:$F$205,1)+1)-INDEX(LE_Curves!$F$5:$F$205,MATCH($B137,LE_Curves!$F$5:$F$205,1))))))</f>
        <v/>
      </c>
      <c r="G137" s="11">
        <f>IF(Inputs!$D$27=0,0,IF($B137&lt;=Inputs!$C$27,0,IF($B137&gt;=INDEX(LE_Curves!$G$5:$G$205,201),INDEX(LE_Curves!$B$5:$B$205,201),INDEX(LE_Curves!$B$5:$B$205,MATCH($B137,LE_Curves!$G$5:$G$205,1))+($B137-INDEX(LE_Curves!$G$5:$G$205,MATCH($B137,LE_Curves!$G$5:$G$205,1)))*(INDEX(LE_Curves!$B$5:$B$205,MATCH($B137,LE_Curves!$G$5:$G$205,1)+1)-INDEX(LE_Curves!$B$5:$B$205,MATCH($B137,LE_Curves!$G$5:$G$205,1)))/(INDEX(LE_Curves!$G$5:$G$205,MATCH($B137,LE_Curves!$G$5:$G$205,1)+1)-INDEX(LE_Curves!$G$5:$G$205,MATCH($B137,LE_Curves!$G$5:$G$205,1))))))</f>
        <v/>
      </c>
      <c r="H137" s="11">
        <f>IF(Inputs!$D$28=0,0,IF($B137&lt;=Inputs!$C$28,0,IF($B137&gt;=INDEX(LE_Curves!$H$5:$H$205,201),INDEX(LE_Curves!$B$5:$B$205,201),INDEX(LE_Curves!$B$5:$B$205,MATCH($B137,LE_Curves!$H$5:$H$205,1))+($B137-INDEX(LE_Curves!$H$5:$H$205,MATCH($B137,LE_Curves!$H$5:$H$205,1)))*(INDEX(LE_Curves!$B$5:$B$205,MATCH($B137,LE_Curves!$H$5:$H$205,1)+1)-INDEX(LE_Curves!$B$5:$B$205,MATCH($B137,LE_Curves!$H$5:$H$205,1)))/(INDEX(LE_Curves!$H$5:$H$205,MATCH($B137,LE_Curves!$H$5:$H$205,1)+1)-INDEX(LE_Curves!$H$5:$H$205,MATCH($B137,LE_Curves!$H$5:$H$205,1))))))</f>
        <v/>
      </c>
      <c r="I137" s="11">
        <f>IF(Inputs!$D$29=0,0,IF($B137&lt;=Inputs!$C$29,0,IF($B137&gt;=INDEX(LE_Curves!$I$5:$I$205,201),INDEX(LE_Curves!$B$5:$B$205,201),INDEX(LE_Curves!$B$5:$B$205,MATCH($B137,LE_Curves!$I$5:$I$205,1))+($B137-INDEX(LE_Curves!$I$5:$I$205,MATCH($B137,LE_Curves!$I$5:$I$205,1)))*(INDEX(LE_Curves!$B$5:$B$205,MATCH($B137,LE_Curves!$I$5:$I$205,1)+1)-INDEX(LE_Curves!$B$5:$B$205,MATCH($B137,LE_Curves!$I$5:$I$205,1)))/(INDEX(LE_Curves!$I$5:$I$205,MATCH($B137,LE_Curves!$I$5:$I$205,1)+1)-INDEX(LE_Curves!$I$5:$I$205,MATCH($B137,LE_Curves!$I$5:$I$205,1))))))</f>
        <v/>
      </c>
      <c r="J137" s="11">
        <f>IF(Inputs!$D$30=0,0,IF($B137&lt;=Inputs!$C$30,0,IF($B137&gt;=INDEX(LE_Curves!$J$5:$J$205,201),INDEX(LE_Curves!$B$5:$B$205,201),INDEX(LE_Curves!$B$5:$B$205,MATCH($B137,LE_Curves!$J$5:$J$205,1))+($B137-INDEX(LE_Curves!$J$5:$J$205,MATCH($B137,LE_Curves!$J$5:$J$205,1)))*(INDEX(LE_Curves!$B$5:$B$205,MATCH($B137,LE_Curves!$J$5:$J$205,1)+1)-INDEX(LE_Curves!$B$5:$B$205,MATCH($B137,LE_Curves!$J$5:$J$205,1)))/(INDEX(LE_Curves!$J$5:$J$205,MATCH($B137,LE_Curves!$J$5:$J$205,1)+1)-INDEX(LE_Curves!$J$5:$J$205,MATCH($B137,LE_Curves!$J$5:$J$205,1))))))</f>
        <v/>
      </c>
      <c r="K137" s="11">
        <f>IF(Inputs!$D$31=0,0,IF($B137&lt;=Inputs!$C$31,0,IF($B137&gt;=INDEX(LE_Curves!$K$5:$K$205,201),INDEX(LE_Curves!$B$5:$B$205,201),INDEX(LE_Curves!$B$5:$B$205,MATCH($B137,LE_Curves!$K$5:$K$205,1))+($B137-INDEX(LE_Curves!$K$5:$K$205,MATCH($B137,LE_Curves!$K$5:$K$205,1)))*(INDEX(LE_Curves!$B$5:$B$205,MATCH($B137,LE_Curves!$K$5:$K$205,1)+1)-INDEX(LE_Curves!$B$5:$B$205,MATCH($B137,LE_Curves!$K$5:$K$205,1)))/(INDEX(LE_Curves!$K$5:$K$205,MATCH($B137,LE_Curves!$K$5:$K$205,1)+1)-INDEX(LE_Curves!$K$5:$K$205,MATCH($B137,LE_Curves!$K$5:$K$205,1))))))</f>
        <v/>
      </c>
      <c r="L137" s="11">
        <f>IF(Inputs!$D$32=0,0,IF($B137&lt;=Inputs!$C$32,0,IF($B137&gt;=INDEX(LE_Curves!$L$5:$L$205,201),INDEX(LE_Curves!$B$5:$B$205,201),INDEX(LE_Curves!$B$5:$B$205,MATCH($B137,LE_Curves!$L$5:$L$205,1))+($B137-INDEX(LE_Curves!$L$5:$L$205,MATCH($B137,LE_Curves!$L$5:$L$205,1)))*(INDEX(LE_Curves!$B$5:$B$205,MATCH($B137,LE_Curves!$L$5:$L$205,1)+1)-INDEX(LE_Curves!$B$5:$B$205,MATCH($B137,LE_Curves!$L$5:$L$205,1)))/(INDEX(LE_Curves!$L$5:$L$205,MATCH($B137,LE_Curves!$L$5:$L$205,1)+1)-INDEX(LE_Curves!$L$5:$L$205,MATCH($B137,LE_Curves!$L$5:$L$205,1))))))</f>
        <v/>
      </c>
      <c r="M137" s="11">
        <f>IF(Inputs!$D$33=0,0,IF($B137&lt;=Inputs!$C$33,0,IF($B137&gt;=INDEX(LE_Curves!$M$5:$M$205,201),INDEX(LE_Curves!$B$5:$B$205,201),INDEX(LE_Curves!$B$5:$B$205,MATCH($B137,LE_Curves!$M$5:$M$205,1))+($B137-INDEX(LE_Curves!$M$5:$M$205,MATCH($B137,LE_Curves!$M$5:$M$205,1)))*(INDEX(LE_Curves!$B$5:$B$205,MATCH($B137,LE_Curves!$M$5:$M$205,1)+1)-INDEX(LE_Curves!$B$5:$B$205,MATCH($B137,LE_Curves!$M$5:$M$205,1)))/(INDEX(LE_Curves!$M$5:$M$205,MATCH($B137,LE_Curves!$M$5:$M$205,1)+1)-INDEX(LE_Curves!$M$5:$M$205,MATCH($B137,LE_Curves!$M$5:$M$205,1))))))</f>
        <v/>
      </c>
      <c r="N137" s="11">
        <f>IF(Inputs!$D$34=0,0,IF($B137&lt;=Inputs!$C$34,0,IF($B137&gt;=INDEX(LE_Curves!$N$5:$N$205,201),INDEX(LE_Curves!$B$5:$B$205,201),INDEX(LE_Curves!$B$5:$B$205,MATCH($B137,LE_Curves!$N$5:$N$205,1))+($B137-INDEX(LE_Curves!$N$5:$N$205,MATCH($B137,LE_Curves!$N$5:$N$205,1)))*(INDEX(LE_Curves!$B$5:$B$205,MATCH($B137,LE_Curves!$N$5:$N$205,1)+1)-INDEX(LE_Curves!$B$5:$B$205,MATCH($B137,LE_Curves!$N$5:$N$205,1)))/(INDEX(LE_Curves!$N$5:$N$205,MATCH($B137,LE_Curves!$N$5:$N$205,1)+1)-INDEX(LE_Curves!$N$5:$N$205,MATCH($B137,LE_Curves!$N$5:$N$205,1))))))</f>
        <v/>
      </c>
      <c r="O137" s="11">
        <f>SUM(C137:N137)</f>
        <v/>
      </c>
      <c r="Q137" s="7" t="n">
        <v>106</v>
      </c>
      <c r="R137" s="23">
        <f>$B$6+($B$7-$B$6)*Q137/200</f>
        <v/>
      </c>
      <c r="S137" s="11">
        <f>IF(Inputs!$D$23=0,0,IF($R137&lt;=Inputs!$C$23,0,IF($R137&gt;=INDEX(LE_Curves!$C$5:$C$205,201),INDEX(LE_Curves!$B$5:$B$205,201),INDEX(LE_Curves!$B$5:$B$205,MATCH($R137,LE_Curves!$C$5:$C$205,1))+($R137-INDEX(LE_Curves!$C$5:$C$205,MATCH($R137,LE_Curves!$C$5:$C$205,1)))*(INDEX(LE_Curves!$B$5:$B$205,MATCH($R137,LE_Curves!$C$5:$C$205,1)+1)-INDEX(LE_Curves!$B$5:$B$205,MATCH($R137,LE_Curves!$C$5:$C$205,1)))/(INDEX(LE_Curves!$C$5:$C$205,MATCH($R137,LE_Curves!$C$5:$C$205,1)+1)-INDEX(LE_Curves!$C$5:$C$205,MATCH($R137,LE_Curves!$C$5:$C$205,1))))))</f>
        <v/>
      </c>
      <c r="T137" s="11">
        <f>IF(Inputs!$D$24=0,0,IF($R137&lt;=Inputs!$C$24,0,IF($R137&gt;=INDEX(LE_Curves!$D$5:$D$205,201),INDEX(LE_Curves!$B$5:$B$205,201),INDEX(LE_Curves!$B$5:$B$205,MATCH($R137,LE_Curves!$D$5:$D$205,1))+($R137-INDEX(LE_Curves!$D$5:$D$205,MATCH($R137,LE_Curves!$D$5:$D$205,1)))*(INDEX(LE_Curves!$B$5:$B$205,MATCH($R137,LE_Curves!$D$5:$D$205,1)+1)-INDEX(LE_Curves!$B$5:$B$205,MATCH($R137,LE_Curves!$D$5:$D$205,1)))/(INDEX(LE_Curves!$D$5:$D$205,MATCH($R137,LE_Curves!$D$5:$D$205,1)+1)-INDEX(LE_Curves!$D$5:$D$205,MATCH($R137,LE_Curves!$D$5:$D$205,1))))))</f>
        <v/>
      </c>
      <c r="U137" s="11">
        <f>IF(Inputs!$D$25=0,0,IF($R137&lt;=Inputs!$C$25,0,IF($R137&gt;=INDEX(LE_Curves!$E$5:$E$205,201),INDEX(LE_Curves!$B$5:$B$205,201),INDEX(LE_Curves!$B$5:$B$205,MATCH($R137,LE_Curves!$E$5:$E$205,1))+($R137-INDEX(LE_Curves!$E$5:$E$205,MATCH($R137,LE_Curves!$E$5:$E$205,1)))*(INDEX(LE_Curves!$B$5:$B$205,MATCH($R137,LE_Curves!$E$5:$E$205,1)+1)-INDEX(LE_Curves!$B$5:$B$205,MATCH($R137,LE_Curves!$E$5:$E$205,1)))/(INDEX(LE_Curves!$E$5:$E$205,MATCH($R137,LE_Curves!$E$5:$E$205,1)+1)-INDEX(LE_Curves!$E$5:$E$205,MATCH($R137,LE_Curves!$E$5:$E$205,1))))))</f>
        <v/>
      </c>
      <c r="V137" s="11">
        <f>IF(Inputs!$D$26=0,0,IF($R137&lt;=Inputs!$C$26,0,IF($R137&gt;=INDEX(LE_Curves!$F$5:$F$205,201),INDEX(LE_Curves!$B$5:$B$205,201),INDEX(LE_Curves!$B$5:$B$205,MATCH($R137,LE_Curves!$F$5:$F$205,1))+($R137-INDEX(LE_Curves!$F$5:$F$205,MATCH($R137,LE_Curves!$F$5:$F$205,1)))*(INDEX(LE_Curves!$B$5:$B$205,MATCH($R137,LE_Curves!$F$5:$F$205,1)+1)-INDEX(LE_Curves!$B$5:$B$205,MATCH($R137,LE_Curves!$F$5:$F$205,1)))/(INDEX(LE_Curves!$F$5:$F$205,MATCH($R137,LE_Curves!$F$5:$F$205,1)+1)-INDEX(LE_Curves!$F$5:$F$205,MATCH($R137,LE_Curves!$F$5:$F$205,1))))))</f>
        <v/>
      </c>
      <c r="W137" s="11">
        <f>IF(Inputs!$D$27=0,0,IF($R137&lt;=Inputs!$C$27,0,IF($R137&gt;=INDEX(LE_Curves!$G$5:$G$205,201),INDEX(LE_Curves!$B$5:$B$205,201),INDEX(LE_Curves!$B$5:$B$205,MATCH($R137,LE_Curves!$G$5:$G$205,1))+($R137-INDEX(LE_Curves!$G$5:$G$205,MATCH($R137,LE_Curves!$G$5:$G$205,1)))*(INDEX(LE_Curves!$B$5:$B$205,MATCH($R137,LE_Curves!$G$5:$G$205,1)+1)-INDEX(LE_Curves!$B$5:$B$205,MATCH($R137,LE_Curves!$G$5:$G$205,1)))/(INDEX(LE_Curves!$G$5:$G$205,MATCH($R137,LE_Curves!$G$5:$G$205,1)+1)-INDEX(LE_Curves!$G$5:$G$205,MATCH($R137,LE_Curves!$G$5:$G$205,1))))))</f>
        <v/>
      </c>
      <c r="X137" s="11">
        <f>IF(Inputs!$D$28=0,0,IF($R137&lt;=Inputs!$C$28,0,IF($R137&gt;=INDEX(LE_Curves!$H$5:$H$205,201),INDEX(LE_Curves!$B$5:$B$205,201),INDEX(LE_Curves!$B$5:$B$205,MATCH($R137,LE_Curves!$H$5:$H$205,1))+($R137-INDEX(LE_Curves!$H$5:$H$205,MATCH($R137,LE_Curves!$H$5:$H$205,1)))*(INDEX(LE_Curves!$B$5:$B$205,MATCH($R137,LE_Curves!$H$5:$H$205,1)+1)-INDEX(LE_Curves!$B$5:$B$205,MATCH($R137,LE_Curves!$H$5:$H$205,1)))/(INDEX(LE_Curves!$H$5:$H$205,MATCH($R137,LE_Curves!$H$5:$H$205,1)+1)-INDEX(LE_Curves!$H$5:$H$205,MATCH($R137,LE_Curves!$H$5:$H$205,1))))))</f>
        <v/>
      </c>
      <c r="Y137" s="11">
        <f>IF(Inputs!$D$29=0,0,IF($R137&lt;=Inputs!$C$29,0,IF($R137&gt;=INDEX(LE_Curves!$I$5:$I$205,201),INDEX(LE_Curves!$B$5:$B$205,201),INDEX(LE_Curves!$B$5:$B$205,MATCH($R137,LE_Curves!$I$5:$I$205,1))+($R137-INDEX(LE_Curves!$I$5:$I$205,MATCH($R137,LE_Curves!$I$5:$I$205,1)))*(INDEX(LE_Curves!$B$5:$B$205,MATCH($R137,LE_Curves!$I$5:$I$205,1)+1)-INDEX(LE_Curves!$B$5:$B$205,MATCH($R137,LE_Curves!$I$5:$I$205,1)))/(INDEX(LE_Curves!$I$5:$I$205,MATCH($R137,LE_Curves!$I$5:$I$205,1)+1)-INDEX(LE_Curves!$I$5:$I$205,MATCH($R137,LE_Curves!$I$5:$I$205,1))))))</f>
        <v/>
      </c>
      <c r="Z137" s="11">
        <f>IF(Inputs!$D$30=0,0,IF($R137&lt;=Inputs!$C$30,0,IF($R137&gt;=INDEX(LE_Curves!$J$5:$J$205,201),INDEX(LE_Curves!$B$5:$B$205,201),INDEX(LE_Curves!$B$5:$B$205,MATCH($R137,LE_Curves!$J$5:$J$205,1))+($R137-INDEX(LE_Curves!$J$5:$J$205,MATCH($R137,LE_Curves!$J$5:$J$205,1)))*(INDEX(LE_Curves!$B$5:$B$205,MATCH($R137,LE_Curves!$J$5:$J$205,1)+1)-INDEX(LE_Curves!$B$5:$B$205,MATCH($R137,LE_Curves!$J$5:$J$205,1)))/(INDEX(LE_Curves!$J$5:$J$205,MATCH($R137,LE_Curves!$J$5:$J$205,1)+1)-INDEX(LE_Curves!$J$5:$J$205,MATCH($R137,LE_Curves!$J$5:$J$205,1))))))</f>
        <v/>
      </c>
      <c r="AA137" s="11">
        <f>IF(Inputs!$D$31=0,0,IF($R137&lt;=Inputs!$C$31,0,IF($R137&gt;=INDEX(LE_Curves!$K$5:$K$205,201),INDEX(LE_Curves!$B$5:$B$205,201),INDEX(LE_Curves!$B$5:$B$205,MATCH($R137,LE_Curves!$K$5:$K$205,1))+($R137-INDEX(LE_Curves!$K$5:$K$205,MATCH($R137,LE_Curves!$K$5:$K$205,1)))*(INDEX(LE_Curves!$B$5:$B$205,MATCH($R137,LE_Curves!$K$5:$K$205,1)+1)-INDEX(LE_Curves!$B$5:$B$205,MATCH($R137,LE_Curves!$K$5:$K$205,1)))/(INDEX(LE_Curves!$K$5:$K$205,MATCH($R137,LE_Curves!$K$5:$K$205,1)+1)-INDEX(LE_Curves!$K$5:$K$205,MATCH($R137,LE_Curves!$K$5:$K$205,1))))))</f>
        <v/>
      </c>
      <c r="AB137" s="11">
        <f>IF(Inputs!$D$32=0,0,IF($R137&lt;=Inputs!$C$32,0,IF($R137&gt;=INDEX(LE_Curves!$L$5:$L$205,201),INDEX(LE_Curves!$B$5:$B$205,201),INDEX(LE_Curves!$B$5:$B$205,MATCH($R137,LE_Curves!$L$5:$L$205,1))+($R137-INDEX(LE_Curves!$L$5:$L$205,MATCH($R137,LE_Curves!$L$5:$L$205,1)))*(INDEX(LE_Curves!$B$5:$B$205,MATCH($R137,LE_Curves!$L$5:$L$205,1)+1)-INDEX(LE_Curves!$B$5:$B$205,MATCH($R137,LE_Curves!$L$5:$L$205,1)))/(INDEX(LE_Curves!$L$5:$L$205,MATCH($R137,LE_Curves!$L$5:$L$205,1)+1)-INDEX(LE_Curves!$L$5:$L$205,MATCH($R137,LE_Curves!$L$5:$L$205,1))))))</f>
        <v/>
      </c>
      <c r="AC137" s="11">
        <f>IF(Inputs!$D$33=0,0,IF($R137&lt;=Inputs!$C$33,0,IF($R137&gt;=INDEX(LE_Curves!$M$5:$M$205,201),INDEX(LE_Curves!$B$5:$B$205,201),INDEX(LE_Curves!$B$5:$B$205,MATCH($R137,LE_Curves!$M$5:$M$205,1))+($R137-INDEX(LE_Curves!$M$5:$M$205,MATCH($R137,LE_Curves!$M$5:$M$205,1)))*(INDEX(LE_Curves!$B$5:$B$205,MATCH($R137,LE_Curves!$M$5:$M$205,1)+1)-INDEX(LE_Curves!$B$5:$B$205,MATCH($R137,LE_Curves!$M$5:$M$205,1)))/(INDEX(LE_Curves!$M$5:$M$205,MATCH($R137,LE_Curves!$M$5:$M$205,1)+1)-INDEX(LE_Curves!$M$5:$M$205,MATCH($R137,LE_Curves!$M$5:$M$205,1))))))</f>
        <v/>
      </c>
      <c r="AD137" s="11">
        <f>IF(Inputs!$D$34=0,0,IF($R137&lt;=Inputs!$C$34,0,IF($R137&gt;=INDEX(LE_Curves!$N$5:$N$205,201),INDEX(LE_Curves!$B$5:$B$205,201),INDEX(LE_Curves!$B$5:$B$205,MATCH($R137,LE_Curves!$N$5:$N$205,1))+($R137-INDEX(LE_Curves!$N$5:$N$205,MATCH($R137,LE_Curves!$N$5:$N$205,1)))*(INDEX(LE_Curves!$B$5:$B$205,MATCH($R137,LE_Curves!$N$5:$N$205,1)+1)-INDEX(LE_Curves!$B$5:$B$205,MATCH($R137,LE_Curves!$N$5:$N$205,1)))/(INDEX(LE_Curves!$N$5:$N$205,MATCH($R137,LE_Curves!$N$5:$N$205,1)+1)-INDEX(LE_Curves!$N$5:$N$205,MATCH($R137,LE_Curves!$N$5:$N$205,1))))))</f>
        <v/>
      </c>
      <c r="AE137" s="37">
        <f>SUM(S137:AD137)</f>
        <v/>
      </c>
    </row>
    <row r="138">
      <c r="A138" s="7" t="n">
        <v>107</v>
      </c>
      <c r="B138" s="37">
        <f>$B$3+($B$4-$B$3)*A138/200</f>
        <v/>
      </c>
      <c r="C138" s="11">
        <f>IF(Inputs!$D$23=0,0,IF($B138&lt;=Inputs!$C$23,0,IF($B138&gt;=INDEX(LE_Curves!$C$5:$C$205,201),INDEX(LE_Curves!$B$5:$B$205,201),INDEX(LE_Curves!$B$5:$B$205,MATCH($B138,LE_Curves!$C$5:$C$205,1))+($B138-INDEX(LE_Curves!$C$5:$C$205,MATCH($B138,LE_Curves!$C$5:$C$205,1)))*(INDEX(LE_Curves!$B$5:$B$205,MATCH($B138,LE_Curves!$C$5:$C$205,1)+1)-INDEX(LE_Curves!$B$5:$B$205,MATCH($B138,LE_Curves!$C$5:$C$205,1)))/(INDEX(LE_Curves!$C$5:$C$205,MATCH($B138,LE_Curves!$C$5:$C$205,1)+1)-INDEX(LE_Curves!$C$5:$C$205,MATCH($B138,LE_Curves!$C$5:$C$205,1))))))</f>
        <v/>
      </c>
      <c r="D138" s="11">
        <f>IF(Inputs!$D$24=0,0,IF($B138&lt;=Inputs!$C$24,0,IF($B138&gt;=INDEX(LE_Curves!$D$5:$D$205,201),INDEX(LE_Curves!$B$5:$B$205,201),INDEX(LE_Curves!$B$5:$B$205,MATCH($B138,LE_Curves!$D$5:$D$205,1))+($B138-INDEX(LE_Curves!$D$5:$D$205,MATCH($B138,LE_Curves!$D$5:$D$205,1)))*(INDEX(LE_Curves!$B$5:$B$205,MATCH($B138,LE_Curves!$D$5:$D$205,1)+1)-INDEX(LE_Curves!$B$5:$B$205,MATCH($B138,LE_Curves!$D$5:$D$205,1)))/(INDEX(LE_Curves!$D$5:$D$205,MATCH($B138,LE_Curves!$D$5:$D$205,1)+1)-INDEX(LE_Curves!$D$5:$D$205,MATCH($B138,LE_Curves!$D$5:$D$205,1))))))</f>
        <v/>
      </c>
      <c r="E138" s="11">
        <f>IF(Inputs!$D$25=0,0,IF($B138&lt;=Inputs!$C$25,0,IF($B138&gt;=INDEX(LE_Curves!$E$5:$E$205,201),INDEX(LE_Curves!$B$5:$B$205,201),INDEX(LE_Curves!$B$5:$B$205,MATCH($B138,LE_Curves!$E$5:$E$205,1))+($B138-INDEX(LE_Curves!$E$5:$E$205,MATCH($B138,LE_Curves!$E$5:$E$205,1)))*(INDEX(LE_Curves!$B$5:$B$205,MATCH($B138,LE_Curves!$E$5:$E$205,1)+1)-INDEX(LE_Curves!$B$5:$B$205,MATCH($B138,LE_Curves!$E$5:$E$205,1)))/(INDEX(LE_Curves!$E$5:$E$205,MATCH($B138,LE_Curves!$E$5:$E$205,1)+1)-INDEX(LE_Curves!$E$5:$E$205,MATCH($B138,LE_Curves!$E$5:$E$205,1))))))</f>
        <v/>
      </c>
      <c r="F138" s="11">
        <f>IF(Inputs!$D$26=0,0,IF($B138&lt;=Inputs!$C$26,0,IF($B138&gt;=INDEX(LE_Curves!$F$5:$F$205,201),INDEX(LE_Curves!$B$5:$B$205,201),INDEX(LE_Curves!$B$5:$B$205,MATCH($B138,LE_Curves!$F$5:$F$205,1))+($B138-INDEX(LE_Curves!$F$5:$F$205,MATCH($B138,LE_Curves!$F$5:$F$205,1)))*(INDEX(LE_Curves!$B$5:$B$205,MATCH($B138,LE_Curves!$F$5:$F$205,1)+1)-INDEX(LE_Curves!$B$5:$B$205,MATCH($B138,LE_Curves!$F$5:$F$205,1)))/(INDEX(LE_Curves!$F$5:$F$205,MATCH($B138,LE_Curves!$F$5:$F$205,1)+1)-INDEX(LE_Curves!$F$5:$F$205,MATCH($B138,LE_Curves!$F$5:$F$205,1))))))</f>
        <v/>
      </c>
      <c r="G138" s="11">
        <f>IF(Inputs!$D$27=0,0,IF($B138&lt;=Inputs!$C$27,0,IF($B138&gt;=INDEX(LE_Curves!$G$5:$G$205,201),INDEX(LE_Curves!$B$5:$B$205,201),INDEX(LE_Curves!$B$5:$B$205,MATCH($B138,LE_Curves!$G$5:$G$205,1))+($B138-INDEX(LE_Curves!$G$5:$G$205,MATCH($B138,LE_Curves!$G$5:$G$205,1)))*(INDEX(LE_Curves!$B$5:$B$205,MATCH($B138,LE_Curves!$G$5:$G$205,1)+1)-INDEX(LE_Curves!$B$5:$B$205,MATCH($B138,LE_Curves!$G$5:$G$205,1)))/(INDEX(LE_Curves!$G$5:$G$205,MATCH($B138,LE_Curves!$G$5:$G$205,1)+1)-INDEX(LE_Curves!$G$5:$G$205,MATCH($B138,LE_Curves!$G$5:$G$205,1))))))</f>
        <v/>
      </c>
      <c r="H138" s="11">
        <f>IF(Inputs!$D$28=0,0,IF($B138&lt;=Inputs!$C$28,0,IF($B138&gt;=INDEX(LE_Curves!$H$5:$H$205,201),INDEX(LE_Curves!$B$5:$B$205,201),INDEX(LE_Curves!$B$5:$B$205,MATCH($B138,LE_Curves!$H$5:$H$205,1))+($B138-INDEX(LE_Curves!$H$5:$H$205,MATCH($B138,LE_Curves!$H$5:$H$205,1)))*(INDEX(LE_Curves!$B$5:$B$205,MATCH($B138,LE_Curves!$H$5:$H$205,1)+1)-INDEX(LE_Curves!$B$5:$B$205,MATCH($B138,LE_Curves!$H$5:$H$205,1)))/(INDEX(LE_Curves!$H$5:$H$205,MATCH($B138,LE_Curves!$H$5:$H$205,1)+1)-INDEX(LE_Curves!$H$5:$H$205,MATCH($B138,LE_Curves!$H$5:$H$205,1))))))</f>
        <v/>
      </c>
      <c r="I138" s="11">
        <f>IF(Inputs!$D$29=0,0,IF($B138&lt;=Inputs!$C$29,0,IF($B138&gt;=INDEX(LE_Curves!$I$5:$I$205,201),INDEX(LE_Curves!$B$5:$B$205,201),INDEX(LE_Curves!$B$5:$B$205,MATCH($B138,LE_Curves!$I$5:$I$205,1))+($B138-INDEX(LE_Curves!$I$5:$I$205,MATCH($B138,LE_Curves!$I$5:$I$205,1)))*(INDEX(LE_Curves!$B$5:$B$205,MATCH($B138,LE_Curves!$I$5:$I$205,1)+1)-INDEX(LE_Curves!$B$5:$B$205,MATCH($B138,LE_Curves!$I$5:$I$205,1)))/(INDEX(LE_Curves!$I$5:$I$205,MATCH($B138,LE_Curves!$I$5:$I$205,1)+1)-INDEX(LE_Curves!$I$5:$I$205,MATCH($B138,LE_Curves!$I$5:$I$205,1))))))</f>
        <v/>
      </c>
      <c r="J138" s="11">
        <f>IF(Inputs!$D$30=0,0,IF($B138&lt;=Inputs!$C$30,0,IF($B138&gt;=INDEX(LE_Curves!$J$5:$J$205,201),INDEX(LE_Curves!$B$5:$B$205,201),INDEX(LE_Curves!$B$5:$B$205,MATCH($B138,LE_Curves!$J$5:$J$205,1))+($B138-INDEX(LE_Curves!$J$5:$J$205,MATCH($B138,LE_Curves!$J$5:$J$205,1)))*(INDEX(LE_Curves!$B$5:$B$205,MATCH($B138,LE_Curves!$J$5:$J$205,1)+1)-INDEX(LE_Curves!$B$5:$B$205,MATCH($B138,LE_Curves!$J$5:$J$205,1)))/(INDEX(LE_Curves!$J$5:$J$205,MATCH($B138,LE_Curves!$J$5:$J$205,1)+1)-INDEX(LE_Curves!$J$5:$J$205,MATCH($B138,LE_Curves!$J$5:$J$205,1))))))</f>
        <v/>
      </c>
      <c r="K138" s="11">
        <f>IF(Inputs!$D$31=0,0,IF($B138&lt;=Inputs!$C$31,0,IF($B138&gt;=INDEX(LE_Curves!$K$5:$K$205,201),INDEX(LE_Curves!$B$5:$B$205,201),INDEX(LE_Curves!$B$5:$B$205,MATCH($B138,LE_Curves!$K$5:$K$205,1))+($B138-INDEX(LE_Curves!$K$5:$K$205,MATCH($B138,LE_Curves!$K$5:$K$205,1)))*(INDEX(LE_Curves!$B$5:$B$205,MATCH($B138,LE_Curves!$K$5:$K$205,1)+1)-INDEX(LE_Curves!$B$5:$B$205,MATCH($B138,LE_Curves!$K$5:$K$205,1)))/(INDEX(LE_Curves!$K$5:$K$205,MATCH($B138,LE_Curves!$K$5:$K$205,1)+1)-INDEX(LE_Curves!$K$5:$K$205,MATCH($B138,LE_Curves!$K$5:$K$205,1))))))</f>
        <v/>
      </c>
      <c r="L138" s="11">
        <f>IF(Inputs!$D$32=0,0,IF($B138&lt;=Inputs!$C$32,0,IF($B138&gt;=INDEX(LE_Curves!$L$5:$L$205,201),INDEX(LE_Curves!$B$5:$B$205,201),INDEX(LE_Curves!$B$5:$B$205,MATCH($B138,LE_Curves!$L$5:$L$205,1))+($B138-INDEX(LE_Curves!$L$5:$L$205,MATCH($B138,LE_Curves!$L$5:$L$205,1)))*(INDEX(LE_Curves!$B$5:$B$205,MATCH($B138,LE_Curves!$L$5:$L$205,1)+1)-INDEX(LE_Curves!$B$5:$B$205,MATCH($B138,LE_Curves!$L$5:$L$205,1)))/(INDEX(LE_Curves!$L$5:$L$205,MATCH($B138,LE_Curves!$L$5:$L$205,1)+1)-INDEX(LE_Curves!$L$5:$L$205,MATCH($B138,LE_Curves!$L$5:$L$205,1))))))</f>
        <v/>
      </c>
      <c r="M138" s="11">
        <f>IF(Inputs!$D$33=0,0,IF($B138&lt;=Inputs!$C$33,0,IF($B138&gt;=INDEX(LE_Curves!$M$5:$M$205,201),INDEX(LE_Curves!$B$5:$B$205,201),INDEX(LE_Curves!$B$5:$B$205,MATCH($B138,LE_Curves!$M$5:$M$205,1))+($B138-INDEX(LE_Curves!$M$5:$M$205,MATCH($B138,LE_Curves!$M$5:$M$205,1)))*(INDEX(LE_Curves!$B$5:$B$205,MATCH($B138,LE_Curves!$M$5:$M$205,1)+1)-INDEX(LE_Curves!$B$5:$B$205,MATCH($B138,LE_Curves!$M$5:$M$205,1)))/(INDEX(LE_Curves!$M$5:$M$205,MATCH($B138,LE_Curves!$M$5:$M$205,1)+1)-INDEX(LE_Curves!$M$5:$M$205,MATCH($B138,LE_Curves!$M$5:$M$205,1))))))</f>
        <v/>
      </c>
      <c r="N138" s="11">
        <f>IF(Inputs!$D$34=0,0,IF($B138&lt;=Inputs!$C$34,0,IF($B138&gt;=INDEX(LE_Curves!$N$5:$N$205,201),INDEX(LE_Curves!$B$5:$B$205,201),INDEX(LE_Curves!$B$5:$B$205,MATCH($B138,LE_Curves!$N$5:$N$205,1))+($B138-INDEX(LE_Curves!$N$5:$N$205,MATCH($B138,LE_Curves!$N$5:$N$205,1)))*(INDEX(LE_Curves!$B$5:$B$205,MATCH($B138,LE_Curves!$N$5:$N$205,1)+1)-INDEX(LE_Curves!$B$5:$B$205,MATCH($B138,LE_Curves!$N$5:$N$205,1)))/(INDEX(LE_Curves!$N$5:$N$205,MATCH($B138,LE_Curves!$N$5:$N$205,1)+1)-INDEX(LE_Curves!$N$5:$N$205,MATCH($B138,LE_Curves!$N$5:$N$205,1))))))</f>
        <v/>
      </c>
      <c r="O138" s="11">
        <f>SUM(C138:N138)</f>
        <v/>
      </c>
      <c r="Q138" s="7" t="n">
        <v>107</v>
      </c>
      <c r="R138" s="23">
        <f>$B$6+($B$7-$B$6)*Q138/200</f>
        <v/>
      </c>
      <c r="S138" s="11">
        <f>IF(Inputs!$D$23=0,0,IF($R138&lt;=Inputs!$C$23,0,IF($R138&gt;=INDEX(LE_Curves!$C$5:$C$205,201),INDEX(LE_Curves!$B$5:$B$205,201),INDEX(LE_Curves!$B$5:$B$205,MATCH($R138,LE_Curves!$C$5:$C$205,1))+($R138-INDEX(LE_Curves!$C$5:$C$205,MATCH($R138,LE_Curves!$C$5:$C$205,1)))*(INDEX(LE_Curves!$B$5:$B$205,MATCH($R138,LE_Curves!$C$5:$C$205,1)+1)-INDEX(LE_Curves!$B$5:$B$205,MATCH($R138,LE_Curves!$C$5:$C$205,1)))/(INDEX(LE_Curves!$C$5:$C$205,MATCH($R138,LE_Curves!$C$5:$C$205,1)+1)-INDEX(LE_Curves!$C$5:$C$205,MATCH($R138,LE_Curves!$C$5:$C$205,1))))))</f>
        <v/>
      </c>
      <c r="T138" s="11">
        <f>IF(Inputs!$D$24=0,0,IF($R138&lt;=Inputs!$C$24,0,IF($R138&gt;=INDEX(LE_Curves!$D$5:$D$205,201),INDEX(LE_Curves!$B$5:$B$205,201),INDEX(LE_Curves!$B$5:$B$205,MATCH($R138,LE_Curves!$D$5:$D$205,1))+($R138-INDEX(LE_Curves!$D$5:$D$205,MATCH($R138,LE_Curves!$D$5:$D$205,1)))*(INDEX(LE_Curves!$B$5:$B$205,MATCH($R138,LE_Curves!$D$5:$D$205,1)+1)-INDEX(LE_Curves!$B$5:$B$205,MATCH($R138,LE_Curves!$D$5:$D$205,1)))/(INDEX(LE_Curves!$D$5:$D$205,MATCH($R138,LE_Curves!$D$5:$D$205,1)+1)-INDEX(LE_Curves!$D$5:$D$205,MATCH($R138,LE_Curves!$D$5:$D$205,1))))))</f>
        <v/>
      </c>
      <c r="U138" s="11">
        <f>IF(Inputs!$D$25=0,0,IF($R138&lt;=Inputs!$C$25,0,IF($R138&gt;=INDEX(LE_Curves!$E$5:$E$205,201),INDEX(LE_Curves!$B$5:$B$205,201),INDEX(LE_Curves!$B$5:$B$205,MATCH($R138,LE_Curves!$E$5:$E$205,1))+($R138-INDEX(LE_Curves!$E$5:$E$205,MATCH($R138,LE_Curves!$E$5:$E$205,1)))*(INDEX(LE_Curves!$B$5:$B$205,MATCH($R138,LE_Curves!$E$5:$E$205,1)+1)-INDEX(LE_Curves!$B$5:$B$205,MATCH($R138,LE_Curves!$E$5:$E$205,1)))/(INDEX(LE_Curves!$E$5:$E$205,MATCH($R138,LE_Curves!$E$5:$E$205,1)+1)-INDEX(LE_Curves!$E$5:$E$205,MATCH($R138,LE_Curves!$E$5:$E$205,1))))))</f>
        <v/>
      </c>
      <c r="V138" s="11">
        <f>IF(Inputs!$D$26=0,0,IF($R138&lt;=Inputs!$C$26,0,IF($R138&gt;=INDEX(LE_Curves!$F$5:$F$205,201),INDEX(LE_Curves!$B$5:$B$205,201),INDEX(LE_Curves!$B$5:$B$205,MATCH($R138,LE_Curves!$F$5:$F$205,1))+($R138-INDEX(LE_Curves!$F$5:$F$205,MATCH($R138,LE_Curves!$F$5:$F$205,1)))*(INDEX(LE_Curves!$B$5:$B$205,MATCH($R138,LE_Curves!$F$5:$F$205,1)+1)-INDEX(LE_Curves!$B$5:$B$205,MATCH($R138,LE_Curves!$F$5:$F$205,1)))/(INDEX(LE_Curves!$F$5:$F$205,MATCH($R138,LE_Curves!$F$5:$F$205,1)+1)-INDEX(LE_Curves!$F$5:$F$205,MATCH($R138,LE_Curves!$F$5:$F$205,1))))))</f>
        <v/>
      </c>
      <c r="W138" s="11">
        <f>IF(Inputs!$D$27=0,0,IF($R138&lt;=Inputs!$C$27,0,IF($R138&gt;=INDEX(LE_Curves!$G$5:$G$205,201),INDEX(LE_Curves!$B$5:$B$205,201),INDEX(LE_Curves!$B$5:$B$205,MATCH($R138,LE_Curves!$G$5:$G$205,1))+($R138-INDEX(LE_Curves!$G$5:$G$205,MATCH($R138,LE_Curves!$G$5:$G$205,1)))*(INDEX(LE_Curves!$B$5:$B$205,MATCH($R138,LE_Curves!$G$5:$G$205,1)+1)-INDEX(LE_Curves!$B$5:$B$205,MATCH($R138,LE_Curves!$G$5:$G$205,1)))/(INDEX(LE_Curves!$G$5:$G$205,MATCH($R138,LE_Curves!$G$5:$G$205,1)+1)-INDEX(LE_Curves!$G$5:$G$205,MATCH($R138,LE_Curves!$G$5:$G$205,1))))))</f>
        <v/>
      </c>
      <c r="X138" s="11">
        <f>IF(Inputs!$D$28=0,0,IF($R138&lt;=Inputs!$C$28,0,IF($R138&gt;=INDEX(LE_Curves!$H$5:$H$205,201),INDEX(LE_Curves!$B$5:$B$205,201),INDEX(LE_Curves!$B$5:$B$205,MATCH($R138,LE_Curves!$H$5:$H$205,1))+($R138-INDEX(LE_Curves!$H$5:$H$205,MATCH($R138,LE_Curves!$H$5:$H$205,1)))*(INDEX(LE_Curves!$B$5:$B$205,MATCH($R138,LE_Curves!$H$5:$H$205,1)+1)-INDEX(LE_Curves!$B$5:$B$205,MATCH($R138,LE_Curves!$H$5:$H$205,1)))/(INDEX(LE_Curves!$H$5:$H$205,MATCH($R138,LE_Curves!$H$5:$H$205,1)+1)-INDEX(LE_Curves!$H$5:$H$205,MATCH($R138,LE_Curves!$H$5:$H$205,1))))))</f>
        <v/>
      </c>
      <c r="Y138" s="11">
        <f>IF(Inputs!$D$29=0,0,IF($R138&lt;=Inputs!$C$29,0,IF($R138&gt;=INDEX(LE_Curves!$I$5:$I$205,201),INDEX(LE_Curves!$B$5:$B$205,201),INDEX(LE_Curves!$B$5:$B$205,MATCH($R138,LE_Curves!$I$5:$I$205,1))+($R138-INDEX(LE_Curves!$I$5:$I$205,MATCH($R138,LE_Curves!$I$5:$I$205,1)))*(INDEX(LE_Curves!$B$5:$B$205,MATCH($R138,LE_Curves!$I$5:$I$205,1)+1)-INDEX(LE_Curves!$B$5:$B$205,MATCH($R138,LE_Curves!$I$5:$I$205,1)))/(INDEX(LE_Curves!$I$5:$I$205,MATCH($R138,LE_Curves!$I$5:$I$205,1)+1)-INDEX(LE_Curves!$I$5:$I$205,MATCH($R138,LE_Curves!$I$5:$I$205,1))))))</f>
        <v/>
      </c>
      <c r="Z138" s="11">
        <f>IF(Inputs!$D$30=0,0,IF($R138&lt;=Inputs!$C$30,0,IF($R138&gt;=INDEX(LE_Curves!$J$5:$J$205,201),INDEX(LE_Curves!$B$5:$B$205,201),INDEX(LE_Curves!$B$5:$B$205,MATCH($R138,LE_Curves!$J$5:$J$205,1))+($R138-INDEX(LE_Curves!$J$5:$J$205,MATCH($R138,LE_Curves!$J$5:$J$205,1)))*(INDEX(LE_Curves!$B$5:$B$205,MATCH($R138,LE_Curves!$J$5:$J$205,1)+1)-INDEX(LE_Curves!$B$5:$B$205,MATCH($R138,LE_Curves!$J$5:$J$205,1)))/(INDEX(LE_Curves!$J$5:$J$205,MATCH($R138,LE_Curves!$J$5:$J$205,1)+1)-INDEX(LE_Curves!$J$5:$J$205,MATCH($R138,LE_Curves!$J$5:$J$205,1))))))</f>
        <v/>
      </c>
      <c r="AA138" s="11">
        <f>IF(Inputs!$D$31=0,0,IF($R138&lt;=Inputs!$C$31,0,IF($R138&gt;=INDEX(LE_Curves!$K$5:$K$205,201),INDEX(LE_Curves!$B$5:$B$205,201),INDEX(LE_Curves!$B$5:$B$205,MATCH($R138,LE_Curves!$K$5:$K$205,1))+($R138-INDEX(LE_Curves!$K$5:$K$205,MATCH($R138,LE_Curves!$K$5:$K$205,1)))*(INDEX(LE_Curves!$B$5:$B$205,MATCH($R138,LE_Curves!$K$5:$K$205,1)+1)-INDEX(LE_Curves!$B$5:$B$205,MATCH($R138,LE_Curves!$K$5:$K$205,1)))/(INDEX(LE_Curves!$K$5:$K$205,MATCH($R138,LE_Curves!$K$5:$K$205,1)+1)-INDEX(LE_Curves!$K$5:$K$205,MATCH($R138,LE_Curves!$K$5:$K$205,1))))))</f>
        <v/>
      </c>
      <c r="AB138" s="11">
        <f>IF(Inputs!$D$32=0,0,IF($R138&lt;=Inputs!$C$32,0,IF($R138&gt;=INDEX(LE_Curves!$L$5:$L$205,201),INDEX(LE_Curves!$B$5:$B$205,201),INDEX(LE_Curves!$B$5:$B$205,MATCH($R138,LE_Curves!$L$5:$L$205,1))+($R138-INDEX(LE_Curves!$L$5:$L$205,MATCH($R138,LE_Curves!$L$5:$L$205,1)))*(INDEX(LE_Curves!$B$5:$B$205,MATCH($R138,LE_Curves!$L$5:$L$205,1)+1)-INDEX(LE_Curves!$B$5:$B$205,MATCH($R138,LE_Curves!$L$5:$L$205,1)))/(INDEX(LE_Curves!$L$5:$L$205,MATCH($R138,LE_Curves!$L$5:$L$205,1)+1)-INDEX(LE_Curves!$L$5:$L$205,MATCH($R138,LE_Curves!$L$5:$L$205,1))))))</f>
        <v/>
      </c>
      <c r="AC138" s="11">
        <f>IF(Inputs!$D$33=0,0,IF($R138&lt;=Inputs!$C$33,0,IF($R138&gt;=INDEX(LE_Curves!$M$5:$M$205,201),INDEX(LE_Curves!$B$5:$B$205,201),INDEX(LE_Curves!$B$5:$B$205,MATCH($R138,LE_Curves!$M$5:$M$205,1))+($R138-INDEX(LE_Curves!$M$5:$M$205,MATCH($R138,LE_Curves!$M$5:$M$205,1)))*(INDEX(LE_Curves!$B$5:$B$205,MATCH($R138,LE_Curves!$M$5:$M$205,1)+1)-INDEX(LE_Curves!$B$5:$B$205,MATCH($R138,LE_Curves!$M$5:$M$205,1)))/(INDEX(LE_Curves!$M$5:$M$205,MATCH($R138,LE_Curves!$M$5:$M$205,1)+1)-INDEX(LE_Curves!$M$5:$M$205,MATCH($R138,LE_Curves!$M$5:$M$205,1))))))</f>
        <v/>
      </c>
      <c r="AD138" s="11">
        <f>IF(Inputs!$D$34=0,0,IF($R138&lt;=Inputs!$C$34,0,IF($R138&gt;=INDEX(LE_Curves!$N$5:$N$205,201),INDEX(LE_Curves!$B$5:$B$205,201),INDEX(LE_Curves!$B$5:$B$205,MATCH($R138,LE_Curves!$N$5:$N$205,1))+($R138-INDEX(LE_Curves!$N$5:$N$205,MATCH($R138,LE_Curves!$N$5:$N$205,1)))*(INDEX(LE_Curves!$B$5:$B$205,MATCH($R138,LE_Curves!$N$5:$N$205,1)+1)-INDEX(LE_Curves!$B$5:$B$205,MATCH($R138,LE_Curves!$N$5:$N$205,1)))/(INDEX(LE_Curves!$N$5:$N$205,MATCH($R138,LE_Curves!$N$5:$N$205,1)+1)-INDEX(LE_Curves!$N$5:$N$205,MATCH($R138,LE_Curves!$N$5:$N$205,1))))))</f>
        <v/>
      </c>
      <c r="AE138" s="37">
        <f>SUM(S138:AD138)</f>
        <v/>
      </c>
    </row>
    <row r="139">
      <c r="A139" s="7" t="n">
        <v>108</v>
      </c>
      <c r="B139" s="37">
        <f>$B$3+($B$4-$B$3)*A139/200</f>
        <v/>
      </c>
      <c r="C139" s="11">
        <f>IF(Inputs!$D$23=0,0,IF($B139&lt;=Inputs!$C$23,0,IF($B139&gt;=INDEX(LE_Curves!$C$5:$C$205,201),INDEX(LE_Curves!$B$5:$B$205,201),INDEX(LE_Curves!$B$5:$B$205,MATCH($B139,LE_Curves!$C$5:$C$205,1))+($B139-INDEX(LE_Curves!$C$5:$C$205,MATCH($B139,LE_Curves!$C$5:$C$205,1)))*(INDEX(LE_Curves!$B$5:$B$205,MATCH($B139,LE_Curves!$C$5:$C$205,1)+1)-INDEX(LE_Curves!$B$5:$B$205,MATCH($B139,LE_Curves!$C$5:$C$205,1)))/(INDEX(LE_Curves!$C$5:$C$205,MATCH($B139,LE_Curves!$C$5:$C$205,1)+1)-INDEX(LE_Curves!$C$5:$C$205,MATCH($B139,LE_Curves!$C$5:$C$205,1))))))</f>
        <v/>
      </c>
      <c r="D139" s="11">
        <f>IF(Inputs!$D$24=0,0,IF($B139&lt;=Inputs!$C$24,0,IF($B139&gt;=INDEX(LE_Curves!$D$5:$D$205,201),INDEX(LE_Curves!$B$5:$B$205,201),INDEX(LE_Curves!$B$5:$B$205,MATCH($B139,LE_Curves!$D$5:$D$205,1))+($B139-INDEX(LE_Curves!$D$5:$D$205,MATCH($B139,LE_Curves!$D$5:$D$205,1)))*(INDEX(LE_Curves!$B$5:$B$205,MATCH($B139,LE_Curves!$D$5:$D$205,1)+1)-INDEX(LE_Curves!$B$5:$B$205,MATCH($B139,LE_Curves!$D$5:$D$205,1)))/(INDEX(LE_Curves!$D$5:$D$205,MATCH($B139,LE_Curves!$D$5:$D$205,1)+1)-INDEX(LE_Curves!$D$5:$D$205,MATCH($B139,LE_Curves!$D$5:$D$205,1))))))</f>
        <v/>
      </c>
      <c r="E139" s="11">
        <f>IF(Inputs!$D$25=0,0,IF($B139&lt;=Inputs!$C$25,0,IF($B139&gt;=INDEX(LE_Curves!$E$5:$E$205,201),INDEX(LE_Curves!$B$5:$B$205,201),INDEX(LE_Curves!$B$5:$B$205,MATCH($B139,LE_Curves!$E$5:$E$205,1))+($B139-INDEX(LE_Curves!$E$5:$E$205,MATCH($B139,LE_Curves!$E$5:$E$205,1)))*(INDEX(LE_Curves!$B$5:$B$205,MATCH($B139,LE_Curves!$E$5:$E$205,1)+1)-INDEX(LE_Curves!$B$5:$B$205,MATCH($B139,LE_Curves!$E$5:$E$205,1)))/(INDEX(LE_Curves!$E$5:$E$205,MATCH($B139,LE_Curves!$E$5:$E$205,1)+1)-INDEX(LE_Curves!$E$5:$E$205,MATCH($B139,LE_Curves!$E$5:$E$205,1))))))</f>
        <v/>
      </c>
      <c r="F139" s="11">
        <f>IF(Inputs!$D$26=0,0,IF($B139&lt;=Inputs!$C$26,0,IF($B139&gt;=INDEX(LE_Curves!$F$5:$F$205,201),INDEX(LE_Curves!$B$5:$B$205,201),INDEX(LE_Curves!$B$5:$B$205,MATCH($B139,LE_Curves!$F$5:$F$205,1))+($B139-INDEX(LE_Curves!$F$5:$F$205,MATCH($B139,LE_Curves!$F$5:$F$205,1)))*(INDEX(LE_Curves!$B$5:$B$205,MATCH($B139,LE_Curves!$F$5:$F$205,1)+1)-INDEX(LE_Curves!$B$5:$B$205,MATCH($B139,LE_Curves!$F$5:$F$205,1)))/(INDEX(LE_Curves!$F$5:$F$205,MATCH($B139,LE_Curves!$F$5:$F$205,1)+1)-INDEX(LE_Curves!$F$5:$F$205,MATCH($B139,LE_Curves!$F$5:$F$205,1))))))</f>
        <v/>
      </c>
      <c r="G139" s="11">
        <f>IF(Inputs!$D$27=0,0,IF($B139&lt;=Inputs!$C$27,0,IF($B139&gt;=INDEX(LE_Curves!$G$5:$G$205,201),INDEX(LE_Curves!$B$5:$B$205,201),INDEX(LE_Curves!$B$5:$B$205,MATCH($B139,LE_Curves!$G$5:$G$205,1))+($B139-INDEX(LE_Curves!$G$5:$G$205,MATCH($B139,LE_Curves!$G$5:$G$205,1)))*(INDEX(LE_Curves!$B$5:$B$205,MATCH($B139,LE_Curves!$G$5:$G$205,1)+1)-INDEX(LE_Curves!$B$5:$B$205,MATCH($B139,LE_Curves!$G$5:$G$205,1)))/(INDEX(LE_Curves!$G$5:$G$205,MATCH($B139,LE_Curves!$G$5:$G$205,1)+1)-INDEX(LE_Curves!$G$5:$G$205,MATCH($B139,LE_Curves!$G$5:$G$205,1))))))</f>
        <v/>
      </c>
      <c r="H139" s="11">
        <f>IF(Inputs!$D$28=0,0,IF($B139&lt;=Inputs!$C$28,0,IF($B139&gt;=INDEX(LE_Curves!$H$5:$H$205,201),INDEX(LE_Curves!$B$5:$B$205,201),INDEX(LE_Curves!$B$5:$B$205,MATCH($B139,LE_Curves!$H$5:$H$205,1))+($B139-INDEX(LE_Curves!$H$5:$H$205,MATCH($B139,LE_Curves!$H$5:$H$205,1)))*(INDEX(LE_Curves!$B$5:$B$205,MATCH($B139,LE_Curves!$H$5:$H$205,1)+1)-INDEX(LE_Curves!$B$5:$B$205,MATCH($B139,LE_Curves!$H$5:$H$205,1)))/(INDEX(LE_Curves!$H$5:$H$205,MATCH($B139,LE_Curves!$H$5:$H$205,1)+1)-INDEX(LE_Curves!$H$5:$H$205,MATCH($B139,LE_Curves!$H$5:$H$205,1))))))</f>
        <v/>
      </c>
      <c r="I139" s="11">
        <f>IF(Inputs!$D$29=0,0,IF($B139&lt;=Inputs!$C$29,0,IF($B139&gt;=INDEX(LE_Curves!$I$5:$I$205,201),INDEX(LE_Curves!$B$5:$B$205,201),INDEX(LE_Curves!$B$5:$B$205,MATCH($B139,LE_Curves!$I$5:$I$205,1))+($B139-INDEX(LE_Curves!$I$5:$I$205,MATCH($B139,LE_Curves!$I$5:$I$205,1)))*(INDEX(LE_Curves!$B$5:$B$205,MATCH($B139,LE_Curves!$I$5:$I$205,1)+1)-INDEX(LE_Curves!$B$5:$B$205,MATCH($B139,LE_Curves!$I$5:$I$205,1)))/(INDEX(LE_Curves!$I$5:$I$205,MATCH($B139,LE_Curves!$I$5:$I$205,1)+1)-INDEX(LE_Curves!$I$5:$I$205,MATCH($B139,LE_Curves!$I$5:$I$205,1))))))</f>
        <v/>
      </c>
      <c r="J139" s="11">
        <f>IF(Inputs!$D$30=0,0,IF($B139&lt;=Inputs!$C$30,0,IF($B139&gt;=INDEX(LE_Curves!$J$5:$J$205,201),INDEX(LE_Curves!$B$5:$B$205,201),INDEX(LE_Curves!$B$5:$B$205,MATCH($B139,LE_Curves!$J$5:$J$205,1))+($B139-INDEX(LE_Curves!$J$5:$J$205,MATCH($B139,LE_Curves!$J$5:$J$205,1)))*(INDEX(LE_Curves!$B$5:$B$205,MATCH($B139,LE_Curves!$J$5:$J$205,1)+1)-INDEX(LE_Curves!$B$5:$B$205,MATCH($B139,LE_Curves!$J$5:$J$205,1)))/(INDEX(LE_Curves!$J$5:$J$205,MATCH($B139,LE_Curves!$J$5:$J$205,1)+1)-INDEX(LE_Curves!$J$5:$J$205,MATCH($B139,LE_Curves!$J$5:$J$205,1))))))</f>
        <v/>
      </c>
      <c r="K139" s="11">
        <f>IF(Inputs!$D$31=0,0,IF($B139&lt;=Inputs!$C$31,0,IF($B139&gt;=INDEX(LE_Curves!$K$5:$K$205,201),INDEX(LE_Curves!$B$5:$B$205,201),INDEX(LE_Curves!$B$5:$B$205,MATCH($B139,LE_Curves!$K$5:$K$205,1))+($B139-INDEX(LE_Curves!$K$5:$K$205,MATCH($B139,LE_Curves!$K$5:$K$205,1)))*(INDEX(LE_Curves!$B$5:$B$205,MATCH($B139,LE_Curves!$K$5:$K$205,1)+1)-INDEX(LE_Curves!$B$5:$B$205,MATCH($B139,LE_Curves!$K$5:$K$205,1)))/(INDEX(LE_Curves!$K$5:$K$205,MATCH($B139,LE_Curves!$K$5:$K$205,1)+1)-INDEX(LE_Curves!$K$5:$K$205,MATCH($B139,LE_Curves!$K$5:$K$205,1))))))</f>
        <v/>
      </c>
      <c r="L139" s="11">
        <f>IF(Inputs!$D$32=0,0,IF($B139&lt;=Inputs!$C$32,0,IF($B139&gt;=INDEX(LE_Curves!$L$5:$L$205,201),INDEX(LE_Curves!$B$5:$B$205,201),INDEX(LE_Curves!$B$5:$B$205,MATCH($B139,LE_Curves!$L$5:$L$205,1))+($B139-INDEX(LE_Curves!$L$5:$L$205,MATCH($B139,LE_Curves!$L$5:$L$205,1)))*(INDEX(LE_Curves!$B$5:$B$205,MATCH($B139,LE_Curves!$L$5:$L$205,1)+1)-INDEX(LE_Curves!$B$5:$B$205,MATCH($B139,LE_Curves!$L$5:$L$205,1)))/(INDEX(LE_Curves!$L$5:$L$205,MATCH($B139,LE_Curves!$L$5:$L$205,1)+1)-INDEX(LE_Curves!$L$5:$L$205,MATCH($B139,LE_Curves!$L$5:$L$205,1))))))</f>
        <v/>
      </c>
      <c r="M139" s="11">
        <f>IF(Inputs!$D$33=0,0,IF($B139&lt;=Inputs!$C$33,0,IF($B139&gt;=INDEX(LE_Curves!$M$5:$M$205,201),INDEX(LE_Curves!$B$5:$B$205,201),INDEX(LE_Curves!$B$5:$B$205,MATCH($B139,LE_Curves!$M$5:$M$205,1))+($B139-INDEX(LE_Curves!$M$5:$M$205,MATCH($B139,LE_Curves!$M$5:$M$205,1)))*(INDEX(LE_Curves!$B$5:$B$205,MATCH($B139,LE_Curves!$M$5:$M$205,1)+1)-INDEX(LE_Curves!$B$5:$B$205,MATCH($B139,LE_Curves!$M$5:$M$205,1)))/(INDEX(LE_Curves!$M$5:$M$205,MATCH($B139,LE_Curves!$M$5:$M$205,1)+1)-INDEX(LE_Curves!$M$5:$M$205,MATCH($B139,LE_Curves!$M$5:$M$205,1))))))</f>
        <v/>
      </c>
      <c r="N139" s="11">
        <f>IF(Inputs!$D$34=0,0,IF($B139&lt;=Inputs!$C$34,0,IF($B139&gt;=INDEX(LE_Curves!$N$5:$N$205,201),INDEX(LE_Curves!$B$5:$B$205,201),INDEX(LE_Curves!$B$5:$B$205,MATCH($B139,LE_Curves!$N$5:$N$205,1))+($B139-INDEX(LE_Curves!$N$5:$N$205,MATCH($B139,LE_Curves!$N$5:$N$205,1)))*(INDEX(LE_Curves!$B$5:$B$205,MATCH($B139,LE_Curves!$N$5:$N$205,1)+1)-INDEX(LE_Curves!$B$5:$B$205,MATCH($B139,LE_Curves!$N$5:$N$205,1)))/(INDEX(LE_Curves!$N$5:$N$205,MATCH($B139,LE_Curves!$N$5:$N$205,1)+1)-INDEX(LE_Curves!$N$5:$N$205,MATCH($B139,LE_Curves!$N$5:$N$205,1))))))</f>
        <v/>
      </c>
      <c r="O139" s="11">
        <f>SUM(C139:N139)</f>
        <v/>
      </c>
      <c r="Q139" s="7" t="n">
        <v>108</v>
      </c>
      <c r="R139" s="23">
        <f>$B$6+($B$7-$B$6)*Q139/200</f>
        <v/>
      </c>
      <c r="S139" s="11">
        <f>IF(Inputs!$D$23=0,0,IF($R139&lt;=Inputs!$C$23,0,IF($R139&gt;=INDEX(LE_Curves!$C$5:$C$205,201),INDEX(LE_Curves!$B$5:$B$205,201),INDEX(LE_Curves!$B$5:$B$205,MATCH($R139,LE_Curves!$C$5:$C$205,1))+($R139-INDEX(LE_Curves!$C$5:$C$205,MATCH($R139,LE_Curves!$C$5:$C$205,1)))*(INDEX(LE_Curves!$B$5:$B$205,MATCH($R139,LE_Curves!$C$5:$C$205,1)+1)-INDEX(LE_Curves!$B$5:$B$205,MATCH($R139,LE_Curves!$C$5:$C$205,1)))/(INDEX(LE_Curves!$C$5:$C$205,MATCH($R139,LE_Curves!$C$5:$C$205,1)+1)-INDEX(LE_Curves!$C$5:$C$205,MATCH($R139,LE_Curves!$C$5:$C$205,1))))))</f>
        <v/>
      </c>
      <c r="T139" s="11">
        <f>IF(Inputs!$D$24=0,0,IF($R139&lt;=Inputs!$C$24,0,IF($R139&gt;=INDEX(LE_Curves!$D$5:$D$205,201),INDEX(LE_Curves!$B$5:$B$205,201),INDEX(LE_Curves!$B$5:$B$205,MATCH($R139,LE_Curves!$D$5:$D$205,1))+($R139-INDEX(LE_Curves!$D$5:$D$205,MATCH($R139,LE_Curves!$D$5:$D$205,1)))*(INDEX(LE_Curves!$B$5:$B$205,MATCH($R139,LE_Curves!$D$5:$D$205,1)+1)-INDEX(LE_Curves!$B$5:$B$205,MATCH($R139,LE_Curves!$D$5:$D$205,1)))/(INDEX(LE_Curves!$D$5:$D$205,MATCH($R139,LE_Curves!$D$5:$D$205,1)+1)-INDEX(LE_Curves!$D$5:$D$205,MATCH($R139,LE_Curves!$D$5:$D$205,1))))))</f>
        <v/>
      </c>
      <c r="U139" s="11">
        <f>IF(Inputs!$D$25=0,0,IF($R139&lt;=Inputs!$C$25,0,IF($R139&gt;=INDEX(LE_Curves!$E$5:$E$205,201),INDEX(LE_Curves!$B$5:$B$205,201),INDEX(LE_Curves!$B$5:$B$205,MATCH($R139,LE_Curves!$E$5:$E$205,1))+($R139-INDEX(LE_Curves!$E$5:$E$205,MATCH($R139,LE_Curves!$E$5:$E$205,1)))*(INDEX(LE_Curves!$B$5:$B$205,MATCH($R139,LE_Curves!$E$5:$E$205,1)+1)-INDEX(LE_Curves!$B$5:$B$205,MATCH($R139,LE_Curves!$E$5:$E$205,1)))/(INDEX(LE_Curves!$E$5:$E$205,MATCH($R139,LE_Curves!$E$5:$E$205,1)+1)-INDEX(LE_Curves!$E$5:$E$205,MATCH($R139,LE_Curves!$E$5:$E$205,1))))))</f>
        <v/>
      </c>
      <c r="V139" s="11">
        <f>IF(Inputs!$D$26=0,0,IF($R139&lt;=Inputs!$C$26,0,IF($R139&gt;=INDEX(LE_Curves!$F$5:$F$205,201),INDEX(LE_Curves!$B$5:$B$205,201),INDEX(LE_Curves!$B$5:$B$205,MATCH($R139,LE_Curves!$F$5:$F$205,1))+($R139-INDEX(LE_Curves!$F$5:$F$205,MATCH($R139,LE_Curves!$F$5:$F$205,1)))*(INDEX(LE_Curves!$B$5:$B$205,MATCH($R139,LE_Curves!$F$5:$F$205,1)+1)-INDEX(LE_Curves!$B$5:$B$205,MATCH($R139,LE_Curves!$F$5:$F$205,1)))/(INDEX(LE_Curves!$F$5:$F$205,MATCH($R139,LE_Curves!$F$5:$F$205,1)+1)-INDEX(LE_Curves!$F$5:$F$205,MATCH($R139,LE_Curves!$F$5:$F$205,1))))))</f>
        <v/>
      </c>
      <c r="W139" s="11">
        <f>IF(Inputs!$D$27=0,0,IF($R139&lt;=Inputs!$C$27,0,IF($R139&gt;=INDEX(LE_Curves!$G$5:$G$205,201),INDEX(LE_Curves!$B$5:$B$205,201),INDEX(LE_Curves!$B$5:$B$205,MATCH($R139,LE_Curves!$G$5:$G$205,1))+($R139-INDEX(LE_Curves!$G$5:$G$205,MATCH($R139,LE_Curves!$G$5:$G$205,1)))*(INDEX(LE_Curves!$B$5:$B$205,MATCH($R139,LE_Curves!$G$5:$G$205,1)+1)-INDEX(LE_Curves!$B$5:$B$205,MATCH($R139,LE_Curves!$G$5:$G$205,1)))/(INDEX(LE_Curves!$G$5:$G$205,MATCH($R139,LE_Curves!$G$5:$G$205,1)+1)-INDEX(LE_Curves!$G$5:$G$205,MATCH($R139,LE_Curves!$G$5:$G$205,1))))))</f>
        <v/>
      </c>
      <c r="X139" s="11">
        <f>IF(Inputs!$D$28=0,0,IF($R139&lt;=Inputs!$C$28,0,IF($R139&gt;=INDEX(LE_Curves!$H$5:$H$205,201),INDEX(LE_Curves!$B$5:$B$205,201),INDEX(LE_Curves!$B$5:$B$205,MATCH($R139,LE_Curves!$H$5:$H$205,1))+($R139-INDEX(LE_Curves!$H$5:$H$205,MATCH($R139,LE_Curves!$H$5:$H$205,1)))*(INDEX(LE_Curves!$B$5:$B$205,MATCH($R139,LE_Curves!$H$5:$H$205,1)+1)-INDEX(LE_Curves!$B$5:$B$205,MATCH($R139,LE_Curves!$H$5:$H$205,1)))/(INDEX(LE_Curves!$H$5:$H$205,MATCH($R139,LE_Curves!$H$5:$H$205,1)+1)-INDEX(LE_Curves!$H$5:$H$205,MATCH($R139,LE_Curves!$H$5:$H$205,1))))))</f>
        <v/>
      </c>
      <c r="Y139" s="11">
        <f>IF(Inputs!$D$29=0,0,IF($R139&lt;=Inputs!$C$29,0,IF($R139&gt;=INDEX(LE_Curves!$I$5:$I$205,201),INDEX(LE_Curves!$B$5:$B$205,201),INDEX(LE_Curves!$B$5:$B$205,MATCH($R139,LE_Curves!$I$5:$I$205,1))+($R139-INDEX(LE_Curves!$I$5:$I$205,MATCH($R139,LE_Curves!$I$5:$I$205,1)))*(INDEX(LE_Curves!$B$5:$B$205,MATCH($R139,LE_Curves!$I$5:$I$205,1)+1)-INDEX(LE_Curves!$B$5:$B$205,MATCH($R139,LE_Curves!$I$5:$I$205,1)))/(INDEX(LE_Curves!$I$5:$I$205,MATCH($R139,LE_Curves!$I$5:$I$205,1)+1)-INDEX(LE_Curves!$I$5:$I$205,MATCH($R139,LE_Curves!$I$5:$I$205,1))))))</f>
        <v/>
      </c>
      <c r="Z139" s="11">
        <f>IF(Inputs!$D$30=0,0,IF($R139&lt;=Inputs!$C$30,0,IF($R139&gt;=INDEX(LE_Curves!$J$5:$J$205,201),INDEX(LE_Curves!$B$5:$B$205,201),INDEX(LE_Curves!$B$5:$B$205,MATCH($R139,LE_Curves!$J$5:$J$205,1))+($R139-INDEX(LE_Curves!$J$5:$J$205,MATCH($R139,LE_Curves!$J$5:$J$205,1)))*(INDEX(LE_Curves!$B$5:$B$205,MATCH($R139,LE_Curves!$J$5:$J$205,1)+1)-INDEX(LE_Curves!$B$5:$B$205,MATCH($R139,LE_Curves!$J$5:$J$205,1)))/(INDEX(LE_Curves!$J$5:$J$205,MATCH($R139,LE_Curves!$J$5:$J$205,1)+1)-INDEX(LE_Curves!$J$5:$J$205,MATCH($R139,LE_Curves!$J$5:$J$205,1))))))</f>
        <v/>
      </c>
      <c r="AA139" s="11">
        <f>IF(Inputs!$D$31=0,0,IF($R139&lt;=Inputs!$C$31,0,IF($R139&gt;=INDEX(LE_Curves!$K$5:$K$205,201),INDEX(LE_Curves!$B$5:$B$205,201),INDEX(LE_Curves!$B$5:$B$205,MATCH($R139,LE_Curves!$K$5:$K$205,1))+($R139-INDEX(LE_Curves!$K$5:$K$205,MATCH($R139,LE_Curves!$K$5:$K$205,1)))*(INDEX(LE_Curves!$B$5:$B$205,MATCH($R139,LE_Curves!$K$5:$K$205,1)+1)-INDEX(LE_Curves!$B$5:$B$205,MATCH($R139,LE_Curves!$K$5:$K$205,1)))/(INDEX(LE_Curves!$K$5:$K$205,MATCH($R139,LE_Curves!$K$5:$K$205,1)+1)-INDEX(LE_Curves!$K$5:$K$205,MATCH($R139,LE_Curves!$K$5:$K$205,1))))))</f>
        <v/>
      </c>
      <c r="AB139" s="11">
        <f>IF(Inputs!$D$32=0,0,IF($R139&lt;=Inputs!$C$32,0,IF($R139&gt;=INDEX(LE_Curves!$L$5:$L$205,201),INDEX(LE_Curves!$B$5:$B$205,201),INDEX(LE_Curves!$B$5:$B$205,MATCH($R139,LE_Curves!$L$5:$L$205,1))+($R139-INDEX(LE_Curves!$L$5:$L$205,MATCH($R139,LE_Curves!$L$5:$L$205,1)))*(INDEX(LE_Curves!$B$5:$B$205,MATCH($R139,LE_Curves!$L$5:$L$205,1)+1)-INDEX(LE_Curves!$B$5:$B$205,MATCH($R139,LE_Curves!$L$5:$L$205,1)))/(INDEX(LE_Curves!$L$5:$L$205,MATCH($R139,LE_Curves!$L$5:$L$205,1)+1)-INDEX(LE_Curves!$L$5:$L$205,MATCH($R139,LE_Curves!$L$5:$L$205,1))))))</f>
        <v/>
      </c>
      <c r="AC139" s="11">
        <f>IF(Inputs!$D$33=0,0,IF($R139&lt;=Inputs!$C$33,0,IF($R139&gt;=INDEX(LE_Curves!$M$5:$M$205,201),INDEX(LE_Curves!$B$5:$B$205,201),INDEX(LE_Curves!$B$5:$B$205,MATCH($R139,LE_Curves!$M$5:$M$205,1))+($R139-INDEX(LE_Curves!$M$5:$M$205,MATCH($R139,LE_Curves!$M$5:$M$205,1)))*(INDEX(LE_Curves!$B$5:$B$205,MATCH($R139,LE_Curves!$M$5:$M$205,1)+1)-INDEX(LE_Curves!$B$5:$B$205,MATCH($R139,LE_Curves!$M$5:$M$205,1)))/(INDEX(LE_Curves!$M$5:$M$205,MATCH($R139,LE_Curves!$M$5:$M$205,1)+1)-INDEX(LE_Curves!$M$5:$M$205,MATCH($R139,LE_Curves!$M$5:$M$205,1))))))</f>
        <v/>
      </c>
      <c r="AD139" s="11">
        <f>IF(Inputs!$D$34=0,0,IF($R139&lt;=Inputs!$C$34,0,IF($R139&gt;=INDEX(LE_Curves!$N$5:$N$205,201),INDEX(LE_Curves!$B$5:$B$205,201),INDEX(LE_Curves!$B$5:$B$205,MATCH($R139,LE_Curves!$N$5:$N$205,1))+($R139-INDEX(LE_Curves!$N$5:$N$205,MATCH($R139,LE_Curves!$N$5:$N$205,1)))*(INDEX(LE_Curves!$B$5:$B$205,MATCH($R139,LE_Curves!$N$5:$N$205,1)+1)-INDEX(LE_Curves!$B$5:$B$205,MATCH($R139,LE_Curves!$N$5:$N$205,1)))/(INDEX(LE_Curves!$N$5:$N$205,MATCH($R139,LE_Curves!$N$5:$N$205,1)+1)-INDEX(LE_Curves!$N$5:$N$205,MATCH($R139,LE_Curves!$N$5:$N$205,1))))))</f>
        <v/>
      </c>
      <c r="AE139" s="37">
        <f>SUM(S139:AD139)</f>
        <v/>
      </c>
    </row>
    <row r="140">
      <c r="A140" s="7" t="n">
        <v>109</v>
      </c>
      <c r="B140" s="37">
        <f>$B$3+($B$4-$B$3)*A140/200</f>
        <v/>
      </c>
      <c r="C140" s="11">
        <f>IF(Inputs!$D$23=0,0,IF($B140&lt;=Inputs!$C$23,0,IF($B140&gt;=INDEX(LE_Curves!$C$5:$C$205,201),INDEX(LE_Curves!$B$5:$B$205,201),INDEX(LE_Curves!$B$5:$B$205,MATCH($B140,LE_Curves!$C$5:$C$205,1))+($B140-INDEX(LE_Curves!$C$5:$C$205,MATCH($B140,LE_Curves!$C$5:$C$205,1)))*(INDEX(LE_Curves!$B$5:$B$205,MATCH($B140,LE_Curves!$C$5:$C$205,1)+1)-INDEX(LE_Curves!$B$5:$B$205,MATCH($B140,LE_Curves!$C$5:$C$205,1)))/(INDEX(LE_Curves!$C$5:$C$205,MATCH($B140,LE_Curves!$C$5:$C$205,1)+1)-INDEX(LE_Curves!$C$5:$C$205,MATCH($B140,LE_Curves!$C$5:$C$205,1))))))</f>
        <v/>
      </c>
      <c r="D140" s="11">
        <f>IF(Inputs!$D$24=0,0,IF($B140&lt;=Inputs!$C$24,0,IF($B140&gt;=INDEX(LE_Curves!$D$5:$D$205,201),INDEX(LE_Curves!$B$5:$B$205,201),INDEX(LE_Curves!$B$5:$B$205,MATCH($B140,LE_Curves!$D$5:$D$205,1))+($B140-INDEX(LE_Curves!$D$5:$D$205,MATCH($B140,LE_Curves!$D$5:$D$205,1)))*(INDEX(LE_Curves!$B$5:$B$205,MATCH($B140,LE_Curves!$D$5:$D$205,1)+1)-INDEX(LE_Curves!$B$5:$B$205,MATCH($B140,LE_Curves!$D$5:$D$205,1)))/(INDEX(LE_Curves!$D$5:$D$205,MATCH($B140,LE_Curves!$D$5:$D$205,1)+1)-INDEX(LE_Curves!$D$5:$D$205,MATCH($B140,LE_Curves!$D$5:$D$205,1))))))</f>
        <v/>
      </c>
      <c r="E140" s="11">
        <f>IF(Inputs!$D$25=0,0,IF($B140&lt;=Inputs!$C$25,0,IF($B140&gt;=INDEX(LE_Curves!$E$5:$E$205,201),INDEX(LE_Curves!$B$5:$B$205,201),INDEX(LE_Curves!$B$5:$B$205,MATCH($B140,LE_Curves!$E$5:$E$205,1))+($B140-INDEX(LE_Curves!$E$5:$E$205,MATCH($B140,LE_Curves!$E$5:$E$205,1)))*(INDEX(LE_Curves!$B$5:$B$205,MATCH($B140,LE_Curves!$E$5:$E$205,1)+1)-INDEX(LE_Curves!$B$5:$B$205,MATCH($B140,LE_Curves!$E$5:$E$205,1)))/(INDEX(LE_Curves!$E$5:$E$205,MATCH($B140,LE_Curves!$E$5:$E$205,1)+1)-INDEX(LE_Curves!$E$5:$E$205,MATCH($B140,LE_Curves!$E$5:$E$205,1))))))</f>
        <v/>
      </c>
      <c r="F140" s="11">
        <f>IF(Inputs!$D$26=0,0,IF($B140&lt;=Inputs!$C$26,0,IF($B140&gt;=INDEX(LE_Curves!$F$5:$F$205,201),INDEX(LE_Curves!$B$5:$B$205,201),INDEX(LE_Curves!$B$5:$B$205,MATCH($B140,LE_Curves!$F$5:$F$205,1))+($B140-INDEX(LE_Curves!$F$5:$F$205,MATCH($B140,LE_Curves!$F$5:$F$205,1)))*(INDEX(LE_Curves!$B$5:$B$205,MATCH($B140,LE_Curves!$F$5:$F$205,1)+1)-INDEX(LE_Curves!$B$5:$B$205,MATCH($B140,LE_Curves!$F$5:$F$205,1)))/(INDEX(LE_Curves!$F$5:$F$205,MATCH($B140,LE_Curves!$F$5:$F$205,1)+1)-INDEX(LE_Curves!$F$5:$F$205,MATCH($B140,LE_Curves!$F$5:$F$205,1))))))</f>
        <v/>
      </c>
      <c r="G140" s="11">
        <f>IF(Inputs!$D$27=0,0,IF($B140&lt;=Inputs!$C$27,0,IF($B140&gt;=INDEX(LE_Curves!$G$5:$G$205,201),INDEX(LE_Curves!$B$5:$B$205,201),INDEX(LE_Curves!$B$5:$B$205,MATCH($B140,LE_Curves!$G$5:$G$205,1))+($B140-INDEX(LE_Curves!$G$5:$G$205,MATCH($B140,LE_Curves!$G$5:$G$205,1)))*(INDEX(LE_Curves!$B$5:$B$205,MATCH($B140,LE_Curves!$G$5:$G$205,1)+1)-INDEX(LE_Curves!$B$5:$B$205,MATCH($B140,LE_Curves!$G$5:$G$205,1)))/(INDEX(LE_Curves!$G$5:$G$205,MATCH($B140,LE_Curves!$G$5:$G$205,1)+1)-INDEX(LE_Curves!$G$5:$G$205,MATCH($B140,LE_Curves!$G$5:$G$205,1))))))</f>
        <v/>
      </c>
      <c r="H140" s="11">
        <f>IF(Inputs!$D$28=0,0,IF($B140&lt;=Inputs!$C$28,0,IF($B140&gt;=INDEX(LE_Curves!$H$5:$H$205,201),INDEX(LE_Curves!$B$5:$B$205,201),INDEX(LE_Curves!$B$5:$B$205,MATCH($B140,LE_Curves!$H$5:$H$205,1))+($B140-INDEX(LE_Curves!$H$5:$H$205,MATCH($B140,LE_Curves!$H$5:$H$205,1)))*(INDEX(LE_Curves!$B$5:$B$205,MATCH($B140,LE_Curves!$H$5:$H$205,1)+1)-INDEX(LE_Curves!$B$5:$B$205,MATCH($B140,LE_Curves!$H$5:$H$205,1)))/(INDEX(LE_Curves!$H$5:$H$205,MATCH($B140,LE_Curves!$H$5:$H$205,1)+1)-INDEX(LE_Curves!$H$5:$H$205,MATCH($B140,LE_Curves!$H$5:$H$205,1))))))</f>
        <v/>
      </c>
      <c r="I140" s="11">
        <f>IF(Inputs!$D$29=0,0,IF($B140&lt;=Inputs!$C$29,0,IF($B140&gt;=INDEX(LE_Curves!$I$5:$I$205,201),INDEX(LE_Curves!$B$5:$B$205,201),INDEX(LE_Curves!$B$5:$B$205,MATCH($B140,LE_Curves!$I$5:$I$205,1))+($B140-INDEX(LE_Curves!$I$5:$I$205,MATCH($B140,LE_Curves!$I$5:$I$205,1)))*(INDEX(LE_Curves!$B$5:$B$205,MATCH($B140,LE_Curves!$I$5:$I$205,1)+1)-INDEX(LE_Curves!$B$5:$B$205,MATCH($B140,LE_Curves!$I$5:$I$205,1)))/(INDEX(LE_Curves!$I$5:$I$205,MATCH($B140,LE_Curves!$I$5:$I$205,1)+1)-INDEX(LE_Curves!$I$5:$I$205,MATCH($B140,LE_Curves!$I$5:$I$205,1))))))</f>
        <v/>
      </c>
      <c r="J140" s="11">
        <f>IF(Inputs!$D$30=0,0,IF($B140&lt;=Inputs!$C$30,0,IF($B140&gt;=INDEX(LE_Curves!$J$5:$J$205,201),INDEX(LE_Curves!$B$5:$B$205,201),INDEX(LE_Curves!$B$5:$B$205,MATCH($B140,LE_Curves!$J$5:$J$205,1))+($B140-INDEX(LE_Curves!$J$5:$J$205,MATCH($B140,LE_Curves!$J$5:$J$205,1)))*(INDEX(LE_Curves!$B$5:$B$205,MATCH($B140,LE_Curves!$J$5:$J$205,1)+1)-INDEX(LE_Curves!$B$5:$B$205,MATCH($B140,LE_Curves!$J$5:$J$205,1)))/(INDEX(LE_Curves!$J$5:$J$205,MATCH($B140,LE_Curves!$J$5:$J$205,1)+1)-INDEX(LE_Curves!$J$5:$J$205,MATCH($B140,LE_Curves!$J$5:$J$205,1))))))</f>
        <v/>
      </c>
      <c r="K140" s="11">
        <f>IF(Inputs!$D$31=0,0,IF($B140&lt;=Inputs!$C$31,0,IF($B140&gt;=INDEX(LE_Curves!$K$5:$K$205,201),INDEX(LE_Curves!$B$5:$B$205,201),INDEX(LE_Curves!$B$5:$B$205,MATCH($B140,LE_Curves!$K$5:$K$205,1))+($B140-INDEX(LE_Curves!$K$5:$K$205,MATCH($B140,LE_Curves!$K$5:$K$205,1)))*(INDEX(LE_Curves!$B$5:$B$205,MATCH($B140,LE_Curves!$K$5:$K$205,1)+1)-INDEX(LE_Curves!$B$5:$B$205,MATCH($B140,LE_Curves!$K$5:$K$205,1)))/(INDEX(LE_Curves!$K$5:$K$205,MATCH($B140,LE_Curves!$K$5:$K$205,1)+1)-INDEX(LE_Curves!$K$5:$K$205,MATCH($B140,LE_Curves!$K$5:$K$205,1))))))</f>
        <v/>
      </c>
      <c r="L140" s="11">
        <f>IF(Inputs!$D$32=0,0,IF($B140&lt;=Inputs!$C$32,0,IF($B140&gt;=INDEX(LE_Curves!$L$5:$L$205,201),INDEX(LE_Curves!$B$5:$B$205,201),INDEX(LE_Curves!$B$5:$B$205,MATCH($B140,LE_Curves!$L$5:$L$205,1))+($B140-INDEX(LE_Curves!$L$5:$L$205,MATCH($B140,LE_Curves!$L$5:$L$205,1)))*(INDEX(LE_Curves!$B$5:$B$205,MATCH($B140,LE_Curves!$L$5:$L$205,1)+1)-INDEX(LE_Curves!$B$5:$B$205,MATCH($B140,LE_Curves!$L$5:$L$205,1)))/(INDEX(LE_Curves!$L$5:$L$205,MATCH($B140,LE_Curves!$L$5:$L$205,1)+1)-INDEX(LE_Curves!$L$5:$L$205,MATCH($B140,LE_Curves!$L$5:$L$205,1))))))</f>
        <v/>
      </c>
      <c r="M140" s="11">
        <f>IF(Inputs!$D$33=0,0,IF($B140&lt;=Inputs!$C$33,0,IF($B140&gt;=INDEX(LE_Curves!$M$5:$M$205,201),INDEX(LE_Curves!$B$5:$B$205,201),INDEX(LE_Curves!$B$5:$B$205,MATCH($B140,LE_Curves!$M$5:$M$205,1))+($B140-INDEX(LE_Curves!$M$5:$M$205,MATCH($B140,LE_Curves!$M$5:$M$205,1)))*(INDEX(LE_Curves!$B$5:$B$205,MATCH($B140,LE_Curves!$M$5:$M$205,1)+1)-INDEX(LE_Curves!$B$5:$B$205,MATCH($B140,LE_Curves!$M$5:$M$205,1)))/(INDEX(LE_Curves!$M$5:$M$205,MATCH($B140,LE_Curves!$M$5:$M$205,1)+1)-INDEX(LE_Curves!$M$5:$M$205,MATCH($B140,LE_Curves!$M$5:$M$205,1))))))</f>
        <v/>
      </c>
      <c r="N140" s="11">
        <f>IF(Inputs!$D$34=0,0,IF($B140&lt;=Inputs!$C$34,0,IF($B140&gt;=INDEX(LE_Curves!$N$5:$N$205,201),INDEX(LE_Curves!$B$5:$B$205,201),INDEX(LE_Curves!$B$5:$B$205,MATCH($B140,LE_Curves!$N$5:$N$205,1))+($B140-INDEX(LE_Curves!$N$5:$N$205,MATCH($B140,LE_Curves!$N$5:$N$205,1)))*(INDEX(LE_Curves!$B$5:$B$205,MATCH($B140,LE_Curves!$N$5:$N$205,1)+1)-INDEX(LE_Curves!$B$5:$B$205,MATCH($B140,LE_Curves!$N$5:$N$205,1)))/(INDEX(LE_Curves!$N$5:$N$205,MATCH($B140,LE_Curves!$N$5:$N$205,1)+1)-INDEX(LE_Curves!$N$5:$N$205,MATCH($B140,LE_Curves!$N$5:$N$205,1))))))</f>
        <v/>
      </c>
      <c r="O140" s="11">
        <f>SUM(C140:N140)</f>
        <v/>
      </c>
      <c r="Q140" s="7" t="n">
        <v>109</v>
      </c>
      <c r="R140" s="23">
        <f>$B$6+($B$7-$B$6)*Q140/200</f>
        <v/>
      </c>
      <c r="S140" s="11">
        <f>IF(Inputs!$D$23=0,0,IF($R140&lt;=Inputs!$C$23,0,IF($R140&gt;=INDEX(LE_Curves!$C$5:$C$205,201),INDEX(LE_Curves!$B$5:$B$205,201),INDEX(LE_Curves!$B$5:$B$205,MATCH($R140,LE_Curves!$C$5:$C$205,1))+($R140-INDEX(LE_Curves!$C$5:$C$205,MATCH($R140,LE_Curves!$C$5:$C$205,1)))*(INDEX(LE_Curves!$B$5:$B$205,MATCH($R140,LE_Curves!$C$5:$C$205,1)+1)-INDEX(LE_Curves!$B$5:$B$205,MATCH($R140,LE_Curves!$C$5:$C$205,1)))/(INDEX(LE_Curves!$C$5:$C$205,MATCH($R140,LE_Curves!$C$5:$C$205,1)+1)-INDEX(LE_Curves!$C$5:$C$205,MATCH($R140,LE_Curves!$C$5:$C$205,1))))))</f>
        <v/>
      </c>
      <c r="T140" s="11">
        <f>IF(Inputs!$D$24=0,0,IF($R140&lt;=Inputs!$C$24,0,IF($R140&gt;=INDEX(LE_Curves!$D$5:$D$205,201),INDEX(LE_Curves!$B$5:$B$205,201),INDEX(LE_Curves!$B$5:$B$205,MATCH($R140,LE_Curves!$D$5:$D$205,1))+($R140-INDEX(LE_Curves!$D$5:$D$205,MATCH($R140,LE_Curves!$D$5:$D$205,1)))*(INDEX(LE_Curves!$B$5:$B$205,MATCH($R140,LE_Curves!$D$5:$D$205,1)+1)-INDEX(LE_Curves!$B$5:$B$205,MATCH($R140,LE_Curves!$D$5:$D$205,1)))/(INDEX(LE_Curves!$D$5:$D$205,MATCH($R140,LE_Curves!$D$5:$D$205,1)+1)-INDEX(LE_Curves!$D$5:$D$205,MATCH($R140,LE_Curves!$D$5:$D$205,1))))))</f>
        <v/>
      </c>
      <c r="U140" s="11">
        <f>IF(Inputs!$D$25=0,0,IF($R140&lt;=Inputs!$C$25,0,IF($R140&gt;=INDEX(LE_Curves!$E$5:$E$205,201),INDEX(LE_Curves!$B$5:$B$205,201),INDEX(LE_Curves!$B$5:$B$205,MATCH($R140,LE_Curves!$E$5:$E$205,1))+($R140-INDEX(LE_Curves!$E$5:$E$205,MATCH($R140,LE_Curves!$E$5:$E$205,1)))*(INDEX(LE_Curves!$B$5:$B$205,MATCH($R140,LE_Curves!$E$5:$E$205,1)+1)-INDEX(LE_Curves!$B$5:$B$205,MATCH($R140,LE_Curves!$E$5:$E$205,1)))/(INDEX(LE_Curves!$E$5:$E$205,MATCH($R140,LE_Curves!$E$5:$E$205,1)+1)-INDEX(LE_Curves!$E$5:$E$205,MATCH($R140,LE_Curves!$E$5:$E$205,1))))))</f>
        <v/>
      </c>
      <c r="V140" s="11">
        <f>IF(Inputs!$D$26=0,0,IF($R140&lt;=Inputs!$C$26,0,IF($R140&gt;=INDEX(LE_Curves!$F$5:$F$205,201),INDEX(LE_Curves!$B$5:$B$205,201),INDEX(LE_Curves!$B$5:$B$205,MATCH($R140,LE_Curves!$F$5:$F$205,1))+($R140-INDEX(LE_Curves!$F$5:$F$205,MATCH($R140,LE_Curves!$F$5:$F$205,1)))*(INDEX(LE_Curves!$B$5:$B$205,MATCH($R140,LE_Curves!$F$5:$F$205,1)+1)-INDEX(LE_Curves!$B$5:$B$205,MATCH($R140,LE_Curves!$F$5:$F$205,1)))/(INDEX(LE_Curves!$F$5:$F$205,MATCH($R140,LE_Curves!$F$5:$F$205,1)+1)-INDEX(LE_Curves!$F$5:$F$205,MATCH($R140,LE_Curves!$F$5:$F$205,1))))))</f>
        <v/>
      </c>
      <c r="W140" s="11">
        <f>IF(Inputs!$D$27=0,0,IF($R140&lt;=Inputs!$C$27,0,IF($R140&gt;=INDEX(LE_Curves!$G$5:$G$205,201),INDEX(LE_Curves!$B$5:$B$205,201),INDEX(LE_Curves!$B$5:$B$205,MATCH($R140,LE_Curves!$G$5:$G$205,1))+($R140-INDEX(LE_Curves!$G$5:$G$205,MATCH($R140,LE_Curves!$G$5:$G$205,1)))*(INDEX(LE_Curves!$B$5:$B$205,MATCH($R140,LE_Curves!$G$5:$G$205,1)+1)-INDEX(LE_Curves!$B$5:$B$205,MATCH($R140,LE_Curves!$G$5:$G$205,1)))/(INDEX(LE_Curves!$G$5:$G$205,MATCH($R140,LE_Curves!$G$5:$G$205,1)+1)-INDEX(LE_Curves!$G$5:$G$205,MATCH($R140,LE_Curves!$G$5:$G$205,1))))))</f>
        <v/>
      </c>
      <c r="X140" s="11">
        <f>IF(Inputs!$D$28=0,0,IF($R140&lt;=Inputs!$C$28,0,IF($R140&gt;=INDEX(LE_Curves!$H$5:$H$205,201),INDEX(LE_Curves!$B$5:$B$205,201),INDEX(LE_Curves!$B$5:$B$205,MATCH($R140,LE_Curves!$H$5:$H$205,1))+($R140-INDEX(LE_Curves!$H$5:$H$205,MATCH($R140,LE_Curves!$H$5:$H$205,1)))*(INDEX(LE_Curves!$B$5:$B$205,MATCH($R140,LE_Curves!$H$5:$H$205,1)+1)-INDEX(LE_Curves!$B$5:$B$205,MATCH($R140,LE_Curves!$H$5:$H$205,1)))/(INDEX(LE_Curves!$H$5:$H$205,MATCH($R140,LE_Curves!$H$5:$H$205,1)+1)-INDEX(LE_Curves!$H$5:$H$205,MATCH($R140,LE_Curves!$H$5:$H$205,1))))))</f>
        <v/>
      </c>
      <c r="Y140" s="11">
        <f>IF(Inputs!$D$29=0,0,IF($R140&lt;=Inputs!$C$29,0,IF($R140&gt;=INDEX(LE_Curves!$I$5:$I$205,201),INDEX(LE_Curves!$B$5:$B$205,201),INDEX(LE_Curves!$B$5:$B$205,MATCH($R140,LE_Curves!$I$5:$I$205,1))+($R140-INDEX(LE_Curves!$I$5:$I$205,MATCH($R140,LE_Curves!$I$5:$I$205,1)))*(INDEX(LE_Curves!$B$5:$B$205,MATCH($R140,LE_Curves!$I$5:$I$205,1)+1)-INDEX(LE_Curves!$B$5:$B$205,MATCH($R140,LE_Curves!$I$5:$I$205,1)))/(INDEX(LE_Curves!$I$5:$I$205,MATCH($R140,LE_Curves!$I$5:$I$205,1)+1)-INDEX(LE_Curves!$I$5:$I$205,MATCH($R140,LE_Curves!$I$5:$I$205,1))))))</f>
        <v/>
      </c>
      <c r="Z140" s="11">
        <f>IF(Inputs!$D$30=0,0,IF($R140&lt;=Inputs!$C$30,0,IF($R140&gt;=INDEX(LE_Curves!$J$5:$J$205,201),INDEX(LE_Curves!$B$5:$B$205,201),INDEX(LE_Curves!$B$5:$B$205,MATCH($R140,LE_Curves!$J$5:$J$205,1))+($R140-INDEX(LE_Curves!$J$5:$J$205,MATCH($R140,LE_Curves!$J$5:$J$205,1)))*(INDEX(LE_Curves!$B$5:$B$205,MATCH($R140,LE_Curves!$J$5:$J$205,1)+1)-INDEX(LE_Curves!$B$5:$B$205,MATCH($R140,LE_Curves!$J$5:$J$205,1)))/(INDEX(LE_Curves!$J$5:$J$205,MATCH($R140,LE_Curves!$J$5:$J$205,1)+1)-INDEX(LE_Curves!$J$5:$J$205,MATCH($R140,LE_Curves!$J$5:$J$205,1))))))</f>
        <v/>
      </c>
      <c r="AA140" s="11">
        <f>IF(Inputs!$D$31=0,0,IF($R140&lt;=Inputs!$C$31,0,IF($R140&gt;=INDEX(LE_Curves!$K$5:$K$205,201),INDEX(LE_Curves!$B$5:$B$205,201),INDEX(LE_Curves!$B$5:$B$205,MATCH($R140,LE_Curves!$K$5:$K$205,1))+($R140-INDEX(LE_Curves!$K$5:$K$205,MATCH($R140,LE_Curves!$K$5:$K$205,1)))*(INDEX(LE_Curves!$B$5:$B$205,MATCH($R140,LE_Curves!$K$5:$K$205,1)+1)-INDEX(LE_Curves!$B$5:$B$205,MATCH($R140,LE_Curves!$K$5:$K$205,1)))/(INDEX(LE_Curves!$K$5:$K$205,MATCH($R140,LE_Curves!$K$5:$K$205,1)+1)-INDEX(LE_Curves!$K$5:$K$205,MATCH($R140,LE_Curves!$K$5:$K$205,1))))))</f>
        <v/>
      </c>
      <c r="AB140" s="11">
        <f>IF(Inputs!$D$32=0,0,IF($R140&lt;=Inputs!$C$32,0,IF($R140&gt;=INDEX(LE_Curves!$L$5:$L$205,201),INDEX(LE_Curves!$B$5:$B$205,201),INDEX(LE_Curves!$B$5:$B$205,MATCH($R140,LE_Curves!$L$5:$L$205,1))+($R140-INDEX(LE_Curves!$L$5:$L$205,MATCH($R140,LE_Curves!$L$5:$L$205,1)))*(INDEX(LE_Curves!$B$5:$B$205,MATCH($R140,LE_Curves!$L$5:$L$205,1)+1)-INDEX(LE_Curves!$B$5:$B$205,MATCH($R140,LE_Curves!$L$5:$L$205,1)))/(INDEX(LE_Curves!$L$5:$L$205,MATCH($R140,LE_Curves!$L$5:$L$205,1)+1)-INDEX(LE_Curves!$L$5:$L$205,MATCH($R140,LE_Curves!$L$5:$L$205,1))))))</f>
        <v/>
      </c>
      <c r="AC140" s="11">
        <f>IF(Inputs!$D$33=0,0,IF($R140&lt;=Inputs!$C$33,0,IF($R140&gt;=INDEX(LE_Curves!$M$5:$M$205,201),INDEX(LE_Curves!$B$5:$B$205,201),INDEX(LE_Curves!$B$5:$B$205,MATCH($R140,LE_Curves!$M$5:$M$205,1))+($R140-INDEX(LE_Curves!$M$5:$M$205,MATCH($R140,LE_Curves!$M$5:$M$205,1)))*(INDEX(LE_Curves!$B$5:$B$205,MATCH($R140,LE_Curves!$M$5:$M$205,1)+1)-INDEX(LE_Curves!$B$5:$B$205,MATCH($R140,LE_Curves!$M$5:$M$205,1)))/(INDEX(LE_Curves!$M$5:$M$205,MATCH($R140,LE_Curves!$M$5:$M$205,1)+1)-INDEX(LE_Curves!$M$5:$M$205,MATCH($R140,LE_Curves!$M$5:$M$205,1))))))</f>
        <v/>
      </c>
      <c r="AD140" s="11">
        <f>IF(Inputs!$D$34=0,0,IF($R140&lt;=Inputs!$C$34,0,IF($R140&gt;=INDEX(LE_Curves!$N$5:$N$205,201),INDEX(LE_Curves!$B$5:$B$205,201),INDEX(LE_Curves!$B$5:$B$205,MATCH($R140,LE_Curves!$N$5:$N$205,1))+($R140-INDEX(LE_Curves!$N$5:$N$205,MATCH($R140,LE_Curves!$N$5:$N$205,1)))*(INDEX(LE_Curves!$B$5:$B$205,MATCH($R140,LE_Curves!$N$5:$N$205,1)+1)-INDEX(LE_Curves!$B$5:$B$205,MATCH($R140,LE_Curves!$N$5:$N$205,1)))/(INDEX(LE_Curves!$N$5:$N$205,MATCH($R140,LE_Curves!$N$5:$N$205,1)+1)-INDEX(LE_Curves!$N$5:$N$205,MATCH($R140,LE_Curves!$N$5:$N$205,1))))))</f>
        <v/>
      </c>
      <c r="AE140" s="37">
        <f>SUM(S140:AD140)</f>
        <v/>
      </c>
    </row>
    <row r="141">
      <c r="A141" s="7" t="n">
        <v>110</v>
      </c>
      <c r="B141" s="37">
        <f>$B$3+($B$4-$B$3)*A141/200</f>
        <v/>
      </c>
      <c r="C141" s="11">
        <f>IF(Inputs!$D$23=0,0,IF($B141&lt;=Inputs!$C$23,0,IF($B141&gt;=INDEX(LE_Curves!$C$5:$C$205,201),INDEX(LE_Curves!$B$5:$B$205,201),INDEX(LE_Curves!$B$5:$B$205,MATCH($B141,LE_Curves!$C$5:$C$205,1))+($B141-INDEX(LE_Curves!$C$5:$C$205,MATCH($B141,LE_Curves!$C$5:$C$205,1)))*(INDEX(LE_Curves!$B$5:$B$205,MATCH($B141,LE_Curves!$C$5:$C$205,1)+1)-INDEX(LE_Curves!$B$5:$B$205,MATCH($B141,LE_Curves!$C$5:$C$205,1)))/(INDEX(LE_Curves!$C$5:$C$205,MATCH($B141,LE_Curves!$C$5:$C$205,1)+1)-INDEX(LE_Curves!$C$5:$C$205,MATCH($B141,LE_Curves!$C$5:$C$205,1))))))</f>
        <v/>
      </c>
      <c r="D141" s="11">
        <f>IF(Inputs!$D$24=0,0,IF($B141&lt;=Inputs!$C$24,0,IF($B141&gt;=INDEX(LE_Curves!$D$5:$D$205,201),INDEX(LE_Curves!$B$5:$B$205,201),INDEX(LE_Curves!$B$5:$B$205,MATCH($B141,LE_Curves!$D$5:$D$205,1))+($B141-INDEX(LE_Curves!$D$5:$D$205,MATCH($B141,LE_Curves!$D$5:$D$205,1)))*(INDEX(LE_Curves!$B$5:$B$205,MATCH($B141,LE_Curves!$D$5:$D$205,1)+1)-INDEX(LE_Curves!$B$5:$B$205,MATCH($B141,LE_Curves!$D$5:$D$205,1)))/(INDEX(LE_Curves!$D$5:$D$205,MATCH($B141,LE_Curves!$D$5:$D$205,1)+1)-INDEX(LE_Curves!$D$5:$D$205,MATCH($B141,LE_Curves!$D$5:$D$205,1))))))</f>
        <v/>
      </c>
      <c r="E141" s="11">
        <f>IF(Inputs!$D$25=0,0,IF($B141&lt;=Inputs!$C$25,0,IF($B141&gt;=INDEX(LE_Curves!$E$5:$E$205,201),INDEX(LE_Curves!$B$5:$B$205,201),INDEX(LE_Curves!$B$5:$B$205,MATCH($B141,LE_Curves!$E$5:$E$205,1))+($B141-INDEX(LE_Curves!$E$5:$E$205,MATCH($B141,LE_Curves!$E$5:$E$205,1)))*(INDEX(LE_Curves!$B$5:$B$205,MATCH($B141,LE_Curves!$E$5:$E$205,1)+1)-INDEX(LE_Curves!$B$5:$B$205,MATCH($B141,LE_Curves!$E$5:$E$205,1)))/(INDEX(LE_Curves!$E$5:$E$205,MATCH($B141,LE_Curves!$E$5:$E$205,1)+1)-INDEX(LE_Curves!$E$5:$E$205,MATCH($B141,LE_Curves!$E$5:$E$205,1))))))</f>
        <v/>
      </c>
      <c r="F141" s="11">
        <f>IF(Inputs!$D$26=0,0,IF($B141&lt;=Inputs!$C$26,0,IF($B141&gt;=INDEX(LE_Curves!$F$5:$F$205,201),INDEX(LE_Curves!$B$5:$B$205,201),INDEX(LE_Curves!$B$5:$B$205,MATCH($B141,LE_Curves!$F$5:$F$205,1))+($B141-INDEX(LE_Curves!$F$5:$F$205,MATCH($B141,LE_Curves!$F$5:$F$205,1)))*(INDEX(LE_Curves!$B$5:$B$205,MATCH($B141,LE_Curves!$F$5:$F$205,1)+1)-INDEX(LE_Curves!$B$5:$B$205,MATCH($B141,LE_Curves!$F$5:$F$205,1)))/(INDEX(LE_Curves!$F$5:$F$205,MATCH($B141,LE_Curves!$F$5:$F$205,1)+1)-INDEX(LE_Curves!$F$5:$F$205,MATCH($B141,LE_Curves!$F$5:$F$205,1))))))</f>
        <v/>
      </c>
      <c r="G141" s="11">
        <f>IF(Inputs!$D$27=0,0,IF($B141&lt;=Inputs!$C$27,0,IF($B141&gt;=INDEX(LE_Curves!$G$5:$G$205,201),INDEX(LE_Curves!$B$5:$B$205,201),INDEX(LE_Curves!$B$5:$B$205,MATCH($B141,LE_Curves!$G$5:$G$205,1))+($B141-INDEX(LE_Curves!$G$5:$G$205,MATCH($B141,LE_Curves!$G$5:$G$205,1)))*(INDEX(LE_Curves!$B$5:$B$205,MATCH($B141,LE_Curves!$G$5:$G$205,1)+1)-INDEX(LE_Curves!$B$5:$B$205,MATCH($B141,LE_Curves!$G$5:$G$205,1)))/(INDEX(LE_Curves!$G$5:$G$205,MATCH($B141,LE_Curves!$G$5:$G$205,1)+1)-INDEX(LE_Curves!$G$5:$G$205,MATCH($B141,LE_Curves!$G$5:$G$205,1))))))</f>
        <v/>
      </c>
      <c r="H141" s="11">
        <f>IF(Inputs!$D$28=0,0,IF($B141&lt;=Inputs!$C$28,0,IF($B141&gt;=INDEX(LE_Curves!$H$5:$H$205,201),INDEX(LE_Curves!$B$5:$B$205,201),INDEX(LE_Curves!$B$5:$B$205,MATCH($B141,LE_Curves!$H$5:$H$205,1))+($B141-INDEX(LE_Curves!$H$5:$H$205,MATCH($B141,LE_Curves!$H$5:$H$205,1)))*(INDEX(LE_Curves!$B$5:$B$205,MATCH($B141,LE_Curves!$H$5:$H$205,1)+1)-INDEX(LE_Curves!$B$5:$B$205,MATCH($B141,LE_Curves!$H$5:$H$205,1)))/(INDEX(LE_Curves!$H$5:$H$205,MATCH($B141,LE_Curves!$H$5:$H$205,1)+1)-INDEX(LE_Curves!$H$5:$H$205,MATCH($B141,LE_Curves!$H$5:$H$205,1))))))</f>
        <v/>
      </c>
      <c r="I141" s="11">
        <f>IF(Inputs!$D$29=0,0,IF($B141&lt;=Inputs!$C$29,0,IF($B141&gt;=INDEX(LE_Curves!$I$5:$I$205,201),INDEX(LE_Curves!$B$5:$B$205,201),INDEX(LE_Curves!$B$5:$B$205,MATCH($B141,LE_Curves!$I$5:$I$205,1))+($B141-INDEX(LE_Curves!$I$5:$I$205,MATCH($B141,LE_Curves!$I$5:$I$205,1)))*(INDEX(LE_Curves!$B$5:$B$205,MATCH($B141,LE_Curves!$I$5:$I$205,1)+1)-INDEX(LE_Curves!$B$5:$B$205,MATCH($B141,LE_Curves!$I$5:$I$205,1)))/(INDEX(LE_Curves!$I$5:$I$205,MATCH($B141,LE_Curves!$I$5:$I$205,1)+1)-INDEX(LE_Curves!$I$5:$I$205,MATCH($B141,LE_Curves!$I$5:$I$205,1))))))</f>
        <v/>
      </c>
      <c r="J141" s="11">
        <f>IF(Inputs!$D$30=0,0,IF($B141&lt;=Inputs!$C$30,0,IF($B141&gt;=INDEX(LE_Curves!$J$5:$J$205,201),INDEX(LE_Curves!$B$5:$B$205,201),INDEX(LE_Curves!$B$5:$B$205,MATCH($B141,LE_Curves!$J$5:$J$205,1))+($B141-INDEX(LE_Curves!$J$5:$J$205,MATCH($B141,LE_Curves!$J$5:$J$205,1)))*(INDEX(LE_Curves!$B$5:$B$205,MATCH($B141,LE_Curves!$J$5:$J$205,1)+1)-INDEX(LE_Curves!$B$5:$B$205,MATCH($B141,LE_Curves!$J$5:$J$205,1)))/(INDEX(LE_Curves!$J$5:$J$205,MATCH($B141,LE_Curves!$J$5:$J$205,1)+1)-INDEX(LE_Curves!$J$5:$J$205,MATCH($B141,LE_Curves!$J$5:$J$205,1))))))</f>
        <v/>
      </c>
      <c r="K141" s="11">
        <f>IF(Inputs!$D$31=0,0,IF($B141&lt;=Inputs!$C$31,0,IF($B141&gt;=INDEX(LE_Curves!$K$5:$K$205,201),INDEX(LE_Curves!$B$5:$B$205,201),INDEX(LE_Curves!$B$5:$B$205,MATCH($B141,LE_Curves!$K$5:$K$205,1))+($B141-INDEX(LE_Curves!$K$5:$K$205,MATCH($B141,LE_Curves!$K$5:$K$205,1)))*(INDEX(LE_Curves!$B$5:$B$205,MATCH($B141,LE_Curves!$K$5:$K$205,1)+1)-INDEX(LE_Curves!$B$5:$B$205,MATCH($B141,LE_Curves!$K$5:$K$205,1)))/(INDEX(LE_Curves!$K$5:$K$205,MATCH($B141,LE_Curves!$K$5:$K$205,1)+1)-INDEX(LE_Curves!$K$5:$K$205,MATCH($B141,LE_Curves!$K$5:$K$205,1))))))</f>
        <v/>
      </c>
      <c r="L141" s="11">
        <f>IF(Inputs!$D$32=0,0,IF($B141&lt;=Inputs!$C$32,0,IF($B141&gt;=INDEX(LE_Curves!$L$5:$L$205,201),INDEX(LE_Curves!$B$5:$B$205,201),INDEX(LE_Curves!$B$5:$B$205,MATCH($B141,LE_Curves!$L$5:$L$205,1))+($B141-INDEX(LE_Curves!$L$5:$L$205,MATCH($B141,LE_Curves!$L$5:$L$205,1)))*(INDEX(LE_Curves!$B$5:$B$205,MATCH($B141,LE_Curves!$L$5:$L$205,1)+1)-INDEX(LE_Curves!$B$5:$B$205,MATCH($B141,LE_Curves!$L$5:$L$205,1)))/(INDEX(LE_Curves!$L$5:$L$205,MATCH($B141,LE_Curves!$L$5:$L$205,1)+1)-INDEX(LE_Curves!$L$5:$L$205,MATCH($B141,LE_Curves!$L$5:$L$205,1))))))</f>
        <v/>
      </c>
      <c r="M141" s="11">
        <f>IF(Inputs!$D$33=0,0,IF($B141&lt;=Inputs!$C$33,0,IF($B141&gt;=INDEX(LE_Curves!$M$5:$M$205,201),INDEX(LE_Curves!$B$5:$B$205,201),INDEX(LE_Curves!$B$5:$B$205,MATCH($B141,LE_Curves!$M$5:$M$205,1))+($B141-INDEX(LE_Curves!$M$5:$M$205,MATCH($B141,LE_Curves!$M$5:$M$205,1)))*(INDEX(LE_Curves!$B$5:$B$205,MATCH($B141,LE_Curves!$M$5:$M$205,1)+1)-INDEX(LE_Curves!$B$5:$B$205,MATCH($B141,LE_Curves!$M$5:$M$205,1)))/(INDEX(LE_Curves!$M$5:$M$205,MATCH($B141,LE_Curves!$M$5:$M$205,1)+1)-INDEX(LE_Curves!$M$5:$M$205,MATCH($B141,LE_Curves!$M$5:$M$205,1))))))</f>
        <v/>
      </c>
      <c r="N141" s="11">
        <f>IF(Inputs!$D$34=0,0,IF($B141&lt;=Inputs!$C$34,0,IF($B141&gt;=INDEX(LE_Curves!$N$5:$N$205,201),INDEX(LE_Curves!$B$5:$B$205,201),INDEX(LE_Curves!$B$5:$B$205,MATCH($B141,LE_Curves!$N$5:$N$205,1))+($B141-INDEX(LE_Curves!$N$5:$N$205,MATCH($B141,LE_Curves!$N$5:$N$205,1)))*(INDEX(LE_Curves!$B$5:$B$205,MATCH($B141,LE_Curves!$N$5:$N$205,1)+1)-INDEX(LE_Curves!$B$5:$B$205,MATCH($B141,LE_Curves!$N$5:$N$205,1)))/(INDEX(LE_Curves!$N$5:$N$205,MATCH($B141,LE_Curves!$N$5:$N$205,1)+1)-INDEX(LE_Curves!$N$5:$N$205,MATCH($B141,LE_Curves!$N$5:$N$205,1))))))</f>
        <v/>
      </c>
      <c r="O141" s="11">
        <f>SUM(C141:N141)</f>
        <v/>
      </c>
      <c r="Q141" s="7" t="n">
        <v>110</v>
      </c>
      <c r="R141" s="23">
        <f>$B$6+($B$7-$B$6)*Q141/200</f>
        <v/>
      </c>
      <c r="S141" s="11">
        <f>IF(Inputs!$D$23=0,0,IF($R141&lt;=Inputs!$C$23,0,IF($R141&gt;=INDEX(LE_Curves!$C$5:$C$205,201),INDEX(LE_Curves!$B$5:$B$205,201),INDEX(LE_Curves!$B$5:$B$205,MATCH($R141,LE_Curves!$C$5:$C$205,1))+($R141-INDEX(LE_Curves!$C$5:$C$205,MATCH($R141,LE_Curves!$C$5:$C$205,1)))*(INDEX(LE_Curves!$B$5:$B$205,MATCH($R141,LE_Curves!$C$5:$C$205,1)+1)-INDEX(LE_Curves!$B$5:$B$205,MATCH($R141,LE_Curves!$C$5:$C$205,1)))/(INDEX(LE_Curves!$C$5:$C$205,MATCH($R141,LE_Curves!$C$5:$C$205,1)+1)-INDEX(LE_Curves!$C$5:$C$205,MATCH($R141,LE_Curves!$C$5:$C$205,1))))))</f>
        <v/>
      </c>
      <c r="T141" s="11">
        <f>IF(Inputs!$D$24=0,0,IF($R141&lt;=Inputs!$C$24,0,IF($R141&gt;=INDEX(LE_Curves!$D$5:$D$205,201),INDEX(LE_Curves!$B$5:$B$205,201),INDEX(LE_Curves!$B$5:$B$205,MATCH($R141,LE_Curves!$D$5:$D$205,1))+($R141-INDEX(LE_Curves!$D$5:$D$205,MATCH($R141,LE_Curves!$D$5:$D$205,1)))*(INDEX(LE_Curves!$B$5:$B$205,MATCH($R141,LE_Curves!$D$5:$D$205,1)+1)-INDEX(LE_Curves!$B$5:$B$205,MATCH($R141,LE_Curves!$D$5:$D$205,1)))/(INDEX(LE_Curves!$D$5:$D$205,MATCH($R141,LE_Curves!$D$5:$D$205,1)+1)-INDEX(LE_Curves!$D$5:$D$205,MATCH($R141,LE_Curves!$D$5:$D$205,1))))))</f>
        <v/>
      </c>
      <c r="U141" s="11">
        <f>IF(Inputs!$D$25=0,0,IF($R141&lt;=Inputs!$C$25,0,IF($R141&gt;=INDEX(LE_Curves!$E$5:$E$205,201),INDEX(LE_Curves!$B$5:$B$205,201),INDEX(LE_Curves!$B$5:$B$205,MATCH($R141,LE_Curves!$E$5:$E$205,1))+($R141-INDEX(LE_Curves!$E$5:$E$205,MATCH($R141,LE_Curves!$E$5:$E$205,1)))*(INDEX(LE_Curves!$B$5:$B$205,MATCH($R141,LE_Curves!$E$5:$E$205,1)+1)-INDEX(LE_Curves!$B$5:$B$205,MATCH($R141,LE_Curves!$E$5:$E$205,1)))/(INDEX(LE_Curves!$E$5:$E$205,MATCH($R141,LE_Curves!$E$5:$E$205,1)+1)-INDEX(LE_Curves!$E$5:$E$205,MATCH($R141,LE_Curves!$E$5:$E$205,1))))))</f>
        <v/>
      </c>
      <c r="V141" s="11">
        <f>IF(Inputs!$D$26=0,0,IF($R141&lt;=Inputs!$C$26,0,IF($R141&gt;=INDEX(LE_Curves!$F$5:$F$205,201),INDEX(LE_Curves!$B$5:$B$205,201),INDEX(LE_Curves!$B$5:$B$205,MATCH($R141,LE_Curves!$F$5:$F$205,1))+($R141-INDEX(LE_Curves!$F$5:$F$205,MATCH($R141,LE_Curves!$F$5:$F$205,1)))*(INDEX(LE_Curves!$B$5:$B$205,MATCH($R141,LE_Curves!$F$5:$F$205,1)+1)-INDEX(LE_Curves!$B$5:$B$205,MATCH($R141,LE_Curves!$F$5:$F$205,1)))/(INDEX(LE_Curves!$F$5:$F$205,MATCH($R141,LE_Curves!$F$5:$F$205,1)+1)-INDEX(LE_Curves!$F$5:$F$205,MATCH($R141,LE_Curves!$F$5:$F$205,1))))))</f>
        <v/>
      </c>
      <c r="W141" s="11">
        <f>IF(Inputs!$D$27=0,0,IF($R141&lt;=Inputs!$C$27,0,IF($R141&gt;=INDEX(LE_Curves!$G$5:$G$205,201),INDEX(LE_Curves!$B$5:$B$205,201),INDEX(LE_Curves!$B$5:$B$205,MATCH($R141,LE_Curves!$G$5:$G$205,1))+($R141-INDEX(LE_Curves!$G$5:$G$205,MATCH($R141,LE_Curves!$G$5:$G$205,1)))*(INDEX(LE_Curves!$B$5:$B$205,MATCH($R141,LE_Curves!$G$5:$G$205,1)+1)-INDEX(LE_Curves!$B$5:$B$205,MATCH($R141,LE_Curves!$G$5:$G$205,1)))/(INDEX(LE_Curves!$G$5:$G$205,MATCH($R141,LE_Curves!$G$5:$G$205,1)+1)-INDEX(LE_Curves!$G$5:$G$205,MATCH($R141,LE_Curves!$G$5:$G$205,1))))))</f>
        <v/>
      </c>
      <c r="X141" s="11">
        <f>IF(Inputs!$D$28=0,0,IF($R141&lt;=Inputs!$C$28,0,IF($R141&gt;=INDEX(LE_Curves!$H$5:$H$205,201),INDEX(LE_Curves!$B$5:$B$205,201),INDEX(LE_Curves!$B$5:$B$205,MATCH($R141,LE_Curves!$H$5:$H$205,1))+($R141-INDEX(LE_Curves!$H$5:$H$205,MATCH($R141,LE_Curves!$H$5:$H$205,1)))*(INDEX(LE_Curves!$B$5:$B$205,MATCH($R141,LE_Curves!$H$5:$H$205,1)+1)-INDEX(LE_Curves!$B$5:$B$205,MATCH($R141,LE_Curves!$H$5:$H$205,1)))/(INDEX(LE_Curves!$H$5:$H$205,MATCH($R141,LE_Curves!$H$5:$H$205,1)+1)-INDEX(LE_Curves!$H$5:$H$205,MATCH($R141,LE_Curves!$H$5:$H$205,1))))))</f>
        <v/>
      </c>
      <c r="Y141" s="11">
        <f>IF(Inputs!$D$29=0,0,IF($R141&lt;=Inputs!$C$29,0,IF($R141&gt;=INDEX(LE_Curves!$I$5:$I$205,201),INDEX(LE_Curves!$B$5:$B$205,201),INDEX(LE_Curves!$B$5:$B$205,MATCH($R141,LE_Curves!$I$5:$I$205,1))+($R141-INDEX(LE_Curves!$I$5:$I$205,MATCH($R141,LE_Curves!$I$5:$I$205,1)))*(INDEX(LE_Curves!$B$5:$B$205,MATCH($R141,LE_Curves!$I$5:$I$205,1)+1)-INDEX(LE_Curves!$B$5:$B$205,MATCH($R141,LE_Curves!$I$5:$I$205,1)))/(INDEX(LE_Curves!$I$5:$I$205,MATCH($R141,LE_Curves!$I$5:$I$205,1)+1)-INDEX(LE_Curves!$I$5:$I$205,MATCH($R141,LE_Curves!$I$5:$I$205,1))))))</f>
        <v/>
      </c>
      <c r="Z141" s="11">
        <f>IF(Inputs!$D$30=0,0,IF($R141&lt;=Inputs!$C$30,0,IF($R141&gt;=INDEX(LE_Curves!$J$5:$J$205,201),INDEX(LE_Curves!$B$5:$B$205,201),INDEX(LE_Curves!$B$5:$B$205,MATCH($R141,LE_Curves!$J$5:$J$205,1))+($R141-INDEX(LE_Curves!$J$5:$J$205,MATCH($R141,LE_Curves!$J$5:$J$205,1)))*(INDEX(LE_Curves!$B$5:$B$205,MATCH($R141,LE_Curves!$J$5:$J$205,1)+1)-INDEX(LE_Curves!$B$5:$B$205,MATCH($R141,LE_Curves!$J$5:$J$205,1)))/(INDEX(LE_Curves!$J$5:$J$205,MATCH($R141,LE_Curves!$J$5:$J$205,1)+1)-INDEX(LE_Curves!$J$5:$J$205,MATCH($R141,LE_Curves!$J$5:$J$205,1))))))</f>
        <v/>
      </c>
      <c r="AA141" s="11">
        <f>IF(Inputs!$D$31=0,0,IF($R141&lt;=Inputs!$C$31,0,IF($R141&gt;=INDEX(LE_Curves!$K$5:$K$205,201),INDEX(LE_Curves!$B$5:$B$205,201),INDEX(LE_Curves!$B$5:$B$205,MATCH($R141,LE_Curves!$K$5:$K$205,1))+($R141-INDEX(LE_Curves!$K$5:$K$205,MATCH($R141,LE_Curves!$K$5:$K$205,1)))*(INDEX(LE_Curves!$B$5:$B$205,MATCH($R141,LE_Curves!$K$5:$K$205,1)+1)-INDEX(LE_Curves!$B$5:$B$205,MATCH($R141,LE_Curves!$K$5:$K$205,1)))/(INDEX(LE_Curves!$K$5:$K$205,MATCH($R141,LE_Curves!$K$5:$K$205,1)+1)-INDEX(LE_Curves!$K$5:$K$205,MATCH($R141,LE_Curves!$K$5:$K$205,1))))))</f>
        <v/>
      </c>
      <c r="AB141" s="11">
        <f>IF(Inputs!$D$32=0,0,IF($R141&lt;=Inputs!$C$32,0,IF($R141&gt;=INDEX(LE_Curves!$L$5:$L$205,201),INDEX(LE_Curves!$B$5:$B$205,201),INDEX(LE_Curves!$B$5:$B$205,MATCH($R141,LE_Curves!$L$5:$L$205,1))+($R141-INDEX(LE_Curves!$L$5:$L$205,MATCH($R141,LE_Curves!$L$5:$L$205,1)))*(INDEX(LE_Curves!$B$5:$B$205,MATCH($R141,LE_Curves!$L$5:$L$205,1)+1)-INDEX(LE_Curves!$B$5:$B$205,MATCH($R141,LE_Curves!$L$5:$L$205,1)))/(INDEX(LE_Curves!$L$5:$L$205,MATCH($R141,LE_Curves!$L$5:$L$205,1)+1)-INDEX(LE_Curves!$L$5:$L$205,MATCH($R141,LE_Curves!$L$5:$L$205,1))))))</f>
        <v/>
      </c>
      <c r="AC141" s="11">
        <f>IF(Inputs!$D$33=0,0,IF($R141&lt;=Inputs!$C$33,0,IF($R141&gt;=INDEX(LE_Curves!$M$5:$M$205,201),INDEX(LE_Curves!$B$5:$B$205,201),INDEX(LE_Curves!$B$5:$B$205,MATCH($R141,LE_Curves!$M$5:$M$205,1))+($R141-INDEX(LE_Curves!$M$5:$M$205,MATCH($R141,LE_Curves!$M$5:$M$205,1)))*(INDEX(LE_Curves!$B$5:$B$205,MATCH($R141,LE_Curves!$M$5:$M$205,1)+1)-INDEX(LE_Curves!$B$5:$B$205,MATCH($R141,LE_Curves!$M$5:$M$205,1)))/(INDEX(LE_Curves!$M$5:$M$205,MATCH($R141,LE_Curves!$M$5:$M$205,1)+1)-INDEX(LE_Curves!$M$5:$M$205,MATCH($R141,LE_Curves!$M$5:$M$205,1))))))</f>
        <v/>
      </c>
      <c r="AD141" s="11">
        <f>IF(Inputs!$D$34=0,0,IF($R141&lt;=Inputs!$C$34,0,IF($R141&gt;=INDEX(LE_Curves!$N$5:$N$205,201),INDEX(LE_Curves!$B$5:$B$205,201),INDEX(LE_Curves!$B$5:$B$205,MATCH($R141,LE_Curves!$N$5:$N$205,1))+($R141-INDEX(LE_Curves!$N$5:$N$205,MATCH($R141,LE_Curves!$N$5:$N$205,1)))*(INDEX(LE_Curves!$B$5:$B$205,MATCH($R141,LE_Curves!$N$5:$N$205,1)+1)-INDEX(LE_Curves!$B$5:$B$205,MATCH($R141,LE_Curves!$N$5:$N$205,1)))/(INDEX(LE_Curves!$N$5:$N$205,MATCH($R141,LE_Curves!$N$5:$N$205,1)+1)-INDEX(LE_Curves!$N$5:$N$205,MATCH($R141,LE_Curves!$N$5:$N$205,1))))))</f>
        <v/>
      </c>
      <c r="AE141" s="37">
        <f>SUM(S141:AD141)</f>
        <v/>
      </c>
    </row>
    <row r="142">
      <c r="A142" s="7" t="n">
        <v>111</v>
      </c>
      <c r="B142" s="37">
        <f>$B$3+($B$4-$B$3)*A142/200</f>
        <v/>
      </c>
      <c r="C142" s="11">
        <f>IF(Inputs!$D$23=0,0,IF($B142&lt;=Inputs!$C$23,0,IF($B142&gt;=INDEX(LE_Curves!$C$5:$C$205,201),INDEX(LE_Curves!$B$5:$B$205,201),INDEX(LE_Curves!$B$5:$B$205,MATCH($B142,LE_Curves!$C$5:$C$205,1))+($B142-INDEX(LE_Curves!$C$5:$C$205,MATCH($B142,LE_Curves!$C$5:$C$205,1)))*(INDEX(LE_Curves!$B$5:$B$205,MATCH($B142,LE_Curves!$C$5:$C$205,1)+1)-INDEX(LE_Curves!$B$5:$B$205,MATCH($B142,LE_Curves!$C$5:$C$205,1)))/(INDEX(LE_Curves!$C$5:$C$205,MATCH($B142,LE_Curves!$C$5:$C$205,1)+1)-INDEX(LE_Curves!$C$5:$C$205,MATCH($B142,LE_Curves!$C$5:$C$205,1))))))</f>
        <v/>
      </c>
      <c r="D142" s="11">
        <f>IF(Inputs!$D$24=0,0,IF($B142&lt;=Inputs!$C$24,0,IF($B142&gt;=INDEX(LE_Curves!$D$5:$D$205,201),INDEX(LE_Curves!$B$5:$B$205,201),INDEX(LE_Curves!$B$5:$B$205,MATCH($B142,LE_Curves!$D$5:$D$205,1))+($B142-INDEX(LE_Curves!$D$5:$D$205,MATCH($B142,LE_Curves!$D$5:$D$205,1)))*(INDEX(LE_Curves!$B$5:$B$205,MATCH($B142,LE_Curves!$D$5:$D$205,1)+1)-INDEX(LE_Curves!$B$5:$B$205,MATCH($B142,LE_Curves!$D$5:$D$205,1)))/(INDEX(LE_Curves!$D$5:$D$205,MATCH($B142,LE_Curves!$D$5:$D$205,1)+1)-INDEX(LE_Curves!$D$5:$D$205,MATCH($B142,LE_Curves!$D$5:$D$205,1))))))</f>
        <v/>
      </c>
      <c r="E142" s="11">
        <f>IF(Inputs!$D$25=0,0,IF($B142&lt;=Inputs!$C$25,0,IF($B142&gt;=INDEX(LE_Curves!$E$5:$E$205,201),INDEX(LE_Curves!$B$5:$B$205,201),INDEX(LE_Curves!$B$5:$B$205,MATCH($B142,LE_Curves!$E$5:$E$205,1))+($B142-INDEX(LE_Curves!$E$5:$E$205,MATCH($B142,LE_Curves!$E$5:$E$205,1)))*(INDEX(LE_Curves!$B$5:$B$205,MATCH($B142,LE_Curves!$E$5:$E$205,1)+1)-INDEX(LE_Curves!$B$5:$B$205,MATCH($B142,LE_Curves!$E$5:$E$205,1)))/(INDEX(LE_Curves!$E$5:$E$205,MATCH($B142,LE_Curves!$E$5:$E$205,1)+1)-INDEX(LE_Curves!$E$5:$E$205,MATCH($B142,LE_Curves!$E$5:$E$205,1))))))</f>
        <v/>
      </c>
      <c r="F142" s="11">
        <f>IF(Inputs!$D$26=0,0,IF($B142&lt;=Inputs!$C$26,0,IF($B142&gt;=INDEX(LE_Curves!$F$5:$F$205,201),INDEX(LE_Curves!$B$5:$B$205,201),INDEX(LE_Curves!$B$5:$B$205,MATCH($B142,LE_Curves!$F$5:$F$205,1))+($B142-INDEX(LE_Curves!$F$5:$F$205,MATCH($B142,LE_Curves!$F$5:$F$205,1)))*(INDEX(LE_Curves!$B$5:$B$205,MATCH($B142,LE_Curves!$F$5:$F$205,1)+1)-INDEX(LE_Curves!$B$5:$B$205,MATCH($B142,LE_Curves!$F$5:$F$205,1)))/(INDEX(LE_Curves!$F$5:$F$205,MATCH($B142,LE_Curves!$F$5:$F$205,1)+1)-INDEX(LE_Curves!$F$5:$F$205,MATCH($B142,LE_Curves!$F$5:$F$205,1))))))</f>
        <v/>
      </c>
      <c r="G142" s="11">
        <f>IF(Inputs!$D$27=0,0,IF($B142&lt;=Inputs!$C$27,0,IF($B142&gt;=INDEX(LE_Curves!$G$5:$G$205,201),INDEX(LE_Curves!$B$5:$B$205,201),INDEX(LE_Curves!$B$5:$B$205,MATCH($B142,LE_Curves!$G$5:$G$205,1))+($B142-INDEX(LE_Curves!$G$5:$G$205,MATCH($B142,LE_Curves!$G$5:$G$205,1)))*(INDEX(LE_Curves!$B$5:$B$205,MATCH($B142,LE_Curves!$G$5:$G$205,1)+1)-INDEX(LE_Curves!$B$5:$B$205,MATCH($B142,LE_Curves!$G$5:$G$205,1)))/(INDEX(LE_Curves!$G$5:$G$205,MATCH($B142,LE_Curves!$G$5:$G$205,1)+1)-INDEX(LE_Curves!$G$5:$G$205,MATCH($B142,LE_Curves!$G$5:$G$205,1))))))</f>
        <v/>
      </c>
      <c r="H142" s="11">
        <f>IF(Inputs!$D$28=0,0,IF($B142&lt;=Inputs!$C$28,0,IF($B142&gt;=INDEX(LE_Curves!$H$5:$H$205,201),INDEX(LE_Curves!$B$5:$B$205,201),INDEX(LE_Curves!$B$5:$B$205,MATCH($B142,LE_Curves!$H$5:$H$205,1))+($B142-INDEX(LE_Curves!$H$5:$H$205,MATCH($B142,LE_Curves!$H$5:$H$205,1)))*(INDEX(LE_Curves!$B$5:$B$205,MATCH($B142,LE_Curves!$H$5:$H$205,1)+1)-INDEX(LE_Curves!$B$5:$B$205,MATCH($B142,LE_Curves!$H$5:$H$205,1)))/(INDEX(LE_Curves!$H$5:$H$205,MATCH($B142,LE_Curves!$H$5:$H$205,1)+1)-INDEX(LE_Curves!$H$5:$H$205,MATCH($B142,LE_Curves!$H$5:$H$205,1))))))</f>
        <v/>
      </c>
      <c r="I142" s="11">
        <f>IF(Inputs!$D$29=0,0,IF($B142&lt;=Inputs!$C$29,0,IF($B142&gt;=INDEX(LE_Curves!$I$5:$I$205,201),INDEX(LE_Curves!$B$5:$B$205,201),INDEX(LE_Curves!$B$5:$B$205,MATCH($B142,LE_Curves!$I$5:$I$205,1))+($B142-INDEX(LE_Curves!$I$5:$I$205,MATCH($B142,LE_Curves!$I$5:$I$205,1)))*(INDEX(LE_Curves!$B$5:$B$205,MATCH($B142,LE_Curves!$I$5:$I$205,1)+1)-INDEX(LE_Curves!$B$5:$B$205,MATCH($B142,LE_Curves!$I$5:$I$205,1)))/(INDEX(LE_Curves!$I$5:$I$205,MATCH($B142,LE_Curves!$I$5:$I$205,1)+1)-INDEX(LE_Curves!$I$5:$I$205,MATCH($B142,LE_Curves!$I$5:$I$205,1))))))</f>
        <v/>
      </c>
      <c r="J142" s="11">
        <f>IF(Inputs!$D$30=0,0,IF($B142&lt;=Inputs!$C$30,0,IF($B142&gt;=INDEX(LE_Curves!$J$5:$J$205,201),INDEX(LE_Curves!$B$5:$B$205,201),INDEX(LE_Curves!$B$5:$B$205,MATCH($B142,LE_Curves!$J$5:$J$205,1))+($B142-INDEX(LE_Curves!$J$5:$J$205,MATCH($B142,LE_Curves!$J$5:$J$205,1)))*(INDEX(LE_Curves!$B$5:$B$205,MATCH($B142,LE_Curves!$J$5:$J$205,1)+1)-INDEX(LE_Curves!$B$5:$B$205,MATCH($B142,LE_Curves!$J$5:$J$205,1)))/(INDEX(LE_Curves!$J$5:$J$205,MATCH($B142,LE_Curves!$J$5:$J$205,1)+1)-INDEX(LE_Curves!$J$5:$J$205,MATCH($B142,LE_Curves!$J$5:$J$205,1))))))</f>
        <v/>
      </c>
      <c r="K142" s="11">
        <f>IF(Inputs!$D$31=0,0,IF($B142&lt;=Inputs!$C$31,0,IF($B142&gt;=INDEX(LE_Curves!$K$5:$K$205,201),INDEX(LE_Curves!$B$5:$B$205,201),INDEX(LE_Curves!$B$5:$B$205,MATCH($B142,LE_Curves!$K$5:$K$205,1))+($B142-INDEX(LE_Curves!$K$5:$K$205,MATCH($B142,LE_Curves!$K$5:$K$205,1)))*(INDEX(LE_Curves!$B$5:$B$205,MATCH($B142,LE_Curves!$K$5:$K$205,1)+1)-INDEX(LE_Curves!$B$5:$B$205,MATCH($B142,LE_Curves!$K$5:$K$205,1)))/(INDEX(LE_Curves!$K$5:$K$205,MATCH($B142,LE_Curves!$K$5:$K$205,1)+1)-INDEX(LE_Curves!$K$5:$K$205,MATCH($B142,LE_Curves!$K$5:$K$205,1))))))</f>
        <v/>
      </c>
      <c r="L142" s="11">
        <f>IF(Inputs!$D$32=0,0,IF($B142&lt;=Inputs!$C$32,0,IF($B142&gt;=INDEX(LE_Curves!$L$5:$L$205,201),INDEX(LE_Curves!$B$5:$B$205,201),INDEX(LE_Curves!$B$5:$B$205,MATCH($B142,LE_Curves!$L$5:$L$205,1))+($B142-INDEX(LE_Curves!$L$5:$L$205,MATCH($B142,LE_Curves!$L$5:$L$205,1)))*(INDEX(LE_Curves!$B$5:$B$205,MATCH($B142,LE_Curves!$L$5:$L$205,1)+1)-INDEX(LE_Curves!$B$5:$B$205,MATCH($B142,LE_Curves!$L$5:$L$205,1)))/(INDEX(LE_Curves!$L$5:$L$205,MATCH($B142,LE_Curves!$L$5:$L$205,1)+1)-INDEX(LE_Curves!$L$5:$L$205,MATCH($B142,LE_Curves!$L$5:$L$205,1))))))</f>
        <v/>
      </c>
      <c r="M142" s="11">
        <f>IF(Inputs!$D$33=0,0,IF($B142&lt;=Inputs!$C$33,0,IF($B142&gt;=INDEX(LE_Curves!$M$5:$M$205,201),INDEX(LE_Curves!$B$5:$B$205,201),INDEX(LE_Curves!$B$5:$B$205,MATCH($B142,LE_Curves!$M$5:$M$205,1))+($B142-INDEX(LE_Curves!$M$5:$M$205,MATCH($B142,LE_Curves!$M$5:$M$205,1)))*(INDEX(LE_Curves!$B$5:$B$205,MATCH($B142,LE_Curves!$M$5:$M$205,1)+1)-INDEX(LE_Curves!$B$5:$B$205,MATCH($B142,LE_Curves!$M$5:$M$205,1)))/(INDEX(LE_Curves!$M$5:$M$205,MATCH($B142,LE_Curves!$M$5:$M$205,1)+1)-INDEX(LE_Curves!$M$5:$M$205,MATCH($B142,LE_Curves!$M$5:$M$205,1))))))</f>
        <v/>
      </c>
      <c r="N142" s="11">
        <f>IF(Inputs!$D$34=0,0,IF($B142&lt;=Inputs!$C$34,0,IF($B142&gt;=INDEX(LE_Curves!$N$5:$N$205,201),INDEX(LE_Curves!$B$5:$B$205,201),INDEX(LE_Curves!$B$5:$B$205,MATCH($B142,LE_Curves!$N$5:$N$205,1))+($B142-INDEX(LE_Curves!$N$5:$N$205,MATCH($B142,LE_Curves!$N$5:$N$205,1)))*(INDEX(LE_Curves!$B$5:$B$205,MATCH($B142,LE_Curves!$N$5:$N$205,1)+1)-INDEX(LE_Curves!$B$5:$B$205,MATCH($B142,LE_Curves!$N$5:$N$205,1)))/(INDEX(LE_Curves!$N$5:$N$205,MATCH($B142,LE_Curves!$N$5:$N$205,1)+1)-INDEX(LE_Curves!$N$5:$N$205,MATCH($B142,LE_Curves!$N$5:$N$205,1))))))</f>
        <v/>
      </c>
      <c r="O142" s="11">
        <f>SUM(C142:N142)</f>
        <v/>
      </c>
      <c r="Q142" s="7" t="n">
        <v>111</v>
      </c>
      <c r="R142" s="23">
        <f>$B$6+($B$7-$B$6)*Q142/200</f>
        <v/>
      </c>
      <c r="S142" s="11">
        <f>IF(Inputs!$D$23=0,0,IF($R142&lt;=Inputs!$C$23,0,IF($R142&gt;=INDEX(LE_Curves!$C$5:$C$205,201),INDEX(LE_Curves!$B$5:$B$205,201),INDEX(LE_Curves!$B$5:$B$205,MATCH($R142,LE_Curves!$C$5:$C$205,1))+($R142-INDEX(LE_Curves!$C$5:$C$205,MATCH($R142,LE_Curves!$C$5:$C$205,1)))*(INDEX(LE_Curves!$B$5:$B$205,MATCH($R142,LE_Curves!$C$5:$C$205,1)+1)-INDEX(LE_Curves!$B$5:$B$205,MATCH($R142,LE_Curves!$C$5:$C$205,1)))/(INDEX(LE_Curves!$C$5:$C$205,MATCH($R142,LE_Curves!$C$5:$C$205,1)+1)-INDEX(LE_Curves!$C$5:$C$205,MATCH($R142,LE_Curves!$C$5:$C$205,1))))))</f>
        <v/>
      </c>
      <c r="T142" s="11">
        <f>IF(Inputs!$D$24=0,0,IF($R142&lt;=Inputs!$C$24,0,IF($R142&gt;=INDEX(LE_Curves!$D$5:$D$205,201),INDEX(LE_Curves!$B$5:$B$205,201),INDEX(LE_Curves!$B$5:$B$205,MATCH($R142,LE_Curves!$D$5:$D$205,1))+($R142-INDEX(LE_Curves!$D$5:$D$205,MATCH($R142,LE_Curves!$D$5:$D$205,1)))*(INDEX(LE_Curves!$B$5:$B$205,MATCH($R142,LE_Curves!$D$5:$D$205,1)+1)-INDEX(LE_Curves!$B$5:$B$205,MATCH($R142,LE_Curves!$D$5:$D$205,1)))/(INDEX(LE_Curves!$D$5:$D$205,MATCH($R142,LE_Curves!$D$5:$D$205,1)+1)-INDEX(LE_Curves!$D$5:$D$205,MATCH($R142,LE_Curves!$D$5:$D$205,1))))))</f>
        <v/>
      </c>
      <c r="U142" s="11">
        <f>IF(Inputs!$D$25=0,0,IF($R142&lt;=Inputs!$C$25,0,IF($R142&gt;=INDEX(LE_Curves!$E$5:$E$205,201),INDEX(LE_Curves!$B$5:$B$205,201),INDEX(LE_Curves!$B$5:$B$205,MATCH($R142,LE_Curves!$E$5:$E$205,1))+($R142-INDEX(LE_Curves!$E$5:$E$205,MATCH($R142,LE_Curves!$E$5:$E$205,1)))*(INDEX(LE_Curves!$B$5:$B$205,MATCH($R142,LE_Curves!$E$5:$E$205,1)+1)-INDEX(LE_Curves!$B$5:$B$205,MATCH($R142,LE_Curves!$E$5:$E$205,1)))/(INDEX(LE_Curves!$E$5:$E$205,MATCH($R142,LE_Curves!$E$5:$E$205,1)+1)-INDEX(LE_Curves!$E$5:$E$205,MATCH($R142,LE_Curves!$E$5:$E$205,1))))))</f>
        <v/>
      </c>
      <c r="V142" s="11">
        <f>IF(Inputs!$D$26=0,0,IF($R142&lt;=Inputs!$C$26,0,IF($R142&gt;=INDEX(LE_Curves!$F$5:$F$205,201),INDEX(LE_Curves!$B$5:$B$205,201),INDEX(LE_Curves!$B$5:$B$205,MATCH($R142,LE_Curves!$F$5:$F$205,1))+($R142-INDEX(LE_Curves!$F$5:$F$205,MATCH($R142,LE_Curves!$F$5:$F$205,1)))*(INDEX(LE_Curves!$B$5:$B$205,MATCH($R142,LE_Curves!$F$5:$F$205,1)+1)-INDEX(LE_Curves!$B$5:$B$205,MATCH($R142,LE_Curves!$F$5:$F$205,1)))/(INDEX(LE_Curves!$F$5:$F$205,MATCH($R142,LE_Curves!$F$5:$F$205,1)+1)-INDEX(LE_Curves!$F$5:$F$205,MATCH($R142,LE_Curves!$F$5:$F$205,1))))))</f>
        <v/>
      </c>
      <c r="W142" s="11">
        <f>IF(Inputs!$D$27=0,0,IF($R142&lt;=Inputs!$C$27,0,IF($R142&gt;=INDEX(LE_Curves!$G$5:$G$205,201),INDEX(LE_Curves!$B$5:$B$205,201),INDEX(LE_Curves!$B$5:$B$205,MATCH($R142,LE_Curves!$G$5:$G$205,1))+($R142-INDEX(LE_Curves!$G$5:$G$205,MATCH($R142,LE_Curves!$G$5:$G$205,1)))*(INDEX(LE_Curves!$B$5:$B$205,MATCH($R142,LE_Curves!$G$5:$G$205,1)+1)-INDEX(LE_Curves!$B$5:$B$205,MATCH($R142,LE_Curves!$G$5:$G$205,1)))/(INDEX(LE_Curves!$G$5:$G$205,MATCH($R142,LE_Curves!$G$5:$G$205,1)+1)-INDEX(LE_Curves!$G$5:$G$205,MATCH($R142,LE_Curves!$G$5:$G$205,1))))))</f>
        <v/>
      </c>
      <c r="X142" s="11">
        <f>IF(Inputs!$D$28=0,0,IF($R142&lt;=Inputs!$C$28,0,IF($R142&gt;=INDEX(LE_Curves!$H$5:$H$205,201),INDEX(LE_Curves!$B$5:$B$205,201),INDEX(LE_Curves!$B$5:$B$205,MATCH($R142,LE_Curves!$H$5:$H$205,1))+($R142-INDEX(LE_Curves!$H$5:$H$205,MATCH($R142,LE_Curves!$H$5:$H$205,1)))*(INDEX(LE_Curves!$B$5:$B$205,MATCH($R142,LE_Curves!$H$5:$H$205,1)+1)-INDEX(LE_Curves!$B$5:$B$205,MATCH($R142,LE_Curves!$H$5:$H$205,1)))/(INDEX(LE_Curves!$H$5:$H$205,MATCH($R142,LE_Curves!$H$5:$H$205,1)+1)-INDEX(LE_Curves!$H$5:$H$205,MATCH($R142,LE_Curves!$H$5:$H$205,1))))))</f>
        <v/>
      </c>
      <c r="Y142" s="11">
        <f>IF(Inputs!$D$29=0,0,IF($R142&lt;=Inputs!$C$29,0,IF($R142&gt;=INDEX(LE_Curves!$I$5:$I$205,201),INDEX(LE_Curves!$B$5:$B$205,201),INDEX(LE_Curves!$B$5:$B$205,MATCH($R142,LE_Curves!$I$5:$I$205,1))+($R142-INDEX(LE_Curves!$I$5:$I$205,MATCH($R142,LE_Curves!$I$5:$I$205,1)))*(INDEX(LE_Curves!$B$5:$B$205,MATCH($R142,LE_Curves!$I$5:$I$205,1)+1)-INDEX(LE_Curves!$B$5:$B$205,MATCH($R142,LE_Curves!$I$5:$I$205,1)))/(INDEX(LE_Curves!$I$5:$I$205,MATCH($R142,LE_Curves!$I$5:$I$205,1)+1)-INDEX(LE_Curves!$I$5:$I$205,MATCH($R142,LE_Curves!$I$5:$I$205,1))))))</f>
        <v/>
      </c>
      <c r="Z142" s="11">
        <f>IF(Inputs!$D$30=0,0,IF($R142&lt;=Inputs!$C$30,0,IF($R142&gt;=INDEX(LE_Curves!$J$5:$J$205,201),INDEX(LE_Curves!$B$5:$B$205,201),INDEX(LE_Curves!$B$5:$B$205,MATCH($R142,LE_Curves!$J$5:$J$205,1))+($R142-INDEX(LE_Curves!$J$5:$J$205,MATCH($R142,LE_Curves!$J$5:$J$205,1)))*(INDEX(LE_Curves!$B$5:$B$205,MATCH($R142,LE_Curves!$J$5:$J$205,1)+1)-INDEX(LE_Curves!$B$5:$B$205,MATCH($R142,LE_Curves!$J$5:$J$205,1)))/(INDEX(LE_Curves!$J$5:$J$205,MATCH($R142,LE_Curves!$J$5:$J$205,1)+1)-INDEX(LE_Curves!$J$5:$J$205,MATCH($R142,LE_Curves!$J$5:$J$205,1))))))</f>
        <v/>
      </c>
      <c r="AA142" s="11">
        <f>IF(Inputs!$D$31=0,0,IF($R142&lt;=Inputs!$C$31,0,IF($R142&gt;=INDEX(LE_Curves!$K$5:$K$205,201),INDEX(LE_Curves!$B$5:$B$205,201),INDEX(LE_Curves!$B$5:$B$205,MATCH($R142,LE_Curves!$K$5:$K$205,1))+($R142-INDEX(LE_Curves!$K$5:$K$205,MATCH($R142,LE_Curves!$K$5:$K$205,1)))*(INDEX(LE_Curves!$B$5:$B$205,MATCH($R142,LE_Curves!$K$5:$K$205,1)+1)-INDEX(LE_Curves!$B$5:$B$205,MATCH($R142,LE_Curves!$K$5:$K$205,1)))/(INDEX(LE_Curves!$K$5:$K$205,MATCH($R142,LE_Curves!$K$5:$K$205,1)+1)-INDEX(LE_Curves!$K$5:$K$205,MATCH($R142,LE_Curves!$K$5:$K$205,1))))))</f>
        <v/>
      </c>
      <c r="AB142" s="11">
        <f>IF(Inputs!$D$32=0,0,IF($R142&lt;=Inputs!$C$32,0,IF($R142&gt;=INDEX(LE_Curves!$L$5:$L$205,201),INDEX(LE_Curves!$B$5:$B$205,201),INDEX(LE_Curves!$B$5:$B$205,MATCH($R142,LE_Curves!$L$5:$L$205,1))+($R142-INDEX(LE_Curves!$L$5:$L$205,MATCH($R142,LE_Curves!$L$5:$L$205,1)))*(INDEX(LE_Curves!$B$5:$B$205,MATCH($R142,LE_Curves!$L$5:$L$205,1)+1)-INDEX(LE_Curves!$B$5:$B$205,MATCH($R142,LE_Curves!$L$5:$L$205,1)))/(INDEX(LE_Curves!$L$5:$L$205,MATCH($R142,LE_Curves!$L$5:$L$205,1)+1)-INDEX(LE_Curves!$L$5:$L$205,MATCH($R142,LE_Curves!$L$5:$L$205,1))))))</f>
        <v/>
      </c>
      <c r="AC142" s="11">
        <f>IF(Inputs!$D$33=0,0,IF($R142&lt;=Inputs!$C$33,0,IF($R142&gt;=INDEX(LE_Curves!$M$5:$M$205,201),INDEX(LE_Curves!$B$5:$B$205,201),INDEX(LE_Curves!$B$5:$B$205,MATCH($R142,LE_Curves!$M$5:$M$205,1))+($R142-INDEX(LE_Curves!$M$5:$M$205,MATCH($R142,LE_Curves!$M$5:$M$205,1)))*(INDEX(LE_Curves!$B$5:$B$205,MATCH($R142,LE_Curves!$M$5:$M$205,1)+1)-INDEX(LE_Curves!$B$5:$B$205,MATCH($R142,LE_Curves!$M$5:$M$205,1)))/(INDEX(LE_Curves!$M$5:$M$205,MATCH($R142,LE_Curves!$M$5:$M$205,1)+1)-INDEX(LE_Curves!$M$5:$M$205,MATCH($R142,LE_Curves!$M$5:$M$205,1))))))</f>
        <v/>
      </c>
      <c r="AD142" s="11">
        <f>IF(Inputs!$D$34=0,0,IF($R142&lt;=Inputs!$C$34,0,IF($R142&gt;=INDEX(LE_Curves!$N$5:$N$205,201),INDEX(LE_Curves!$B$5:$B$205,201),INDEX(LE_Curves!$B$5:$B$205,MATCH($R142,LE_Curves!$N$5:$N$205,1))+($R142-INDEX(LE_Curves!$N$5:$N$205,MATCH($R142,LE_Curves!$N$5:$N$205,1)))*(INDEX(LE_Curves!$B$5:$B$205,MATCH($R142,LE_Curves!$N$5:$N$205,1)+1)-INDEX(LE_Curves!$B$5:$B$205,MATCH($R142,LE_Curves!$N$5:$N$205,1)))/(INDEX(LE_Curves!$N$5:$N$205,MATCH($R142,LE_Curves!$N$5:$N$205,1)+1)-INDEX(LE_Curves!$N$5:$N$205,MATCH($R142,LE_Curves!$N$5:$N$205,1))))))</f>
        <v/>
      </c>
      <c r="AE142" s="37">
        <f>SUM(S142:AD142)</f>
        <v/>
      </c>
    </row>
    <row r="143">
      <c r="A143" s="7" t="n">
        <v>112</v>
      </c>
      <c r="B143" s="37">
        <f>$B$3+($B$4-$B$3)*A143/200</f>
        <v/>
      </c>
      <c r="C143" s="11">
        <f>IF(Inputs!$D$23=0,0,IF($B143&lt;=Inputs!$C$23,0,IF($B143&gt;=INDEX(LE_Curves!$C$5:$C$205,201),INDEX(LE_Curves!$B$5:$B$205,201),INDEX(LE_Curves!$B$5:$B$205,MATCH($B143,LE_Curves!$C$5:$C$205,1))+($B143-INDEX(LE_Curves!$C$5:$C$205,MATCH($B143,LE_Curves!$C$5:$C$205,1)))*(INDEX(LE_Curves!$B$5:$B$205,MATCH($B143,LE_Curves!$C$5:$C$205,1)+1)-INDEX(LE_Curves!$B$5:$B$205,MATCH($B143,LE_Curves!$C$5:$C$205,1)))/(INDEX(LE_Curves!$C$5:$C$205,MATCH($B143,LE_Curves!$C$5:$C$205,1)+1)-INDEX(LE_Curves!$C$5:$C$205,MATCH($B143,LE_Curves!$C$5:$C$205,1))))))</f>
        <v/>
      </c>
      <c r="D143" s="11">
        <f>IF(Inputs!$D$24=0,0,IF($B143&lt;=Inputs!$C$24,0,IF($B143&gt;=INDEX(LE_Curves!$D$5:$D$205,201),INDEX(LE_Curves!$B$5:$B$205,201),INDEX(LE_Curves!$B$5:$B$205,MATCH($B143,LE_Curves!$D$5:$D$205,1))+($B143-INDEX(LE_Curves!$D$5:$D$205,MATCH($B143,LE_Curves!$D$5:$D$205,1)))*(INDEX(LE_Curves!$B$5:$B$205,MATCH($B143,LE_Curves!$D$5:$D$205,1)+1)-INDEX(LE_Curves!$B$5:$B$205,MATCH($B143,LE_Curves!$D$5:$D$205,1)))/(INDEX(LE_Curves!$D$5:$D$205,MATCH($B143,LE_Curves!$D$5:$D$205,1)+1)-INDEX(LE_Curves!$D$5:$D$205,MATCH($B143,LE_Curves!$D$5:$D$205,1))))))</f>
        <v/>
      </c>
      <c r="E143" s="11">
        <f>IF(Inputs!$D$25=0,0,IF($B143&lt;=Inputs!$C$25,0,IF($B143&gt;=INDEX(LE_Curves!$E$5:$E$205,201),INDEX(LE_Curves!$B$5:$B$205,201),INDEX(LE_Curves!$B$5:$B$205,MATCH($B143,LE_Curves!$E$5:$E$205,1))+($B143-INDEX(LE_Curves!$E$5:$E$205,MATCH($B143,LE_Curves!$E$5:$E$205,1)))*(INDEX(LE_Curves!$B$5:$B$205,MATCH($B143,LE_Curves!$E$5:$E$205,1)+1)-INDEX(LE_Curves!$B$5:$B$205,MATCH($B143,LE_Curves!$E$5:$E$205,1)))/(INDEX(LE_Curves!$E$5:$E$205,MATCH($B143,LE_Curves!$E$5:$E$205,1)+1)-INDEX(LE_Curves!$E$5:$E$205,MATCH($B143,LE_Curves!$E$5:$E$205,1))))))</f>
        <v/>
      </c>
      <c r="F143" s="11">
        <f>IF(Inputs!$D$26=0,0,IF($B143&lt;=Inputs!$C$26,0,IF($B143&gt;=INDEX(LE_Curves!$F$5:$F$205,201),INDEX(LE_Curves!$B$5:$B$205,201),INDEX(LE_Curves!$B$5:$B$205,MATCH($B143,LE_Curves!$F$5:$F$205,1))+($B143-INDEX(LE_Curves!$F$5:$F$205,MATCH($B143,LE_Curves!$F$5:$F$205,1)))*(INDEX(LE_Curves!$B$5:$B$205,MATCH($B143,LE_Curves!$F$5:$F$205,1)+1)-INDEX(LE_Curves!$B$5:$B$205,MATCH($B143,LE_Curves!$F$5:$F$205,1)))/(INDEX(LE_Curves!$F$5:$F$205,MATCH($B143,LE_Curves!$F$5:$F$205,1)+1)-INDEX(LE_Curves!$F$5:$F$205,MATCH($B143,LE_Curves!$F$5:$F$205,1))))))</f>
        <v/>
      </c>
      <c r="G143" s="11">
        <f>IF(Inputs!$D$27=0,0,IF($B143&lt;=Inputs!$C$27,0,IF($B143&gt;=INDEX(LE_Curves!$G$5:$G$205,201),INDEX(LE_Curves!$B$5:$B$205,201),INDEX(LE_Curves!$B$5:$B$205,MATCH($B143,LE_Curves!$G$5:$G$205,1))+($B143-INDEX(LE_Curves!$G$5:$G$205,MATCH($B143,LE_Curves!$G$5:$G$205,1)))*(INDEX(LE_Curves!$B$5:$B$205,MATCH($B143,LE_Curves!$G$5:$G$205,1)+1)-INDEX(LE_Curves!$B$5:$B$205,MATCH($B143,LE_Curves!$G$5:$G$205,1)))/(INDEX(LE_Curves!$G$5:$G$205,MATCH($B143,LE_Curves!$G$5:$G$205,1)+1)-INDEX(LE_Curves!$G$5:$G$205,MATCH($B143,LE_Curves!$G$5:$G$205,1))))))</f>
        <v/>
      </c>
      <c r="H143" s="11">
        <f>IF(Inputs!$D$28=0,0,IF($B143&lt;=Inputs!$C$28,0,IF($B143&gt;=INDEX(LE_Curves!$H$5:$H$205,201),INDEX(LE_Curves!$B$5:$B$205,201),INDEX(LE_Curves!$B$5:$B$205,MATCH($B143,LE_Curves!$H$5:$H$205,1))+($B143-INDEX(LE_Curves!$H$5:$H$205,MATCH($B143,LE_Curves!$H$5:$H$205,1)))*(INDEX(LE_Curves!$B$5:$B$205,MATCH($B143,LE_Curves!$H$5:$H$205,1)+1)-INDEX(LE_Curves!$B$5:$B$205,MATCH($B143,LE_Curves!$H$5:$H$205,1)))/(INDEX(LE_Curves!$H$5:$H$205,MATCH($B143,LE_Curves!$H$5:$H$205,1)+1)-INDEX(LE_Curves!$H$5:$H$205,MATCH($B143,LE_Curves!$H$5:$H$205,1))))))</f>
        <v/>
      </c>
      <c r="I143" s="11">
        <f>IF(Inputs!$D$29=0,0,IF($B143&lt;=Inputs!$C$29,0,IF($B143&gt;=INDEX(LE_Curves!$I$5:$I$205,201),INDEX(LE_Curves!$B$5:$B$205,201),INDEX(LE_Curves!$B$5:$B$205,MATCH($B143,LE_Curves!$I$5:$I$205,1))+($B143-INDEX(LE_Curves!$I$5:$I$205,MATCH($B143,LE_Curves!$I$5:$I$205,1)))*(INDEX(LE_Curves!$B$5:$B$205,MATCH($B143,LE_Curves!$I$5:$I$205,1)+1)-INDEX(LE_Curves!$B$5:$B$205,MATCH($B143,LE_Curves!$I$5:$I$205,1)))/(INDEX(LE_Curves!$I$5:$I$205,MATCH($B143,LE_Curves!$I$5:$I$205,1)+1)-INDEX(LE_Curves!$I$5:$I$205,MATCH($B143,LE_Curves!$I$5:$I$205,1))))))</f>
        <v/>
      </c>
      <c r="J143" s="11">
        <f>IF(Inputs!$D$30=0,0,IF($B143&lt;=Inputs!$C$30,0,IF($B143&gt;=INDEX(LE_Curves!$J$5:$J$205,201),INDEX(LE_Curves!$B$5:$B$205,201),INDEX(LE_Curves!$B$5:$B$205,MATCH($B143,LE_Curves!$J$5:$J$205,1))+($B143-INDEX(LE_Curves!$J$5:$J$205,MATCH($B143,LE_Curves!$J$5:$J$205,1)))*(INDEX(LE_Curves!$B$5:$B$205,MATCH($B143,LE_Curves!$J$5:$J$205,1)+1)-INDEX(LE_Curves!$B$5:$B$205,MATCH($B143,LE_Curves!$J$5:$J$205,1)))/(INDEX(LE_Curves!$J$5:$J$205,MATCH($B143,LE_Curves!$J$5:$J$205,1)+1)-INDEX(LE_Curves!$J$5:$J$205,MATCH($B143,LE_Curves!$J$5:$J$205,1))))))</f>
        <v/>
      </c>
      <c r="K143" s="11">
        <f>IF(Inputs!$D$31=0,0,IF($B143&lt;=Inputs!$C$31,0,IF($B143&gt;=INDEX(LE_Curves!$K$5:$K$205,201),INDEX(LE_Curves!$B$5:$B$205,201),INDEX(LE_Curves!$B$5:$B$205,MATCH($B143,LE_Curves!$K$5:$K$205,1))+($B143-INDEX(LE_Curves!$K$5:$K$205,MATCH($B143,LE_Curves!$K$5:$K$205,1)))*(INDEX(LE_Curves!$B$5:$B$205,MATCH($B143,LE_Curves!$K$5:$K$205,1)+1)-INDEX(LE_Curves!$B$5:$B$205,MATCH($B143,LE_Curves!$K$5:$K$205,1)))/(INDEX(LE_Curves!$K$5:$K$205,MATCH($B143,LE_Curves!$K$5:$K$205,1)+1)-INDEX(LE_Curves!$K$5:$K$205,MATCH($B143,LE_Curves!$K$5:$K$205,1))))))</f>
        <v/>
      </c>
      <c r="L143" s="11">
        <f>IF(Inputs!$D$32=0,0,IF($B143&lt;=Inputs!$C$32,0,IF($B143&gt;=INDEX(LE_Curves!$L$5:$L$205,201),INDEX(LE_Curves!$B$5:$B$205,201),INDEX(LE_Curves!$B$5:$B$205,MATCH($B143,LE_Curves!$L$5:$L$205,1))+($B143-INDEX(LE_Curves!$L$5:$L$205,MATCH($B143,LE_Curves!$L$5:$L$205,1)))*(INDEX(LE_Curves!$B$5:$B$205,MATCH($B143,LE_Curves!$L$5:$L$205,1)+1)-INDEX(LE_Curves!$B$5:$B$205,MATCH($B143,LE_Curves!$L$5:$L$205,1)))/(INDEX(LE_Curves!$L$5:$L$205,MATCH($B143,LE_Curves!$L$5:$L$205,1)+1)-INDEX(LE_Curves!$L$5:$L$205,MATCH($B143,LE_Curves!$L$5:$L$205,1))))))</f>
        <v/>
      </c>
      <c r="M143" s="11">
        <f>IF(Inputs!$D$33=0,0,IF($B143&lt;=Inputs!$C$33,0,IF($B143&gt;=INDEX(LE_Curves!$M$5:$M$205,201),INDEX(LE_Curves!$B$5:$B$205,201),INDEX(LE_Curves!$B$5:$B$205,MATCH($B143,LE_Curves!$M$5:$M$205,1))+($B143-INDEX(LE_Curves!$M$5:$M$205,MATCH($B143,LE_Curves!$M$5:$M$205,1)))*(INDEX(LE_Curves!$B$5:$B$205,MATCH($B143,LE_Curves!$M$5:$M$205,1)+1)-INDEX(LE_Curves!$B$5:$B$205,MATCH($B143,LE_Curves!$M$5:$M$205,1)))/(INDEX(LE_Curves!$M$5:$M$205,MATCH($B143,LE_Curves!$M$5:$M$205,1)+1)-INDEX(LE_Curves!$M$5:$M$205,MATCH($B143,LE_Curves!$M$5:$M$205,1))))))</f>
        <v/>
      </c>
      <c r="N143" s="11">
        <f>IF(Inputs!$D$34=0,0,IF($B143&lt;=Inputs!$C$34,0,IF($B143&gt;=INDEX(LE_Curves!$N$5:$N$205,201),INDEX(LE_Curves!$B$5:$B$205,201),INDEX(LE_Curves!$B$5:$B$205,MATCH($B143,LE_Curves!$N$5:$N$205,1))+($B143-INDEX(LE_Curves!$N$5:$N$205,MATCH($B143,LE_Curves!$N$5:$N$205,1)))*(INDEX(LE_Curves!$B$5:$B$205,MATCH($B143,LE_Curves!$N$5:$N$205,1)+1)-INDEX(LE_Curves!$B$5:$B$205,MATCH($B143,LE_Curves!$N$5:$N$205,1)))/(INDEX(LE_Curves!$N$5:$N$205,MATCH($B143,LE_Curves!$N$5:$N$205,1)+1)-INDEX(LE_Curves!$N$5:$N$205,MATCH($B143,LE_Curves!$N$5:$N$205,1))))))</f>
        <v/>
      </c>
      <c r="O143" s="11">
        <f>SUM(C143:N143)</f>
        <v/>
      </c>
      <c r="Q143" s="7" t="n">
        <v>112</v>
      </c>
      <c r="R143" s="23">
        <f>$B$6+($B$7-$B$6)*Q143/200</f>
        <v/>
      </c>
      <c r="S143" s="11">
        <f>IF(Inputs!$D$23=0,0,IF($R143&lt;=Inputs!$C$23,0,IF($R143&gt;=INDEX(LE_Curves!$C$5:$C$205,201),INDEX(LE_Curves!$B$5:$B$205,201),INDEX(LE_Curves!$B$5:$B$205,MATCH($R143,LE_Curves!$C$5:$C$205,1))+($R143-INDEX(LE_Curves!$C$5:$C$205,MATCH($R143,LE_Curves!$C$5:$C$205,1)))*(INDEX(LE_Curves!$B$5:$B$205,MATCH($R143,LE_Curves!$C$5:$C$205,1)+1)-INDEX(LE_Curves!$B$5:$B$205,MATCH($R143,LE_Curves!$C$5:$C$205,1)))/(INDEX(LE_Curves!$C$5:$C$205,MATCH($R143,LE_Curves!$C$5:$C$205,1)+1)-INDEX(LE_Curves!$C$5:$C$205,MATCH($R143,LE_Curves!$C$5:$C$205,1))))))</f>
        <v/>
      </c>
      <c r="T143" s="11">
        <f>IF(Inputs!$D$24=0,0,IF($R143&lt;=Inputs!$C$24,0,IF($R143&gt;=INDEX(LE_Curves!$D$5:$D$205,201),INDEX(LE_Curves!$B$5:$B$205,201),INDEX(LE_Curves!$B$5:$B$205,MATCH($R143,LE_Curves!$D$5:$D$205,1))+($R143-INDEX(LE_Curves!$D$5:$D$205,MATCH($R143,LE_Curves!$D$5:$D$205,1)))*(INDEX(LE_Curves!$B$5:$B$205,MATCH($R143,LE_Curves!$D$5:$D$205,1)+1)-INDEX(LE_Curves!$B$5:$B$205,MATCH($R143,LE_Curves!$D$5:$D$205,1)))/(INDEX(LE_Curves!$D$5:$D$205,MATCH($R143,LE_Curves!$D$5:$D$205,1)+1)-INDEX(LE_Curves!$D$5:$D$205,MATCH($R143,LE_Curves!$D$5:$D$205,1))))))</f>
        <v/>
      </c>
      <c r="U143" s="11">
        <f>IF(Inputs!$D$25=0,0,IF($R143&lt;=Inputs!$C$25,0,IF($R143&gt;=INDEX(LE_Curves!$E$5:$E$205,201),INDEX(LE_Curves!$B$5:$B$205,201),INDEX(LE_Curves!$B$5:$B$205,MATCH($R143,LE_Curves!$E$5:$E$205,1))+($R143-INDEX(LE_Curves!$E$5:$E$205,MATCH($R143,LE_Curves!$E$5:$E$205,1)))*(INDEX(LE_Curves!$B$5:$B$205,MATCH($R143,LE_Curves!$E$5:$E$205,1)+1)-INDEX(LE_Curves!$B$5:$B$205,MATCH($R143,LE_Curves!$E$5:$E$205,1)))/(INDEX(LE_Curves!$E$5:$E$205,MATCH($R143,LE_Curves!$E$5:$E$205,1)+1)-INDEX(LE_Curves!$E$5:$E$205,MATCH($R143,LE_Curves!$E$5:$E$205,1))))))</f>
        <v/>
      </c>
      <c r="V143" s="11">
        <f>IF(Inputs!$D$26=0,0,IF($R143&lt;=Inputs!$C$26,0,IF($R143&gt;=INDEX(LE_Curves!$F$5:$F$205,201),INDEX(LE_Curves!$B$5:$B$205,201),INDEX(LE_Curves!$B$5:$B$205,MATCH($R143,LE_Curves!$F$5:$F$205,1))+($R143-INDEX(LE_Curves!$F$5:$F$205,MATCH($R143,LE_Curves!$F$5:$F$205,1)))*(INDEX(LE_Curves!$B$5:$B$205,MATCH($R143,LE_Curves!$F$5:$F$205,1)+1)-INDEX(LE_Curves!$B$5:$B$205,MATCH($R143,LE_Curves!$F$5:$F$205,1)))/(INDEX(LE_Curves!$F$5:$F$205,MATCH($R143,LE_Curves!$F$5:$F$205,1)+1)-INDEX(LE_Curves!$F$5:$F$205,MATCH($R143,LE_Curves!$F$5:$F$205,1))))))</f>
        <v/>
      </c>
      <c r="W143" s="11">
        <f>IF(Inputs!$D$27=0,0,IF($R143&lt;=Inputs!$C$27,0,IF($R143&gt;=INDEX(LE_Curves!$G$5:$G$205,201),INDEX(LE_Curves!$B$5:$B$205,201),INDEX(LE_Curves!$B$5:$B$205,MATCH($R143,LE_Curves!$G$5:$G$205,1))+($R143-INDEX(LE_Curves!$G$5:$G$205,MATCH($R143,LE_Curves!$G$5:$G$205,1)))*(INDEX(LE_Curves!$B$5:$B$205,MATCH($R143,LE_Curves!$G$5:$G$205,1)+1)-INDEX(LE_Curves!$B$5:$B$205,MATCH($R143,LE_Curves!$G$5:$G$205,1)))/(INDEX(LE_Curves!$G$5:$G$205,MATCH($R143,LE_Curves!$G$5:$G$205,1)+1)-INDEX(LE_Curves!$G$5:$G$205,MATCH($R143,LE_Curves!$G$5:$G$205,1))))))</f>
        <v/>
      </c>
      <c r="X143" s="11">
        <f>IF(Inputs!$D$28=0,0,IF($R143&lt;=Inputs!$C$28,0,IF($R143&gt;=INDEX(LE_Curves!$H$5:$H$205,201),INDEX(LE_Curves!$B$5:$B$205,201),INDEX(LE_Curves!$B$5:$B$205,MATCH($R143,LE_Curves!$H$5:$H$205,1))+($R143-INDEX(LE_Curves!$H$5:$H$205,MATCH($R143,LE_Curves!$H$5:$H$205,1)))*(INDEX(LE_Curves!$B$5:$B$205,MATCH($R143,LE_Curves!$H$5:$H$205,1)+1)-INDEX(LE_Curves!$B$5:$B$205,MATCH($R143,LE_Curves!$H$5:$H$205,1)))/(INDEX(LE_Curves!$H$5:$H$205,MATCH($R143,LE_Curves!$H$5:$H$205,1)+1)-INDEX(LE_Curves!$H$5:$H$205,MATCH($R143,LE_Curves!$H$5:$H$205,1))))))</f>
        <v/>
      </c>
      <c r="Y143" s="11">
        <f>IF(Inputs!$D$29=0,0,IF($R143&lt;=Inputs!$C$29,0,IF($R143&gt;=INDEX(LE_Curves!$I$5:$I$205,201),INDEX(LE_Curves!$B$5:$B$205,201),INDEX(LE_Curves!$B$5:$B$205,MATCH($R143,LE_Curves!$I$5:$I$205,1))+($R143-INDEX(LE_Curves!$I$5:$I$205,MATCH($R143,LE_Curves!$I$5:$I$205,1)))*(INDEX(LE_Curves!$B$5:$B$205,MATCH($R143,LE_Curves!$I$5:$I$205,1)+1)-INDEX(LE_Curves!$B$5:$B$205,MATCH($R143,LE_Curves!$I$5:$I$205,1)))/(INDEX(LE_Curves!$I$5:$I$205,MATCH($R143,LE_Curves!$I$5:$I$205,1)+1)-INDEX(LE_Curves!$I$5:$I$205,MATCH($R143,LE_Curves!$I$5:$I$205,1))))))</f>
        <v/>
      </c>
      <c r="Z143" s="11">
        <f>IF(Inputs!$D$30=0,0,IF($R143&lt;=Inputs!$C$30,0,IF($R143&gt;=INDEX(LE_Curves!$J$5:$J$205,201),INDEX(LE_Curves!$B$5:$B$205,201),INDEX(LE_Curves!$B$5:$B$205,MATCH($R143,LE_Curves!$J$5:$J$205,1))+($R143-INDEX(LE_Curves!$J$5:$J$205,MATCH($R143,LE_Curves!$J$5:$J$205,1)))*(INDEX(LE_Curves!$B$5:$B$205,MATCH($R143,LE_Curves!$J$5:$J$205,1)+1)-INDEX(LE_Curves!$B$5:$B$205,MATCH($R143,LE_Curves!$J$5:$J$205,1)))/(INDEX(LE_Curves!$J$5:$J$205,MATCH($R143,LE_Curves!$J$5:$J$205,1)+1)-INDEX(LE_Curves!$J$5:$J$205,MATCH($R143,LE_Curves!$J$5:$J$205,1))))))</f>
        <v/>
      </c>
      <c r="AA143" s="11">
        <f>IF(Inputs!$D$31=0,0,IF($R143&lt;=Inputs!$C$31,0,IF($R143&gt;=INDEX(LE_Curves!$K$5:$K$205,201),INDEX(LE_Curves!$B$5:$B$205,201),INDEX(LE_Curves!$B$5:$B$205,MATCH($R143,LE_Curves!$K$5:$K$205,1))+($R143-INDEX(LE_Curves!$K$5:$K$205,MATCH($R143,LE_Curves!$K$5:$K$205,1)))*(INDEX(LE_Curves!$B$5:$B$205,MATCH($R143,LE_Curves!$K$5:$K$205,1)+1)-INDEX(LE_Curves!$B$5:$B$205,MATCH($R143,LE_Curves!$K$5:$K$205,1)))/(INDEX(LE_Curves!$K$5:$K$205,MATCH($R143,LE_Curves!$K$5:$K$205,1)+1)-INDEX(LE_Curves!$K$5:$K$205,MATCH($R143,LE_Curves!$K$5:$K$205,1))))))</f>
        <v/>
      </c>
      <c r="AB143" s="11">
        <f>IF(Inputs!$D$32=0,0,IF($R143&lt;=Inputs!$C$32,0,IF($R143&gt;=INDEX(LE_Curves!$L$5:$L$205,201),INDEX(LE_Curves!$B$5:$B$205,201),INDEX(LE_Curves!$B$5:$B$205,MATCH($R143,LE_Curves!$L$5:$L$205,1))+($R143-INDEX(LE_Curves!$L$5:$L$205,MATCH($R143,LE_Curves!$L$5:$L$205,1)))*(INDEX(LE_Curves!$B$5:$B$205,MATCH($R143,LE_Curves!$L$5:$L$205,1)+1)-INDEX(LE_Curves!$B$5:$B$205,MATCH($R143,LE_Curves!$L$5:$L$205,1)))/(INDEX(LE_Curves!$L$5:$L$205,MATCH($R143,LE_Curves!$L$5:$L$205,1)+1)-INDEX(LE_Curves!$L$5:$L$205,MATCH($R143,LE_Curves!$L$5:$L$205,1))))))</f>
        <v/>
      </c>
      <c r="AC143" s="11">
        <f>IF(Inputs!$D$33=0,0,IF($R143&lt;=Inputs!$C$33,0,IF($R143&gt;=INDEX(LE_Curves!$M$5:$M$205,201),INDEX(LE_Curves!$B$5:$B$205,201),INDEX(LE_Curves!$B$5:$B$205,MATCH($R143,LE_Curves!$M$5:$M$205,1))+($R143-INDEX(LE_Curves!$M$5:$M$205,MATCH($R143,LE_Curves!$M$5:$M$205,1)))*(INDEX(LE_Curves!$B$5:$B$205,MATCH($R143,LE_Curves!$M$5:$M$205,1)+1)-INDEX(LE_Curves!$B$5:$B$205,MATCH($R143,LE_Curves!$M$5:$M$205,1)))/(INDEX(LE_Curves!$M$5:$M$205,MATCH($R143,LE_Curves!$M$5:$M$205,1)+1)-INDEX(LE_Curves!$M$5:$M$205,MATCH($R143,LE_Curves!$M$5:$M$205,1))))))</f>
        <v/>
      </c>
      <c r="AD143" s="11">
        <f>IF(Inputs!$D$34=0,0,IF($R143&lt;=Inputs!$C$34,0,IF($R143&gt;=INDEX(LE_Curves!$N$5:$N$205,201),INDEX(LE_Curves!$B$5:$B$205,201),INDEX(LE_Curves!$B$5:$B$205,MATCH($R143,LE_Curves!$N$5:$N$205,1))+($R143-INDEX(LE_Curves!$N$5:$N$205,MATCH($R143,LE_Curves!$N$5:$N$205,1)))*(INDEX(LE_Curves!$B$5:$B$205,MATCH($R143,LE_Curves!$N$5:$N$205,1)+1)-INDEX(LE_Curves!$B$5:$B$205,MATCH($R143,LE_Curves!$N$5:$N$205,1)))/(INDEX(LE_Curves!$N$5:$N$205,MATCH($R143,LE_Curves!$N$5:$N$205,1)+1)-INDEX(LE_Curves!$N$5:$N$205,MATCH($R143,LE_Curves!$N$5:$N$205,1))))))</f>
        <v/>
      </c>
      <c r="AE143" s="37">
        <f>SUM(S143:AD143)</f>
        <v/>
      </c>
    </row>
    <row r="144">
      <c r="A144" s="7" t="n">
        <v>113</v>
      </c>
      <c r="B144" s="37">
        <f>$B$3+($B$4-$B$3)*A144/200</f>
        <v/>
      </c>
      <c r="C144" s="11">
        <f>IF(Inputs!$D$23=0,0,IF($B144&lt;=Inputs!$C$23,0,IF($B144&gt;=INDEX(LE_Curves!$C$5:$C$205,201),INDEX(LE_Curves!$B$5:$B$205,201),INDEX(LE_Curves!$B$5:$B$205,MATCH($B144,LE_Curves!$C$5:$C$205,1))+($B144-INDEX(LE_Curves!$C$5:$C$205,MATCH($B144,LE_Curves!$C$5:$C$205,1)))*(INDEX(LE_Curves!$B$5:$B$205,MATCH($B144,LE_Curves!$C$5:$C$205,1)+1)-INDEX(LE_Curves!$B$5:$B$205,MATCH($B144,LE_Curves!$C$5:$C$205,1)))/(INDEX(LE_Curves!$C$5:$C$205,MATCH($B144,LE_Curves!$C$5:$C$205,1)+1)-INDEX(LE_Curves!$C$5:$C$205,MATCH($B144,LE_Curves!$C$5:$C$205,1))))))</f>
        <v/>
      </c>
      <c r="D144" s="11">
        <f>IF(Inputs!$D$24=0,0,IF($B144&lt;=Inputs!$C$24,0,IF($B144&gt;=INDEX(LE_Curves!$D$5:$D$205,201),INDEX(LE_Curves!$B$5:$B$205,201),INDEX(LE_Curves!$B$5:$B$205,MATCH($B144,LE_Curves!$D$5:$D$205,1))+($B144-INDEX(LE_Curves!$D$5:$D$205,MATCH($B144,LE_Curves!$D$5:$D$205,1)))*(INDEX(LE_Curves!$B$5:$B$205,MATCH($B144,LE_Curves!$D$5:$D$205,1)+1)-INDEX(LE_Curves!$B$5:$B$205,MATCH($B144,LE_Curves!$D$5:$D$205,1)))/(INDEX(LE_Curves!$D$5:$D$205,MATCH($B144,LE_Curves!$D$5:$D$205,1)+1)-INDEX(LE_Curves!$D$5:$D$205,MATCH($B144,LE_Curves!$D$5:$D$205,1))))))</f>
        <v/>
      </c>
      <c r="E144" s="11">
        <f>IF(Inputs!$D$25=0,0,IF($B144&lt;=Inputs!$C$25,0,IF($B144&gt;=INDEX(LE_Curves!$E$5:$E$205,201),INDEX(LE_Curves!$B$5:$B$205,201),INDEX(LE_Curves!$B$5:$B$205,MATCH($B144,LE_Curves!$E$5:$E$205,1))+($B144-INDEX(LE_Curves!$E$5:$E$205,MATCH($B144,LE_Curves!$E$5:$E$205,1)))*(INDEX(LE_Curves!$B$5:$B$205,MATCH($B144,LE_Curves!$E$5:$E$205,1)+1)-INDEX(LE_Curves!$B$5:$B$205,MATCH($B144,LE_Curves!$E$5:$E$205,1)))/(INDEX(LE_Curves!$E$5:$E$205,MATCH($B144,LE_Curves!$E$5:$E$205,1)+1)-INDEX(LE_Curves!$E$5:$E$205,MATCH($B144,LE_Curves!$E$5:$E$205,1))))))</f>
        <v/>
      </c>
      <c r="F144" s="11">
        <f>IF(Inputs!$D$26=0,0,IF($B144&lt;=Inputs!$C$26,0,IF($B144&gt;=INDEX(LE_Curves!$F$5:$F$205,201),INDEX(LE_Curves!$B$5:$B$205,201),INDEX(LE_Curves!$B$5:$B$205,MATCH($B144,LE_Curves!$F$5:$F$205,1))+($B144-INDEX(LE_Curves!$F$5:$F$205,MATCH($B144,LE_Curves!$F$5:$F$205,1)))*(INDEX(LE_Curves!$B$5:$B$205,MATCH($B144,LE_Curves!$F$5:$F$205,1)+1)-INDEX(LE_Curves!$B$5:$B$205,MATCH($B144,LE_Curves!$F$5:$F$205,1)))/(INDEX(LE_Curves!$F$5:$F$205,MATCH($B144,LE_Curves!$F$5:$F$205,1)+1)-INDEX(LE_Curves!$F$5:$F$205,MATCH($B144,LE_Curves!$F$5:$F$205,1))))))</f>
        <v/>
      </c>
      <c r="G144" s="11">
        <f>IF(Inputs!$D$27=0,0,IF($B144&lt;=Inputs!$C$27,0,IF($B144&gt;=INDEX(LE_Curves!$G$5:$G$205,201),INDEX(LE_Curves!$B$5:$B$205,201),INDEX(LE_Curves!$B$5:$B$205,MATCH($B144,LE_Curves!$G$5:$G$205,1))+($B144-INDEX(LE_Curves!$G$5:$G$205,MATCH($B144,LE_Curves!$G$5:$G$205,1)))*(INDEX(LE_Curves!$B$5:$B$205,MATCH($B144,LE_Curves!$G$5:$G$205,1)+1)-INDEX(LE_Curves!$B$5:$B$205,MATCH($B144,LE_Curves!$G$5:$G$205,1)))/(INDEX(LE_Curves!$G$5:$G$205,MATCH($B144,LE_Curves!$G$5:$G$205,1)+1)-INDEX(LE_Curves!$G$5:$G$205,MATCH($B144,LE_Curves!$G$5:$G$205,1))))))</f>
        <v/>
      </c>
      <c r="H144" s="11">
        <f>IF(Inputs!$D$28=0,0,IF($B144&lt;=Inputs!$C$28,0,IF($B144&gt;=INDEX(LE_Curves!$H$5:$H$205,201),INDEX(LE_Curves!$B$5:$B$205,201),INDEX(LE_Curves!$B$5:$B$205,MATCH($B144,LE_Curves!$H$5:$H$205,1))+($B144-INDEX(LE_Curves!$H$5:$H$205,MATCH($B144,LE_Curves!$H$5:$H$205,1)))*(INDEX(LE_Curves!$B$5:$B$205,MATCH($B144,LE_Curves!$H$5:$H$205,1)+1)-INDEX(LE_Curves!$B$5:$B$205,MATCH($B144,LE_Curves!$H$5:$H$205,1)))/(INDEX(LE_Curves!$H$5:$H$205,MATCH($B144,LE_Curves!$H$5:$H$205,1)+1)-INDEX(LE_Curves!$H$5:$H$205,MATCH($B144,LE_Curves!$H$5:$H$205,1))))))</f>
        <v/>
      </c>
      <c r="I144" s="11">
        <f>IF(Inputs!$D$29=0,0,IF($B144&lt;=Inputs!$C$29,0,IF($B144&gt;=INDEX(LE_Curves!$I$5:$I$205,201),INDEX(LE_Curves!$B$5:$B$205,201),INDEX(LE_Curves!$B$5:$B$205,MATCH($B144,LE_Curves!$I$5:$I$205,1))+($B144-INDEX(LE_Curves!$I$5:$I$205,MATCH($B144,LE_Curves!$I$5:$I$205,1)))*(INDEX(LE_Curves!$B$5:$B$205,MATCH($B144,LE_Curves!$I$5:$I$205,1)+1)-INDEX(LE_Curves!$B$5:$B$205,MATCH($B144,LE_Curves!$I$5:$I$205,1)))/(INDEX(LE_Curves!$I$5:$I$205,MATCH($B144,LE_Curves!$I$5:$I$205,1)+1)-INDEX(LE_Curves!$I$5:$I$205,MATCH($B144,LE_Curves!$I$5:$I$205,1))))))</f>
        <v/>
      </c>
      <c r="J144" s="11">
        <f>IF(Inputs!$D$30=0,0,IF($B144&lt;=Inputs!$C$30,0,IF($B144&gt;=INDEX(LE_Curves!$J$5:$J$205,201),INDEX(LE_Curves!$B$5:$B$205,201),INDEX(LE_Curves!$B$5:$B$205,MATCH($B144,LE_Curves!$J$5:$J$205,1))+($B144-INDEX(LE_Curves!$J$5:$J$205,MATCH($B144,LE_Curves!$J$5:$J$205,1)))*(INDEX(LE_Curves!$B$5:$B$205,MATCH($B144,LE_Curves!$J$5:$J$205,1)+1)-INDEX(LE_Curves!$B$5:$B$205,MATCH($B144,LE_Curves!$J$5:$J$205,1)))/(INDEX(LE_Curves!$J$5:$J$205,MATCH($B144,LE_Curves!$J$5:$J$205,1)+1)-INDEX(LE_Curves!$J$5:$J$205,MATCH($B144,LE_Curves!$J$5:$J$205,1))))))</f>
        <v/>
      </c>
      <c r="K144" s="11">
        <f>IF(Inputs!$D$31=0,0,IF($B144&lt;=Inputs!$C$31,0,IF($B144&gt;=INDEX(LE_Curves!$K$5:$K$205,201),INDEX(LE_Curves!$B$5:$B$205,201),INDEX(LE_Curves!$B$5:$B$205,MATCH($B144,LE_Curves!$K$5:$K$205,1))+($B144-INDEX(LE_Curves!$K$5:$K$205,MATCH($B144,LE_Curves!$K$5:$K$205,1)))*(INDEX(LE_Curves!$B$5:$B$205,MATCH($B144,LE_Curves!$K$5:$K$205,1)+1)-INDEX(LE_Curves!$B$5:$B$205,MATCH($B144,LE_Curves!$K$5:$K$205,1)))/(INDEX(LE_Curves!$K$5:$K$205,MATCH($B144,LE_Curves!$K$5:$K$205,1)+1)-INDEX(LE_Curves!$K$5:$K$205,MATCH($B144,LE_Curves!$K$5:$K$205,1))))))</f>
        <v/>
      </c>
      <c r="L144" s="11">
        <f>IF(Inputs!$D$32=0,0,IF($B144&lt;=Inputs!$C$32,0,IF($B144&gt;=INDEX(LE_Curves!$L$5:$L$205,201),INDEX(LE_Curves!$B$5:$B$205,201),INDEX(LE_Curves!$B$5:$B$205,MATCH($B144,LE_Curves!$L$5:$L$205,1))+($B144-INDEX(LE_Curves!$L$5:$L$205,MATCH($B144,LE_Curves!$L$5:$L$205,1)))*(INDEX(LE_Curves!$B$5:$B$205,MATCH($B144,LE_Curves!$L$5:$L$205,1)+1)-INDEX(LE_Curves!$B$5:$B$205,MATCH($B144,LE_Curves!$L$5:$L$205,1)))/(INDEX(LE_Curves!$L$5:$L$205,MATCH($B144,LE_Curves!$L$5:$L$205,1)+1)-INDEX(LE_Curves!$L$5:$L$205,MATCH($B144,LE_Curves!$L$5:$L$205,1))))))</f>
        <v/>
      </c>
      <c r="M144" s="11">
        <f>IF(Inputs!$D$33=0,0,IF($B144&lt;=Inputs!$C$33,0,IF($B144&gt;=INDEX(LE_Curves!$M$5:$M$205,201),INDEX(LE_Curves!$B$5:$B$205,201),INDEX(LE_Curves!$B$5:$B$205,MATCH($B144,LE_Curves!$M$5:$M$205,1))+($B144-INDEX(LE_Curves!$M$5:$M$205,MATCH($B144,LE_Curves!$M$5:$M$205,1)))*(INDEX(LE_Curves!$B$5:$B$205,MATCH($B144,LE_Curves!$M$5:$M$205,1)+1)-INDEX(LE_Curves!$B$5:$B$205,MATCH($B144,LE_Curves!$M$5:$M$205,1)))/(INDEX(LE_Curves!$M$5:$M$205,MATCH($B144,LE_Curves!$M$5:$M$205,1)+1)-INDEX(LE_Curves!$M$5:$M$205,MATCH($B144,LE_Curves!$M$5:$M$205,1))))))</f>
        <v/>
      </c>
      <c r="N144" s="11">
        <f>IF(Inputs!$D$34=0,0,IF($B144&lt;=Inputs!$C$34,0,IF($B144&gt;=INDEX(LE_Curves!$N$5:$N$205,201),INDEX(LE_Curves!$B$5:$B$205,201),INDEX(LE_Curves!$B$5:$B$205,MATCH($B144,LE_Curves!$N$5:$N$205,1))+($B144-INDEX(LE_Curves!$N$5:$N$205,MATCH($B144,LE_Curves!$N$5:$N$205,1)))*(INDEX(LE_Curves!$B$5:$B$205,MATCH($B144,LE_Curves!$N$5:$N$205,1)+1)-INDEX(LE_Curves!$B$5:$B$205,MATCH($B144,LE_Curves!$N$5:$N$205,1)))/(INDEX(LE_Curves!$N$5:$N$205,MATCH($B144,LE_Curves!$N$5:$N$205,1)+1)-INDEX(LE_Curves!$N$5:$N$205,MATCH($B144,LE_Curves!$N$5:$N$205,1))))))</f>
        <v/>
      </c>
      <c r="O144" s="11">
        <f>SUM(C144:N144)</f>
        <v/>
      </c>
      <c r="Q144" s="7" t="n">
        <v>113</v>
      </c>
      <c r="R144" s="23">
        <f>$B$6+($B$7-$B$6)*Q144/200</f>
        <v/>
      </c>
      <c r="S144" s="11">
        <f>IF(Inputs!$D$23=0,0,IF($R144&lt;=Inputs!$C$23,0,IF($R144&gt;=INDEX(LE_Curves!$C$5:$C$205,201),INDEX(LE_Curves!$B$5:$B$205,201),INDEX(LE_Curves!$B$5:$B$205,MATCH($R144,LE_Curves!$C$5:$C$205,1))+($R144-INDEX(LE_Curves!$C$5:$C$205,MATCH($R144,LE_Curves!$C$5:$C$205,1)))*(INDEX(LE_Curves!$B$5:$B$205,MATCH($R144,LE_Curves!$C$5:$C$205,1)+1)-INDEX(LE_Curves!$B$5:$B$205,MATCH($R144,LE_Curves!$C$5:$C$205,1)))/(INDEX(LE_Curves!$C$5:$C$205,MATCH($R144,LE_Curves!$C$5:$C$205,1)+1)-INDEX(LE_Curves!$C$5:$C$205,MATCH($R144,LE_Curves!$C$5:$C$205,1))))))</f>
        <v/>
      </c>
      <c r="T144" s="11">
        <f>IF(Inputs!$D$24=0,0,IF($R144&lt;=Inputs!$C$24,0,IF($R144&gt;=INDEX(LE_Curves!$D$5:$D$205,201),INDEX(LE_Curves!$B$5:$B$205,201),INDEX(LE_Curves!$B$5:$B$205,MATCH($R144,LE_Curves!$D$5:$D$205,1))+($R144-INDEX(LE_Curves!$D$5:$D$205,MATCH($R144,LE_Curves!$D$5:$D$205,1)))*(INDEX(LE_Curves!$B$5:$B$205,MATCH($R144,LE_Curves!$D$5:$D$205,1)+1)-INDEX(LE_Curves!$B$5:$B$205,MATCH($R144,LE_Curves!$D$5:$D$205,1)))/(INDEX(LE_Curves!$D$5:$D$205,MATCH($R144,LE_Curves!$D$5:$D$205,1)+1)-INDEX(LE_Curves!$D$5:$D$205,MATCH($R144,LE_Curves!$D$5:$D$205,1))))))</f>
        <v/>
      </c>
      <c r="U144" s="11">
        <f>IF(Inputs!$D$25=0,0,IF($R144&lt;=Inputs!$C$25,0,IF($R144&gt;=INDEX(LE_Curves!$E$5:$E$205,201),INDEX(LE_Curves!$B$5:$B$205,201),INDEX(LE_Curves!$B$5:$B$205,MATCH($R144,LE_Curves!$E$5:$E$205,1))+($R144-INDEX(LE_Curves!$E$5:$E$205,MATCH($R144,LE_Curves!$E$5:$E$205,1)))*(INDEX(LE_Curves!$B$5:$B$205,MATCH($R144,LE_Curves!$E$5:$E$205,1)+1)-INDEX(LE_Curves!$B$5:$B$205,MATCH($R144,LE_Curves!$E$5:$E$205,1)))/(INDEX(LE_Curves!$E$5:$E$205,MATCH($R144,LE_Curves!$E$5:$E$205,1)+1)-INDEX(LE_Curves!$E$5:$E$205,MATCH($R144,LE_Curves!$E$5:$E$205,1))))))</f>
        <v/>
      </c>
      <c r="V144" s="11">
        <f>IF(Inputs!$D$26=0,0,IF($R144&lt;=Inputs!$C$26,0,IF($R144&gt;=INDEX(LE_Curves!$F$5:$F$205,201),INDEX(LE_Curves!$B$5:$B$205,201),INDEX(LE_Curves!$B$5:$B$205,MATCH($R144,LE_Curves!$F$5:$F$205,1))+($R144-INDEX(LE_Curves!$F$5:$F$205,MATCH($R144,LE_Curves!$F$5:$F$205,1)))*(INDEX(LE_Curves!$B$5:$B$205,MATCH($R144,LE_Curves!$F$5:$F$205,1)+1)-INDEX(LE_Curves!$B$5:$B$205,MATCH($R144,LE_Curves!$F$5:$F$205,1)))/(INDEX(LE_Curves!$F$5:$F$205,MATCH($R144,LE_Curves!$F$5:$F$205,1)+1)-INDEX(LE_Curves!$F$5:$F$205,MATCH($R144,LE_Curves!$F$5:$F$205,1))))))</f>
        <v/>
      </c>
      <c r="W144" s="11">
        <f>IF(Inputs!$D$27=0,0,IF($R144&lt;=Inputs!$C$27,0,IF($R144&gt;=INDEX(LE_Curves!$G$5:$G$205,201),INDEX(LE_Curves!$B$5:$B$205,201),INDEX(LE_Curves!$B$5:$B$205,MATCH($R144,LE_Curves!$G$5:$G$205,1))+($R144-INDEX(LE_Curves!$G$5:$G$205,MATCH($R144,LE_Curves!$G$5:$G$205,1)))*(INDEX(LE_Curves!$B$5:$B$205,MATCH($R144,LE_Curves!$G$5:$G$205,1)+1)-INDEX(LE_Curves!$B$5:$B$205,MATCH($R144,LE_Curves!$G$5:$G$205,1)))/(INDEX(LE_Curves!$G$5:$G$205,MATCH($R144,LE_Curves!$G$5:$G$205,1)+1)-INDEX(LE_Curves!$G$5:$G$205,MATCH($R144,LE_Curves!$G$5:$G$205,1))))))</f>
        <v/>
      </c>
      <c r="X144" s="11">
        <f>IF(Inputs!$D$28=0,0,IF($R144&lt;=Inputs!$C$28,0,IF($R144&gt;=INDEX(LE_Curves!$H$5:$H$205,201),INDEX(LE_Curves!$B$5:$B$205,201),INDEX(LE_Curves!$B$5:$B$205,MATCH($R144,LE_Curves!$H$5:$H$205,1))+($R144-INDEX(LE_Curves!$H$5:$H$205,MATCH($R144,LE_Curves!$H$5:$H$205,1)))*(INDEX(LE_Curves!$B$5:$B$205,MATCH($R144,LE_Curves!$H$5:$H$205,1)+1)-INDEX(LE_Curves!$B$5:$B$205,MATCH($R144,LE_Curves!$H$5:$H$205,1)))/(INDEX(LE_Curves!$H$5:$H$205,MATCH($R144,LE_Curves!$H$5:$H$205,1)+1)-INDEX(LE_Curves!$H$5:$H$205,MATCH($R144,LE_Curves!$H$5:$H$205,1))))))</f>
        <v/>
      </c>
      <c r="Y144" s="11">
        <f>IF(Inputs!$D$29=0,0,IF($R144&lt;=Inputs!$C$29,0,IF($R144&gt;=INDEX(LE_Curves!$I$5:$I$205,201),INDEX(LE_Curves!$B$5:$B$205,201),INDEX(LE_Curves!$B$5:$B$205,MATCH($R144,LE_Curves!$I$5:$I$205,1))+($R144-INDEX(LE_Curves!$I$5:$I$205,MATCH($R144,LE_Curves!$I$5:$I$205,1)))*(INDEX(LE_Curves!$B$5:$B$205,MATCH($R144,LE_Curves!$I$5:$I$205,1)+1)-INDEX(LE_Curves!$B$5:$B$205,MATCH($R144,LE_Curves!$I$5:$I$205,1)))/(INDEX(LE_Curves!$I$5:$I$205,MATCH($R144,LE_Curves!$I$5:$I$205,1)+1)-INDEX(LE_Curves!$I$5:$I$205,MATCH($R144,LE_Curves!$I$5:$I$205,1))))))</f>
        <v/>
      </c>
      <c r="Z144" s="11">
        <f>IF(Inputs!$D$30=0,0,IF($R144&lt;=Inputs!$C$30,0,IF($R144&gt;=INDEX(LE_Curves!$J$5:$J$205,201),INDEX(LE_Curves!$B$5:$B$205,201),INDEX(LE_Curves!$B$5:$B$205,MATCH($R144,LE_Curves!$J$5:$J$205,1))+($R144-INDEX(LE_Curves!$J$5:$J$205,MATCH($R144,LE_Curves!$J$5:$J$205,1)))*(INDEX(LE_Curves!$B$5:$B$205,MATCH($R144,LE_Curves!$J$5:$J$205,1)+1)-INDEX(LE_Curves!$B$5:$B$205,MATCH($R144,LE_Curves!$J$5:$J$205,1)))/(INDEX(LE_Curves!$J$5:$J$205,MATCH($R144,LE_Curves!$J$5:$J$205,1)+1)-INDEX(LE_Curves!$J$5:$J$205,MATCH($R144,LE_Curves!$J$5:$J$205,1))))))</f>
        <v/>
      </c>
      <c r="AA144" s="11">
        <f>IF(Inputs!$D$31=0,0,IF($R144&lt;=Inputs!$C$31,0,IF($R144&gt;=INDEX(LE_Curves!$K$5:$K$205,201),INDEX(LE_Curves!$B$5:$B$205,201),INDEX(LE_Curves!$B$5:$B$205,MATCH($R144,LE_Curves!$K$5:$K$205,1))+($R144-INDEX(LE_Curves!$K$5:$K$205,MATCH($R144,LE_Curves!$K$5:$K$205,1)))*(INDEX(LE_Curves!$B$5:$B$205,MATCH($R144,LE_Curves!$K$5:$K$205,1)+1)-INDEX(LE_Curves!$B$5:$B$205,MATCH($R144,LE_Curves!$K$5:$K$205,1)))/(INDEX(LE_Curves!$K$5:$K$205,MATCH($R144,LE_Curves!$K$5:$K$205,1)+1)-INDEX(LE_Curves!$K$5:$K$205,MATCH($R144,LE_Curves!$K$5:$K$205,1))))))</f>
        <v/>
      </c>
      <c r="AB144" s="11">
        <f>IF(Inputs!$D$32=0,0,IF($R144&lt;=Inputs!$C$32,0,IF($R144&gt;=INDEX(LE_Curves!$L$5:$L$205,201),INDEX(LE_Curves!$B$5:$B$205,201),INDEX(LE_Curves!$B$5:$B$205,MATCH($R144,LE_Curves!$L$5:$L$205,1))+($R144-INDEX(LE_Curves!$L$5:$L$205,MATCH($R144,LE_Curves!$L$5:$L$205,1)))*(INDEX(LE_Curves!$B$5:$B$205,MATCH($R144,LE_Curves!$L$5:$L$205,1)+1)-INDEX(LE_Curves!$B$5:$B$205,MATCH($R144,LE_Curves!$L$5:$L$205,1)))/(INDEX(LE_Curves!$L$5:$L$205,MATCH($R144,LE_Curves!$L$5:$L$205,1)+1)-INDEX(LE_Curves!$L$5:$L$205,MATCH($R144,LE_Curves!$L$5:$L$205,1))))))</f>
        <v/>
      </c>
      <c r="AC144" s="11">
        <f>IF(Inputs!$D$33=0,0,IF($R144&lt;=Inputs!$C$33,0,IF($R144&gt;=INDEX(LE_Curves!$M$5:$M$205,201),INDEX(LE_Curves!$B$5:$B$205,201),INDEX(LE_Curves!$B$5:$B$205,MATCH($R144,LE_Curves!$M$5:$M$205,1))+($R144-INDEX(LE_Curves!$M$5:$M$205,MATCH($R144,LE_Curves!$M$5:$M$205,1)))*(INDEX(LE_Curves!$B$5:$B$205,MATCH($R144,LE_Curves!$M$5:$M$205,1)+1)-INDEX(LE_Curves!$B$5:$B$205,MATCH($R144,LE_Curves!$M$5:$M$205,1)))/(INDEX(LE_Curves!$M$5:$M$205,MATCH($R144,LE_Curves!$M$5:$M$205,1)+1)-INDEX(LE_Curves!$M$5:$M$205,MATCH($R144,LE_Curves!$M$5:$M$205,1))))))</f>
        <v/>
      </c>
      <c r="AD144" s="11">
        <f>IF(Inputs!$D$34=0,0,IF($R144&lt;=Inputs!$C$34,0,IF($R144&gt;=INDEX(LE_Curves!$N$5:$N$205,201),INDEX(LE_Curves!$B$5:$B$205,201),INDEX(LE_Curves!$B$5:$B$205,MATCH($R144,LE_Curves!$N$5:$N$205,1))+($R144-INDEX(LE_Curves!$N$5:$N$205,MATCH($R144,LE_Curves!$N$5:$N$205,1)))*(INDEX(LE_Curves!$B$5:$B$205,MATCH($R144,LE_Curves!$N$5:$N$205,1)+1)-INDEX(LE_Curves!$B$5:$B$205,MATCH($R144,LE_Curves!$N$5:$N$205,1)))/(INDEX(LE_Curves!$N$5:$N$205,MATCH($R144,LE_Curves!$N$5:$N$205,1)+1)-INDEX(LE_Curves!$N$5:$N$205,MATCH($R144,LE_Curves!$N$5:$N$205,1))))))</f>
        <v/>
      </c>
      <c r="AE144" s="37">
        <f>SUM(S144:AD144)</f>
        <v/>
      </c>
    </row>
    <row r="145">
      <c r="A145" s="7" t="n">
        <v>114</v>
      </c>
      <c r="B145" s="37">
        <f>$B$3+($B$4-$B$3)*A145/200</f>
        <v/>
      </c>
      <c r="C145" s="11">
        <f>IF(Inputs!$D$23=0,0,IF($B145&lt;=Inputs!$C$23,0,IF($B145&gt;=INDEX(LE_Curves!$C$5:$C$205,201),INDEX(LE_Curves!$B$5:$B$205,201),INDEX(LE_Curves!$B$5:$B$205,MATCH($B145,LE_Curves!$C$5:$C$205,1))+($B145-INDEX(LE_Curves!$C$5:$C$205,MATCH($B145,LE_Curves!$C$5:$C$205,1)))*(INDEX(LE_Curves!$B$5:$B$205,MATCH($B145,LE_Curves!$C$5:$C$205,1)+1)-INDEX(LE_Curves!$B$5:$B$205,MATCH($B145,LE_Curves!$C$5:$C$205,1)))/(INDEX(LE_Curves!$C$5:$C$205,MATCH($B145,LE_Curves!$C$5:$C$205,1)+1)-INDEX(LE_Curves!$C$5:$C$205,MATCH($B145,LE_Curves!$C$5:$C$205,1))))))</f>
        <v/>
      </c>
      <c r="D145" s="11">
        <f>IF(Inputs!$D$24=0,0,IF($B145&lt;=Inputs!$C$24,0,IF($B145&gt;=INDEX(LE_Curves!$D$5:$D$205,201),INDEX(LE_Curves!$B$5:$B$205,201),INDEX(LE_Curves!$B$5:$B$205,MATCH($B145,LE_Curves!$D$5:$D$205,1))+($B145-INDEX(LE_Curves!$D$5:$D$205,MATCH($B145,LE_Curves!$D$5:$D$205,1)))*(INDEX(LE_Curves!$B$5:$B$205,MATCH($B145,LE_Curves!$D$5:$D$205,1)+1)-INDEX(LE_Curves!$B$5:$B$205,MATCH($B145,LE_Curves!$D$5:$D$205,1)))/(INDEX(LE_Curves!$D$5:$D$205,MATCH($B145,LE_Curves!$D$5:$D$205,1)+1)-INDEX(LE_Curves!$D$5:$D$205,MATCH($B145,LE_Curves!$D$5:$D$205,1))))))</f>
        <v/>
      </c>
      <c r="E145" s="11">
        <f>IF(Inputs!$D$25=0,0,IF($B145&lt;=Inputs!$C$25,0,IF($B145&gt;=INDEX(LE_Curves!$E$5:$E$205,201),INDEX(LE_Curves!$B$5:$B$205,201),INDEX(LE_Curves!$B$5:$B$205,MATCH($B145,LE_Curves!$E$5:$E$205,1))+($B145-INDEX(LE_Curves!$E$5:$E$205,MATCH($B145,LE_Curves!$E$5:$E$205,1)))*(INDEX(LE_Curves!$B$5:$B$205,MATCH($B145,LE_Curves!$E$5:$E$205,1)+1)-INDEX(LE_Curves!$B$5:$B$205,MATCH($B145,LE_Curves!$E$5:$E$205,1)))/(INDEX(LE_Curves!$E$5:$E$205,MATCH($B145,LE_Curves!$E$5:$E$205,1)+1)-INDEX(LE_Curves!$E$5:$E$205,MATCH($B145,LE_Curves!$E$5:$E$205,1))))))</f>
        <v/>
      </c>
      <c r="F145" s="11">
        <f>IF(Inputs!$D$26=0,0,IF($B145&lt;=Inputs!$C$26,0,IF($B145&gt;=INDEX(LE_Curves!$F$5:$F$205,201),INDEX(LE_Curves!$B$5:$B$205,201),INDEX(LE_Curves!$B$5:$B$205,MATCH($B145,LE_Curves!$F$5:$F$205,1))+($B145-INDEX(LE_Curves!$F$5:$F$205,MATCH($B145,LE_Curves!$F$5:$F$205,1)))*(INDEX(LE_Curves!$B$5:$B$205,MATCH($B145,LE_Curves!$F$5:$F$205,1)+1)-INDEX(LE_Curves!$B$5:$B$205,MATCH($B145,LE_Curves!$F$5:$F$205,1)))/(INDEX(LE_Curves!$F$5:$F$205,MATCH($B145,LE_Curves!$F$5:$F$205,1)+1)-INDEX(LE_Curves!$F$5:$F$205,MATCH($B145,LE_Curves!$F$5:$F$205,1))))))</f>
        <v/>
      </c>
      <c r="G145" s="11">
        <f>IF(Inputs!$D$27=0,0,IF($B145&lt;=Inputs!$C$27,0,IF($B145&gt;=INDEX(LE_Curves!$G$5:$G$205,201),INDEX(LE_Curves!$B$5:$B$205,201),INDEX(LE_Curves!$B$5:$B$205,MATCH($B145,LE_Curves!$G$5:$G$205,1))+($B145-INDEX(LE_Curves!$G$5:$G$205,MATCH($B145,LE_Curves!$G$5:$G$205,1)))*(INDEX(LE_Curves!$B$5:$B$205,MATCH($B145,LE_Curves!$G$5:$G$205,1)+1)-INDEX(LE_Curves!$B$5:$B$205,MATCH($B145,LE_Curves!$G$5:$G$205,1)))/(INDEX(LE_Curves!$G$5:$G$205,MATCH($B145,LE_Curves!$G$5:$G$205,1)+1)-INDEX(LE_Curves!$G$5:$G$205,MATCH($B145,LE_Curves!$G$5:$G$205,1))))))</f>
        <v/>
      </c>
      <c r="H145" s="11">
        <f>IF(Inputs!$D$28=0,0,IF($B145&lt;=Inputs!$C$28,0,IF($B145&gt;=INDEX(LE_Curves!$H$5:$H$205,201),INDEX(LE_Curves!$B$5:$B$205,201),INDEX(LE_Curves!$B$5:$B$205,MATCH($B145,LE_Curves!$H$5:$H$205,1))+($B145-INDEX(LE_Curves!$H$5:$H$205,MATCH($B145,LE_Curves!$H$5:$H$205,1)))*(INDEX(LE_Curves!$B$5:$B$205,MATCH($B145,LE_Curves!$H$5:$H$205,1)+1)-INDEX(LE_Curves!$B$5:$B$205,MATCH($B145,LE_Curves!$H$5:$H$205,1)))/(INDEX(LE_Curves!$H$5:$H$205,MATCH($B145,LE_Curves!$H$5:$H$205,1)+1)-INDEX(LE_Curves!$H$5:$H$205,MATCH($B145,LE_Curves!$H$5:$H$205,1))))))</f>
        <v/>
      </c>
      <c r="I145" s="11">
        <f>IF(Inputs!$D$29=0,0,IF($B145&lt;=Inputs!$C$29,0,IF($B145&gt;=INDEX(LE_Curves!$I$5:$I$205,201),INDEX(LE_Curves!$B$5:$B$205,201),INDEX(LE_Curves!$B$5:$B$205,MATCH($B145,LE_Curves!$I$5:$I$205,1))+($B145-INDEX(LE_Curves!$I$5:$I$205,MATCH($B145,LE_Curves!$I$5:$I$205,1)))*(INDEX(LE_Curves!$B$5:$B$205,MATCH($B145,LE_Curves!$I$5:$I$205,1)+1)-INDEX(LE_Curves!$B$5:$B$205,MATCH($B145,LE_Curves!$I$5:$I$205,1)))/(INDEX(LE_Curves!$I$5:$I$205,MATCH($B145,LE_Curves!$I$5:$I$205,1)+1)-INDEX(LE_Curves!$I$5:$I$205,MATCH($B145,LE_Curves!$I$5:$I$205,1))))))</f>
        <v/>
      </c>
      <c r="J145" s="11">
        <f>IF(Inputs!$D$30=0,0,IF($B145&lt;=Inputs!$C$30,0,IF($B145&gt;=INDEX(LE_Curves!$J$5:$J$205,201),INDEX(LE_Curves!$B$5:$B$205,201),INDEX(LE_Curves!$B$5:$B$205,MATCH($B145,LE_Curves!$J$5:$J$205,1))+($B145-INDEX(LE_Curves!$J$5:$J$205,MATCH($B145,LE_Curves!$J$5:$J$205,1)))*(INDEX(LE_Curves!$B$5:$B$205,MATCH($B145,LE_Curves!$J$5:$J$205,1)+1)-INDEX(LE_Curves!$B$5:$B$205,MATCH($B145,LE_Curves!$J$5:$J$205,1)))/(INDEX(LE_Curves!$J$5:$J$205,MATCH($B145,LE_Curves!$J$5:$J$205,1)+1)-INDEX(LE_Curves!$J$5:$J$205,MATCH($B145,LE_Curves!$J$5:$J$205,1))))))</f>
        <v/>
      </c>
      <c r="K145" s="11">
        <f>IF(Inputs!$D$31=0,0,IF($B145&lt;=Inputs!$C$31,0,IF($B145&gt;=INDEX(LE_Curves!$K$5:$K$205,201),INDEX(LE_Curves!$B$5:$B$205,201),INDEX(LE_Curves!$B$5:$B$205,MATCH($B145,LE_Curves!$K$5:$K$205,1))+($B145-INDEX(LE_Curves!$K$5:$K$205,MATCH($B145,LE_Curves!$K$5:$K$205,1)))*(INDEX(LE_Curves!$B$5:$B$205,MATCH($B145,LE_Curves!$K$5:$K$205,1)+1)-INDEX(LE_Curves!$B$5:$B$205,MATCH($B145,LE_Curves!$K$5:$K$205,1)))/(INDEX(LE_Curves!$K$5:$K$205,MATCH($B145,LE_Curves!$K$5:$K$205,1)+1)-INDEX(LE_Curves!$K$5:$K$205,MATCH($B145,LE_Curves!$K$5:$K$205,1))))))</f>
        <v/>
      </c>
      <c r="L145" s="11">
        <f>IF(Inputs!$D$32=0,0,IF($B145&lt;=Inputs!$C$32,0,IF($B145&gt;=INDEX(LE_Curves!$L$5:$L$205,201),INDEX(LE_Curves!$B$5:$B$205,201),INDEX(LE_Curves!$B$5:$B$205,MATCH($B145,LE_Curves!$L$5:$L$205,1))+($B145-INDEX(LE_Curves!$L$5:$L$205,MATCH($B145,LE_Curves!$L$5:$L$205,1)))*(INDEX(LE_Curves!$B$5:$B$205,MATCH($B145,LE_Curves!$L$5:$L$205,1)+1)-INDEX(LE_Curves!$B$5:$B$205,MATCH($B145,LE_Curves!$L$5:$L$205,1)))/(INDEX(LE_Curves!$L$5:$L$205,MATCH($B145,LE_Curves!$L$5:$L$205,1)+1)-INDEX(LE_Curves!$L$5:$L$205,MATCH($B145,LE_Curves!$L$5:$L$205,1))))))</f>
        <v/>
      </c>
      <c r="M145" s="11">
        <f>IF(Inputs!$D$33=0,0,IF($B145&lt;=Inputs!$C$33,0,IF($B145&gt;=INDEX(LE_Curves!$M$5:$M$205,201),INDEX(LE_Curves!$B$5:$B$205,201),INDEX(LE_Curves!$B$5:$B$205,MATCH($B145,LE_Curves!$M$5:$M$205,1))+($B145-INDEX(LE_Curves!$M$5:$M$205,MATCH($B145,LE_Curves!$M$5:$M$205,1)))*(INDEX(LE_Curves!$B$5:$B$205,MATCH($B145,LE_Curves!$M$5:$M$205,1)+1)-INDEX(LE_Curves!$B$5:$B$205,MATCH($B145,LE_Curves!$M$5:$M$205,1)))/(INDEX(LE_Curves!$M$5:$M$205,MATCH($B145,LE_Curves!$M$5:$M$205,1)+1)-INDEX(LE_Curves!$M$5:$M$205,MATCH($B145,LE_Curves!$M$5:$M$205,1))))))</f>
        <v/>
      </c>
      <c r="N145" s="11">
        <f>IF(Inputs!$D$34=0,0,IF($B145&lt;=Inputs!$C$34,0,IF($B145&gt;=INDEX(LE_Curves!$N$5:$N$205,201),INDEX(LE_Curves!$B$5:$B$205,201),INDEX(LE_Curves!$B$5:$B$205,MATCH($B145,LE_Curves!$N$5:$N$205,1))+($B145-INDEX(LE_Curves!$N$5:$N$205,MATCH($B145,LE_Curves!$N$5:$N$205,1)))*(INDEX(LE_Curves!$B$5:$B$205,MATCH($B145,LE_Curves!$N$5:$N$205,1)+1)-INDEX(LE_Curves!$B$5:$B$205,MATCH($B145,LE_Curves!$N$5:$N$205,1)))/(INDEX(LE_Curves!$N$5:$N$205,MATCH($B145,LE_Curves!$N$5:$N$205,1)+1)-INDEX(LE_Curves!$N$5:$N$205,MATCH($B145,LE_Curves!$N$5:$N$205,1))))))</f>
        <v/>
      </c>
      <c r="O145" s="11">
        <f>SUM(C145:N145)</f>
        <v/>
      </c>
      <c r="Q145" s="7" t="n">
        <v>114</v>
      </c>
      <c r="R145" s="23">
        <f>$B$6+($B$7-$B$6)*Q145/200</f>
        <v/>
      </c>
      <c r="S145" s="11">
        <f>IF(Inputs!$D$23=0,0,IF($R145&lt;=Inputs!$C$23,0,IF($R145&gt;=INDEX(LE_Curves!$C$5:$C$205,201),INDEX(LE_Curves!$B$5:$B$205,201),INDEX(LE_Curves!$B$5:$B$205,MATCH($R145,LE_Curves!$C$5:$C$205,1))+($R145-INDEX(LE_Curves!$C$5:$C$205,MATCH($R145,LE_Curves!$C$5:$C$205,1)))*(INDEX(LE_Curves!$B$5:$B$205,MATCH($R145,LE_Curves!$C$5:$C$205,1)+1)-INDEX(LE_Curves!$B$5:$B$205,MATCH($R145,LE_Curves!$C$5:$C$205,1)))/(INDEX(LE_Curves!$C$5:$C$205,MATCH($R145,LE_Curves!$C$5:$C$205,1)+1)-INDEX(LE_Curves!$C$5:$C$205,MATCH($R145,LE_Curves!$C$5:$C$205,1))))))</f>
        <v/>
      </c>
      <c r="T145" s="11">
        <f>IF(Inputs!$D$24=0,0,IF($R145&lt;=Inputs!$C$24,0,IF($R145&gt;=INDEX(LE_Curves!$D$5:$D$205,201),INDEX(LE_Curves!$B$5:$B$205,201),INDEX(LE_Curves!$B$5:$B$205,MATCH($R145,LE_Curves!$D$5:$D$205,1))+($R145-INDEX(LE_Curves!$D$5:$D$205,MATCH($R145,LE_Curves!$D$5:$D$205,1)))*(INDEX(LE_Curves!$B$5:$B$205,MATCH($R145,LE_Curves!$D$5:$D$205,1)+1)-INDEX(LE_Curves!$B$5:$B$205,MATCH($R145,LE_Curves!$D$5:$D$205,1)))/(INDEX(LE_Curves!$D$5:$D$205,MATCH($R145,LE_Curves!$D$5:$D$205,1)+1)-INDEX(LE_Curves!$D$5:$D$205,MATCH($R145,LE_Curves!$D$5:$D$205,1))))))</f>
        <v/>
      </c>
      <c r="U145" s="11">
        <f>IF(Inputs!$D$25=0,0,IF($R145&lt;=Inputs!$C$25,0,IF($R145&gt;=INDEX(LE_Curves!$E$5:$E$205,201),INDEX(LE_Curves!$B$5:$B$205,201),INDEX(LE_Curves!$B$5:$B$205,MATCH($R145,LE_Curves!$E$5:$E$205,1))+($R145-INDEX(LE_Curves!$E$5:$E$205,MATCH($R145,LE_Curves!$E$5:$E$205,1)))*(INDEX(LE_Curves!$B$5:$B$205,MATCH($R145,LE_Curves!$E$5:$E$205,1)+1)-INDEX(LE_Curves!$B$5:$B$205,MATCH($R145,LE_Curves!$E$5:$E$205,1)))/(INDEX(LE_Curves!$E$5:$E$205,MATCH($R145,LE_Curves!$E$5:$E$205,1)+1)-INDEX(LE_Curves!$E$5:$E$205,MATCH($R145,LE_Curves!$E$5:$E$205,1))))))</f>
        <v/>
      </c>
      <c r="V145" s="11">
        <f>IF(Inputs!$D$26=0,0,IF($R145&lt;=Inputs!$C$26,0,IF($R145&gt;=INDEX(LE_Curves!$F$5:$F$205,201),INDEX(LE_Curves!$B$5:$B$205,201),INDEX(LE_Curves!$B$5:$B$205,MATCH($R145,LE_Curves!$F$5:$F$205,1))+($R145-INDEX(LE_Curves!$F$5:$F$205,MATCH($R145,LE_Curves!$F$5:$F$205,1)))*(INDEX(LE_Curves!$B$5:$B$205,MATCH($R145,LE_Curves!$F$5:$F$205,1)+1)-INDEX(LE_Curves!$B$5:$B$205,MATCH($R145,LE_Curves!$F$5:$F$205,1)))/(INDEX(LE_Curves!$F$5:$F$205,MATCH($R145,LE_Curves!$F$5:$F$205,1)+1)-INDEX(LE_Curves!$F$5:$F$205,MATCH($R145,LE_Curves!$F$5:$F$205,1))))))</f>
        <v/>
      </c>
      <c r="W145" s="11">
        <f>IF(Inputs!$D$27=0,0,IF($R145&lt;=Inputs!$C$27,0,IF($R145&gt;=INDEX(LE_Curves!$G$5:$G$205,201),INDEX(LE_Curves!$B$5:$B$205,201),INDEX(LE_Curves!$B$5:$B$205,MATCH($R145,LE_Curves!$G$5:$G$205,1))+($R145-INDEX(LE_Curves!$G$5:$G$205,MATCH($R145,LE_Curves!$G$5:$G$205,1)))*(INDEX(LE_Curves!$B$5:$B$205,MATCH($R145,LE_Curves!$G$5:$G$205,1)+1)-INDEX(LE_Curves!$B$5:$B$205,MATCH($R145,LE_Curves!$G$5:$G$205,1)))/(INDEX(LE_Curves!$G$5:$G$205,MATCH($R145,LE_Curves!$G$5:$G$205,1)+1)-INDEX(LE_Curves!$G$5:$G$205,MATCH($R145,LE_Curves!$G$5:$G$205,1))))))</f>
        <v/>
      </c>
      <c r="X145" s="11">
        <f>IF(Inputs!$D$28=0,0,IF($R145&lt;=Inputs!$C$28,0,IF($R145&gt;=INDEX(LE_Curves!$H$5:$H$205,201),INDEX(LE_Curves!$B$5:$B$205,201),INDEX(LE_Curves!$B$5:$B$205,MATCH($R145,LE_Curves!$H$5:$H$205,1))+($R145-INDEX(LE_Curves!$H$5:$H$205,MATCH($R145,LE_Curves!$H$5:$H$205,1)))*(INDEX(LE_Curves!$B$5:$B$205,MATCH($R145,LE_Curves!$H$5:$H$205,1)+1)-INDEX(LE_Curves!$B$5:$B$205,MATCH($R145,LE_Curves!$H$5:$H$205,1)))/(INDEX(LE_Curves!$H$5:$H$205,MATCH($R145,LE_Curves!$H$5:$H$205,1)+1)-INDEX(LE_Curves!$H$5:$H$205,MATCH($R145,LE_Curves!$H$5:$H$205,1))))))</f>
        <v/>
      </c>
      <c r="Y145" s="11">
        <f>IF(Inputs!$D$29=0,0,IF($R145&lt;=Inputs!$C$29,0,IF($R145&gt;=INDEX(LE_Curves!$I$5:$I$205,201),INDEX(LE_Curves!$B$5:$B$205,201),INDEX(LE_Curves!$B$5:$B$205,MATCH($R145,LE_Curves!$I$5:$I$205,1))+($R145-INDEX(LE_Curves!$I$5:$I$205,MATCH($R145,LE_Curves!$I$5:$I$205,1)))*(INDEX(LE_Curves!$B$5:$B$205,MATCH($R145,LE_Curves!$I$5:$I$205,1)+1)-INDEX(LE_Curves!$B$5:$B$205,MATCH($R145,LE_Curves!$I$5:$I$205,1)))/(INDEX(LE_Curves!$I$5:$I$205,MATCH($R145,LE_Curves!$I$5:$I$205,1)+1)-INDEX(LE_Curves!$I$5:$I$205,MATCH($R145,LE_Curves!$I$5:$I$205,1))))))</f>
        <v/>
      </c>
      <c r="Z145" s="11">
        <f>IF(Inputs!$D$30=0,0,IF($R145&lt;=Inputs!$C$30,0,IF($R145&gt;=INDEX(LE_Curves!$J$5:$J$205,201),INDEX(LE_Curves!$B$5:$B$205,201),INDEX(LE_Curves!$B$5:$B$205,MATCH($R145,LE_Curves!$J$5:$J$205,1))+($R145-INDEX(LE_Curves!$J$5:$J$205,MATCH($R145,LE_Curves!$J$5:$J$205,1)))*(INDEX(LE_Curves!$B$5:$B$205,MATCH($R145,LE_Curves!$J$5:$J$205,1)+1)-INDEX(LE_Curves!$B$5:$B$205,MATCH($R145,LE_Curves!$J$5:$J$205,1)))/(INDEX(LE_Curves!$J$5:$J$205,MATCH($R145,LE_Curves!$J$5:$J$205,1)+1)-INDEX(LE_Curves!$J$5:$J$205,MATCH($R145,LE_Curves!$J$5:$J$205,1))))))</f>
        <v/>
      </c>
      <c r="AA145" s="11">
        <f>IF(Inputs!$D$31=0,0,IF($R145&lt;=Inputs!$C$31,0,IF($R145&gt;=INDEX(LE_Curves!$K$5:$K$205,201),INDEX(LE_Curves!$B$5:$B$205,201),INDEX(LE_Curves!$B$5:$B$205,MATCH($R145,LE_Curves!$K$5:$K$205,1))+($R145-INDEX(LE_Curves!$K$5:$K$205,MATCH($R145,LE_Curves!$K$5:$K$205,1)))*(INDEX(LE_Curves!$B$5:$B$205,MATCH($R145,LE_Curves!$K$5:$K$205,1)+1)-INDEX(LE_Curves!$B$5:$B$205,MATCH($R145,LE_Curves!$K$5:$K$205,1)))/(INDEX(LE_Curves!$K$5:$K$205,MATCH($R145,LE_Curves!$K$5:$K$205,1)+1)-INDEX(LE_Curves!$K$5:$K$205,MATCH($R145,LE_Curves!$K$5:$K$205,1))))))</f>
        <v/>
      </c>
      <c r="AB145" s="11">
        <f>IF(Inputs!$D$32=0,0,IF($R145&lt;=Inputs!$C$32,0,IF($R145&gt;=INDEX(LE_Curves!$L$5:$L$205,201),INDEX(LE_Curves!$B$5:$B$205,201),INDEX(LE_Curves!$B$5:$B$205,MATCH($R145,LE_Curves!$L$5:$L$205,1))+($R145-INDEX(LE_Curves!$L$5:$L$205,MATCH($R145,LE_Curves!$L$5:$L$205,1)))*(INDEX(LE_Curves!$B$5:$B$205,MATCH($R145,LE_Curves!$L$5:$L$205,1)+1)-INDEX(LE_Curves!$B$5:$B$205,MATCH($R145,LE_Curves!$L$5:$L$205,1)))/(INDEX(LE_Curves!$L$5:$L$205,MATCH($R145,LE_Curves!$L$5:$L$205,1)+1)-INDEX(LE_Curves!$L$5:$L$205,MATCH($R145,LE_Curves!$L$5:$L$205,1))))))</f>
        <v/>
      </c>
      <c r="AC145" s="11">
        <f>IF(Inputs!$D$33=0,0,IF($R145&lt;=Inputs!$C$33,0,IF($R145&gt;=INDEX(LE_Curves!$M$5:$M$205,201),INDEX(LE_Curves!$B$5:$B$205,201),INDEX(LE_Curves!$B$5:$B$205,MATCH($R145,LE_Curves!$M$5:$M$205,1))+($R145-INDEX(LE_Curves!$M$5:$M$205,MATCH($R145,LE_Curves!$M$5:$M$205,1)))*(INDEX(LE_Curves!$B$5:$B$205,MATCH($R145,LE_Curves!$M$5:$M$205,1)+1)-INDEX(LE_Curves!$B$5:$B$205,MATCH($R145,LE_Curves!$M$5:$M$205,1)))/(INDEX(LE_Curves!$M$5:$M$205,MATCH($R145,LE_Curves!$M$5:$M$205,1)+1)-INDEX(LE_Curves!$M$5:$M$205,MATCH($R145,LE_Curves!$M$5:$M$205,1))))))</f>
        <v/>
      </c>
      <c r="AD145" s="11">
        <f>IF(Inputs!$D$34=0,0,IF($R145&lt;=Inputs!$C$34,0,IF($R145&gt;=INDEX(LE_Curves!$N$5:$N$205,201),INDEX(LE_Curves!$B$5:$B$205,201),INDEX(LE_Curves!$B$5:$B$205,MATCH($R145,LE_Curves!$N$5:$N$205,1))+($R145-INDEX(LE_Curves!$N$5:$N$205,MATCH($R145,LE_Curves!$N$5:$N$205,1)))*(INDEX(LE_Curves!$B$5:$B$205,MATCH($R145,LE_Curves!$N$5:$N$205,1)+1)-INDEX(LE_Curves!$B$5:$B$205,MATCH($R145,LE_Curves!$N$5:$N$205,1)))/(INDEX(LE_Curves!$N$5:$N$205,MATCH($R145,LE_Curves!$N$5:$N$205,1)+1)-INDEX(LE_Curves!$N$5:$N$205,MATCH($R145,LE_Curves!$N$5:$N$205,1))))))</f>
        <v/>
      </c>
      <c r="AE145" s="37">
        <f>SUM(S145:AD145)</f>
        <v/>
      </c>
    </row>
    <row r="146">
      <c r="A146" s="7" t="n">
        <v>115</v>
      </c>
      <c r="B146" s="37">
        <f>$B$3+($B$4-$B$3)*A146/200</f>
        <v/>
      </c>
      <c r="C146" s="11">
        <f>IF(Inputs!$D$23=0,0,IF($B146&lt;=Inputs!$C$23,0,IF($B146&gt;=INDEX(LE_Curves!$C$5:$C$205,201),INDEX(LE_Curves!$B$5:$B$205,201),INDEX(LE_Curves!$B$5:$B$205,MATCH($B146,LE_Curves!$C$5:$C$205,1))+($B146-INDEX(LE_Curves!$C$5:$C$205,MATCH($B146,LE_Curves!$C$5:$C$205,1)))*(INDEX(LE_Curves!$B$5:$B$205,MATCH($B146,LE_Curves!$C$5:$C$205,1)+1)-INDEX(LE_Curves!$B$5:$B$205,MATCH($B146,LE_Curves!$C$5:$C$205,1)))/(INDEX(LE_Curves!$C$5:$C$205,MATCH($B146,LE_Curves!$C$5:$C$205,1)+1)-INDEX(LE_Curves!$C$5:$C$205,MATCH($B146,LE_Curves!$C$5:$C$205,1))))))</f>
        <v/>
      </c>
      <c r="D146" s="11">
        <f>IF(Inputs!$D$24=0,0,IF($B146&lt;=Inputs!$C$24,0,IF($B146&gt;=INDEX(LE_Curves!$D$5:$D$205,201),INDEX(LE_Curves!$B$5:$B$205,201),INDEX(LE_Curves!$B$5:$B$205,MATCH($B146,LE_Curves!$D$5:$D$205,1))+($B146-INDEX(LE_Curves!$D$5:$D$205,MATCH($B146,LE_Curves!$D$5:$D$205,1)))*(INDEX(LE_Curves!$B$5:$B$205,MATCH($B146,LE_Curves!$D$5:$D$205,1)+1)-INDEX(LE_Curves!$B$5:$B$205,MATCH($B146,LE_Curves!$D$5:$D$205,1)))/(INDEX(LE_Curves!$D$5:$D$205,MATCH($B146,LE_Curves!$D$5:$D$205,1)+1)-INDEX(LE_Curves!$D$5:$D$205,MATCH($B146,LE_Curves!$D$5:$D$205,1))))))</f>
        <v/>
      </c>
      <c r="E146" s="11">
        <f>IF(Inputs!$D$25=0,0,IF($B146&lt;=Inputs!$C$25,0,IF($B146&gt;=INDEX(LE_Curves!$E$5:$E$205,201),INDEX(LE_Curves!$B$5:$B$205,201),INDEX(LE_Curves!$B$5:$B$205,MATCH($B146,LE_Curves!$E$5:$E$205,1))+($B146-INDEX(LE_Curves!$E$5:$E$205,MATCH($B146,LE_Curves!$E$5:$E$205,1)))*(INDEX(LE_Curves!$B$5:$B$205,MATCH($B146,LE_Curves!$E$5:$E$205,1)+1)-INDEX(LE_Curves!$B$5:$B$205,MATCH($B146,LE_Curves!$E$5:$E$205,1)))/(INDEX(LE_Curves!$E$5:$E$205,MATCH($B146,LE_Curves!$E$5:$E$205,1)+1)-INDEX(LE_Curves!$E$5:$E$205,MATCH($B146,LE_Curves!$E$5:$E$205,1))))))</f>
        <v/>
      </c>
      <c r="F146" s="11">
        <f>IF(Inputs!$D$26=0,0,IF($B146&lt;=Inputs!$C$26,0,IF($B146&gt;=INDEX(LE_Curves!$F$5:$F$205,201),INDEX(LE_Curves!$B$5:$B$205,201),INDEX(LE_Curves!$B$5:$B$205,MATCH($B146,LE_Curves!$F$5:$F$205,1))+($B146-INDEX(LE_Curves!$F$5:$F$205,MATCH($B146,LE_Curves!$F$5:$F$205,1)))*(INDEX(LE_Curves!$B$5:$B$205,MATCH($B146,LE_Curves!$F$5:$F$205,1)+1)-INDEX(LE_Curves!$B$5:$B$205,MATCH($B146,LE_Curves!$F$5:$F$205,1)))/(INDEX(LE_Curves!$F$5:$F$205,MATCH($B146,LE_Curves!$F$5:$F$205,1)+1)-INDEX(LE_Curves!$F$5:$F$205,MATCH($B146,LE_Curves!$F$5:$F$205,1))))))</f>
        <v/>
      </c>
      <c r="G146" s="11">
        <f>IF(Inputs!$D$27=0,0,IF($B146&lt;=Inputs!$C$27,0,IF($B146&gt;=INDEX(LE_Curves!$G$5:$G$205,201),INDEX(LE_Curves!$B$5:$B$205,201),INDEX(LE_Curves!$B$5:$B$205,MATCH($B146,LE_Curves!$G$5:$G$205,1))+($B146-INDEX(LE_Curves!$G$5:$G$205,MATCH($B146,LE_Curves!$G$5:$G$205,1)))*(INDEX(LE_Curves!$B$5:$B$205,MATCH($B146,LE_Curves!$G$5:$G$205,1)+1)-INDEX(LE_Curves!$B$5:$B$205,MATCH($B146,LE_Curves!$G$5:$G$205,1)))/(INDEX(LE_Curves!$G$5:$G$205,MATCH($B146,LE_Curves!$G$5:$G$205,1)+1)-INDEX(LE_Curves!$G$5:$G$205,MATCH($B146,LE_Curves!$G$5:$G$205,1))))))</f>
        <v/>
      </c>
      <c r="H146" s="11">
        <f>IF(Inputs!$D$28=0,0,IF($B146&lt;=Inputs!$C$28,0,IF($B146&gt;=INDEX(LE_Curves!$H$5:$H$205,201),INDEX(LE_Curves!$B$5:$B$205,201),INDEX(LE_Curves!$B$5:$B$205,MATCH($B146,LE_Curves!$H$5:$H$205,1))+($B146-INDEX(LE_Curves!$H$5:$H$205,MATCH($B146,LE_Curves!$H$5:$H$205,1)))*(INDEX(LE_Curves!$B$5:$B$205,MATCH($B146,LE_Curves!$H$5:$H$205,1)+1)-INDEX(LE_Curves!$B$5:$B$205,MATCH($B146,LE_Curves!$H$5:$H$205,1)))/(INDEX(LE_Curves!$H$5:$H$205,MATCH($B146,LE_Curves!$H$5:$H$205,1)+1)-INDEX(LE_Curves!$H$5:$H$205,MATCH($B146,LE_Curves!$H$5:$H$205,1))))))</f>
        <v/>
      </c>
      <c r="I146" s="11">
        <f>IF(Inputs!$D$29=0,0,IF($B146&lt;=Inputs!$C$29,0,IF($B146&gt;=INDEX(LE_Curves!$I$5:$I$205,201),INDEX(LE_Curves!$B$5:$B$205,201),INDEX(LE_Curves!$B$5:$B$205,MATCH($B146,LE_Curves!$I$5:$I$205,1))+($B146-INDEX(LE_Curves!$I$5:$I$205,MATCH($B146,LE_Curves!$I$5:$I$205,1)))*(INDEX(LE_Curves!$B$5:$B$205,MATCH($B146,LE_Curves!$I$5:$I$205,1)+1)-INDEX(LE_Curves!$B$5:$B$205,MATCH($B146,LE_Curves!$I$5:$I$205,1)))/(INDEX(LE_Curves!$I$5:$I$205,MATCH($B146,LE_Curves!$I$5:$I$205,1)+1)-INDEX(LE_Curves!$I$5:$I$205,MATCH($B146,LE_Curves!$I$5:$I$205,1))))))</f>
        <v/>
      </c>
      <c r="J146" s="11">
        <f>IF(Inputs!$D$30=0,0,IF($B146&lt;=Inputs!$C$30,0,IF($B146&gt;=INDEX(LE_Curves!$J$5:$J$205,201),INDEX(LE_Curves!$B$5:$B$205,201),INDEX(LE_Curves!$B$5:$B$205,MATCH($B146,LE_Curves!$J$5:$J$205,1))+($B146-INDEX(LE_Curves!$J$5:$J$205,MATCH($B146,LE_Curves!$J$5:$J$205,1)))*(INDEX(LE_Curves!$B$5:$B$205,MATCH($B146,LE_Curves!$J$5:$J$205,1)+1)-INDEX(LE_Curves!$B$5:$B$205,MATCH($B146,LE_Curves!$J$5:$J$205,1)))/(INDEX(LE_Curves!$J$5:$J$205,MATCH($B146,LE_Curves!$J$5:$J$205,1)+1)-INDEX(LE_Curves!$J$5:$J$205,MATCH($B146,LE_Curves!$J$5:$J$205,1))))))</f>
        <v/>
      </c>
      <c r="K146" s="11">
        <f>IF(Inputs!$D$31=0,0,IF($B146&lt;=Inputs!$C$31,0,IF($B146&gt;=INDEX(LE_Curves!$K$5:$K$205,201),INDEX(LE_Curves!$B$5:$B$205,201),INDEX(LE_Curves!$B$5:$B$205,MATCH($B146,LE_Curves!$K$5:$K$205,1))+($B146-INDEX(LE_Curves!$K$5:$K$205,MATCH($B146,LE_Curves!$K$5:$K$205,1)))*(INDEX(LE_Curves!$B$5:$B$205,MATCH($B146,LE_Curves!$K$5:$K$205,1)+1)-INDEX(LE_Curves!$B$5:$B$205,MATCH($B146,LE_Curves!$K$5:$K$205,1)))/(INDEX(LE_Curves!$K$5:$K$205,MATCH($B146,LE_Curves!$K$5:$K$205,1)+1)-INDEX(LE_Curves!$K$5:$K$205,MATCH($B146,LE_Curves!$K$5:$K$205,1))))))</f>
        <v/>
      </c>
      <c r="L146" s="11">
        <f>IF(Inputs!$D$32=0,0,IF($B146&lt;=Inputs!$C$32,0,IF($B146&gt;=INDEX(LE_Curves!$L$5:$L$205,201),INDEX(LE_Curves!$B$5:$B$205,201),INDEX(LE_Curves!$B$5:$B$205,MATCH($B146,LE_Curves!$L$5:$L$205,1))+($B146-INDEX(LE_Curves!$L$5:$L$205,MATCH($B146,LE_Curves!$L$5:$L$205,1)))*(INDEX(LE_Curves!$B$5:$B$205,MATCH($B146,LE_Curves!$L$5:$L$205,1)+1)-INDEX(LE_Curves!$B$5:$B$205,MATCH($B146,LE_Curves!$L$5:$L$205,1)))/(INDEX(LE_Curves!$L$5:$L$205,MATCH($B146,LE_Curves!$L$5:$L$205,1)+1)-INDEX(LE_Curves!$L$5:$L$205,MATCH($B146,LE_Curves!$L$5:$L$205,1))))))</f>
        <v/>
      </c>
      <c r="M146" s="11">
        <f>IF(Inputs!$D$33=0,0,IF($B146&lt;=Inputs!$C$33,0,IF($B146&gt;=INDEX(LE_Curves!$M$5:$M$205,201),INDEX(LE_Curves!$B$5:$B$205,201),INDEX(LE_Curves!$B$5:$B$205,MATCH($B146,LE_Curves!$M$5:$M$205,1))+($B146-INDEX(LE_Curves!$M$5:$M$205,MATCH($B146,LE_Curves!$M$5:$M$205,1)))*(INDEX(LE_Curves!$B$5:$B$205,MATCH($B146,LE_Curves!$M$5:$M$205,1)+1)-INDEX(LE_Curves!$B$5:$B$205,MATCH($B146,LE_Curves!$M$5:$M$205,1)))/(INDEX(LE_Curves!$M$5:$M$205,MATCH($B146,LE_Curves!$M$5:$M$205,1)+1)-INDEX(LE_Curves!$M$5:$M$205,MATCH($B146,LE_Curves!$M$5:$M$205,1))))))</f>
        <v/>
      </c>
      <c r="N146" s="11">
        <f>IF(Inputs!$D$34=0,0,IF($B146&lt;=Inputs!$C$34,0,IF($B146&gt;=INDEX(LE_Curves!$N$5:$N$205,201),INDEX(LE_Curves!$B$5:$B$205,201),INDEX(LE_Curves!$B$5:$B$205,MATCH($B146,LE_Curves!$N$5:$N$205,1))+($B146-INDEX(LE_Curves!$N$5:$N$205,MATCH($B146,LE_Curves!$N$5:$N$205,1)))*(INDEX(LE_Curves!$B$5:$B$205,MATCH($B146,LE_Curves!$N$5:$N$205,1)+1)-INDEX(LE_Curves!$B$5:$B$205,MATCH($B146,LE_Curves!$N$5:$N$205,1)))/(INDEX(LE_Curves!$N$5:$N$205,MATCH($B146,LE_Curves!$N$5:$N$205,1)+1)-INDEX(LE_Curves!$N$5:$N$205,MATCH($B146,LE_Curves!$N$5:$N$205,1))))))</f>
        <v/>
      </c>
      <c r="O146" s="11">
        <f>SUM(C146:N146)</f>
        <v/>
      </c>
      <c r="Q146" s="7" t="n">
        <v>115</v>
      </c>
      <c r="R146" s="23">
        <f>$B$6+($B$7-$B$6)*Q146/200</f>
        <v/>
      </c>
      <c r="S146" s="11">
        <f>IF(Inputs!$D$23=0,0,IF($R146&lt;=Inputs!$C$23,0,IF($R146&gt;=INDEX(LE_Curves!$C$5:$C$205,201),INDEX(LE_Curves!$B$5:$B$205,201),INDEX(LE_Curves!$B$5:$B$205,MATCH($R146,LE_Curves!$C$5:$C$205,1))+($R146-INDEX(LE_Curves!$C$5:$C$205,MATCH($R146,LE_Curves!$C$5:$C$205,1)))*(INDEX(LE_Curves!$B$5:$B$205,MATCH($R146,LE_Curves!$C$5:$C$205,1)+1)-INDEX(LE_Curves!$B$5:$B$205,MATCH($R146,LE_Curves!$C$5:$C$205,1)))/(INDEX(LE_Curves!$C$5:$C$205,MATCH($R146,LE_Curves!$C$5:$C$205,1)+1)-INDEX(LE_Curves!$C$5:$C$205,MATCH($R146,LE_Curves!$C$5:$C$205,1))))))</f>
        <v/>
      </c>
      <c r="T146" s="11">
        <f>IF(Inputs!$D$24=0,0,IF($R146&lt;=Inputs!$C$24,0,IF($R146&gt;=INDEX(LE_Curves!$D$5:$D$205,201),INDEX(LE_Curves!$B$5:$B$205,201),INDEX(LE_Curves!$B$5:$B$205,MATCH($R146,LE_Curves!$D$5:$D$205,1))+($R146-INDEX(LE_Curves!$D$5:$D$205,MATCH($R146,LE_Curves!$D$5:$D$205,1)))*(INDEX(LE_Curves!$B$5:$B$205,MATCH($R146,LE_Curves!$D$5:$D$205,1)+1)-INDEX(LE_Curves!$B$5:$B$205,MATCH($R146,LE_Curves!$D$5:$D$205,1)))/(INDEX(LE_Curves!$D$5:$D$205,MATCH($R146,LE_Curves!$D$5:$D$205,1)+1)-INDEX(LE_Curves!$D$5:$D$205,MATCH($R146,LE_Curves!$D$5:$D$205,1))))))</f>
        <v/>
      </c>
      <c r="U146" s="11">
        <f>IF(Inputs!$D$25=0,0,IF($R146&lt;=Inputs!$C$25,0,IF($R146&gt;=INDEX(LE_Curves!$E$5:$E$205,201),INDEX(LE_Curves!$B$5:$B$205,201),INDEX(LE_Curves!$B$5:$B$205,MATCH($R146,LE_Curves!$E$5:$E$205,1))+($R146-INDEX(LE_Curves!$E$5:$E$205,MATCH($R146,LE_Curves!$E$5:$E$205,1)))*(INDEX(LE_Curves!$B$5:$B$205,MATCH($R146,LE_Curves!$E$5:$E$205,1)+1)-INDEX(LE_Curves!$B$5:$B$205,MATCH($R146,LE_Curves!$E$5:$E$205,1)))/(INDEX(LE_Curves!$E$5:$E$205,MATCH($R146,LE_Curves!$E$5:$E$205,1)+1)-INDEX(LE_Curves!$E$5:$E$205,MATCH($R146,LE_Curves!$E$5:$E$205,1))))))</f>
        <v/>
      </c>
      <c r="V146" s="11">
        <f>IF(Inputs!$D$26=0,0,IF($R146&lt;=Inputs!$C$26,0,IF($R146&gt;=INDEX(LE_Curves!$F$5:$F$205,201),INDEX(LE_Curves!$B$5:$B$205,201),INDEX(LE_Curves!$B$5:$B$205,MATCH($R146,LE_Curves!$F$5:$F$205,1))+($R146-INDEX(LE_Curves!$F$5:$F$205,MATCH($R146,LE_Curves!$F$5:$F$205,1)))*(INDEX(LE_Curves!$B$5:$B$205,MATCH($R146,LE_Curves!$F$5:$F$205,1)+1)-INDEX(LE_Curves!$B$5:$B$205,MATCH($R146,LE_Curves!$F$5:$F$205,1)))/(INDEX(LE_Curves!$F$5:$F$205,MATCH($R146,LE_Curves!$F$5:$F$205,1)+1)-INDEX(LE_Curves!$F$5:$F$205,MATCH($R146,LE_Curves!$F$5:$F$205,1))))))</f>
        <v/>
      </c>
      <c r="W146" s="11">
        <f>IF(Inputs!$D$27=0,0,IF($R146&lt;=Inputs!$C$27,0,IF($R146&gt;=INDEX(LE_Curves!$G$5:$G$205,201),INDEX(LE_Curves!$B$5:$B$205,201),INDEX(LE_Curves!$B$5:$B$205,MATCH($R146,LE_Curves!$G$5:$G$205,1))+($R146-INDEX(LE_Curves!$G$5:$G$205,MATCH($R146,LE_Curves!$G$5:$G$205,1)))*(INDEX(LE_Curves!$B$5:$B$205,MATCH($R146,LE_Curves!$G$5:$G$205,1)+1)-INDEX(LE_Curves!$B$5:$B$205,MATCH($R146,LE_Curves!$G$5:$G$205,1)))/(INDEX(LE_Curves!$G$5:$G$205,MATCH($R146,LE_Curves!$G$5:$G$205,1)+1)-INDEX(LE_Curves!$G$5:$G$205,MATCH($R146,LE_Curves!$G$5:$G$205,1))))))</f>
        <v/>
      </c>
      <c r="X146" s="11">
        <f>IF(Inputs!$D$28=0,0,IF($R146&lt;=Inputs!$C$28,0,IF($R146&gt;=INDEX(LE_Curves!$H$5:$H$205,201),INDEX(LE_Curves!$B$5:$B$205,201),INDEX(LE_Curves!$B$5:$B$205,MATCH($R146,LE_Curves!$H$5:$H$205,1))+($R146-INDEX(LE_Curves!$H$5:$H$205,MATCH($R146,LE_Curves!$H$5:$H$205,1)))*(INDEX(LE_Curves!$B$5:$B$205,MATCH($R146,LE_Curves!$H$5:$H$205,1)+1)-INDEX(LE_Curves!$B$5:$B$205,MATCH($R146,LE_Curves!$H$5:$H$205,1)))/(INDEX(LE_Curves!$H$5:$H$205,MATCH($R146,LE_Curves!$H$5:$H$205,1)+1)-INDEX(LE_Curves!$H$5:$H$205,MATCH($R146,LE_Curves!$H$5:$H$205,1))))))</f>
        <v/>
      </c>
      <c r="Y146" s="11">
        <f>IF(Inputs!$D$29=0,0,IF($R146&lt;=Inputs!$C$29,0,IF($R146&gt;=INDEX(LE_Curves!$I$5:$I$205,201),INDEX(LE_Curves!$B$5:$B$205,201),INDEX(LE_Curves!$B$5:$B$205,MATCH($R146,LE_Curves!$I$5:$I$205,1))+($R146-INDEX(LE_Curves!$I$5:$I$205,MATCH($R146,LE_Curves!$I$5:$I$205,1)))*(INDEX(LE_Curves!$B$5:$B$205,MATCH($R146,LE_Curves!$I$5:$I$205,1)+1)-INDEX(LE_Curves!$B$5:$B$205,MATCH($R146,LE_Curves!$I$5:$I$205,1)))/(INDEX(LE_Curves!$I$5:$I$205,MATCH($R146,LE_Curves!$I$5:$I$205,1)+1)-INDEX(LE_Curves!$I$5:$I$205,MATCH($R146,LE_Curves!$I$5:$I$205,1))))))</f>
        <v/>
      </c>
      <c r="Z146" s="11">
        <f>IF(Inputs!$D$30=0,0,IF($R146&lt;=Inputs!$C$30,0,IF($R146&gt;=INDEX(LE_Curves!$J$5:$J$205,201),INDEX(LE_Curves!$B$5:$B$205,201),INDEX(LE_Curves!$B$5:$B$205,MATCH($R146,LE_Curves!$J$5:$J$205,1))+($R146-INDEX(LE_Curves!$J$5:$J$205,MATCH($R146,LE_Curves!$J$5:$J$205,1)))*(INDEX(LE_Curves!$B$5:$B$205,MATCH($R146,LE_Curves!$J$5:$J$205,1)+1)-INDEX(LE_Curves!$B$5:$B$205,MATCH($R146,LE_Curves!$J$5:$J$205,1)))/(INDEX(LE_Curves!$J$5:$J$205,MATCH($R146,LE_Curves!$J$5:$J$205,1)+1)-INDEX(LE_Curves!$J$5:$J$205,MATCH($R146,LE_Curves!$J$5:$J$205,1))))))</f>
        <v/>
      </c>
      <c r="AA146" s="11">
        <f>IF(Inputs!$D$31=0,0,IF($R146&lt;=Inputs!$C$31,0,IF($R146&gt;=INDEX(LE_Curves!$K$5:$K$205,201),INDEX(LE_Curves!$B$5:$B$205,201),INDEX(LE_Curves!$B$5:$B$205,MATCH($R146,LE_Curves!$K$5:$K$205,1))+($R146-INDEX(LE_Curves!$K$5:$K$205,MATCH($R146,LE_Curves!$K$5:$K$205,1)))*(INDEX(LE_Curves!$B$5:$B$205,MATCH($R146,LE_Curves!$K$5:$K$205,1)+1)-INDEX(LE_Curves!$B$5:$B$205,MATCH($R146,LE_Curves!$K$5:$K$205,1)))/(INDEX(LE_Curves!$K$5:$K$205,MATCH($R146,LE_Curves!$K$5:$K$205,1)+1)-INDEX(LE_Curves!$K$5:$K$205,MATCH($R146,LE_Curves!$K$5:$K$205,1))))))</f>
        <v/>
      </c>
      <c r="AB146" s="11">
        <f>IF(Inputs!$D$32=0,0,IF($R146&lt;=Inputs!$C$32,0,IF($R146&gt;=INDEX(LE_Curves!$L$5:$L$205,201),INDEX(LE_Curves!$B$5:$B$205,201),INDEX(LE_Curves!$B$5:$B$205,MATCH($R146,LE_Curves!$L$5:$L$205,1))+($R146-INDEX(LE_Curves!$L$5:$L$205,MATCH($R146,LE_Curves!$L$5:$L$205,1)))*(INDEX(LE_Curves!$B$5:$B$205,MATCH($R146,LE_Curves!$L$5:$L$205,1)+1)-INDEX(LE_Curves!$B$5:$B$205,MATCH($R146,LE_Curves!$L$5:$L$205,1)))/(INDEX(LE_Curves!$L$5:$L$205,MATCH($R146,LE_Curves!$L$5:$L$205,1)+1)-INDEX(LE_Curves!$L$5:$L$205,MATCH($R146,LE_Curves!$L$5:$L$205,1))))))</f>
        <v/>
      </c>
      <c r="AC146" s="11">
        <f>IF(Inputs!$D$33=0,0,IF($R146&lt;=Inputs!$C$33,0,IF($R146&gt;=INDEX(LE_Curves!$M$5:$M$205,201),INDEX(LE_Curves!$B$5:$B$205,201),INDEX(LE_Curves!$B$5:$B$205,MATCH($R146,LE_Curves!$M$5:$M$205,1))+($R146-INDEX(LE_Curves!$M$5:$M$205,MATCH($R146,LE_Curves!$M$5:$M$205,1)))*(INDEX(LE_Curves!$B$5:$B$205,MATCH($R146,LE_Curves!$M$5:$M$205,1)+1)-INDEX(LE_Curves!$B$5:$B$205,MATCH($R146,LE_Curves!$M$5:$M$205,1)))/(INDEX(LE_Curves!$M$5:$M$205,MATCH($R146,LE_Curves!$M$5:$M$205,1)+1)-INDEX(LE_Curves!$M$5:$M$205,MATCH($R146,LE_Curves!$M$5:$M$205,1))))))</f>
        <v/>
      </c>
      <c r="AD146" s="11">
        <f>IF(Inputs!$D$34=0,0,IF($R146&lt;=Inputs!$C$34,0,IF($R146&gt;=INDEX(LE_Curves!$N$5:$N$205,201),INDEX(LE_Curves!$B$5:$B$205,201),INDEX(LE_Curves!$B$5:$B$205,MATCH($R146,LE_Curves!$N$5:$N$205,1))+($R146-INDEX(LE_Curves!$N$5:$N$205,MATCH($R146,LE_Curves!$N$5:$N$205,1)))*(INDEX(LE_Curves!$B$5:$B$205,MATCH($R146,LE_Curves!$N$5:$N$205,1)+1)-INDEX(LE_Curves!$B$5:$B$205,MATCH($R146,LE_Curves!$N$5:$N$205,1)))/(INDEX(LE_Curves!$N$5:$N$205,MATCH($R146,LE_Curves!$N$5:$N$205,1)+1)-INDEX(LE_Curves!$N$5:$N$205,MATCH($R146,LE_Curves!$N$5:$N$205,1))))))</f>
        <v/>
      </c>
      <c r="AE146" s="37">
        <f>SUM(S146:AD146)</f>
        <v/>
      </c>
    </row>
    <row r="147">
      <c r="A147" s="7" t="n">
        <v>116</v>
      </c>
      <c r="B147" s="37">
        <f>$B$3+($B$4-$B$3)*A147/200</f>
        <v/>
      </c>
      <c r="C147" s="11">
        <f>IF(Inputs!$D$23=0,0,IF($B147&lt;=Inputs!$C$23,0,IF($B147&gt;=INDEX(LE_Curves!$C$5:$C$205,201),INDEX(LE_Curves!$B$5:$B$205,201),INDEX(LE_Curves!$B$5:$B$205,MATCH($B147,LE_Curves!$C$5:$C$205,1))+($B147-INDEX(LE_Curves!$C$5:$C$205,MATCH($B147,LE_Curves!$C$5:$C$205,1)))*(INDEX(LE_Curves!$B$5:$B$205,MATCH($B147,LE_Curves!$C$5:$C$205,1)+1)-INDEX(LE_Curves!$B$5:$B$205,MATCH($B147,LE_Curves!$C$5:$C$205,1)))/(INDEX(LE_Curves!$C$5:$C$205,MATCH($B147,LE_Curves!$C$5:$C$205,1)+1)-INDEX(LE_Curves!$C$5:$C$205,MATCH($B147,LE_Curves!$C$5:$C$205,1))))))</f>
        <v/>
      </c>
      <c r="D147" s="11">
        <f>IF(Inputs!$D$24=0,0,IF($B147&lt;=Inputs!$C$24,0,IF($B147&gt;=INDEX(LE_Curves!$D$5:$D$205,201),INDEX(LE_Curves!$B$5:$B$205,201),INDEX(LE_Curves!$B$5:$B$205,MATCH($B147,LE_Curves!$D$5:$D$205,1))+($B147-INDEX(LE_Curves!$D$5:$D$205,MATCH($B147,LE_Curves!$D$5:$D$205,1)))*(INDEX(LE_Curves!$B$5:$B$205,MATCH($B147,LE_Curves!$D$5:$D$205,1)+1)-INDEX(LE_Curves!$B$5:$B$205,MATCH($B147,LE_Curves!$D$5:$D$205,1)))/(INDEX(LE_Curves!$D$5:$D$205,MATCH($B147,LE_Curves!$D$5:$D$205,1)+1)-INDEX(LE_Curves!$D$5:$D$205,MATCH($B147,LE_Curves!$D$5:$D$205,1))))))</f>
        <v/>
      </c>
      <c r="E147" s="11">
        <f>IF(Inputs!$D$25=0,0,IF($B147&lt;=Inputs!$C$25,0,IF($B147&gt;=INDEX(LE_Curves!$E$5:$E$205,201),INDEX(LE_Curves!$B$5:$B$205,201),INDEX(LE_Curves!$B$5:$B$205,MATCH($B147,LE_Curves!$E$5:$E$205,1))+($B147-INDEX(LE_Curves!$E$5:$E$205,MATCH($B147,LE_Curves!$E$5:$E$205,1)))*(INDEX(LE_Curves!$B$5:$B$205,MATCH($B147,LE_Curves!$E$5:$E$205,1)+1)-INDEX(LE_Curves!$B$5:$B$205,MATCH($B147,LE_Curves!$E$5:$E$205,1)))/(INDEX(LE_Curves!$E$5:$E$205,MATCH($B147,LE_Curves!$E$5:$E$205,1)+1)-INDEX(LE_Curves!$E$5:$E$205,MATCH($B147,LE_Curves!$E$5:$E$205,1))))))</f>
        <v/>
      </c>
      <c r="F147" s="11">
        <f>IF(Inputs!$D$26=0,0,IF($B147&lt;=Inputs!$C$26,0,IF($B147&gt;=INDEX(LE_Curves!$F$5:$F$205,201),INDEX(LE_Curves!$B$5:$B$205,201),INDEX(LE_Curves!$B$5:$B$205,MATCH($B147,LE_Curves!$F$5:$F$205,1))+($B147-INDEX(LE_Curves!$F$5:$F$205,MATCH($B147,LE_Curves!$F$5:$F$205,1)))*(INDEX(LE_Curves!$B$5:$B$205,MATCH($B147,LE_Curves!$F$5:$F$205,1)+1)-INDEX(LE_Curves!$B$5:$B$205,MATCH($B147,LE_Curves!$F$5:$F$205,1)))/(INDEX(LE_Curves!$F$5:$F$205,MATCH($B147,LE_Curves!$F$5:$F$205,1)+1)-INDEX(LE_Curves!$F$5:$F$205,MATCH($B147,LE_Curves!$F$5:$F$205,1))))))</f>
        <v/>
      </c>
      <c r="G147" s="11">
        <f>IF(Inputs!$D$27=0,0,IF($B147&lt;=Inputs!$C$27,0,IF($B147&gt;=INDEX(LE_Curves!$G$5:$G$205,201),INDEX(LE_Curves!$B$5:$B$205,201),INDEX(LE_Curves!$B$5:$B$205,MATCH($B147,LE_Curves!$G$5:$G$205,1))+($B147-INDEX(LE_Curves!$G$5:$G$205,MATCH($B147,LE_Curves!$G$5:$G$205,1)))*(INDEX(LE_Curves!$B$5:$B$205,MATCH($B147,LE_Curves!$G$5:$G$205,1)+1)-INDEX(LE_Curves!$B$5:$B$205,MATCH($B147,LE_Curves!$G$5:$G$205,1)))/(INDEX(LE_Curves!$G$5:$G$205,MATCH($B147,LE_Curves!$G$5:$G$205,1)+1)-INDEX(LE_Curves!$G$5:$G$205,MATCH($B147,LE_Curves!$G$5:$G$205,1))))))</f>
        <v/>
      </c>
      <c r="H147" s="11">
        <f>IF(Inputs!$D$28=0,0,IF($B147&lt;=Inputs!$C$28,0,IF($B147&gt;=INDEX(LE_Curves!$H$5:$H$205,201),INDEX(LE_Curves!$B$5:$B$205,201),INDEX(LE_Curves!$B$5:$B$205,MATCH($B147,LE_Curves!$H$5:$H$205,1))+($B147-INDEX(LE_Curves!$H$5:$H$205,MATCH($B147,LE_Curves!$H$5:$H$205,1)))*(INDEX(LE_Curves!$B$5:$B$205,MATCH($B147,LE_Curves!$H$5:$H$205,1)+1)-INDEX(LE_Curves!$B$5:$B$205,MATCH($B147,LE_Curves!$H$5:$H$205,1)))/(INDEX(LE_Curves!$H$5:$H$205,MATCH($B147,LE_Curves!$H$5:$H$205,1)+1)-INDEX(LE_Curves!$H$5:$H$205,MATCH($B147,LE_Curves!$H$5:$H$205,1))))))</f>
        <v/>
      </c>
      <c r="I147" s="11">
        <f>IF(Inputs!$D$29=0,0,IF($B147&lt;=Inputs!$C$29,0,IF($B147&gt;=INDEX(LE_Curves!$I$5:$I$205,201),INDEX(LE_Curves!$B$5:$B$205,201),INDEX(LE_Curves!$B$5:$B$205,MATCH($B147,LE_Curves!$I$5:$I$205,1))+($B147-INDEX(LE_Curves!$I$5:$I$205,MATCH($B147,LE_Curves!$I$5:$I$205,1)))*(INDEX(LE_Curves!$B$5:$B$205,MATCH($B147,LE_Curves!$I$5:$I$205,1)+1)-INDEX(LE_Curves!$B$5:$B$205,MATCH($B147,LE_Curves!$I$5:$I$205,1)))/(INDEX(LE_Curves!$I$5:$I$205,MATCH($B147,LE_Curves!$I$5:$I$205,1)+1)-INDEX(LE_Curves!$I$5:$I$205,MATCH($B147,LE_Curves!$I$5:$I$205,1))))))</f>
        <v/>
      </c>
      <c r="J147" s="11">
        <f>IF(Inputs!$D$30=0,0,IF($B147&lt;=Inputs!$C$30,0,IF($B147&gt;=INDEX(LE_Curves!$J$5:$J$205,201),INDEX(LE_Curves!$B$5:$B$205,201),INDEX(LE_Curves!$B$5:$B$205,MATCH($B147,LE_Curves!$J$5:$J$205,1))+($B147-INDEX(LE_Curves!$J$5:$J$205,MATCH($B147,LE_Curves!$J$5:$J$205,1)))*(INDEX(LE_Curves!$B$5:$B$205,MATCH($B147,LE_Curves!$J$5:$J$205,1)+1)-INDEX(LE_Curves!$B$5:$B$205,MATCH($B147,LE_Curves!$J$5:$J$205,1)))/(INDEX(LE_Curves!$J$5:$J$205,MATCH($B147,LE_Curves!$J$5:$J$205,1)+1)-INDEX(LE_Curves!$J$5:$J$205,MATCH($B147,LE_Curves!$J$5:$J$205,1))))))</f>
        <v/>
      </c>
      <c r="K147" s="11">
        <f>IF(Inputs!$D$31=0,0,IF($B147&lt;=Inputs!$C$31,0,IF($B147&gt;=INDEX(LE_Curves!$K$5:$K$205,201),INDEX(LE_Curves!$B$5:$B$205,201),INDEX(LE_Curves!$B$5:$B$205,MATCH($B147,LE_Curves!$K$5:$K$205,1))+($B147-INDEX(LE_Curves!$K$5:$K$205,MATCH($B147,LE_Curves!$K$5:$K$205,1)))*(INDEX(LE_Curves!$B$5:$B$205,MATCH($B147,LE_Curves!$K$5:$K$205,1)+1)-INDEX(LE_Curves!$B$5:$B$205,MATCH($B147,LE_Curves!$K$5:$K$205,1)))/(INDEX(LE_Curves!$K$5:$K$205,MATCH($B147,LE_Curves!$K$5:$K$205,1)+1)-INDEX(LE_Curves!$K$5:$K$205,MATCH($B147,LE_Curves!$K$5:$K$205,1))))))</f>
        <v/>
      </c>
      <c r="L147" s="11">
        <f>IF(Inputs!$D$32=0,0,IF($B147&lt;=Inputs!$C$32,0,IF($B147&gt;=INDEX(LE_Curves!$L$5:$L$205,201),INDEX(LE_Curves!$B$5:$B$205,201),INDEX(LE_Curves!$B$5:$B$205,MATCH($B147,LE_Curves!$L$5:$L$205,1))+($B147-INDEX(LE_Curves!$L$5:$L$205,MATCH($B147,LE_Curves!$L$5:$L$205,1)))*(INDEX(LE_Curves!$B$5:$B$205,MATCH($B147,LE_Curves!$L$5:$L$205,1)+1)-INDEX(LE_Curves!$B$5:$B$205,MATCH($B147,LE_Curves!$L$5:$L$205,1)))/(INDEX(LE_Curves!$L$5:$L$205,MATCH($B147,LE_Curves!$L$5:$L$205,1)+1)-INDEX(LE_Curves!$L$5:$L$205,MATCH($B147,LE_Curves!$L$5:$L$205,1))))))</f>
        <v/>
      </c>
      <c r="M147" s="11">
        <f>IF(Inputs!$D$33=0,0,IF($B147&lt;=Inputs!$C$33,0,IF($B147&gt;=INDEX(LE_Curves!$M$5:$M$205,201),INDEX(LE_Curves!$B$5:$B$205,201),INDEX(LE_Curves!$B$5:$B$205,MATCH($B147,LE_Curves!$M$5:$M$205,1))+($B147-INDEX(LE_Curves!$M$5:$M$205,MATCH($B147,LE_Curves!$M$5:$M$205,1)))*(INDEX(LE_Curves!$B$5:$B$205,MATCH($B147,LE_Curves!$M$5:$M$205,1)+1)-INDEX(LE_Curves!$B$5:$B$205,MATCH($B147,LE_Curves!$M$5:$M$205,1)))/(INDEX(LE_Curves!$M$5:$M$205,MATCH($B147,LE_Curves!$M$5:$M$205,1)+1)-INDEX(LE_Curves!$M$5:$M$205,MATCH($B147,LE_Curves!$M$5:$M$205,1))))))</f>
        <v/>
      </c>
      <c r="N147" s="11">
        <f>IF(Inputs!$D$34=0,0,IF($B147&lt;=Inputs!$C$34,0,IF($B147&gt;=INDEX(LE_Curves!$N$5:$N$205,201),INDEX(LE_Curves!$B$5:$B$205,201),INDEX(LE_Curves!$B$5:$B$205,MATCH($B147,LE_Curves!$N$5:$N$205,1))+($B147-INDEX(LE_Curves!$N$5:$N$205,MATCH($B147,LE_Curves!$N$5:$N$205,1)))*(INDEX(LE_Curves!$B$5:$B$205,MATCH($B147,LE_Curves!$N$5:$N$205,1)+1)-INDEX(LE_Curves!$B$5:$B$205,MATCH($B147,LE_Curves!$N$5:$N$205,1)))/(INDEX(LE_Curves!$N$5:$N$205,MATCH($B147,LE_Curves!$N$5:$N$205,1)+1)-INDEX(LE_Curves!$N$5:$N$205,MATCH($B147,LE_Curves!$N$5:$N$205,1))))))</f>
        <v/>
      </c>
      <c r="O147" s="11">
        <f>SUM(C147:N147)</f>
        <v/>
      </c>
      <c r="Q147" s="7" t="n">
        <v>116</v>
      </c>
      <c r="R147" s="23">
        <f>$B$6+($B$7-$B$6)*Q147/200</f>
        <v/>
      </c>
      <c r="S147" s="11">
        <f>IF(Inputs!$D$23=0,0,IF($R147&lt;=Inputs!$C$23,0,IF($R147&gt;=INDEX(LE_Curves!$C$5:$C$205,201),INDEX(LE_Curves!$B$5:$B$205,201),INDEX(LE_Curves!$B$5:$B$205,MATCH($R147,LE_Curves!$C$5:$C$205,1))+($R147-INDEX(LE_Curves!$C$5:$C$205,MATCH($R147,LE_Curves!$C$5:$C$205,1)))*(INDEX(LE_Curves!$B$5:$B$205,MATCH($R147,LE_Curves!$C$5:$C$205,1)+1)-INDEX(LE_Curves!$B$5:$B$205,MATCH($R147,LE_Curves!$C$5:$C$205,1)))/(INDEX(LE_Curves!$C$5:$C$205,MATCH($R147,LE_Curves!$C$5:$C$205,1)+1)-INDEX(LE_Curves!$C$5:$C$205,MATCH($R147,LE_Curves!$C$5:$C$205,1))))))</f>
        <v/>
      </c>
      <c r="T147" s="11">
        <f>IF(Inputs!$D$24=0,0,IF($R147&lt;=Inputs!$C$24,0,IF($R147&gt;=INDEX(LE_Curves!$D$5:$D$205,201),INDEX(LE_Curves!$B$5:$B$205,201),INDEX(LE_Curves!$B$5:$B$205,MATCH($R147,LE_Curves!$D$5:$D$205,1))+($R147-INDEX(LE_Curves!$D$5:$D$205,MATCH($R147,LE_Curves!$D$5:$D$205,1)))*(INDEX(LE_Curves!$B$5:$B$205,MATCH($R147,LE_Curves!$D$5:$D$205,1)+1)-INDEX(LE_Curves!$B$5:$B$205,MATCH($R147,LE_Curves!$D$5:$D$205,1)))/(INDEX(LE_Curves!$D$5:$D$205,MATCH($R147,LE_Curves!$D$5:$D$205,1)+1)-INDEX(LE_Curves!$D$5:$D$205,MATCH($R147,LE_Curves!$D$5:$D$205,1))))))</f>
        <v/>
      </c>
      <c r="U147" s="11">
        <f>IF(Inputs!$D$25=0,0,IF($R147&lt;=Inputs!$C$25,0,IF($R147&gt;=INDEX(LE_Curves!$E$5:$E$205,201),INDEX(LE_Curves!$B$5:$B$205,201),INDEX(LE_Curves!$B$5:$B$205,MATCH($R147,LE_Curves!$E$5:$E$205,1))+($R147-INDEX(LE_Curves!$E$5:$E$205,MATCH($R147,LE_Curves!$E$5:$E$205,1)))*(INDEX(LE_Curves!$B$5:$B$205,MATCH($R147,LE_Curves!$E$5:$E$205,1)+1)-INDEX(LE_Curves!$B$5:$B$205,MATCH($R147,LE_Curves!$E$5:$E$205,1)))/(INDEX(LE_Curves!$E$5:$E$205,MATCH($R147,LE_Curves!$E$5:$E$205,1)+1)-INDEX(LE_Curves!$E$5:$E$205,MATCH($R147,LE_Curves!$E$5:$E$205,1))))))</f>
        <v/>
      </c>
      <c r="V147" s="11">
        <f>IF(Inputs!$D$26=0,0,IF($R147&lt;=Inputs!$C$26,0,IF($R147&gt;=INDEX(LE_Curves!$F$5:$F$205,201),INDEX(LE_Curves!$B$5:$B$205,201),INDEX(LE_Curves!$B$5:$B$205,MATCH($R147,LE_Curves!$F$5:$F$205,1))+($R147-INDEX(LE_Curves!$F$5:$F$205,MATCH($R147,LE_Curves!$F$5:$F$205,1)))*(INDEX(LE_Curves!$B$5:$B$205,MATCH($R147,LE_Curves!$F$5:$F$205,1)+1)-INDEX(LE_Curves!$B$5:$B$205,MATCH($R147,LE_Curves!$F$5:$F$205,1)))/(INDEX(LE_Curves!$F$5:$F$205,MATCH($R147,LE_Curves!$F$5:$F$205,1)+1)-INDEX(LE_Curves!$F$5:$F$205,MATCH($R147,LE_Curves!$F$5:$F$205,1))))))</f>
        <v/>
      </c>
      <c r="W147" s="11">
        <f>IF(Inputs!$D$27=0,0,IF($R147&lt;=Inputs!$C$27,0,IF($R147&gt;=INDEX(LE_Curves!$G$5:$G$205,201),INDEX(LE_Curves!$B$5:$B$205,201),INDEX(LE_Curves!$B$5:$B$205,MATCH($R147,LE_Curves!$G$5:$G$205,1))+($R147-INDEX(LE_Curves!$G$5:$G$205,MATCH($R147,LE_Curves!$G$5:$G$205,1)))*(INDEX(LE_Curves!$B$5:$B$205,MATCH($R147,LE_Curves!$G$5:$G$205,1)+1)-INDEX(LE_Curves!$B$5:$B$205,MATCH($R147,LE_Curves!$G$5:$G$205,1)))/(INDEX(LE_Curves!$G$5:$G$205,MATCH($R147,LE_Curves!$G$5:$G$205,1)+1)-INDEX(LE_Curves!$G$5:$G$205,MATCH($R147,LE_Curves!$G$5:$G$205,1))))))</f>
        <v/>
      </c>
      <c r="X147" s="11">
        <f>IF(Inputs!$D$28=0,0,IF($R147&lt;=Inputs!$C$28,0,IF($R147&gt;=INDEX(LE_Curves!$H$5:$H$205,201),INDEX(LE_Curves!$B$5:$B$205,201),INDEX(LE_Curves!$B$5:$B$205,MATCH($R147,LE_Curves!$H$5:$H$205,1))+($R147-INDEX(LE_Curves!$H$5:$H$205,MATCH($R147,LE_Curves!$H$5:$H$205,1)))*(INDEX(LE_Curves!$B$5:$B$205,MATCH($R147,LE_Curves!$H$5:$H$205,1)+1)-INDEX(LE_Curves!$B$5:$B$205,MATCH($R147,LE_Curves!$H$5:$H$205,1)))/(INDEX(LE_Curves!$H$5:$H$205,MATCH($R147,LE_Curves!$H$5:$H$205,1)+1)-INDEX(LE_Curves!$H$5:$H$205,MATCH($R147,LE_Curves!$H$5:$H$205,1))))))</f>
        <v/>
      </c>
      <c r="Y147" s="11">
        <f>IF(Inputs!$D$29=0,0,IF($R147&lt;=Inputs!$C$29,0,IF($R147&gt;=INDEX(LE_Curves!$I$5:$I$205,201),INDEX(LE_Curves!$B$5:$B$205,201),INDEX(LE_Curves!$B$5:$B$205,MATCH($R147,LE_Curves!$I$5:$I$205,1))+($R147-INDEX(LE_Curves!$I$5:$I$205,MATCH($R147,LE_Curves!$I$5:$I$205,1)))*(INDEX(LE_Curves!$B$5:$B$205,MATCH($R147,LE_Curves!$I$5:$I$205,1)+1)-INDEX(LE_Curves!$B$5:$B$205,MATCH($R147,LE_Curves!$I$5:$I$205,1)))/(INDEX(LE_Curves!$I$5:$I$205,MATCH($R147,LE_Curves!$I$5:$I$205,1)+1)-INDEX(LE_Curves!$I$5:$I$205,MATCH($R147,LE_Curves!$I$5:$I$205,1))))))</f>
        <v/>
      </c>
      <c r="Z147" s="11">
        <f>IF(Inputs!$D$30=0,0,IF($R147&lt;=Inputs!$C$30,0,IF($R147&gt;=INDEX(LE_Curves!$J$5:$J$205,201),INDEX(LE_Curves!$B$5:$B$205,201),INDEX(LE_Curves!$B$5:$B$205,MATCH($R147,LE_Curves!$J$5:$J$205,1))+($R147-INDEX(LE_Curves!$J$5:$J$205,MATCH($R147,LE_Curves!$J$5:$J$205,1)))*(INDEX(LE_Curves!$B$5:$B$205,MATCH($R147,LE_Curves!$J$5:$J$205,1)+1)-INDEX(LE_Curves!$B$5:$B$205,MATCH($R147,LE_Curves!$J$5:$J$205,1)))/(INDEX(LE_Curves!$J$5:$J$205,MATCH($R147,LE_Curves!$J$5:$J$205,1)+1)-INDEX(LE_Curves!$J$5:$J$205,MATCH($R147,LE_Curves!$J$5:$J$205,1))))))</f>
        <v/>
      </c>
      <c r="AA147" s="11">
        <f>IF(Inputs!$D$31=0,0,IF($R147&lt;=Inputs!$C$31,0,IF($R147&gt;=INDEX(LE_Curves!$K$5:$K$205,201),INDEX(LE_Curves!$B$5:$B$205,201),INDEX(LE_Curves!$B$5:$B$205,MATCH($R147,LE_Curves!$K$5:$K$205,1))+($R147-INDEX(LE_Curves!$K$5:$K$205,MATCH($R147,LE_Curves!$K$5:$K$205,1)))*(INDEX(LE_Curves!$B$5:$B$205,MATCH($R147,LE_Curves!$K$5:$K$205,1)+1)-INDEX(LE_Curves!$B$5:$B$205,MATCH($R147,LE_Curves!$K$5:$K$205,1)))/(INDEX(LE_Curves!$K$5:$K$205,MATCH($R147,LE_Curves!$K$5:$K$205,1)+1)-INDEX(LE_Curves!$K$5:$K$205,MATCH($R147,LE_Curves!$K$5:$K$205,1))))))</f>
        <v/>
      </c>
      <c r="AB147" s="11">
        <f>IF(Inputs!$D$32=0,0,IF($R147&lt;=Inputs!$C$32,0,IF($R147&gt;=INDEX(LE_Curves!$L$5:$L$205,201),INDEX(LE_Curves!$B$5:$B$205,201),INDEX(LE_Curves!$B$5:$B$205,MATCH($R147,LE_Curves!$L$5:$L$205,1))+($R147-INDEX(LE_Curves!$L$5:$L$205,MATCH($R147,LE_Curves!$L$5:$L$205,1)))*(INDEX(LE_Curves!$B$5:$B$205,MATCH($R147,LE_Curves!$L$5:$L$205,1)+1)-INDEX(LE_Curves!$B$5:$B$205,MATCH($R147,LE_Curves!$L$5:$L$205,1)))/(INDEX(LE_Curves!$L$5:$L$205,MATCH($R147,LE_Curves!$L$5:$L$205,1)+1)-INDEX(LE_Curves!$L$5:$L$205,MATCH($R147,LE_Curves!$L$5:$L$205,1))))))</f>
        <v/>
      </c>
      <c r="AC147" s="11">
        <f>IF(Inputs!$D$33=0,0,IF($R147&lt;=Inputs!$C$33,0,IF($R147&gt;=INDEX(LE_Curves!$M$5:$M$205,201),INDEX(LE_Curves!$B$5:$B$205,201),INDEX(LE_Curves!$B$5:$B$205,MATCH($R147,LE_Curves!$M$5:$M$205,1))+($R147-INDEX(LE_Curves!$M$5:$M$205,MATCH($R147,LE_Curves!$M$5:$M$205,1)))*(INDEX(LE_Curves!$B$5:$B$205,MATCH($R147,LE_Curves!$M$5:$M$205,1)+1)-INDEX(LE_Curves!$B$5:$B$205,MATCH($R147,LE_Curves!$M$5:$M$205,1)))/(INDEX(LE_Curves!$M$5:$M$205,MATCH($R147,LE_Curves!$M$5:$M$205,1)+1)-INDEX(LE_Curves!$M$5:$M$205,MATCH($R147,LE_Curves!$M$5:$M$205,1))))))</f>
        <v/>
      </c>
      <c r="AD147" s="11">
        <f>IF(Inputs!$D$34=0,0,IF($R147&lt;=Inputs!$C$34,0,IF($R147&gt;=INDEX(LE_Curves!$N$5:$N$205,201),INDEX(LE_Curves!$B$5:$B$205,201),INDEX(LE_Curves!$B$5:$B$205,MATCH($R147,LE_Curves!$N$5:$N$205,1))+($R147-INDEX(LE_Curves!$N$5:$N$205,MATCH($R147,LE_Curves!$N$5:$N$205,1)))*(INDEX(LE_Curves!$B$5:$B$205,MATCH($R147,LE_Curves!$N$5:$N$205,1)+1)-INDEX(LE_Curves!$B$5:$B$205,MATCH($R147,LE_Curves!$N$5:$N$205,1)))/(INDEX(LE_Curves!$N$5:$N$205,MATCH($R147,LE_Curves!$N$5:$N$205,1)+1)-INDEX(LE_Curves!$N$5:$N$205,MATCH($R147,LE_Curves!$N$5:$N$205,1))))))</f>
        <v/>
      </c>
      <c r="AE147" s="37">
        <f>SUM(S147:AD147)</f>
        <v/>
      </c>
    </row>
    <row r="148">
      <c r="A148" s="7" t="n">
        <v>117</v>
      </c>
      <c r="B148" s="37">
        <f>$B$3+($B$4-$B$3)*A148/200</f>
        <v/>
      </c>
      <c r="C148" s="11">
        <f>IF(Inputs!$D$23=0,0,IF($B148&lt;=Inputs!$C$23,0,IF($B148&gt;=INDEX(LE_Curves!$C$5:$C$205,201),INDEX(LE_Curves!$B$5:$B$205,201),INDEX(LE_Curves!$B$5:$B$205,MATCH($B148,LE_Curves!$C$5:$C$205,1))+($B148-INDEX(LE_Curves!$C$5:$C$205,MATCH($B148,LE_Curves!$C$5:$C$205,1)))*(INDEX(LE_Curves!$B$5:$B$205,MATCH($B148,LE_Curves!$C$5:$C$205,1)+1)-INDEX(LE_Curves!$B$5:$B$205,MATCH($B148,LE_Curves!$C$5:$C$205,1)))/(INDEX(LE_Curves!$C$5:$C$205,MATCH($B148,LE_Curves!$C$5:$C$205,1)+1)-INDEX(LE_Curves!$C$5:$C$205,MATCH($B148,LE_Curves!$C$5:$C$205,1))))))</f>
        <v/>
      </c>
      <c r="D148" s="11">
        <f>IF(Inputs!$D$24=0,0,IF($B148&lt;=Inputs!$C$24,0,IF($B148&gt;=INDEX(LE_Curves!$D$5:$D$205,201),INDEX(LE_Curves!$B$5:$B$205,201),INDEX(LE_Curves!$B$5:$B$205,MATCH($B148,LE_Curves!$D$5:$D$205,1))+($B148-INDEX(LE_Curves!$D$5:$D$205,MATCH($B148,LE_Curves!$D$5:$D$205,1)))*(INDEX(LE_Curves!$B$5:$B$205,MATCH($B148,LE_Curves!$D$5:$D$205,1)+1)-INDEX(LE_Curves!$B$5:$B$205,MATCH($B148,LE_Curves!$D$5:$D$205,1)))/(INDEX(LE_Curves!$D$5:$D$205,MATCH($B148,LE_Curves!$D$5:$D$205,1)+1)-INDEX(LE_Curves!$D$5:$D$205,MATCH($B148,LE_Curves!$D$5:$D$205,1))))))</f>
        <v/>
      </c>
      <c r="E148" s="11">
        <f>IF(Inputs!$D$25=0,0,IF($B148&lt;=Inputs!$C$25,0,IF($B148&gt;=INDEX(LE_Curves!$E$5:$E$205,201),INDEX(LE_Curves!$B$5:$B$205,201),INDEX(LE_Curves!$B$5:$B$205,MATCH($B148,LE_Curves!$E$5:$E$205,1))+($B148-INDEX(LE_Curves!$E$5:$E$205,MATCH($B148,LE_Curves!$E$5:$E$205,1)))*(INDEX(LE_Curves!$B$5:$B$205,MATCH($B148,LE_Curves!$E$5:$E$205,1)+1)-INDEX(LE_Curves!$B$5:$B$205,MATCH($B148,LE_Curves!$E$5:$E$205,1)))/(INDEX(LE_Curves!$E$5:$E$205,MATCH($B148,LE_Curves!$E$5:$E$205,1)+1)-INDEX(LE_Curves!$E$5:$E$205,MATCH($B148,LE_Curves!$E$5:$E$205,1))))))</f>
        <v/>
      </c>
      <c r="F148" s="11">
        <f>IF(Inputs!$D$26=0,0,IF($B148&lt;=Inputs!$C$26,0,IF($B148&gt;=INDEX(LE_Curves!$F$5:$F$205,201),INDEX(LE_Curves!$B$5:$B$205,201),INDEX(LE_Curves!$B$5:$B$205,MATCH($B148,LE_Curves!$F$5:$F$205,1))+($B148-INDEX(LE_Curves!$F$5:$F$205,MATCH($B148,LE_Curves!$F$5:$F$205,1)))*(INDEX(LE_Curves!$B$5:$B$205,MATCH($B148,LE_Curves!$F$5:$F$205,1)+1)-INDEX(LE_Curves!$B$5:$B$205,MATCH($B148,LE_Curves!$F$5:$F$205,1)))/(INDEX(LE_Curves!$F$5:$F$205,MATCH($B148,LE_Curves!$F$5:$F$205,1)+1)-INDEX(LE_Curves!$F$5:$F$205,MATCH($B148,LE_Curves!$F$5:$F$205,1))))))</f>
        <v/>
      </c>
      <c r="G148" s="11">
        <f>IF(Inputs!$D$27=0,0,IF($B148&lt;=Inputs!$C$27,0,IF($B148&gt;=INDEX(LE_Curves!$G$5:$G$205,201),INDEX(LE_Curves!$B$5:$B$205,201),INDEX(LE_Curves!$B$5:$B$205,MATCH($B148,LE_Curves!$G$5:$G$205,1))+($B148-INDEX(LE_Curves!$G$5:$G$205,MATCH($B148,LE_Curves!$G$5:$G$205,1)))*(INDEX(LE_Curves!$B$5:$B$205,MATCH($B148,LE_Curves!$G$5:$G$205,1)+1)-INDEX(LE_Curves!$B$5:$B$205,MATCH($B148,LE_Curves!$G$5:$G$205,1)))/(INDEX(LE_Curves!$G$5:$G$205,MATCH($B148,LE_Curves!$G$5:$G$205,1)+1)-INDEX(LE_Curves!$G$5:$G$205,MATCH($B148,LE_Curves!$G$5:$G$205,1))))))</f>
        <v/>
      </c>
      <c r="H148" s="11">
        <f>IF(Inputs!$D$28=0,0,IF($B148&lt;=Inputs!$C$28,0,IF($B148&gt;=INDEX(LE_Curves!$H$5:$H$205,201),INDEX(LE_Curves!$B$5:$B$205,201),INDEX(LE_Curves!$B$5:$B$205,MATCH($B148,LE_Curves!$H$5:$H$205,1))+($B148-INDEX(LE_Curves!$H$5:$H$205,MATCH($B148,LE_Curves!$H$5:$H$205,1)))*(INDEX(LE_Curves!$B$5:$B$205,MATCH($B148,LE_Curves!$H$5:$H$205,1)+1)-INDEX(LE_Curves!$B$5:$B$205,MATCH($B148,LE_Curves!$H$5:$H$205,1)))/(INDEX(LE_Curves!$H$5:$H$205,MATCH($B148,LE_Curves!$H$5:$H$205,1)+1)-INDEX(LE_Curves!$H$5:$H$205,MATCH($B148,LE_Curves!$H$5:$H$205,1))))))</f>
        <v/>
      </c>
      <c r="I148" s="11">
        <f>IF(Inputs!$D$29=0,0,IF($B148&lt;=Inputs!$C$29,0,IF($B148&gt;=INDEX(LE_Curves!$I$5:$I$205,201),INDEX(LE_Curves!$B$5:$B$205,201),INDEX(LE_Curves!$B$5:$B$205,MATCH($B148,LE_Curves!$I$5:$I$205,1))+($B148-INDEX(LE_Curves!$I$5:$I$205,MATCH($B148,LE_Curves!$I$5:$I$205,1)))*(INDEX(LE_Curves!$B$5:$B$205,MATCH($B148,LE_Curves!$I$5:$I$205,1)+1)-INDEX(LE_Curves!$B$5:$B$205,MATCH($B148,LE_Curves!$I$5:$I$205,1)))/(INDEX(LE_Curves!$I$5:$I$205,MATCH($B148,LE_Curves!$I$5:$I$205,1)+1)-INDEX(LE_Curves!$I$5:$I$205,MATCH($B148,LE_Curves!$I$5:$I$205,1))))))</f>
        <v/>
      </c>
      <c r="J148" s="11">
        <f>IF(Inputs!$D$30=0,0,IF($B148&lt;=Inputs!$C$30,0,IF($B148&gt;=INDEX(LE_Curves!$J$5:$J$205,201),INDEX(LE_Curves!$B$5:$B$205,201),INDEX(LE_Curves!$B$5:$B$205,MATCH($B148,LE_Curves!$J$5:$J$205,1))+($B148-INDEX(LE_Curves!$J$5:$J$205,MATCH($B148,LE_Curves!$J$5:$J$205,1)))*(INDEX(LE_Curves!$B$5:$B$205,MATCH($B148,LE_Curves!$J$5:$J$205,1)+1)-INDEX(LE_Curves!$B$5:$B$205,MATCH($B148,LE_Curves!$J$5:$J$205,1)))/(INDEX(LE_Curves!$J$5:$J$205,MATCH($B148,LE_Curves!$J$5:$J$205,1)+1)-INDEX(LE_Curves!$J$5:$J$205,MATCH($B148,LE_Curves!$J$5:$J$205,1))))))</f>
        <v/>
      </c>
      <c r="K148" s="11">
        <f>IF(Inputs!$D$31=0,0,IF($B148&lt;=Inputs!$C$31,0,IF($B148&gt;=INDEX(LE_Curves!$K$5:$K$205,201),INDEX(LE_Curves!$B$5:$B$205,201),INDEX(LE_Curves!$B$5:$B$205,MATCH($B148,LE_Curves!$K$5:$K$205,1))+($B148-INDEX(LE_Curves!$K$5:$K$205,MATCH($B148,LE_Curves!$K$5:$K$205,1)))*(INDEX(LE_Curves!$B$5:$B$205,MATCH($B148,LE_Curves!$K$5:$K$205,1)+1)-INDEX(LE_Curves!$B$5:$B$205,MATCH($B148,LE_Curves!$K$5:$K$205,1)))/(INDEX(LE_Curves!$K$5:$K$205,MATCH($B148,LE_Curves!$K$5:$K$205,1)+1)-INDEX(LE_Curves!$K$5:$K$205,MATCH($B148,LE_Curves!$K$5:$K$205,1))))))</f>
        <v/>
      </c>
      <c r="L148" s="11">
        <f>IF(Inputs!$D$32=0,0,IF($B148&lt;=Inputs!$C$32,0,IF($B148&gt;=INDEX(LE_Curves!$L$5:$L$205,201),INDEX(LE_Curves!$B$5:$B$205,201),INDEX(LE_Curves!$B$5:$B$205,MATCH($B148,LE_Curves!$L$5:$L$205,1))+($B148-INDEX(LE_Curves!$L$5:$L$205,MATCH($B148,LE_Curves!$L$5:$L$205,1)))*(INDEX(LE_Curves!$B$5:$B$205,MATCH($B148,LE_Curves!$L$5:$L$205,1)+1)-INDEX(LE_Curves!$B$5:$B$205,MATCH($B148,LE_Curves!$L$5:$L$205,1)))/(INDEX(LE_Curves!$L$5:$L$205,MATCH($B148,LE_Curves!$L$5:$L$205,1)+1)-INDEX(LE_Curves!$L$5:$L$205,MATCH($B148,LE_Curves!$L$5:$L$205,1))))))</f>
        <v/>
      </c>
      <c r="M148" s="11">
        <f>IF(Inputs!$D$33=0,0,IF($B148&lt;=Inputs!$C$33,0,IF($B148&gt;=INDEX(LE_Curves!$M$5:$M$205,201),INDEX(LE_Curves!$B$5:$B$205,201),INDEX(LE_Curves!$B$5:$B$205,MATCH($B148,LE_Curves!$M$5:$M$205,1))+($B148-INDEX(LE_Curves!$M$5:$M$205,MATCH($B148,LE_Curves!$M$5:$M$205,1)))*(INDEX(LE_Curves!$B$5:$B$205,MATCH($B148,LE_Curves!$M$5:$M$205,1)+1)-INDEX(LE_Curves!$B$5:$B$205,MATCH($B148,LE_Curves!$M$5:$M$205,1)))/(INDEX(LE_Curves!$M$5:$M$205,MATCH($B148,LE_Curves!$M$5:$M$205,1)+1)-INDEX(LE_Curves!$M$5:$M$205,MATCH($B148,LE_Curves!$M$5:$M$205,1))))))</f>
        <v/>
      </c>
      <c r="N148" s="11">
        <f>IF(Inputs!$D$34=0,0,IF($B148&lt;=Inputs!$C$34,0,IF($B148&gt;=INDEX(LE_Curves!$N$5:$N$205,201),INDEX(LE_Curves!$B$5:$B$205,201),INDEX(LE_Curves!$B$5:$B$205,MATCH($B148,LE_Curves!$N$5:$N$205,1))+($B148-INDEX(LE_Curves!$N$5:$N$205,MATCH($B148,LE_Curves!$N$5:$N$205,1)))*(INDEX(LE_Curves!$B$5:$B$205,MATCH($B148,LE_Curves!$N$5:$N$205,1)+1)-INDEX(LE_Curves!$B$5:$B$205,MATCH($B148,LE_Curves!$N$5:$N$205,1)))/(INDEX(LE_Curves!$N$5:$N$205,MATCH($B148,LE_Curves!$N$5:$N$205,1)+1)-INDEX(LE_Curves!$N$5:$N$205,MATCH($B148,LE_Curves!$N$5:$N$205,1))))))</f>
        <v/>
      </c>
      <c r="O148" s="11">
        <f>SUM(C148:N148)</f>
        <v/>
      </c>
      <c r="Q148" s="7" t="n">
        <v>117</v>
      </c>
      <c r="R148" s="23">
        <f>$B$6+($B$7-$B$6)*Q148/200</f>
        <v/>
      </c>
      <c r="S148" s="11">
        <f>IF(Inputs!$D$23=0,0,IF($R148&lt;=Inputs!$C$23,0,IF($R148&gt;=INDEX(LE_Curves!$C$5:$C$205,201),INDEX(LE_Curves!$B$5:$B$205,201),INDEX(LE_Curves!$B$5:$B$205,MATCH($R148,LE_Curves!$C$5:$C$205,1))+($R148-INDEX(LE_Curves!$C$5:$C$205,MATCH($R148,LE_Curves!$C$5:$C$205,1)))*(INDEX(LE_Curves!$B$5:$B$205,MATCH($R148,LE_Curves!$C$5:$C$205,1)+1)-INDEX(LE_Curves!$B$5:$B$205,MATCH($R148,LE_Curves!$C$5:$C$205,1)))/(INDEX(LE_Curves!$C$5:$C$205,MATCH($R148,LE_Curves!$C$5:$C$205,1)+1)-INDEX(LE_Curves!$C$5:$C$205,MATCH($R148,LE_Curves!$C$5:$C$205,1))))))</f>
        <v/>
      </c>
      <c r="T148" s="11">
        <f>IF(Inputs!$D$24=0,0,IF($R148&lt;=Inputs!$C$24,0,IF($R148&gt;=INDEX(LE_Curves!$D$5:$D$205,201),INDEX(LE_Curves!$B$5:$B$205,201),INDEX(LE_Curves!$B$5:$B$205,MATCH($R148,LE_Curves!$D$5:$D$205,1))+($R148-INDEX(LE_Curves!$D$5:$D$205,MATCH($R148,LE_Curves!$D$5:$D$205,1)))*(INDEX(LE_Curves!$B$5:$B$205,MATCH($R148,LE_Curves!$D$5:$D$205,1)+1)-INDEX(LE_Curves!$B$5:$B$205,MATCH($R148,LE_Curves!$D$5:$D$205,1)))/(INDEX(LE_Curves!$D$5:$D$205,MATCH($R148,LE_Curves!$D$5:$D$205,1)+1)-INDEX(LE_Curves!$D$5:$D$205,MATCH($R148,LE_Curves!$D$5:$D$205,1))))))</f>
        <v/>
      </c>
      <c r="U148" s="11">
        <f>IF(Inputs!$D$25=0,0,IF($R148&lt;=Inputs!$C$25,0,IF($R148&gt;=INDEX(LE_Curves!$E$5:$E$205,201),INDEX(LE_Curves!$B$5:$B$205,201),INDEX(LE_Curves!$B$5:$B$205,MATCH($R148,LE_Curves!$E$5:$E$205,1))+($R148-INDEX(LE_Curves!$E$5:$E$205,MATCH($R148,LE_Curves!$E$5:$E$205,1)))*(INDEX(LE_Curves!$B$5:$B$205,MATCH($R148,LE_Curves!$E$5:$E$205,1)+1)-INDEX(LE_Curves!$B$5:$B$205,MATCH($R148,LE_Curves!$E$5:$E$205,1)))/(INDEX(LE_Curves!$E$5:$E$205,MATCH($R148,LE_Curves!$E$5:$E$205,1)+1)-INDEX(LE_Curves!$E$5:$E$205,MATCH($R148,LE_Curves!$E$5:$E$205,1))))))</f>
        <v/>
      </c>
      <c r="V148" s="11">
        <f>IF(Inputs!$D$26=0,0,IF($R148&lt;=Inputs!$C$26,0,IF($R148&gt;=INDEX(LE_Curves!$F$5:$F$205,201),INDEX(LE_Curves!$B$5:$B$205,201),INDEX(LE_Curves!$B$5:$B$205,MATCH($R148,LE_Curves!$F$5:$F$205,1))+($R148-INDEX(LE_Curves!$F$5:$F$205,MATCH($R148,LE_Curves!$F$5:$F$205,1)))*(INDEX(LE_Curves!$B$5:$B$205,MATCH($R148,LE_Curves!$F$5:$F$205,1)+1)-INDEX(LE_Curves!$B$5:$B$205,MATCH($R148,LE_Curves!$F$5:$F$205,1)))/(INDEX(LE_Curves!$F$5:$F$205,MATCH($R148,LE_Curves!$F$5:$F$205,1)+1)-INDEX(LE_Curves!$F$5:$F$205,MATCH($R148,LE_Curves!$F$5:$F$205,1))))))</f>
        <v/>
      </c>
      <c r="W148" s="11">
        <f>IF(Inputs!$D$27=0,0,IF($R148&lt;=Inputs!$C$27,0,IF($R148&gt;=INDEX(LE_Curves!$G$5:$G$205,201),INDEX(LE_Curves!$B$5:$B$205,201),INDEX(LE_Curves!$B$5:$B$205,MATCH($R148,LE_Curves!$G$5:$G$205,1))+($R148-INDEX(LE_Curves!$G$5:$G$205,MATCH($R148,LE_Curves!$G$5:$G$205,1)))*(INDEX(LE_Curves!$B$5:$B$205,MATCH($R148,LE_Curves!$G$5:$G$205,1)+1)-INDEX(LE_Curves!$B$5:$B$205,MATCH($R148,LE_Curves!$G$5:$G$205,1)))/(INDEX(LE_Curves!$G$5:$G$205,MATCH($R148,LE_Curves!$G$5:$G$205,1)+1)-INDEX(LE_Curves!$G$5:$G$205,MATCH($R148,LE_Curves!$G$5:$G$205,1))))))</f>
        <v/>
      </c>
      <c r="X148" s="11">
        <f>IF(Inputs!$D$28=0,0,IF($R148&lt;=Inputs!$C$28,0,IF($R148&gt;=INDEX(LE_Curves!$H$5:$H$205,201),INDEX(LE_Curves!$B$5:$B$205,201),INDEX(LE_Curves!$B$5:$B$205,MATCH($R148,LE_Curves!$H$5:$H$205,1))+($R148-INDEX(LE_Curves!$H$5:$H$205,MATCH($R148,LE_Curves!$H$5:$H$205,1)))*(INDEX(LE_Curves!$B$5:$B$205,MATCH($R148,LE_Curves!$H$5:$H$205,1)+1)-INDEX(LE_Curves!$B$5:$B$205,MATCH($R148,LE_Curves!$H$5:$H$205,1)))/(INDEX(LE_Curves!$H$5:$H$205,MATCH($R148,LE_Curves!$H$5:$H$205,1)+1)-INDEX(LE_Curves!$H$5:$H$205,MATCH($R148,LE_Curves!$H$5:$H$205,1))))))</f>
        <v/>
      </c>
      <c r="Y148" s="11">
        <f>IF(Inputs!$D$29=0,0,IF($R148&lt;=Inputs!$C$29,0,IF($R148&gt;=INDEX(LE_Curves!$I$5:$I$205,201),INDEX(LE_Curves!$B$5:$B$205,201),INDEX(LE_Curves!$B$5:$B$205,MATCH($R148,LE_Curves!$I$5:$I$205,1))+($R148-INDEX(LE_Curves!$I$5:$I$205,MATCH($R148,LE_Curves!$I$5:$I$205,1)))*(INDEX(LE_Curves!$B$5:$B$205,MATCH($R148,LE_Curves!$I$5:$I$205,1)+1)-INDEX(LE_Curves!$B$5:$B$205,MATCH($R148,LE_Curves!$I$5:$I$205,1)))/(INDEX(LE_Curves!$I$5:$I$205,MATCH($R148,LE_Curves!$I$5:$I$205,1)+1)-INDEX(LE_Curves!$I$5:$I$205,MATCH($R148,LE_Curves!$I$5:$I$205,1))))))</f>
        <v/>
      </c>
      <c r="Z148" s="11">
        <f>IF(Inputs!$D$30=0,0,IF($R148&lt;=Inputs!$C$30,0,IF($R148&gt;=INDEX(LE_Curves!$J$5:$J$205,201),INDEX(LE_Curves!$B$5:$B$205,201),INDEX(LE_Curves!$B$5:$B$205,MATCH($R148,LE_Curves!$J$5:$J$205,1))+($R148-INDEX(LE_Curves!$J$5:$J$205,MATCH($R148,LE_Curves!$J$5:$J$205,1)))*(INDEX(LE_Curves!$B$5:$B$205,MATCH($R148,LE_Curves!$J$5:$J$205,1)+1)-INDEX(LE_Curves!$B$5:$B$205,MATCH($R148,LE_Curves!$J$5:$J$205,1)))/(INDEX(LE_Curves!$J$5:$J$205,MATCH($R148,LE_Curves!$J$5:$J$205,1)+1)-INDEX(LE_Curves!$J$5:$J$205,MATCH($R148,LE_Curves!$J$5:$J$205,1))))))</f>
        <v/>
      </c>
      <c r="AA148" s="11">
        <f>IF(Inputs!$D$31=0,0,IF($R148&lt;=Inputs!$C$31,0,IF($R148&gt;=INDEX(LE_Curves!$K$5:$K$205,201),INDEX(LE_Curves!$B$5:$B$205,201),INDEX(LE_Curves!$B$5:$B$205,MATCH($R148,LE_Curves!$K$5:$K$205,1))+($R148-INDEX(LE_Curves!$K$5:$K$205,MATCH($R148,LE_Curves!$K$5:$K$205,1)))*(INDEX(LE_Curves!$B$5:$B$205,MATCH($R148,LE_Curves!$K$5:$K$205,1)+1)-INDEX(LE_Curves!$B$5:$B$205,MATCH($R148,LE_Curves!$K$5:$K$205,1)))/(INDEX(LE_Curves!$K$5:$K$205,MATCH($R148,LE_Curves!$K$5:$K$205,1)+1)-INDEX(LE_Curves!$K$5:$K$205,MATCH($R148,LE_Curves!$K$5:$K$205,1))))))</f>
        <v/>
      </c>
      <c r="AB148" s="11">
        <f>IF(Inputs!$D$32=0,0,IF($R148&lt;=Inputs!$C$32,0,IF($R148&gt;=INDEX(LE_Curves!$L$5:$L$205,201),INDEX(LE_Curves!$B$5:$B$205,201),INDEX(LE_Curves!$B$5:$B$205,MATCH($R148,LE_Curves!$L$5:$L$205,1))+($R148-INDEX(LE_Curves!$L$5:$L$205,MATCH($R148,LE_Curves!$L$5:$L$205,1)))*(INDEX(LE_Curves!$B$5:$B$205,MATCH($R148,LE_Curves!$L$5:$L$205,1)+1)-INDEX(LE_Curves!$B$5:$B$205,MATCH($R148,LE_Curves!$L$5:$L$205,1)))/(INDEX(LE_Curves!$L$5:$L$205,MATCH($R148,LE_Curves!$L$5:$L$205,1)+1)-INDEX(LE_Curves!$L$5:$L$205,MATCH($R148,LE_Curves!$L$5:$L$205,1))))))</f>
        <v/>
      </c>
      <c r="AC148" s="11">
        <f>IF(Inputs!$D$33=0,0,IF($R148&lt;=Inputs!$C$33,0,IF($R148&gt;=INDEX(LE_Curves!$M$5:$M$205,201),INDEX(LE_Curves!$B$5:$B$205,201),INDEX(LE_Curves!$B$5:$B$205,MATCH($R148,LE_Curves!$M$5:$M$205,1))+($R148-INDEX(LE_Curves!$M$5:$M$205,MATCH($R148,LE_Curves!$M$5:$M$205,1)))*(INDEX(LE_Curves!$B$5:$B$205,MATCH($R148,LE_Curves!$M$5:$M$205,1)+1)-INDEX(LE_Curves!$B$5:$B$205,MATCH($R148,LE_Curves!$M$5:$M$205,1)))/(INDEX(LE_Curves!$M$5:$M$205,MATCH($R148,LE_Curves!$M$5:$M$205,1)+1)-INDEX(LE_Curves!$M$5:$M$205,MATCH($R148,LE_Curves!$M$5:$M$205,1))))))</f>
        <v/>
      </c>
      <c r="AD148" s="11">
        <f>IF(Inputs!$D$34=0,0,IF($R148&lt;=Inputs!$C$34,0,IF($R148&gt;=INDEX(LE_Curves!$N$5:$N$205,201),INDEX(LE_Curves!$B$5:$B$205,201),INDEX(LE_Curves!$B$5:$B$205,MATCH($R148,LE_Curves!$N$5:$N$205,1))+($R148-INDEX(LE_Curves!$N$5:$N$205,MATCH($R148,LE_Curves!$N$5:$N$205,1)))*(INDEX(LE_Curves!$B$5:$B$205,MATCH($R148,LE_Curves!$N$5:$N$205,1)+1)-INDEX(LE_Curves!$B$5:$B$205,MATCH($R148,LE_Curves!$N$5:$N$205,1)))/(INDEX(LE_Curves!$N$5:$N$205,MATCH($R148,LE_Curves!$N$5:$N$205,1)+1)-INDEX(LE_Curves!$N$5:$N$205,MATCH($R148,LE_Curves!$N$5:$N$205,1))))))</f>
        <v/>
      </c>
      <c r="AE148" s="37">
        <f>SUM(S148:AD148)</f>
        <v/>
      </c>
    </row>
    <row r="149">
      <c r="A149" s="7" t="n">
        <v>118</v>
      </c>
      <c r="B149" s="37">
        <f>$B$3+($B$4-$B$3)*A149/200</f>
        <v/>
      </c>
      <c r="C149" s="11">
        <f>IF(Inputs!$D$23=0,0,IF($B149&lt;=Inputs!$C$23,0,IF($B149&gt;=INDEX(LE_Curves!$C$5:$C$205,201),INDEX(LE_Curves!$B$5:$B$205,201),INDEX(LE_Curves!$B$5:$B$205,MATCH($B149,LE_Curves!$C$5:$C$205,1))+($B149-INDEX(LE_Curves!$C$5:$C$205,MATCH($B149,LE_Curves!$C$5:$C$205,1)))*(INDEX(LE_Curves!$B$5:$B$205,MATCH($B149,LE_Curves!$C$5:$C$205,1)+1)-INDEX(LE_Curves!$B$5:$B$205,MATCH($B149,LE_Curves!$C$5:$C$205,1)))/(INDEX(LE_Curves!$C$5:$C$205,MATCH($B149,LE_Curves!$C$5:$C$205,1)+1)-INDEX(LE_Curves!$C$5:$C$205,MATCH($B149,LE_Curves!$C$5:$C$205,1))))))</f>
        <v/>
      </c>
      <c r="D149" s="11">
        <f>IF(Inputs!$D$24=0,0,IF($B149&lt;=Inputs!$C$24,0,IF($B149&gt;=INDEX(LE_Curves!$D$5:$D$205,201),INDEX(LE_Curves!$B$5:$B$205,201),INDEX(LE_Curves!$B$5:$B$205,MATCH($B149,LE_Curves!$D$5:$D$205,1))+($B149-INDEX(LE_Curves!$D$5:$D$205,MATCH($B149,LE_Curves!$D$5:$D$205,1)))*(INDEX(LE_Curves!$B$5:$B$205,MATCH($B149,LE_Curves!$D$5:$D$205,1)+1)-INDEX(LE_Curves!$B$5:$B$205,MATCH($B149,LE_Curves!$D$5:$D$205,1)))/(INDEX(LE_Curves!$D$5:$D$205,MATCH($B149,LE_Curves!$D$5:$D$205,1)+1)-INDEX(LE_Curves!$D$5:$D$205,MATCH($B149,LE_Curves!$D$5:$D$205,1))))))</f>
        <v/>
      </c>
      <c r="E149" s="11">
        <f>IF(Inputs!$D$25=0,0,IF($B149&lt;=Inputs!$C$25,0,IF($B149&gt;=INDEX(LE_Curves!$E$5:$E$205,201),INDEX(LE_Curves!$B$5:$B$205,201),INDEX(LE_Curves!$B$5:$B$205,MATCH($B149,LE_Curves!$E$5:$E$205,1))+($B149-INDEX(LE_Curves!$E$5:$E$205,MATCH($B149,LE_Curves!$E$5:$E$205,1)))*(INDEX(LE_Curves!$B$5:$B$205,MATCH($B149,LE_Curves!$E$5:$E$205,1)+1)-INDEX(LE_Curves!$B$5:$B$205,MATCH($B149,LE_Curves!$E$5:$E$205,1)))/(INDEX(LE_Curves!$E$5:$E$205,MATCH($B149,LE_Curves!$E$5:$E$205,1)+1)-INDEX(LE_Curves!$E$5:$E$205,MATCH($B149,LE_Curves!$E$5:$E$205,1))))))</f>
        <v/>
      </c>
      <c r="F149" s="11">
        <f>IF(Inputs!$D$26=0,0,IF($B149&lt;=Inputs!$C$26,0,IF($B149&gt;=INDEX(LE_Curves!$F$5:$F$205,201),INDEX(LE_Curves!$B$5:$B$205,201),INDEX(LE_Curves!$B$5:$B$205,MATCH($B149,LE_Curves!$F$5:$F$205,1))+($B149-INDEX(LE_Curves!$F$5:$F$205,MATCH($B149,LE_Curves!$F$5:$F$205,1)))*(INDEX(LE_Curves!$B$5:$B$205,MATCH($B149,LE_Curves!$F$5:$F$205,1)+1)-INDEX(LE_Curves!$B$5:$B$205,MATCH($B149,LE_Curves!$F$5:$F$205,1)))/(INDEX(LE_Curves!$F$5:$F$205,MATCH($B149,LE_Curves!$F$5:$F$205,1)+1)-INDEX(LE_Curves!$F$5:$F$205,MATCH($B149,LE_Curves!$F$5:$F$205,1))))))</f>
        <v/>
      </c>
      <c r="G149" s="11">
        <f>IF(Inputs!$D$27=0,0,IF($B149&lt;=Inputs!$C$27,0,IF($B149&gt;=INDEX(LE_Curves!$G$5:$G$205,201),INDEX(LE_Curves!$B$5:$B$205,201),INDEX(LE_Curves!$B$5:$B$205,MATCH($B149,LE_Curves!$G$5:$G$205,1))+($B149-INDEX(LE_Curves!$G$5:$G$205,MATCH($B149,LE_Curves!$G$5:$G$205,1)))*(INDEX(LE_Curves!$B$5:$B$205,MATCH($B149,LE_Curves!$G$5:$G$205,1)+1)-INDEX(LE_Curves!$B$5:$B$205,MATCH($B149,LE_Curves!$G$5:$G$205,1)))/(INDEX(LE_Curves!$G$5:$G$205,MATCH($B149,LE_Curves!$G$5:$G$205,1)+1)-INDEX(LE_Curves!$G$5:$G$205,MATCH($B149,LE_Curves!$G$5:$G$205,1))))))</f>
        <v/>
      </c>
      <c r="H149" s="11">
        <f>IF(Inputs!$D$28=0,0,IF($B149&lt;=Inputs!$C$28,0,IF($B149&gt;=INDEX(LE_Curves!$H$5:$H$205,201),INDEX(LE_Curves!$B$5:$B$205,201),INDEX(LE_Curves!$B$5:$B$205,MATCH($B149,LE_Curves!$H$5:$H$205,1))+($B149-INDEX(LE_Curves!$H$5:$H$205,MATCH($B149,LE_Curves!$H$5:$H$205,1)))*(INDEX(LE_Curves!$B$5:$B$205,MATCH($B149,LE_Curves!$H$5:$H$205,1)+1)-INDEX(LE_Curves!$B$5:$B$205,MATCH($B149,LE_Curves!$H$5:$H$205,1)))/(INDEX(LE_Curves!$H$5:$H$205,MATCH($B149,LE_Curves!$H$5:$H$205,1)+1)-INDEX(LE_Curves!$H$5:$H$205,MATCH($B149,LE_Curves!$H$5:$H$205,1))))))</f>
        <v/>
      </c>
      <c r="I149" s="11">
        <f>IF(Inputs!$D$29=0,0,IF($B149&lt;=Inputs!$C$29,0,IF($B149&gt;=INDEX(LE_Curves!$I$5:$I$205,201),INDEX(LE_Curves!$B$5:$B$205,201),INDEX(LE_Curves!$B$5:$B$205,MATCH($B149,LE_Curves!$I$5:$I$205,1))+($B149-INDEX(LE_Curves!$I$5:$I$205,MATCH($B149,LE_Curves!$I$5:$I$205,1)))*(INDEX(LE_Curves!$B$5:$B$205,MATCH($B149,LE_Curves!$I$5:$I$205,1)+1)-INDEX(LE_Curves!$B$5:$B$205,MATCH($B149,LE_Curves!$I$5:$I$205,1)))/(INDEX(LE_Curves!$I$5:$I$205,MATCH($B149,LE_Curves!$I$5:$I$205,1)+1)-INDEX(LE_Curves!$I$5:$I$205,MATCH($B149,LE_Curves!$I$5:$I$205,1))))))</f>
        <v/>
      </c>
      <c r="J149" s="11">
        <f>IF(Inputs!$D$30=0,0,IF($B149&lt;=Inputs!$C$30,0,IF($B149&gt;=INDEX(LE_Curves!$J$5:$J$205,201),INDEX(LE_Curves!$B$5:$B$205,201),INDEX(LE_Curves!$B$5:$B$205,MATCH($B149,LE_Curves!$J$5:$J$205,1))+($B149-INDEX(LE_Curves!$J$5:$J$205,MATCH($B149,LE_Curves!$J$5:$J$205,1)))*(INDEX(LE_Curves!$B$5:$B$205,MATCH($B149,LE_Curves!$J$5:$J$205,1)+1)-INDEX(LE_Curves!$B$5:$B$205,MATCH($B149,LE_Curves!$J$5:$J$205,1)))/(INDEX(LE_Curves!$J$5:$J$205,MATCH($B149,LE_Curves!$J$5:$J$205,1)+1)-INDEX(LE_Curves!$J$5:$J$205,MATCH($B149,LE_Curves!$J$5:$J$205,1))))))</f>
        <v/>
      </c>
      <c r="K149" s="11">
        <f>IF(Inputs!$D$31=0,0,IF($B149&lt;=Inputs!$C$31,0,IF($B149&gt;=INDEX(LE_Curves!$K$5:$K$205,201),INDEX(LE_Curves!$B$5:$B$205,201),INDEX(LE_Curves!$B$5:$B$205,MATCH($B149,LE_Curves!$K$5:$K$205,1))+($B149-INDEX(LE_Curves!$K$5:$K$205,MATCH($B149,LE_Curves!$K$5:$K$205,1)))*(INDEX(LE_Curves!$B$5:$B$205,MATCH($B149,LE_Curves!$K$5:$K$205,1)+1)-INDEX(LE_Curves!$B$5:$B$205,MATCH($B149,LE_Curves!$K$5:$K$205,1)))/(INDEX(LE_Curves!$K$5:$K$205,MATCH($B149,LE_Curves!$K$5:$K$205,1)+1)-INDEX(LE_Curves!$K$5:$K$205,MATCH($B149,LE_Curves!$K$5:$K$205,1))))))</f>
        <v/>
      </c>
      <c r="L149" s="11">
        <f>IF(Inputs!$D$32=0,0,IF($B149&lt;=Inputs!$C$32,0,IF($B149&gt;=INDEX(LE_Curves!$L$5:$L$205,201),INDEX(LE_Curves!$B$5:$B$205,201),INDEX(LE_Curves!$B$5:$B$205,MATCH($B149,LE_Curves!$L$5:$L$205,1))+($B149-INDEX(LE_Curves!$L$5:$L$205,MATCH($B149,LE_Curves!$L$5:$L$205,1)))*(INDEX(LE_Curves!$B$5:$B$205,MATCH($B149,LE_Curves!$L$5:$L$205,1)+1)-INDEX(LE_Curves!$B$5:$B$205,MATCH($B149,LE_Curves!$L$5:$L$205,1)))/(INDEX(LE_Curves!$L$5:$L$205,MATCH($B149,LE_Curves!$L$5:$L$205,1)+1)-INDEX(LE_Curves!$L$5:$L$205,MATCH($B149,LE_Curves!$L$5:$L$205,1))))))</f>
        <v/>
      </c>
      <c r="M149" s="11">
        <f>IF(Inputs!$D$33=0,0,IF($B149&lt;=Inputs!$C$33,0,IF($B149&gt;=INDEX(LE_Curves!$M$5:$M$205,201),INDEX(LE_Curves!$B$5:$B$205,201),INDEX(LE_Curves!$B$5:$B$205,MATCH($B149,LE_Curves!$M$5:$M$205,1))+($B149-INDEX(LE_Curves!$M$5:$M$205,MATCH($B149,LE_Curves!$M$5:$M$205,1)))*(INDEX(LE_Curves!$B$5:$B$205,MATCH($B149,LE_Curves!$M$5:$M$205,1)+1)-INDEX(LE_Curves!$B$5:$B$205,MATCH($B149,LE_Curves!$M$5:$M$205,1)))/(INDEX(LE_Curves!$M$5:$M$205,MATCH($B149,LE_Curves!$M$5:$M$205,1)+1)-INDEX(LE_Curves!$M$5:$M$205,MATCH($B149,LE_Curves!$M$5:$M$205,1))))))</f>
        <v/>
      </c>
      <c r="N149" s="11">
        <f>IF(Inputs!$D$34=0,0,IF($B149&lt;=Inputs!$C$34,0,IF($B149&gt;=INDEX(LE_Curves!$N$5:$N$205,201),INDEX(LE_Curves!$B$5:$B$205,201),INDEX(LE_Curves!$B$5:$B$205,MATCH($B149,LE_Curves!$N$5:$N$205,1))+($B149-INDEX(LE_Curves!$N$5:$N$205,MATCH($B149,LE_Curves!$N$5:$N$205,1)))*(INDEX(LE_Curves!$B$5:$B$205,MATCH($B149,LE_Curves!$N$5:$N$205,1)+1)-INDEX(LE_Curves!$B$5:$B$205,MATCH($B149,LE_Curves!$N$5:$N$205,1)))/(INDEX(LE_Curves!$N$5:$N$205,MATCH($B149,LE_Curves!$N$5:$N$205,1)+1)-INDEX(LE_Curves!$N$5:$N$205,MATCH($B149,LE_Curves!$N$5:$N$205,1))))))</f>
        <v/>
      </c>
      <c r="O149" s="11">
        <f>SUM(C149:N149)</f>
        <v/>
      </c>
      <c r="Q149" s="7" t="n">
        <v>118</v>
      </c>
      <c r="R149" s="23">
        <f>$B$6+($B$7-$B$6)*Q149/200</f>
        <v/>
      </c>
      <c r="S149" s="11">
        <f>IF(Inputs!$D$23=0,0,IF($R149&lt;=Inputs!$C$23,0,IF($R149&gt;=INDEX(LE_Curves!$C$5:$C$205,201),INDEX(LE_Curves!$B$5:$B$205,201),INDEX(LE_Curves!$B$5:$B$205,MATCH($R149,LE_Curves!$C$5:$C$205,1))+($R149-INDEX(LE_Curves!$C$5:$C$205,MATCH($R149,LE_Curves!$C$5:$C$205,1)))*(INDEX(LE_Curves!$B$5:$B$205,MATCH($R149,LE_Curves!$C$5:$C$205,1)+1)-INDEX(LE_Curves!$B$5:$B$205,MATCH($R149,LE_Curves!$C$5:$C$205,1)))/(INDEX(LE_Curves!$C$5:$C$205,MATCH($R149,LE_Curves!$C$5:$C$205,1)+1)-INDEX(LE_Curves!$C$5:$C$205,MATCH($R149,LE_Curves!$C$5:$C$205,1))))))</f>
        <v/>
      </c>
      <c r="T149" s="11">
        <f>IF(Inputs!$D$24=0,0,IF($R149&lt;=Inputs!$C$24,0,IF($R149&gt;=INDEX(LE_Curves!$D$5:$D$205,201),INDEX(LE_Curves!$B$5:$B$205,201),INDEX(LE_Curves!$B$5:$B$205,MATCH($R149,LE_Curves!$D$5:$D$205,1))+($R149-INDEX(LE_Curves!$D$5:$D$205,MATCH($R149,LE_Curves!$D$5:$D$205,1)))*(INDEX(LE_Curves!$B$5:$B$205,MATCH($R149,LE_Curves!$D$5:$D$205,1)+1)-INDEX(LE_Curves!$B$5:$B$205,MATCH($R149,LE_Curves!$D$5:$D$205,1)))/(INDEX(LE_Curves!$D$5:$D$205,MATCH($R149,LE_Curves!$D$5:$D$205,1)+1)-INDEX(LE_Curves!$D$5:$D$205,MATCH($R149,LE_Curves!$D$5:$D$205,1))))))</f>
        <v/>
      </c>
      <c r="U149" s="11">
        <f>IF(Inputs!$D$25=0,0,IF($R149&lt;=Inputs!$C$25,0,IF($R149&gt;=INDEX(LE_Curves!$E$5:$E$205,201),INDEX(LE_Curves!$B$5:$B$205,201),INDEX(LE_Curves!$B$5:$B$205,MATCH($R149,LE_Curves!$E$5:$E$205,1))+($R149-INDEX(LE_Curves!$E$5:$E$205,MATCH($R149,LE_Curves!$E$5:$E$205,1)))*(INDEX(LE_Curves!$B$5:$B$205,MATCH($R149,LE_Curves!$E$5:$E$205,1)+1)-INDEX(LE_Curves!$B$5:$B$205,MATCH($R149,LE_Curves!$E$5:$E$205,1)))/(INDEX(LE_Curves!$E$5:$E$205,MATCH($R149,LE_Curves!$E$5:$E$205,1)+1)-INDEX(LE_Curves!$E$5:$E$205,MATCH($R149,LE_Curves!$E$5:$E$205,1))))))</f>
        <v/>
      </c>
      <c r="V149" s="11">
        <f>IF(Inputs!$D$26=0,0,IF($R149&lt;=Inputs!$C$26,0,IF($R149&gt;=INDEX(LE_Curves!$F$5:$F$205,201),INDEX(LE_Curves!$B$5:$B$205,201),INDEX(LE_Curves!$B$5:$B$205,MATCH($R149,LE_Curves!$F$5:$F$205,1))+($R149-INDEX(LE_Curves!$F$5:$F$205,MATCH($R149,LE_Curves!$F$5:$F$205,1)))*(INDEX(LE_Curves!$B$5:$B$205,MATCH($R149,LE_Curves!$F$5:$F$205,1)+1)-INDEX(LE_Curves!$B$5:$B$205,MATCH($R149,LE_Curves!$F$5:$F$205,1)))/(INDEX(LE_Curves!$F$5:$F$205,MATCH($R149,LE_Curves!$F$5:$F$205,1)+1)-INDEX(LE_Curves!$F$5:$F$205,MATCH($R149,LE_Curves!$F$5:$F$205,1))))))</f>
        <v/>
      </c>
      <c r="W149" s="11">
        <f>IF(Inputs!$D$27=0,0,IF($R149&lt;=Inputs!$C$27,0,IF($R149&gt;=INDEX(LE_Curves!$G$5:$G$205,201),INDEX(LE_Curves!$B$5:$B$205,201),INDEX(LE_Curves!$B$5:$B$205,MATCH($R149,LE_Curves!$G$5:$G$205,1))+($R149-INDEX(LE_Curves!$G$5:$G$205,MATCH($R149,LE_Curves!$G$5:$G$205,1)))*(INDEX(LE_Curves!$B$5:$B$205,MATCH($R149,LE_Curves!$G$5:$G$205,1)+1)-INDEX(LE_Curves!$B$5:$B$205,MATCH($R149,LE_Curves!$G$5:$G$205,1)))/(INDEX(LE_Curves!$G$5:$G$205,MATCH($R149,LE_Curves!$G$5:$G$205,1)+1)-INDEX(LE_Curves!$G$5:$G$205,MATCH($R149,LE_Curves!$G$5:$G$205,1))))))</f>
        <v/>
      </c>
      <c r="X149" s="11">
        <f>IF(Inputs!$D$28=0,0,IF($R149&lt;=Inputs!$C$28,0,IF($R149&gt;=INDEX(LE_Curves!$H$5:$H$205,201),INDEX(LE_Curves!$B$5:$B$205,201),INDEX(LE_Curves!$B$5:$B$205,MATCH($R149,LE_Curves!$H$5:$H$205,1))+($R149-INDEX(LE_Curves!$H$5:$H$205,MATCH($R149,LE_Curves!$H$5:$H$205,1)))*(INDEX(LE_Curves!$B$5:$B$205,MATCH($R149,LE_Curves!$H$5:$H$205,1)+1)-INDEX(LE_Curves!$B$5:$B$205,MATCH($R149,LE_Curves!$H$5:$H$205,1)))/(INDEX(LE_Curves!$H$5:$H$205,MATCH($R149,LE_Curves!$H$5:$H$205,1)+1)-INDEX(LE_Curves!$H$5:$H$205,MATCH($R149,LE_Curves!$H$5:$H$205,1))))))</f>
        <v/>
      </c>
      <c r="Y149" s="11">
        <f>IF(Inputs!$D$29=0,0,IF($R149&lt;=Inputs!$C$29,0,IF($R149&gt;=INDEX(LE_Curves!$I$5:$I$205,201),INDEX(LE_Curves!$B$5:$B$205,201),INDEX(LE_Curves!$B$5:$B$205,MATCH($R149,LE_Curves!$I$5:$I$205,1))+($R149-INDEX(LE_Curves!$I$5:$I$205,MATCH($R149,LE_Curves!$I$5:$I$205,1)))*(INDEX(LE_Curves!$B$5:$B$205,MATCH($R149,LE_Curves!$I$5:$I$205,1)+1)-INDEX(LE_Curves!$B$5:$B$205,MATCH($R149,LE_Curves!$I$5:$I$205,1)))/(INDEX(LE_Curves!$I$5:$I$205,MATCH($R149,LE_Curves!$I$5:$I$205,1)+1)-INDEX(LE_Curves!$I$5:$I$205,MATCH($R149,LE_Curves!$I$5:$I$205,1))))))</f>
        <v/>
      </c>
      <c r="Z149" s="11">
        <f>IF(Inputs!$D$30=0,0,IF($R149&lt;=Inputs!$C$30,0,IF($R149&gt;=INDEX(LE_Curves!$J$5:$J$205,201),INDEX(LE_Curves!$B$5:$B$205,201),INDEX(LE_Curves!$B$5:$B$205,MATCH($R149,LE_Curves!$J$5:$J$205,1))+($R149-INDEX(LE_Curves!$J$5:$J$205,MATCH($R149,LE_Curves!$J$5:$J$205,1)))*(INDEX(LE_Curves!$B$5:$B$205,MATCH($R149,LE_Curves!$J$5:$J$205,1)+1)-INDEX(LE_Curves!$B$5:$B$205,MATCH($R149,LE_Curves!$J$5:$J$205,1)))/(INDEX(LE_Curves!$J$5:$J$205,MATCH($R149,LE_Curves!$J$5:$J$205,1)+1)-INDEX(LE_Curves!$J$5:$J$205,MATCH($R149,LE_Curves!$J$5:$J$205,1))))))</f>
        <v/>
      </c>
      <c r="AA149" s="11">
        <f>IF(Inputs!$D$31=0,0,IF($R149&lt;=Inputs!$C$31,0,IF($R149&gt;=INDEX(LE_Curves!$K$5:$K$205,201),INDEX(LE_Curves!$B$5:$B$205,201),INDEX(LE_Curves!$B$5:$B$205,MATCH($R149,LE_Curves!$K$5:$K$205,1))+($R149-INDEX(LE_Curves!$K$5:$K$205,MATCH($R149,LE_Curves!$K$5:$K$205,1)))*(INDEX(LE_Curves!$B$5:$B$205,MATCH($R149,LE_Curves!$K$5:$K$205,1)+1)-INDEX(LE_Curves!$B$5:$B$205,MATCH($R149,LE_Curves!$K$5:$K$205,1)))/(INDEX(LE_Curves!$K$5:$K$205,MATCH($R149,LE_Curves!$K$5:$K$205,1)+1)-INDEX(LE_Curves!$K$5:$K$205,MATCH($R149,LE_Curves!$K$5:$K$205,1))))))</f>
        <v/>
      </c>
      <c r="AB149" s="11">
        <f>IF(Inputs!$D$32=0,0,IF($R149&lt;=Inputs!$C$32,0,IF($R149&gt;=INDEX(LE_Curves!$L$5:$L$205,201),INDEX(LE_Curves!$B$5:$B$205,201),INDEX(LE_Curves!$B$5:$B$205,MATCH($R149,LE_Curves!$L$5:$L$205,1))+($R149-INDEX(LE_Curves!$L$5:$L$205,MATCH($R149,LE_Curves!$L$5:$L$205,1)))*(INDEX(LE_Curves!$B$5:$B$205,MATCH($R149,LE_Curves!$L$5:$L$205,1)+1)-INDEX(LE_Curves!$B$5:$B$205,MATCH($R149,LE_Curves!$L$5:$L$205,1)))/(INDEX(LE_Curves!$L$5:$L$205,MATCH($R149,LE_Curves!$L$5:$L$205,1)+1)-INDEX(LE_Curves!$L$5:$L$205,MATCH($R149,LE_Curves!$L$5:$L$205,1))))))</f>
        <v/>
      </c>
      <c r="AC149" s="11">
        <f>IF(Inputs!$D$33=0,0,IF($R149&lt;=Inputs!$C$33,0,IF($R149&gt;=INDEX(LE_Curves!$M$5:$M$205,201),INDEX(LE_Curves!$B$5:$B$205,201),INDEX(LE_Curves!$B$5:$B$205,MATCH($R149,LE_Curves!$M$5:$M$205,1))+($R149-INDEX(LE_Curves!$M$5:$M$205,MATCH($R149,LE_Curves!$M$5:$M$205,1)))*(INDEX(LE_Curves!$B$5:$B$205,MATCH($R149,LE_Curves!$M$5:$M$205,1)+1)-INDEX(LE_Curves!$B$5:$B$205,MATCH($R149,LE_Curves!$M$5:$M$205,1)))/(INDEX(LE_Curves!$M$5:$M$205,MATCH($R149,LE_Curves!$M$5:$M$205,1)+1)-INDEX(LE_Curves!$M$5:$M$205,MATCH($R149,LE_Curves!$M$5:$M$205,1))))))</f>
        <v/>
      </c>
      <c r="AD149" s="11">
        <f>IF(Inputs!$D$34=0,0,IF($R149&lt;=Inputs!$C$34,0,IF($R149&gt;=INDEX(LE_Curves!$N$5:$N$205,201),INDEX(LE_Curves!$B$5:$B$205,201),INDEX(LE_Curves!$B$5:$B$205,MATCH($R149,LE_Curves!$N$5:$N$205,1))+($R149-INDEX(LE_Curves!$N$5:$N$205,MATCH($R149,LE_Curves!$N$5:$N$205,1)))*(INDEX(LE_Curves!$B$5:$B$205,MATCH($R149,LE_Curves!$N$5:$N$205,1)+1)-INDEX(LE_Curves!$B$5:$B$205,MATCH($R149,LE_Curves!$N$5:$N$205,1)))/(INDEX(LE_Curves!$N$5:$N$205,MATCH($R149,LE_Curves!$N$5:$N$205,1)+1)-INDEX(LE_Curves!$N$5:$N$205,MATCH($R149,LE_Curves!$N$5:$N$205,1))))))</f>
        <v/>
      </c>
      <c r="AE149" s="37">
        <f>SUM(S149:AD149)</f>
        <v/>
      </c>
    </row>
    <row r="150">
      <c r="A150" s="7" t="n">
        <v>119</v>
      </c>
      <c r="B150" s="37">
        <f>$B$3+($B$4-$B$3)*A150/200</f>
        <v/>
      </c>
      <c r="C150" s="11">
        <f>IF(Inputs!$D$23=0,0,IF($B150&lt;=Inputs!$C$23,0,IF($B150&gt;=INDEX(LE_Curves!$C$5:$C$205,201),INDEX(LE_Curves!$B$5:$B$205,201),INDEX(LE_Curves!$B$5:$B$205,MATCH($B150,LE_Curves!$C$5:$C$205,1))+($B150-INDEX(LE_Curves!$C$5:$C$205,MATCH($B150,LE_Curves!$C$5:$C$205,1)))*(INDEX(LE_Curves!$B$5:$B$205,MATCH($B150,LE_Curves!$C$5:$C$205,1)+1)-INDEX(LE_Curves!$B$5:$B$205,MATCH($B150,LE_Curves!$C$5:$C$205,1)))/(INDEX(LE_Curves!$C$5:$C$205,MATCH($B150,LE_Curves!$C$5:$C$205,1)+1)-INDEX(LE_Curves!$C$5:$C$205,MATCH($B150,LE_Curves!$C$5:$C$205,1))))))</f>
        <v/>
      </c>
      <c r="D150" s="11">
        <f>IF(Inputs!$D$24=0,0,IF($B150&lt;=Inputs!$C$24,0,IF($B150&gt;=INDEX(LE_Curves!$D$5:$D$205,201),INDEX(LE_Curves!$B$5:$B$205,201),INDEX(LE_Curves!$B$5:$B$205,MATCH($B150,LE_Curves!$D$5:$D$205,1))+($B150-INDEX(LE_Curves!$D$5:$D$205,MATCH($B150,LE_Curves!$D$5:$D$205,1)))*(INDEX(LE_Curves!$B$5:$B$205,MATCH($B150,LE_Curves!$D$5:$D$205,1)+1)-INDEX(LE_Curves!$B$5:$B$205,MATCH($B150,LE_Curves!$D$5:$D$205,1)))/(INDEX(LE_Curves!$D$5:$D$205,MATCH($B150,LE_Curves!$D$5:$D$205,1)+1)-INDEX(LE_Curves!$D$5:$D$205,MATCH($B150,LE_Curves!$D$5:$D$205,1))))))</f>
        <v/>
      </c>
      <c r="E150" s="11">
        <f>IF(Inputs!$D$25=0,0,IF($B150&lt;=Inputs!$C$25,0,IF($B150&gt;=INDEX(LE_Curves!$E$5:$E$205,201),INDEX(LE_Curves!$B$5:$B$205,201),INDEX(LE_Curves!$B$5:$B$205,MATCH($B150,LE_Curves!$E$5:$E$205,1))+($B150-INDEX(LE_Curves!$E$5:$E$205,MATCH($B150,LE_Curves!$E$5:$E$205,1)))*(INDEX(LE_Curves!$B$5:$B$205,MATCH($B150,LE_Curves!$E$5:$E$205,1)+1)-INDEX(LE_Curves!$B$5:$B$205,MATCH($B150,LE_Curves!$E$5:$E$205,1)))/(INDEX(LE_Curves!$E$5:$E$205,MATCH($B150,LE_Curves!$E$5:$E$205,1)+1)-INDEX(LE_Curves!$E$5:$E$205,MATCH($B150,LE_Curves!$E$5:$E$205,1))))))</f>
        <v/>
      </c>
      <c r="F150" s="11">
        <f>IF(Inputs!$D$26=0,0,IF($B150&lt;=Inputs!$C$26,0,IF($B150&gt;=INDEX(LE_Curves!$F$5:$F$205,201),INDEX(LE_Curves!$B$5:$B$205,201),INDEX(LE_Curves!$B$5:$B$205,MATCH($B150,LE_Curves!$F$5:$F$205,1))+($B150-INDEX(LE_Curves!$F$5:$F$205,MATCH($B150,LE_Curves!$F$5:$F$205,1)))*(INDEX(LE_Curves!$B$5:$B$205,MATCH($B150,LE_Curves!$F$5:$F$205,1)+1)-INDEX(LE_Curves!$B$5:$B$205,MATCH($B150,LE_Curves!$F$5:$F$205,1)))/(INDEX(LE_Curves!$F$5:$F$205,MATCH($B150,LE_Curves!$F$5:$F$205,1)+1)-INDEX(LE_Curves!$F$5:$F$205,MATCH($B150,LE_Curves!$F$5:$F$205,1))))))</f>
        <v/>
      </c>
      <c r="G150" s="11">
        <f>IF(Inputs!$D$27=0,0,IF($B150&lt;=Inputs!$C$27,0,IF($B150&gt;=INDEX(LE_Curves!$G$5:$G$205,201),INDEX(LE_Curves!$B$5:$B$205,201),INDEX(LE_Curves!$B$5:$B$205,MATCH($B150,LE_Curves!$G$5:$G$205,1))+($B150-INDEX(LE_Curves!$G$5:$G$205,MATCH($B150,LE_Curves!$G$5:$G$205,1)))*(INDEX(LE_Curves!$B$5:$B$205,MATCH($B150,LE_Curves!$G$5:$G$205,1)+1)-INDEX(LE_Curves!$B$5:$B$205,MATCH($B150,LE_Curves!$G$5:$G$205,1)))/(INDEX(LE_Curves!$G$5:$G$205,MATCH($B150,LE_Curves!$G$5:$G$205,1)+1)-INDEX(LE_Curves!$G$5:$G$205,MATCH($B150,LE_Curves!$G$5:$G$205,1))))))</f>
        <v/>
      </c>
      <c r="H150" s="11">
        <f>IF(Inputs!$D$28=0,0,IF($B150&lt;=Inputs!$C$28,0,IF($B150&gt;=INDEX(LE_Curves!$H$5:$H$205,201),INDEX(LE_Curves!$B$5:$B$205,201),INDEX(LE_Curves!$B$5:$B$205,MATCH($B150,LE_Curves!$H$5:$H$205,1))+($B150-INDEX(LE_Curves!$H$5:$H$205,MATCH($B150,LE_Curves!$H$5:$H$205,1)))*(INDEX(LE_Curves!$B$5:$B$205,MATCH($B150,LE_Curves!$H$5:$H$205,1)+1)-INDEX(LE_Curves!$B$5:$B$205,MATCH($B150,LE_Curves!$H$5:$H$205,1)))/(INDEX(LE_Curves!$H$5:$H$205,MATCH($B150,LE_Curves!$H$5:$H$205,1)+1)-INDEX(LE_Curves!$H$5:$H$205,MATCH($B150,LE_Curves!$H$5:$H$205,1))))))</f>
        <v/>
      </c>
      <c r="I150" s="11">
        <f>IF(Inputs!$D$29=0,0,IF($B150&lt;=Inputs!$C$29,0,IF($B150&gt;=INDEX(LE_Curves!$I$5:$I$205,201),INDEX(LE_Curves!$B$5:$B$205,201),INDEX(LE_Curves!$B$5:$B$205,MATCH($B150,LE_Curves!$I$5:$I$205,1))+($B150-INDEX(LE_Curves!$I$5:$I$205,MATCH($B150,LE_Curves!$I$5:$I$205,1)))*(INDEX(LE_Curves!$B$5:$B$205,MATCH($B150,LE_Curves!$I$5:$I$205,1)+1)-INDEX(LE_Curves!$B$5:$B$205,MATCH($B150,LE_Curves!$I$5:$I$205,1)))/(INDEX(LE_Curves!$I$5:$I$205,MATCH($B150,LE_Curves!$I$5:$I$205,1)+1)-INDEX(LE_Curves!$I$5:$I$205,MATCH($B150,LE_Curves!$I$5:$I$205,1))))))</f>
        <v/>
      </c>
      <c r="J150" s="11">
        <f>IF(Inputs!$D$30=0,0,IF($B150&lt;=Inputs!$C$30,0,IF($B150&gt;=INDEX(LE_Curves!$J$5:$J$205,201),INDEX(LE_Curves!$B$5:$B$205,201),INDEX(LE_Curves!$B$5:$B$205,MATCH($B150,LE_Curves!$J$5:$J$205,1))+($B150-INDEX(LE_Curves!$J$5:$J$205,MATCH($B150,LE_Curves!$J$5:$J$205,1)))*(INDEX(LE_Curves!$B$5:$B$205,MATCH($B150,LE_Curves!$J$5:$J$205,1)+1)-INDEX(LE_Curves!$B$5:$B$205,MATCH($B150,LE_Curves!$J$5:$J$205,1)))/(INDEX(LE_Curves!$J$5:$J$205,MATCH($B150,LE_Curves!$J$5:$J$205,1)+1)-INDEX(LE_Curves!$J$5:$J$205,MATCH($B150,LE_Curves!$J$5:$J$205,1))))))</f>
        <v/>
      </c>
      <c r="K150" s="11">
        <f>IF(Inputs!$D$31=0,0,IF($B150&lt;=Inputs!$C$31,0,IF($B150&gt;=INDEX(LE_Curves!$K$5:$K$205,201),INDEX(LE_Curves!$B$5:$B$205,201),INDEX(LE_Curves!$B$5:$B$205,MATCH($B150,LE_Curves!$K$5:$K$205,1))+($B150-INDEX(LE_Curves!$K$5:$K$205,MATCH($B150,LE_Curves!$K$5:$K$205,1)))*(INDEX(LE_Curves!$B$5:$B$205,MATCH($B150,LE_Curves!$K$5:$K$205,1)+1)-INDEX(LE_Curves!$B$5:$B$205,MATCH($B150,LE_Curves!$K$5:$K$205,1)))/(INDEX(LE_Curves!$K$5:$K$205,MATCH($B150,LE_Curves!$K$5:$K$205,1)+1)-INDEX(LE_Curves!$K$5:$K$205,MATCH($B150,LE_Curves!$K$5:$K$205,1))))))</f>
        <v/>
      </c>
      <c r="L150" s="11">
        <f>IF(Inputs!$D$32=0,0,IF($B150&lt;=Inputs!$C$32,0,IF($B150&gt;=INDEX(LE_Curves!$L$5:$L$205,201),INDEX(LE_Curves!$B$5:$B$205,201),INDEX(LE_Curves!$B$5:$B$205,MATCH($B150,LE_Curves!$L$5:$L$205,1))+($B150-INDEX(LE_Curves!$L$5:$L$205,MATCH($B150,LE_Curves!$L$5:$L$205,1)))*(INDEX(LE_Curves!$B$5:$B$205,MATCH($B150,LE_Curves!$L$5:$L$205,1)+1)-INDEX(LE_Curves!$B$5:$B$205,MATCH($B150,LE_Curves!$L$5:$L$205,1)))/(INDEX(LE_Curves!$L$5:$L$205,MATCH($B150,LE_Curves!$L$5:$L$205,1)+1)-INDEX(LE_Curves!$L$5:$L$205,MATCH($B150,LE_Curves!$L$5:$L$205,1))))))</f>
        <v/>
      </c>
      <c r="M150" s="11">
        <f>IF(Inputs!$D$33=0,0,IF($B150&lt;=Inputs!$C$33,0,IF($B150&gt;=INDEX(LE_Curves!$M$5:$M$205,201),INDEX(LE_Curves!$B$5:$B$205,201),INDEX(LE_Curves!$B$5:$B$205,MATCH($B150,LE_Curves!$M$5:$M$205,1))+($B150-INDEX(LE_Curves!$M$5:$M$205,MATCH($B150,LE_Curves!$M$5:$M$205,1)))*(INDEX(LE_Curves!$B$5:$B$205,MATCH($B150,LE_Curves!$M$5:$M$205,1)+1)-INDEX(LE_Curves!$B$5:$B$205,MATCH($B150,LE_Curves!$M$5:$M$205,1)))/(INDEX(LE_Curves!$M$5:$M$205,MATCH($B150,LE_Curves!$M$5:$M$205,1)+1)-INDEX(LE_Curves!$M$5:$M$205,MATCH($B150,LE_Curves!$M$5:$M$205,1))))))</f>
        <v/>
      </c>
      <c r="N150" s="11">
        <f>IF(Inputs!$D$34=0,0,IF($B150&lt;=Inputs!$C$34,0,IF($B150&gt;=INDEX(LE_Curves!$N$5:$N$205,201),INDEX(LE_Curves!$B$5:$B$205,201),INDEX(LE_Curves!$B$5:$B$205,MATCH($B150,LE_Curves!$N$5:$N$205,1))+($B150-INDEX(LE_Curves!$N$5:$N$205,MATCH($B150,LE_Curves!$N$5:$N$205,1)))*(INDEX(LE_Curves!$B$5:$B$205,MATCH($B150,LE_Curves!$N$5:$N$205,1)+1)-INDEX(LE_Curves!$B$5:$B$205,MATCH($B150,LE_Curves!$N$5:$N$205,1)))/(INDEX(LE_Curves!$N$5:$N$205,MATCH($B150,LE_Curves!$N$5:$N$205,1)+1)-INDEX(LE_Curves!$N$5:$N$205,MATCH($B150,LE_Curves!$N$5:$N$205,1))))))</f>
        <v/>
      </c>
      <c r="O150" s="11">
        <f>SUM(C150:N150)</f>
        <v/>
      </c>
      <c r="Q150" s="7" t="n">
        <v>119</v>
      </c>
      <c r="R150" s="23">
        <f>$B$6+($B$7-$B$6)*Q150/200</f>
        <v/>
      </c>
      <c r="S150" s="11">
        <f>IF(Inputs!$D$23=0,0,IF($R150&lt;=Inputs!$C$23,0,IF($R150&gt;=INDEX(LE_Curves!$C$5:$C$205,201),INDEX(LE_Curves!$B$5:$B$205,201),INDEX(LE_Curves!$B$5:$B$205,MATCH($R150,LE_Curves!$C$5:$C$205,1))+($R150-INDEX(LE_Curves!$C$5:$C$205,MATCH($R150,LE_Curves!$C$5:$C$205,1)))*(INDEX(LE_Curves!$B$5:$B$205,MATCH($R150,LE_Curves!$C$5:$C$205,1)+1)-INDEX(LE_Curves!$B$5:$B$205,MATCH($R150,LE_Curves!$C$5:$C$205,1)))/(INDEX(LE_Curves!$C$5:$C$205,MATCH($R150,LE_Curves!$C$5:$C$205,1)+1)-INDEX(LE_Curves!$C$5:$C$205,MATCH($R150,LE_Curves!$C$5:$C$205,1))))))</f>
        <v/>
      </c>
      <c r="T150" s="11">
        <f>IF(Inputs!$D$24=0,0,IF($R150&lt;=Inputs!$C$24,0,IF($R150&gt;=INDEX(LE_Curves!$D$5:$D$205,201),INDEX(LE_Curves!$B$5:$B$205,201),INDEX(LE_Curves!$B$5:$B$205,MATCH($R150,LE_Curves!$D$5:$D$205,1))+($R150-INDEX(LE_Curves!$D$5:$D$205,MATCH($R150,LE_Curves!$D$5:$D$205,1)))*(INDEX(LE_Curves!$B$5:$B$205,MATCH($R150,LE_Curves!$D$5:$D$205,1)+1)-INDEX(LE_Curves!$B$5:$B$205,MATCH($R150,LE_Curves!$D$5:$D$205,1)))/(INDEX(LE_Curves!$D$5:$D$205,MATCH($R150,LE_Curves!$D$5:$D$205,1)+1)-INDEX(LE_Curves!$D$5:$D$205,MATCH($R150,LE_Curves!$D$5:$D$205,1))))))</f>
        <v/>
      </c>
      <c r="U150" s="11">
        <f>IF(Inputs!$D$25=0,0,IF($R150&lt;=Inputs!$C$25,0,IF($R150&gt;=INDEX(LE_Curves!$E$5:$E$205,201),INDEX(LE_Curves!$B$5:$B$205,201),INDEX(LE_Curves!$B$5:$B$205,MATCH($R150,LE_Curves!$E$5:$E$205,1))+($R150-INDEX(LE_Curves!$E$5:$E$205,MATCH($R150,LE_Curves!$E$5:$E$205,1)))*(INDEX(LE_Curves!$B$5:$B$205,MATCH($R150,LE_Curves!$E$5:$E$205,1)+1)-INDEX(LE_Curves!$B$5:$B$205,MATCH($R150,LE_Curves!$E$5:$E$205,1)))/(INDEX(LE_Curves!$E$5:$E$205,MATCH($R150,LE_Curves!$E$5:$E$205,1)+1)-INDEX(LE_Curves!$E$5:$E$205,MATCH($R150,LE_Curves!$E$5:$E$205,1))))))</f>
        <v/>
      </c>
      <c r="V150" s="11">
        <f>IF(Inputs!$D$26=0,0,IF($R150&lt;=Inputs!$C$26,0,IF($R150&gt;=INDEX(LE_Curves!$F$5:$F$205,201),INDEX(LE_Curves!$B$5:$B$205,201),INDEX(LE_Curves!$B$5:$B$205,MATCH($R150,LE_Curves!$F$5:$F$205,1))+($R150-INDEX(LE_Curves!$F$5:$F$205,MATCH($R150,LE_Curves!$F$5:$F$205,1)))*(INDEX(LE_Curves!$B$5:$B$205,MATCH($R150,LE_Curves!$F$5:$F$205,1)+1)-INDEX(LE_Curves!$B$5:$B$205,MATCH($R150,LE_Curves!$F$5:$F$205,1)))/(INDEX(LE_Curves!$F$5:$F$205,MATCH($R150,LE_Curves!$F$5:$F$205,1)+1)-INDEX(LE_Curves!$F$5:$F$205,MATCH($R150,LE_Curves!$F$5:$F$205,1))))))</f>
        <v/>
      </c>
      <c r="W150" s="11">
        <f>IF(Inputs!$D$27=0,0,IF($R150&lt;=Inputs!$C$27,0,IF($R150&gt;=INDEX(LE_Curves!$G$5:$G$205,201),INDEX(LE_Curves!$B$5:$B$205,201),INDEX(LE_Curves!$B$5:$B$205,MATCH($R150,LE_Curves!$G$5:$G$205,1))+($R150-INDEX(LE_Curves!$G$5:$G$205,MATCH($R150,LE_Curves!$G$5:$G$205,1)))*(INDEX(LE_Curves!$B$5:$B$205,MATCH($R150,LE_Curves!$G$5:$G$205,1)+1)-INDEX(LE_Curves!$B$5:$B$205,MATCH($R150,LE_Curves!$G$5:$G$205,1)))/(INDEX(LE_Curves!$G$5:$G$205,MATCH($R150,LE_Curves!$G$5:$G$205,1)+1)-INDEX(LE_Curves!$G$5:$G$205,MATCH($R150,LE_Curves!$G$5:$G$205,1))))))</f>
        <v/>
      </c>
      <c r="X150" s="11">
        <f>IF(Inputs!$D$28=0,0,IF($R150&lt;=Inputs!$C$28,0,IF($R150&gt;=INDEX(LE_Curves!$H$5:$H$205,201),INDEX(LE_Curves!$B$5:$B$205,201),INDEX(LE_Curves!$B$5:$B$205,MATCH($R150,LE_Curves!$H$5:$H$205,1))+($R150-INDEX(LE_Curves!$H$5:$H$205,MATCH($R150,LE_Curves!$H$5:$H$205,1)))*(INDEX(LE_Curves!$B$5:$B$205,MATCH($R150,LE_Curves!$H$5:$H$205,1)+1)-INDEX(LE_Curves!$B$5:$B$205,MATCH($R150,LE_Curves!$H$5:$H$205,1)))/(INDEX(LE_Curves!$H$5:$H$205,MATCH($R150,LE_Curves!$H$5:$H$205,1)+1)-INDEX(LE_Curves!$H$5:$H$205,MATCH($R150,LE_Curves!$H$5:$H$205,1))))))</f>
        <v/>
      </c>
      <c r="Y150" s="11">
        <f>IF(Inputs!$D$29=0,0,IF($R150&lt;=Inputs!$C$29,0,IF($R150&gt;=INDEX(LE_Curves!$I$5:$I$205,201),INDEX(LE_Curves!$B$5:$B$205,201),INDEX(LE_Curves!$B$5:$B$205,MATCH($R150,LE_Curves!$I$5:$I$205,1))+($R150-INDEX(LE_Curves!$I$5:$I$205,MATCH($R150,LE_Curves!$I$5:$I$205,1)))*(INDEX(LE_Curves!$B$5:$B$205,MATCH($R150,LE_Curves!$I$5:$I$205,1)+1)-INDEX(LE_Curves!$B$5:$B$205,MATCH($R150,LE_Curves!$I$5:$I$205,1)))/(INDEX(LE_Curves!$I$5:$I$205,MATCH($R150,LE_Curves!$I$5:$I$205,1)+1)-INDEX(LE_Curves!$I$5:$I$205,MATCH($R150,LE_Curves!$I$5:$I$205,1))))))</f>
        <v/>
      </c>
      <c r="Z150" s="11">
        <f>IF(Inputs!$D$30=0,0,IF($R150&lt;=Inputs!$C$30,0,IF($R150&gt;=INDEX(LE_Curves!$J$5:$J$205,201),INDEX(LE_Curves!$B$5:$B$205,201),INDEX(LE_Curves!$B$5:$B$205,MATCH($R150,LE_Curves!$J$5:$J$205,1))+($R150-INDEX(LE_Curves!$J$5:$J$205,MATCH($R150,LE_Curves!$J$5:$J$205,1)))*(INDEX(LE_Curves!$B$5:$B$205,MATCH($R150,LE_Curves!$J$5:$J$205,1)+1)-INDEX(LE_Curves!$B$5:$B$205,MATCH($R150,LE_Curves!$J$5:$J$205,1)))/(INDEX(LE_Curves!$J$5:$J$205,MATCH($R150,LE_Curves!$J$5:$J$205,1)+1)-INDEX(LE_Curves!$J$5:$J$205,MATCH($R150,LE_Curves!$J$5:$J$205,1))))))</f>
        <v/>
      </c>
      <c r="AA150" s="11">
        <f>IF(Inputs!$D$31=0,0,IF($R150&lt;=Inputs!$C$31,0,IF($R150&gt;=INDEX(LE_Curves!$K$5:$K$205,201),INDEX(LE_Curves!$B$5:$B$205,201),INDEX(LE_Curves!$B$5:$B$205,MATCH($R150,LE_Curves!$K$5:$K$205,1))+($R150-INDEX(LE_Curves!$K$5:$K$205,MATCH($R150,LE_Curves!$K$5:$K$205,1)))*(INDEX(LE_Curves!$B$5:$B$205,MATCH($R150,LE_Curves!$K$5:$K$205,1)+1)-INDEX(LE_Curves!$B$5:$B$205,MATCH($R150,LE_Curves!$K$5:$K$205,1)))/(INDEX(LE_Curves!$K$5:$K$205,MATCH($R150,LE_Curves!$K$5:$K$205,1)+1)-INDEX(LE_Curves!$K$5:$K$205,MATCH($R150,LE_Curves!$K$5:$K$205,1))))))</f>
        <v/>
      </c>
      <c r="AB150" s="11">
        <f>IF(Inputs!$D$32=0,0,IF($R150&lt;=Inputs!$C$32,0,IF($R150&gt;=INDEX(LE_Curves!$L$5:$L$205,201),INDEX(LE_Curves!$B$5:$B$205,201),INDEX(LE_Curves!$B$5:$B$205,MATCH($R150,LE_Curves!$L$5:$L$205,1))+($R150-INDEX(LE_Curves!$L$5:$L$205,MATCH($R150,LE_Curves!$L$5:$L$205,1)))*(INDEX(LE_Curves!$B$5:$B$205,MATCH($R150,LE_Curves!$L$5:$L$205,1)+1)-INDEX(LE_Curves!$B$5:$B$205,MATCH($R150,LE_Curves!$L$5:$L$205,1)))/(INDEX(LE_Curves!$L$5:$L$205,MATCH($R150,LE_Curves!$L$5:$L$205,1)+1)-INDEX(LE_Curves!$L$5:$L$205,MATCH($R150,LE_Curves!$L$5:$L$205,1))))))</f>
        <v/>
      </c>
      <c r="AC150" s="11">
        <f>IF(Inputs!$D$33=0,0,IF($R150&lt;=Inputs!$C$33,0,IF($R150&gt;=INDEX(LE_Curves!$M$5:$M$205,201),INDEX(LE_Curves!$B$5:$B$205,201),INDEX(LE_Curves!$B$5:$B$205,MATCH($R150,LE_Curves!$M$5:$M$205,1))+($R150-INDEX(LE_Curves!$M$5:$M$205,MATCH($R150,LE_Curves!$M$5:$M$205,1)))*(INDEX(LE_Curves!$B$5:$B$205,MATCH($R150,LE_Curves!$M$5:$M$205,1)+1)-INDEX(LE_Curves!$B$5:$B$205,MATCH($R150,LE_Curves!$M$5:$M$205,1)))/(INDEX(LE_Curves!$M$5:$M$205,MATCH($R150,LE_Curves!$M$5:$M$205,1)+1)-INDEX(LE_Curves!$M$5:$M$205,MATCH($R150,LE_Curves!$M$5:$M$205,1))))))</f>
        <v/>
      </c>
      <c r="AD150" s="11">
        <f>IF(Inputs!$D$34=0,0,IF($R150&lt;=Inputs!$C$34,0,IF($R150&gt;=INDEX(LE_Curves!$N$5:$N$205,201),INDEX(LE_Curves!$B$5:$B$205,201),INDEX(LE_Curves!$B$5:$B$205,MATCH($R150,LE_Curves!$N$5:$N$205,1))+($R150-INDEX(LE_Curves!$N$5:$N$205,MATCH($R150,LE_Curves!$N$5:$N$205,1)))*(INDEX(LE_Curves!$B$5:$B$205,MATCH($R150,LE_Curves!$N$5:$N$205,1)+1)-INDEX(LE_Curves!$B$5:$B$205,MATCH($R150,LE_Curves!$N$5:$N$205,1)))/(INDEX(LE_Curves!$N$5:$N$205,MATCH($R150,LE_Curves!$N$5:$N$205,1)+1)-INDEX(LE_Curves!$N$5:$N$205,MATCH($R150,LE_Curves!$N$5:$N$205,1))))))</f>
        <v/>
      </c>
      <c r="AE150" s="37">
        <f>SUM(S150:AD150)</f>
        <v/>
      </c>
    </row>
    <row r="151">
      <c r="A151" s="7" t="n">
        <v>120</v>
      </c>
      <c r="B151" s="37">
        <f>$B$3+($B$4-$B$3)*A151/200</f>
        <v/>
      </c>
      <c r="C151" s="11">
        <f>IF(Inputs!$D$23=0,0,IF($B151&lt;=Inputs!$C$23,0,IF($B151&gt;=INDEX(LE_Curves!$C$5:$C$205,201),INDEX(LE_Curves!$B$5:$B$205,201),INDEX(LE_Curves!$B$5:$B$205,MATCH($B151,LE_Curves!$C$5:$C$205,1))+($B151-INDEX(LE_Curves!$C$5:$C$205,MATCH($B151,LE_Curves!$C$5:$C$205,1)))*(INDEX(LE_Curves!$B$5:$B$205,MATCH($B151,LE_Curves!$C$5:$C$205,1)+1)-INDEX(LE_Curves!$B$5:$B$205,MATCH($B151,LE_Curves!$C$5:$C$205,1)))/(INDEX(LE_Curves!$C$5:$C$205,MATCH($B151,LE_Curves!$C$5:$C$205,1)+1)-INDEX(LE_Curves!$C$5:$C$205,MATCH($B151,LE_Curves!$C$5:$C$205,1))))))</f>
        <v/>
      </c>
      <c r="D151" s="11">
        <f>IF(Inputs!$D$24=0,0,IF($B151&lt;=Inputs!$C$24,0,IF($B151&gt;=INDEX(LE_Curves!$D$5:$D$205,201),INDEX(LE_Curves!$B$5:$B$205,201),INDEX(LE_Curves!$B$5:$B$205,MATCH($B151,LE_Curves!$D$5:$D$205,1))+($B151-INDEX(LE_Curves!$D$5:$D$205,MATCH($B151,LE_Curves!$D$5:$D$205,1)))*(INDEX(LE_Curves!$B$5:$B$205,MATCH($B151,LE_Curves!$D$5:$D$205,1)+1)-INDEX(LE_Curves!$B$5:$B$205,MATCH($B151,LE_Curves!$D$5:$D$205,1)))/(INDEX(LE_Curves!$D$5:$D$205,MATCH($B151,LE_Curves!$D$5:$D$205,1)+1)-INDEX(LE_Curves!$D$5:$D$205,MATCH($B151,LE_Curves!$D$5:$D$205,1))))))</f>
        <v/>
      </c>
      <c r="E151" s="11">
        <f>IF(Inputs!$D$25=0,0,IF($B151&lt;=Inputs!$C$25,0,IF($B151&gt;=INDEX(LE_Curves!$E$5:$E$205,201),INDEX(LE_Curves!$B$5:$B$205,201),INDEX(LE_Curves!$B$5:$B$205,MATCH($B151,LE_Curves!$E$5:$E$205,1))+($B151-INDEX(LE_Curves!$E$5:$E$205,MATCH($B151,LE_Curves!$E$5:$E$205,1)))*(INDEX(LE_Curves!$B$5:$B$205,MATCH($B151,LE_Curves!$E$5:$E$205,1)+1)-INDEX(LE_Curves!$B$5:$B$205,MATCH($B151,LE_Curves!$E$5:$E$205,1)))/(INDEX(LE_Curves!$E$5:$E$205,MATCH($B151,LE_Curves!$E$5:$E$205,1)+1)-INDEX(LE_Curves!$E$5:$E$205,MATCH($B151,LE_Curves!$E$5:$E$205,1))))))</f>
        <v/>
      </c>
      <c r="F151" s="11">
        <f>IF(Inputs!$D$26=0,0,IF($B151&lt;=Inputs!$C$26,0,IF($B151&gt;=INDEX(LE_Curves!$F$5:$F$205,201),INDEX(LE_Curves!$B$5:$B$205,201),INDEX(LE_Curves!$B$5:$B$205,MATCH($B151,LE_Curves!$F$5:$F$205,1))+($B151-INDEX(LE_Curves!$F$5:$F$205,MATCH($B151,LE_Curves!$F$5:$F$205,1)))*(INDEX(LE_Curves!$B$5:$B$205,MATCH($B151,LE_Curves!$F$5:$F$205,1)+1)-INDEX(LE_Curves!$B$5:$B$205,MATCH($B151,LE_Curves!$F$5:$F$205,1)))/(INDEX(LE_Curves!$F$5:$F$205,MATCH($B151,LE_Curves!$F$5:$F$205,1)+1)-INDEX(LE_Curves!$F$5:$F$205,MATCH($B151,LE_Curves!$F$5:$F$205,1))))))</f>
        <v/>
      </c>
      <c r="G151" s="11">
        <f>IF(Inputs!$D$27=0,0,IF($B151&lt;=Inputs!$C$27,0,IF($B151&gt;=INDEX(LE_Curves!$G$5:$G$205,201),INDEX(LE_Curves!$B$5:$B$205,201),INDEX(LE_Curves!$B$5:$B$205,MATCH($B151,LE_Curves!$G$5:$G$205,1))+($B151-INDEX(LE_Curves!$G$5:$G$205,MATCH($B151,LE_Curves!$G$5:$G$205,1)))*(INDEX(LE_Curves!$B$5:$B$205,MATCH($B151,LE_Curves!$G$5:$G$205,1)+1)-INDEX(LE_Curves!$B$5:$B$205,MATCH($B151,LE_Curves!$G$5:$G$205,1)))/(INDEX(LE_Curves!$G$5:$G$205,MATCH($B151,LE_Curves!$G$5:$G$205,1)+1)-INDEX(LE_Curves!$G$5:$G$205,MATCH($B151,LE_Curves!$G$5:$G$205,1))))))</f>
        <v/>
      </c>
      <c r="H151" s="11">
        <f>IF(Inputs!$D$28=0,0,IF($B151&lt;=Inputs!$C$28,0,IF($B151&gt;=INDEX(LE_Curves!$H$5:$H$205,201),INDEX(LE_Curves!$B$5:$B$205,201),INDEX(LE_Curves!$B$5:$B$205,MATCH($B151,LE_Curves!$H$5:$H$205,1))+($B151-INDEX(LE_Curves!$H$5:$H$205,MATCH($B151,LE_Curves!$H$5:$H$205,1)))*(INDEX(LE_Curves!$B$5:$B$205,MATCH($B151,LE_Curves!$H$5:$H$205,1)+1)-INDEX(LE_Curves!$B$5:$B$205,MATCH($B151,LE_Curves!$H$5:$H$205,1)))/(INDEX(LE_Curves!$H$5:$H$205,MATCH($B151,LE_Curves!$H$5:$H$205,1)+1)-INDEX(LE_Curves!$H$5:$H$205,MATCH($B151,LE_Curves!$H$5:$H$205,1))))))</f>
        <v/>
      </c>
      <c r="I151" s="11">
        <f>IF(Inputs!$D$29=0,0,IF($B151&lt;=Inputs!$C$29,0,IF($B151&gt;=INDEX(LE_Curves!$I$5:$I$205,201),INDEX(LE_Curves!$B$5:$B$205,201),INDEX(LE_Curves!$B$5:$B$205,MATCH($B151,LE_Curves!$I$5:$I$205,1))+($B151-INDEX(LE_Curves!$I$5:$I$205,MATCH($B151,LE_Curves!$I$5:$I$205,1)))*(INDEX(LE_Curves!$B$5:$B$205,MATCH($B151,LE_Curves!$I$5:$I$205,1)+1)-INDEX(LE_Curves!$B$5:$B$205,MATCH($B151,LE_Curves!$I$5:$I$205,1)))/(INDEX(LE_Curves!$I$5:$I$205,MATCH($B151,LE_Curves!$I$5:$I$205,1)+1)-INDEX(LE_Curves!$I$5:$I$205,MATCH($B151,LE_Curves!$I$5:$I$205,1))))))</f>
        <v/>
      </c>
      <c r="J151" s="11">
        <f>IF(Inputs!$D$30=0,0,IF($B151&lt;=Inputs!$C$30,0,IF($B151&gt;=INDEX(LE_Curves!$J$5:$J$205,201),INDEX(LE_Curves!$B$5:$B$205,201),INDEX(LE_Curves!$B$5:$B$205,MATCH($B151,LE_Curves!$J$5:$J$205,1))+($B151-INDEX(LE_Curves!$J$5:$J$205,MATCH($B151,LE_Curves!$J$5:$J$205,1)))*(INDEX(LE_Curves!$B$5:$B$205,MATCH($B151,LE_Curves!$J$5:$J$205,1)+1)-INDEX(LE_Curves!$B$5:$B$205,MATCH($B151,LE_Curves!$J$5:$J$205,1)))/(INDEX(LE_Curves!$J$5:$J$205,MATCH($B151,LE_Curves!$J$5:$J$205,1)+1)-INDEX(LE_Curves!$J$5:$J$205,MATCH($B151,LE_Curves!$J$5:$J$205,1))))))</f>
        <v/>
      </c>
      <c r="K151" s="11">
        <f>IF(Inputs!$D$31=0,0,IF($B151&lt;=Inputs!$C$31,0,IF($B151&gt;=INDEX(LE_Curves!$K$5:$K$205,201),INDEX(LE_Curves!$B$5:$B$205,201),INDEX(LE_Curves!$B$5:$B$205,MATCH($B151,LE_Curves!$K$5:$K$205,1))+($B151-INDEX(LE_Curves!$K$5:$K$205,MATCH($B151,LE_Curves!$K$5:$K$205,1)))*(INDEX(LE_Curves!$B$5:$B$205,MATCH($B151,LE_Curves!$K$5:$K$205,1)+1)-INDEX(LE_Curves!$B$5:$B$205,MATCH($B151,LE_Curves!$K$5:$K$205,1)))/(INDEX(LE_Curves!$K$5:$K$205,MATCH($B151,LE_Curves!$K$5:$K$205,1)+1)-INDEX(LE_Curves!$K$5:$K$205,MATCH($B151,LE_Curves!$K$5:$K$205,1))))))</f>
        <v/>
      </c>
      <c r="L151" s="11">
        <f>IF(Inputs!$D$32=0,0,IF($B151&lt;=Inputs!$C$32,0,IF($B151&gt;=INDEX(LE_Curves!$L$5:$L$205,201),INDEX(LE_Curves!$B$5:$B$205,201),INDEX(LE_Curves!$B$5:$B$205,MATCH($B151,LE_Curves!$L$5:$L$205,1))+($B151-INDEX(LE_Curves!$L$5:$L$205,MATCH($B151,LE_Curves!$L$5:$L$205,1)))*(INDEX(LE_Curves!$B$5:$B$205,MATCH($B151,LE_Curves!$L$5:$L$205,1)+1)-INDEX(LE_Curves!$B$5:$B$205,MATCH($B151,LE_Curves!$L$5:$L$205,1)))/(INDEX(LE_Curves!$L$5:$L$205,MATCH($B151,LE_Curves!$L$5:$L$205,1)+1)-INDEX(LE_Curves!$L$5:$L$205,MATCH($B151,LE_Curves!$L$5:$L$205,1))))))</f>
        <v/>
      </c>
      <c r="M151" s="11">
        <f>IF(Inputs!$D$33=0,0,IF($B151&lt;=Inputs!$C$33,0,IF($B151&gt;=INDEX(LE_Curves!$M$5:$M$205,201),INDEX(LE_Curves!$B$5:$B$205,201),INDEX(LE_Curves!$B$5:$B$205,MATCH($B151,LE_Curves!$M$5:$M$205,1))+($B151-INDEX(LE_Curves!$M$5:$M$205,MATCH($B151,LE_Curves!$M$5:$M$205,1)))*(INDEX(LE_Curves!$B$5:$B$205,MATCH($B151,LE_Curves!$M$5:$M$205,1)+1)-INDEX(LE_Curves!$B$5:$B$205,MATCH($B151,LE_Curves!$M$5:$M$205,1)))/(INDEX(LE_Curves!$M$5:$M$205,MATCH($B151,LE_Curves!$M$5:$M$205,1)+1)-INDEX(LE_Curves!$M$5:$M$205,MATCH($B151,LE_Curves!$M$5:$M$205,1))))))</f>
        <v/>
      </c>
      <c r="N151" s="11">
        <f>IF(Inputs!$D$34=0,0,IF($B151&lt;=Inputs!$C$34,0,IF($B151&gt;=INDEX(LE_Curves!$N$5:$N$205,201),INDEX(LE_Curves!$B$5:$B$205,201),INDEX(LE_Curves!$B$5:$B$205,MATCH($B151,LE_Curves!$N$5:$N$205,1))+($B151-INDEX(LE_Curves!$N$5:$N$205,MATCH($B151,LE_Curves!$N$5:$N$205,1)))*(INDEX(LE_Curves!$B$5:$B$205,MATCH($B151,LE_Curves!$N$5:$N$205,1)+1)-INDEX(LE_Curves!$B$5:$B$205,MATCH($B151,LE_Curves!$N$5:$N$205,1)))/(INDEX(LE_Curves!$N$5:$N$205,MATCH($B151,LE_Curves!$N$5:$N$205,1)+1)-INDEX(LE_Curves!$N$5:$N$205,MATCH($B151,LE_Curves!$N$5:$N$205,1))))))</f>
        <v/>
      </c>
      <c r="O151" s="11">
        <f>SUM(C151:N151)</f>
        <v/>
      </c>
      <c r="Q151" s="7" t="n">
        <v>120</v>
      </c>
      <c r="R151" s="23">
        <f>$B$6+($B$7-$B$6)*Q151/200</f>
        <v/>
      </c>
      <c r="S151" s="11">
        <f>IF(Inputs!$D$23=0,0,IF($R151&lt;=Inputs!$C$23,0,IF($R151&gt;=INDEX(LE_Curves!$C$5:$C$205,201),INDEX(LE_Curves!$B$5:$B$205,201),INDEX(LE_Curves!$B$5:$B$205,MATCH($R151,LE_Curves!$C$5:$C$205,1))+($R151-INDEX(LE_Curves!$C$5:$C$205,MATCH($R151,LE_Curves!$C$5:$C$205,1)))*(INDEX(LE_Curves!$B$5:$B$205,MATCH($R151,LE_Curves!$C$5:$C$205,1)+1)-INDEX(LE_Curves!$B$5:$B$205,MATCH($R151,LE_Curves!$C$5:$C$205,1)))/(INDEX(LE_Curves!$C$5:$C$205,MATCH($R151,LE_Curves!$C$5:$C$205,1)+1)-INDEX(LE_Curves!$C$5:$C$205,MATCH($R151,LE_Curves!$C$5:$C$205,1))))))</f>
        <v/>
      </c>
      <c r="T151" s="11">
        <f>IF(Inputs!$D$24=0,0,IF($R151&lt;=Inputs!$C$24,0,IF($R151&gt;=INDEX(LE_Curves!$D$5:$D$205,201),INDEX(LE_Curves!$B$5:$B$205,201),INDEX(LE_Curves!$B$5:$B$205,MATCH($R151,LE_Curves!$D$5:$D$205,1))+($R151-INDEX(LE_Curves!$D$5:$D$205,MATCH($R151,LE_Curves!$D$5:$D$205,1)))*(INDEX(LE_Curves!$B$5:$B$205,MATCH($R151,LE_Curves!$D$5:$D$205,1)+1)-INDEX(LE_Curves!$B$5:$B$205,MATCH($R151,LE_Curves!$D$5:$D$205,1)))/(INDEX(LE_Curves!$D$5:$D$205,MATCH($R151,LE_Curves!$D$5:$D$205,1)+1)-INDEX(LE_Curves!$D$5:$D$205,MATCH($R151,LE_Curves!$D$5:$D$205,1))))))</f>
        <v/>
      </c>
      <c r="U151" s="11">
        <f>IF(Inputs!$D$25=0,0,IF($R151&lt;=Inputs!$C$25,0,IF($R151&gt;=INDEX(LE_Curves!$E$5:$E$205,201),INDEX(LE_Curves!$B$5:$B$205,201),INDEX(LE_Curves!$B$5:$B$205,MATCH($R151,LE_Curves!$E$5:$E$205,1))+($R151-INDEX(LE_Curves!$E$5:$E$205,MATCH($R151,LE_Curves!$E$5:$E$205,1)))*(INDEX(LE_Curves!$B$5:$B$205,MATCH($R151,LE_Curves!$E$5:$E$205,1)+1)-INDEX(LE_Curves!$B$5:$B$205,MATCH($R151,LE_Curves!$E$5:$E$205,1)))/(INDEX(LE_Curves!$E$5:$E$205,MATCH($R151,LE_Curves!$E$5:$E$205,1)+1)-INDEX(LE_Curves!$E$5:$E$205,MATCH($R151,LE_Curves!$E$5:$E$205,1))))))</f>
        <v/>
      </c>
      <c r="V151" s="11">
        <f>IF(Inputs!$D$26=0,0,IF($R151&lt;=Inputs!$C$26,0,IF($R151&gt;=INDEX(LE_Curves!$F$5:$F$205,201),INDEX(LE_Curves!$B$5:$B$205,201),INDEX(LE_Curves!$B$5:$B$205,MATCH($R151,LE_Curves!$F$5:$F$205,1))+($R151-INDEX(LE_Curves!$F$5:$F$205,MATCH($R151,LE_Curves!$F$5:$F$205,1)))*(INDEX(LE_Curves!$B$5:$B$205,MATCH($R151,LE_Curves!$F$5:$F$205,1)+1)-INDEX(LE_Curves!$B$5:$B$205,MATCH($R151,LE_Curves!$F$5:$F$205,1)))/(INDEX(LE_Curves!$F$5:$F$205,MATCH($R151,LE_Curves!$F$5:$F$205,1)+1)-INDEX(LE_Curves!$F$5:$F$205,MATCH($R151,LE_Curves!$F$5:$F$205,1))))))</f>
        <v/>
      </c>
      <c r="W151" s="11">
        <f>IF(Inputs!$D$27=0,0,IF($R151&lt;=Inputs!$C$27,0,IF($R151&gt;=INDEX(LE_Curves!$G$5:$G$205,201),INDEX(LE_Curves!$B$5:$B$205,201),INDEX(LE_Curves!$B$5:$B$205,MATCH($R151,LE_Curves!$G$5:$G$205,1))+($R151-INDEX(LE_Curves!$G$5:$G$205,MATCH($R151,LE_Curves!$G$5:$G$205,1)))*(INDEX(LE_Curves!$B$5:$B$205,MATCH($R151,LE_Curves!$G$5:$G$205,1)+1)-INDEX(LE_Curves!$B$5:$B$205,MATCH($R151,LE_Curves!$G$5:$G$205,1)))/(INDEX(LE_Curves!$G$5:$G$205,MATCH($R151,LE_Curves!$G$5:$G$205,1)+1)-INDEX(LE_Curves!$G$5:$G$205,MATCH($R151,LE_Curves!$G$5:$G$205,1))))))</f>
        <v/>
      </c>
      <c r="X151" s="11">
        <f>IF(Inputs!$D$28=0,0,IF($R151&lt;=Inputs!$C$28,0,IF($R151&gt;=INDEX(LE_Curves!$H$5:$H$205,201),INDEX(LE_Curves!$B$5:$B$205,201),INDEX(LE_Curves!$B$5:$B$205,MATCH($R151,LE_Curves!$H$5:$H$205,1))+($R151-INDEX(LE_Curves!$H$5:$H$205,MATCH($R151,LE_Curves!$H$5:$H$205,1)))*(INDEX(LE_Curves!$B$5:$B$205,MATCH($R151,LE_Curves!$H$5:$H$205,1)+1)-INDEX(LE_Curves!$B$5:$B$205,MATCH($R151,LE_Curves!$H$5:$H$205,1)))/(INDEX(LE_Curves!$H$5:$H$205,MATCH($R151,LE_Curves!$H$5:$H$205,1)+1)-INDEX(LE_Curves!$H$5:$H$205,MATCH($R151,LE_Curves!$H$5:$H$205,1))))))</f>
        <v/>
      </c>
      <c r="Y151" s="11">
        <f>IF(Inputs!$D$29=0,0,IF($R151&lt;=Inputs!$C$29,0,IF($R151&gt;=INDEX(LE_Curves!$I$5:$I$205,201),INDEX(LE_Curves!$B$5:$B$205,201),INDEX(LE_Curves!$B$5:$B$205,MATCH($R151,LE_Curves!$I$5:$I$205,1))+($R151-INDEX(LE_Curves!$I$5:$I$205,MATCH($R151,LE_Curves!$I$5:$I$205,1)))*(INDEX(LE_Curves!$B$5:$B$205,MATCH($R151,LE_Curves!$I$5:$I$205,1)+1)-INDEX(LE_Curves!$B$5:$B$205,MATCH($R151,LE_Curves!$I$5:$I$205,1)))/(INDEX(LE_Curves!$I$5:$I$205,MATCH($R151,LE_Curves!$I$5:$I$205,1)+1)-INDEX(LE_Curves!$I$5:$I$205,MATCH($R151,LE_Curves!$I$5:$I$205,1))))))</f>
        <v/>
      </c>
      <c r="Z151" s="11">
        <f>IF(Inputs!$D$30=0,0,IF($R151&lt;=Inputs!$C$30,0,IF($R151&gt;=INDEX(LE_Curves!$J$5:$J$205,201),INDEX(LE_Curves!$B$5:$B$205,201),INDEX(LE_Curves!$B$5:$B$205,MATCH($R151,LE_Curves!$J$5:$J$205,1))+($R151-INDEX(LE_Curves!$J$5:$J$205,MATCH($R151,LE_Curves!$J$5:$J$205,1)))*(INDEX(LE_Curves!$B$5:$B$205,MATCH($R151,LE_Curves!$J$5:$J$205,1)+1)-INDEX(LE_Curves!$B$5:$B$205,MATCH($R151,LE_Curves!$J$5:$J$205,1)))/(INDEX(LE_Curves!$J$5:$J$205,MATCH($R151,LE_Curves!$J$5:$J$205,1)+1)-INDEX(LE_Curves!$J$5:$J$205,MATCH($R151,LE_Curves!$J$5:$J$205,1))))))</f>
        <v/>
      </c>
      <c r="AA151" s="11">
        <f>IF(Inputs!$D$31=0,0,IF($R151&lt;=Inputs!$C$31,0,IF($R151&gt;=INDEX(LE_Curves!$K$5:$K$205,201),INDEX(LE_Curves!$B$5:$B$205,201),INDEX(LE_Curves!$B$5:$B$205,MATCH($R151,LE_Curves!$K$5:$K$205,1))+($R151-INDEX(LE_Curves!$K$5:$K$205,MATCH($R151,LE_Curves!$K$5:$K$205,1)))*(INDEX(LE_Curves!$B$5:$B$205,MATCH($R151,LE_Curves!$K$5:$K$205,1)+1)-INDEX(LE_Curves!$B$5:$B$205,MATCH($R151,LE_Curves!$K$5:$K$205,1)))/(INDEX(LE_Curves!$K$5:$K$205,MATCH($R151,LE_Curves!$K$5:$K$205,1)+1)-INDEX(LE_Curves!$K$5:$K$205,MATCH($R151,LE_Curves!$K$5:$K$205,1))))))</f>
        <v/>
      </c>
      <c r="AB151" s="11">
        <f>IF(Inputs!$D$32=0,0,IF($R151&lt;=Inputs!$C$32,0,IF($R151&gt;=INDEX(LE_Curves!$L$5:$L$205,201),INDEX(LE_Curves!$B$5:$B$205,201),INDEX(LE_Curves!$B$5:$B$205,MATCH($R151,LE_Curves!$L$5:$L$205,1))+($R151-INDEX(LE_Curves!$L$5:$L$205,MATCH($R151,LE_Curves!$L$5:$L$205,1)))*(INDEX(LE_Curves!$B$5:$B$205,MATCH($R151,LE_Curves!$L$5:$L$205,1)+1)-INDEX(LE_Curves!$B$5:$B$205,MATCH($R151,LE_Curves!$L$5:$L$205,1)))/(INDEX(LE_Curves!$L$5:$L$205,MATCH($R151,LE_Curves!$L$5:$L$205,1)+1)-INDEX(LE_Curves!$L$5:$L$205,MATCH($R151,LE_Curves!$L$5:$L$205,1))))))</f>
        <v/>
      </c>
      <c r="AC151" s="11">
        <f>IF(Inputs!$D$33=0,0,IF($R151&lt;=Inputs!$C$33,0,IF($R151&gt;=INDEX(LE_Curves!$M$5:$M$205,201),INDEX(LE_Curves!$B$5:$B$205,201),INDEX(LE_Curves!$B$5:$B$205,MATCH($R151,LE_Curves!$M$5:$M$205,1))+($R151-INDEX(LE_Curves!$M$5:$M$205,MATCH($R151,LE_Curves!$M$5:$M$205,1)))*(INDEX(LE_Curves!$B$5:$B$205,MATCH($R151,LE_Curves!$M$5:$M$205,1)+1)-INDEX(LE_Curves!$B$5:$B$205,MATCH($R151,LE_Curves!$M$5:$M$205,1)))/(INDEX(LE_Curves!$M$5:$M$205,MATCH($R151,LE_Curves!$M$5:$M$205,1)+1)-INDEX(LE_Curves!$M$5:$M$205,MATCH($R151,LE_Curves!$M$5:$M$205,1))))))</f>
        <v/>
      </c>
      <c r="AD151" s="11">
        <f>IF(Inputs!$D$34=0,0,IF($R151&lt;=Inputs!$C$34,0,IF($R151&gt;=INDEX(LE_Curves!$N$5:$N$205,201),INDEX(LE_Curves!$B$5:$B$205,201),INDEX(LE_Curves!$B$5:$B$205,MATCH($R151,LE_Curves!$N$5:$N$205,1))+($R151-INDEX(LE_Curves!$N$5:$N$205,MATCH($R151,LE_Curves!$N$5:$N$205,1)))*(INDEX(LE_Curves!$B$5:$B$205,MATCH($R151,LE_Curves!$N$5:$N$205,1)+1)-INDEX(LE_Curves!$B$5:$B$205,MATCH($R151,LE_Curves!$N$5:$N$205,1)))/(INDEX(LE_Curves!$N$5:$N$205,MATCH($R151,LE_Curves!$N$5:$N$205,1)+1)-INDEX(LE_Curves!$N$5:$N$205,MATCH($R151,LE_Curves!$N$5:$N$205,1))))))</f>
        <v/>
      </c>
      <c r="AE151" s="37">
        <f>SUM(S151:AD151)</f>
        <v/>
      </c>
    </row>
    <row r="152">
      <c r="A152" s="7" t="n">
        <v>121</v>
      </c>
      <c r="B152" s="37">
        <f>$B$3+($B$4-$B$3)*A152/200</f>
        <v/>
      </c>
      <c r="C152" s="11">
        <f>IF(Inputs!$D$23=0,0,IF($B152&lt;=Inputs!$C$23,0,IF($B152&gt;=INDEX(LE_Curves!$C$5:$C$205,201),INDEX(LE_Curves!$B$5:$B$205,201),INDEX(LE_Curves!$B$5:$B$205,MATCH($B152,LE_Curves!$C$5:$C$205,1))+($B152-INDEX(LE_Curves!$C$5:$C$205,MATCH($B152,LE_Curves!$C$5:$C$205,1)))*(INDEX(LE_Curves!$B$5:$B$205,MATCH($B152,LE_Curves!$C$5:$C$205,1)+1)-INDEX(LE_Curves!$B$5:$B$205,MATCH($B152,LE_Curves!$C$5:$C$205,1)))/(INDEX(LE_Curves!$C$5:$C$205,MATCH($B152,LE_Curves!$C$5:$C$205,1)+1)-INDEX(LE_Curves!$C$5:$C$205,MATCH($B152,LE_Curves!$C$5:$C$205,1))))))</f>
        <v/>
      </c>
      <c r="D152" s="11">
        <f>IF(Inputs!$D$24=0,0,IF($B152&lt;=Inputs!$C$24,0,IF($B152&gt;=INDEX(LE_Curves!$D$5:$D$205,201),INDEX(LE_Curves!$B$5:$B$205,201),INDEX(LE_Curves!$B$5:$B$205,MATCH($B152,LE_Curves!$D$5:$D$205,1))+($B152-INDEX(LE_Curves!$D$5:$D$205,MATCH($B152,LE_Curves!$D$5:$D$205,1)))*(INDEX(LE_Curves!$B$5:$B$205,MATCH($B152,LE_Curves!$D$5:$D$205,1)+1)-INDEX(LE_Curves!$B$5:$B$205,MATCH($B152,LE_Curves!$D$5:$D$205,1)))/(INDEX(LE_Curves!$D$5:$D$205,MATCH($B152,LE_Curves!$D$5:$D$205,1)+1)-INDEX(LE_Curves!$D$5:$D$205,MATCH($B152,LE_Curves!$D$5:$D$205,1))))))</f>
        <v/>
      </c>
      <c r="E152" s="11">
        <f>IF(Inputs!$D$25=0,0,IF($B152&lt;=Inputs!$C$25,0,IF($B152&gt;=INDEX(LE_Curves!$E$5:$E$205,201),INDEX(LE_Curves!$B$5:$B$205,201),INDEX(LE_Curves!$B$5:$B$205,MATCH($B152,LE_Curves!$E$5:$E$205,1))+($B152-INDEX(LE_Curves!$E$5:$E$205,MATCH($B152,LE_Curves!$E$5:$E$205,1)))*(INDEX(LE_Curves!$B$5:$B$205,MATCH($B152,LE_Curves!$E$5:$E$205,1)+1)-INDEX(LE_Curves!$B$5:$B$205,MATCH($B152,LE_Curves!$E$5:$E$205,1)))/(INDEX(LE_Curves!$E$5:$E$205,MATCH($B152,LE_Curves!$E$5:$E$205,1)+1)-INDEX(LE_Curves!$E$5:$E$205,MATCH($B152,LE_Curves!$E$5:$E$205,1))))))</f>
        <v/>
      </c>
      <c r="F152" s="11">
        <f>IF(Inputs!$D$26=0,0,IF($B152&lt;=Inputs!$C$26,0,IF($B152&gt;=INDEX(LE_Curves!$F$5:$F$205,201),INDEX(LE_Curves!$B$5:$B$205,201),INDEX(LE_Curves!$B$5:$B$205,MATCH($B152,LE_Curves!$F$5:$F$205,1))+($B152-INDEX(LE_Curves!$F$5:$F$205,MATCH($B152,LE_Curves!$F$5:$F$205,1)))*(INDEX(LE_Curves!$B$5:$B$205,MATCH($B152,LE_Curves!$F$5:$F$205,1)+1)-INDEX(LE_Curves!$B$5:$B$205,MATCH($B152,LE_Curves!$F$5:$F$205,1)))/(INDEX(LE_Curves!$F$5:$F$205,MATCH($B152,LE_Curves!$F$5:$F$205,1)+1)-INDEX(LE_Curves!$F$5:$F$205,MATCH($B152,LE_Curves!$F$5:$F$205,1))))))</f>
        <v/>
      </c>
      <c r="G152" s="11">
        <f>IF(Inputs!$D$27=0,0,IF($B152&lt;=Inputs!$C$27,0,IF($B152&gt;=INDEX(LE_Curves!$G$5:$G$205,201),INDEX(LE_Curves!$B$5:$B$205,201),INDEX(LE_Curves!$B$5:$B$205,MATCH($B152,LE_Curves!$G$5:$G$205,1))+($B152-INDEX(LE_Curves!$G$5:$G$205,MATCH($B152,LE_Curves!$G$5:$G$205,1)))*(INDEX(LE_Curves!$B$5:$B$205,MATCH($B152,LE_Curves!$G$5:$G$205,1)+1)-INDEX(LE_Curves!$B$5:$B$205,MATCH($B152,LE_Curves!$G$5:$G$205,1)))/(INDEX(LE_Curves!$G$5:$G$205,MATCH($B152,LE_Curves!$G$5:$G$205,1)+1)-INDEX(LE_Curves!$G$5:$G$205,MATCH($B152,LE_Curves!$G$5:$G$205,1))))))</f>
        <v/>
      </c>
      <c r="H152" s="11">
        <f>IF(Inputs!$D$28=0,0,IF($B152&lt;=Inputs!$C$28,0,IF($B152&gt;=INDEX(LE_Curves!$H$5:$H$205,201),INDEX(LE_Curves!$B$5:$B$205,201),INDEX(LE_Curves!$B$5:$B$205,MATCH($B152,LE_Curves!$H$5:$H$205,1))+($B152-INDEX(LE_Curves!$H$5:$H$205,MATCH($B152,LE_Curves!$H$5:$H$205,1)))*(INDEX(LE_Curves!$B$5:$B$205,MATCH($B152,LE_Curves!$H$5:$H$205,1)+1)-INDEX(LE_Curves!$B$5:$B$205,MATCH($B152,LE_Curves!$H$5:$H$205,1)))/(INDEX(LE_Curves!$H$5:$H$205,MATCH($B152,LE_Curves!$H$5:$H$205,1)+1)-INDEX(LE_Curves!$H$5:$H$205,MATCH($B152,LE_Curves!$H$5:$H$205,1))))))</f>
        <v/>
      </c>
      <c r="I152" s="11">
        <f>IF(Inputs!$D$29=0,0,IF($B152&lt;=Inputs!$C$29,0,IF($B152&gt;=INDEX(LE_Curves!$I$5:$I$205,201),INDEX(LE_Curves!$B$5:$B$205,201),INDEX(LE_Curves!$B$5:$B$205,MATCH($B152,LE_Curves!$I$5:$I$205,1))+($B152-INDEX(LE_Curves!$I$5:$I$205,MATCH($B152,LE_Curves!$I$5:$I$205,1)))*(INDEX(LE_Curves!$B$5:$B$205,MATCH($B152,LE_Curves!$I$5:$I$205,1)+1)-INDEX(LE_Curves!$B$5:$B$205,MATCH($B152,LE_Curves!$I$5:$I$205,1)))/(INDEX(LE_Curves!$I$5:$I$205,MATCH($B152,LE_Curves!$I$5:$I$205,1)+1)-INDEX(LE_Curves!$I$5:$I$205,MATCH($B152,LE_Curves!$I$5:$I$205,1))))))</f>
        <v/>
      </c>
      <c r="J152" s="11">
        <f>IF(Inputs!$D$30=0,0,IF($B152&lt;=Inputs!$C$30,0,IF($B152&gt;=INDEX(LE_Curves!$J$5:$J$205,201),INDEX(LE_Curves!$B$5:$B$205,201),INDEX(LE_Curves!$B$5:$B$205,MATCH($B152,LE_Curves!$J$5:$J$205,1))+($B152-INDEX(LE_Curves!$J$5:$J$205,MATCH($B152,LE_Curves!$J$5:$J$205,1)))*(INDEX(LE_Curves!$B$5:$B$205,MATCH($B152,LE_Curves!$J$5:$J$205,1)+1)-INDEX(LE_Curves!$B$5:$B$205,MATCH($B152,LE_Curves!$J$5:$J$205,1)))/(INDEX(LE_Curves!$J$5:$J$205,MATCH($B152,LE_Curves!$J$5:$J$205,1)+1)-INDEX(LE_Curves!$J$5:$J$205,MATCH($B152,LE_Curves!$J$5:$J$205,1))))))</f>
        <v/>
      </c>
      <c r="K152" s="11">
        <f>IF(Inputs!$D$31=0,0,IF($B152&lt;=Inputs!$C$31,0,IF($B152&gt;=INDEX(LE_Curves!$K$5:$K$205,201),INDEX(LE_Curves!$B$5:$B$205,201),INDEX(LE_Curves!$B$5:$B$205,MATCH($B152,LE_Curves!$K$5:$K$205,1))+($B152-INDEX(LE_Curves!$K$5:$K$205,MATCH($B152,LE_Curves!$K$5:$K$205,1)))*(INDEX(LE_Curves!$B$5:$B$205,MATCH($B152,LE_Curves!$K$5:$K$205,1)+1)-INDEX(LE_Curves!$B$5:$B$205,MATCH($B152,LE_Curves!$K$5:$K$205,1)))/(INDEX(LE_Curves!$K$5:$K$205,MATCH($B152,LE_Curves!$K$5:$K$205,1)+1)-INDEX(LE_Curves!$K$5:$K$205,MATCH($B152,LE_Curves!$K$5:$K$205,1))))))</f>
        <v/>
      </c>
      <c r="L152" s="11">
        <f>IF(Inputs!$D$32=0,0,IF($B152&lt;=Inputs!$C$32,0,IF($B152&gt;=INDEX(LE_Curves!$L$5:$L$205,201),INDEX(LE_Curves!$B$5:$B$205,201),INDEX(LE_Curves!$B$5:$B$205,MATCH($B152,LE_Curves!$L$5:$L$205,1))+($B152-INDEX(LE_Curves!$L$5:$L$205,MATCH($B152,LE_Curves!$L$5:$L$205,1)))*(INDEX(LE_Curves!$B$5:$B$205,MATCH($B152,LE_Curves!$L$5:$L$205,1)+1)-INDEX(LE_Curves!$B$5:$B$205,MATCH($B152,LE_Curves!$L$5:$L$205,1)))/(INDEX(LE_Curves!$L$5:$L$205,MATCH($B152,LE_Curves!$L$5:$L$205,1)+1)-INDEX(LE_Curves!$L$5:$L$205,MATCH($B152,LE_Curves!$L$5:$L$205,1))))))</f>
        <v/>
      </c>
      <c r="M152" s="11">
        <f>IF(Inputs!$D$33=0,0,IF($B152&lt;=Inputs!$C$33,0,IF($B152&gt;=INDEX(LE_Curves!$M$5:$M$205,201),INDEX(LE_Curves!$B$5:$B$205,201),INDEX(LE_Curves!$B$5:$B$205,MATCH($B152,LE_Curves!$M$5:$M$205,1))+($B152-INDEX(LE_Curves!$M$5:$M$205,MATCH($B152,LE_Curves!$M$5:$M$205,1)))*(INDEX(LE_Curves!$B$5:$B$205,MATCH($B152,LE_Curves!$M$5:$M$205,1)+1)-INDEX(LE_Curves!$B$5:$B$205,MATCH($B152,LE_Curves!$M$5:$M$205,1)))/(INDEX(LE_Curves!$M$5:$M$205,MATCH($B152,LE_Curves!$M$5:$M$205,1)+1)-INDEX(LE_Curves!$M$5:$M$205,MATCH($B152,LE_Curves!$M$5:$M$205,1))))))</f>
        <v/>
      </c>
      <c r="N152" s="11">
        <f>IF(Inputs!$D$34=0,0,IF($B152&lt;=Inputs!$C$34,0,IF($B152&gt;=INDEX(LE_Curves!$N$5:$N$205,201),INDEX(LE_Curves!$B$5:$B$205,201),INDEX(LE_Curves!$B$5:$B$205,MATCH($B152,LE_Curves!$N$5:$N$205,1))+($B152-INDEX(LE_Curves!$N$5:$N$205,MATCH($B152,LE_Curves!$N$5:$N$205,1)))*(INDEX(LE_Curves!$B$5:$B$205,MATCH($B152,LE_Curves!$N$5:$N$205,1)+1)-INDEX(LE_Curves!$B$5:$B$205,MATCH($B152,LE_Curves!$N$5:$N$205,1)))/(INDEX(LE_Curves!$N$5:$N$205,MATCH($B152,LE_Curves!$N$5:$N$205,1)+1)-INDEX(LE_Curves!$N$5:$N$205,MATCH($B152,LE_Curves!$N$5:$N$205,1))))))</f>
        <v/>
      </c>
      <c r="O152" s="11">
        <f>SUM(C152:N152)</f>
        <v/>
      </c>
      <c r="Q152" s="7" t="n">
        <v>121</v>
      </c>
      <c r="R152" s="23">
        <f>$B$6+($B$7-$B$6)*Q152/200</f>
        <v/>
      </c>
      <c r="S152" s="11">
        <f>IF(Inputs!$D$23=0,0,IF($R152&lt;=Inputs!$C$23,0,IF($R152&gt;=INDEX(LE_Curves!$C$5:$C$205,201),INDEX(LE_Curves!$B$5:$B$205,201),INDEX(LE_Curves!$B$5:$B$205,MATCH($R152,LE_Curves!$C$5:$C$205,1))+($R152-INDEX(LE_Curves!$C$5:$C$205,MATCH($R152,LE_Curves!$C$5:$C$205,1)))*(INDEX(LE_Curves!$B$5:$B$205,MATCH($R152,LE_Curves!$C$5:$C$205,1)+1)-INDEX(LE_Curves!$B$5:$B$205,MATCH($R152,LE_Curves!$C$5:$C$205,1)))/(INDEX(LE_Curves!$C$5:$C$205,MATCH($R152,LE_Curves!$C$5:$C$205,1)+1)-INDEX(LE_Curves!$C$5:$C$205,MATCH($R152,LE_Curves!$C$5:$C$205,1))))))</f>
        <v/>
      </c>
      <c r="T152" s="11">
        <f>IF(Inputs!$D$24=0,0,IF($R152&lt;=Inputs!$C$24,0,IF($R152&gt;=INDEX(LE_Curves!$D$5:$D$205,201),INDEX(LE_Curves!$B$5:$B$205,201),INDEX(LE_Curves!$B$5:$B$205,MATCH($R152,LE_Curves!$D$5:$D$205,1))+($R152-INDEX(LE_Curves!$D$5:$D$205,MATCH($R152,LE_Curves!$D$5:$D$205,1)))*(INDEX(LE_Curves!$B$5:$B$205,MATCH($R152,LE_Curves!$D$5:$D$205,1)+1)-INDEX(LE_Curves!$B$5:$B$205,MATCH($R152,LE_Curves!$D$5:$D$205,1)))/(INDEX(LE_Curves!$D$5:$D$205,MATCH($R152,LE_Curves!$D$5:$D$205,1)+1)-INDEX(LE_Curves!$D$5:$D$205,MATCH($R152,LE_Curves!$D$5:$D$205,1))))))</f>
        <v/>
      </c>
      <c r="U152" s="11">
        <f>IF(Inputs!$D$25=0,0,IF($R152&lt;=Inputs!$C$25,0,IF($R152&gt;=INDEX(LE_Curves!$E$5:$E$205,201),INDEX(LE_Curves!$B$5:$B$205,201),INDEX(LE_Curves!$B$5:$B$205,MATCH($R152,LE_Curves!$E$5:$E$205,1))+($R152-INDEX(LE_Curves!$E$5:$E$205,MATCH($R152,LE_Curves!$E$5:$E$205,1)))*(INDEX(LE_Curves!$B$5:$B$205,MATCH($R152,LE_Curves!$E$5:$E$205,1)+1)-INDEX(LE_Curves!$B$5:$B$205,MATCH($R152,LE_Curves!$E$5:$E$205,1)))/(INDEX(LE_Curves!$E$5:$E$205,MATCH($R152,LE_Curves!$E$5:$E$205,1)+1)-INDEX(LE_Curves!$E$5:$E$205,MATCH($R152,LE_Curves!$E$5:$E$205,1))))))</f>
        <v/>
      </c>
      <c r="V152" s="11">
        <f>IF(Inputs!$D$26=0,0,IF($R152&lt;=Inputs!$C$26,0,IF($R152&gt;=INDEX(LE_Curves!$F$5:$F$205,201),INDEX(LE_Curves!$B$5:$B$205,201),INDEX(LE_Curves!$B$5:$B$205,MATCH($R152,LE_Curves!$F$5:$F$205,1))+($R152-INDEX(LE_Curves!$F$5:$F$205,MATCH($R152,LE_Curves!$F$5:$F$205,1)))*(INDEX(LE_Curves!$B$5:$B$205,MATCH($R152,LE_Curves!$F$5:$F$205,1)+1)-INDEX(LE_Curves!$B$5:$B$205,MATCH($R152,LE_Curves!$F$5:$F$205,1)))/(INDEX(LE_Curves!$F$5:$F$205,MATCH($R152,LE_Curves!$F$5:$F$205,1)+1)-INDEX(LE_Curves!$F$5:$F$205,MATCH($R152,LE_Curves!$F$5:$F$205,1))))))</f>
        <v/>
      </c>
      <c r="W152" s="11">
        <f>IF(Inputs!$D$27=0,0,IF($R152&lt;=Inputs!$C$27,0,IF($R152&gt;=INDEX(LE_Curves!$G$5:$G$205,201),INDEX(LE_Curves!$B$5:$B$205,201),INDEX(LE_Curves!$B$5:$B$205,MATCH($R152,LE_Curves!$G$5:$G$205,1))+($R152-INDEX(LE_Curves!$G$5:$G$205,MATCH($R152,LE_Curves!$G$5:$G$205,1)))*(INDEX(LE_Curves!$B$5:$B$205,MATCH($R152,LE_Curves!$G$5:$G$205,1)+1)-INDEX(LE_Curves!$B$5:$B$205,MATCH($R152,LE_Curves!$G$5:$G$205,1)))/(INDEX(LE_Curves!$G$5:$G$205,MATCH($R152,LE_Curves!$G$5:$G$205,1)+1)-INDEX(LE_Curves!$G$5:$G$205,MATCH($R152,LE_Curves!$G$5:$G$205,1))))))</f>
        <v/>
      </c>
      <c r="X152" s="11">
        <f>IF(Inputs!$D$28=0,0,IF($R152&lt;=Inputs!$C$28,0,IF($R152&gt;=INDEX(LE_Curves!$H$5:$H$205,201),INDEX(LE_Curves!$B$5:$B$205,201),INDEX(LE_Curves!$B$5:$B$205,MATCH($R152,LE_Curves!$H$5:$H$205,1))+($R152-INDEX(LE_Curves!$H$5:$H$205,MATCH($R152,LE_Curves!$H$5:$H$205,1)))*(INDEX(LE_Curves!$B$5:$B$205,MATCH($R152,LE_Curves!$H$5:$H$205,1)+1)-INDEX(LE_Curves!$B$5:$B$205,MATCH($R152,LE_Curves!$H$5:$H$205,1)))/(INDEX(LE_Curves!$H$5:$H$205,MATCH($R152,LE_Curves!$H$5:$H$205,1)+1)-INDEX(LE_Curves!$H$5:$H$205,MATCH($R152,LE_Curves!$H$5:$H$205,1))))))</f>
        <v/>
      </c>
      <c r="Y152" s="11">
        <f>IF(Inputs!$D$29=0,0,IF($R152&lt;=Inputs!$C$29,0,IF($R152&gt;=INDEX(LE_Curves!$I$5:$I$205,201),INDEX(LE_Curves!$B$5:$B$205,201),INDEX(LE_Curves!$B$5:$B$205,MATCH($R152,LE_Curves!$I$5:$I$205,1))+($R152-INDEX(LE_Curves!$I$5:$I$205,MATCH($R152,LE_Curves!$I$5:$I$205,1)))*(INDEX(LE_Curves!$B$5:$B$205,MATCH($R152,LE_Curves!$I$5:$I$205,1)+1)-INDEX(LE_Curves!$B$5:$B$205,MATCH($R152,LE_Curves!$I$5:$I$205,1)))/(INDEX(LE_Curves!$I$5:$I$205,MATCH($R152,LE_Curves!$I$5:$I$205,1)+1)-INDEX(LE_Curves!$I$5:$I$205,MATCH($R152,LE_Curves!$I$5:$I$205,1))))))</f>
        <v/>
      </c>
      <c r="Z152" s="11">
        <f>IF(Inputs!$D$30=0,0,IF($R152&lt;=Inputs!$C$30,0,IF($R152&gt;=INDEX(LE_Curves!$J$5:$J$205,201),INDEX(LE_Curves!$B$5:$B$205,201),INDEX(LE_Curves!$B$5:$B$205,MATCH($R152,LE_Curves!$J$5:$J$205,1))+($R152-INDEX(LE_Curves!$J$5:$J$205,MATCH($R152,LE_Curves!$J$5:$J$205,1)))*(INDEX(LE_Curves!$B$5:$B$205,MATCH($R152,LE_Curves!$J$5:$J$205,1)+1)-INDEX(LE_Curves!$B$5:$B$205,MATCH($R152,LE_Curves!$J$5:$J$205,1)))/(INDEX(LE_Curves!$J$5:$J$205,MATCH($R152,LE_Curves!$J$5:$J$205,1)+1)-INDEX(LE_Curves!$J$5:$J$205,MATCH($R152,LE_Curves!$J$5:$J$205,1))))))</f>
        <v/>
      </c>
      <c r="AA152" s="11">
        <f>IF(Inputs!$D$31=0,0,IF($R152&lt;=Inputs!$C$31,0,IF($R152&gt;=INDEX(LE_Curves!$K$5:$K$205,201),INDEX(LE_Curves!$B$5:$B$205,201),INDEX(LE_Curves!$B$5:$B$205,MATCH($R152,LE_Curves!$K$5:$K$205,1))+($R152-INDEX(LE_Curves!$K$5:$K$205,MATCH($R152,LE_Curves!$K$5:$K$205,1)))*(INDEX(LE_Curves!$B$5:$B$205,MATCH($R152,LE_Curves!$K$5:$K$205,1)+1)-INDEX(LE_Curves!$B$5:$B$205,MATCH($R152,LE_Curves!$K$5:$K$205,1)))/(INDEX(LE_Curves!$K$5:$K$205,MATCH($R152,LE_Curves!$K$5:$K$205,1)+1)-INDEX(LE_Curves!$K$5:$K$205,MATCH($R152,LE_Curves!$K$5:$K$205,1))))))</f>
        <v/>
      </c>
      <c r="AB152" s="11">
        <f>IF(Inputs!$D$32=0,0,IF($R152&lt;=Inputs!$C$32,0,IF($R152&gt;=INDEX(LE_Curves!$L$5:$L$205,201),INDEX(LE_Curves!$B$5:$B$205,201),INDEX(LE_Curves!$B$5:$B$205,MATCH($R152,LE_Curves!$L$5:$L$205,1))+($R152-INDEX(LE_Curves!$L$5:$L$205,MATCH($R152,LE_Curves!$L$5:$L$205,1)))*(INDEX(LE_Curves!$B$5:$B$205,MATCH($R152,LE_Curves!$L$5:$L$205,1)+1)-INDEX(LE_Curves!$B$5:$B$205,MATCH($R152,LE_Curves!$L$5:$L$205,1)))/(INDEX(LE_Curves!$L$5:$L$205,MATCH($R152,LE_Curves!$L$5:$L$205,1)+1)-INDEX(LE_Curves!$L$5:$L$205,MATCH($R152,LE_Curves!$L$5:$L$205,1))))))</f>
        <v/>
      </c>
      <c r="AC152" s="11">
        <f>IF(Inputs!$D$33=0,0,IF($R152&lt;=Inputs!$C$33,0,IF($R152&gt;=INDEX(LE_Curves!$M$5:$M$205,201),INDEX(LE_Curves!$B$5:$B$205,201),INDEX(LE_Curves!$B$5:$B$205,MATCH($R152,LE_Curves!$M$5:$M$205,1))+($R152-INDEX(LE_Curves!$M$5:$M$205,MATCH($R152,LE_Curves!$M$5:$M$205,1)))*(INDEX(LE_Curves!$B$5:$B$205,MATCH($R152,LE_Curves!$M$5:$M$205,1)+1)-INDEX(LE_Curves!$B$5:$B$205,MATCH($R152,LE_Curves!$M$5:$M$205,1)))/(INDEX(LE_Curves!$M$5:$M$205,MATCH($R152,LE_Curves!$M$5:$M$205,1)+1)-INDEX(LE_Curves!$M$5:$M$205,MATCH($R152,LE_Curves!$M$5:$M$205,1))))))</f>
        <v/>
      </c>
      <c r="AD152" s="11">
        <f>IF(Inputs!$D$34=0,0,IF($R152&lt;=Inputs!$C$34,0,IF($R152&gt;=INDEX(LE_Curves!$N$5:$N$205,201),INDEX(LE_Curves!$B$5:$B$205,201),INDEX(LE_Curves!$B$5:$B$205,MATCH($R152,LE_Curves!$N$5:$N$205,1))+($R152-INDEX(LE_Curves!$N$5:$N$205,MATCH($R152,LE_Curves!$N$5:$N$205,1)))*(INDEX(LE_Curves!$B$5:$B$205,MATCH($R152,LE_Curves!$N$5:$N$205,1)+1)-INDEX(LE_Curves!$B$5:$B$205,MATCH($R152,LE_Curves!$N$5:$N$205,1)))/(INDEX(LE_Curves!$N$5:$N$205,MATCH($R152,LE_Curves!$N$5:$N$205,1)+1)-INDEX(LE_Curves!$N$5:$N$205,MATCH($R152,LE_Curves!$N$5:$N$205,1))))))</f>
        <v/>
      </c>
      <c r="AE152" s="37">
        <f>SUM(S152:AD152)</f>
        <v/>
      </c>
    </row>
    <row r="153">
      <c r="A153" s="7" t="n">
        <v>122</v>
      </c>
      <c r="B153" s="37">
        <f>$B$3+($B$4-$B$3)*A153/200</f>
        <v/>
      </c>
      <c r="C153" s="11">
        <f>IF(Inputs!$D$23=0,0,IF($B153&lt;=Inputs!$C$23,0,IF($B153&gt;=INDEX(LE_Curves!$C$5:$C$205,201),INDEX(LE_Curves!$B$5:$B$205,201),INDEX(LE_Curves!$B$5:$B$205,MATCH($B153,LE_Curves!$C$5:$C$205,1))+($B153-INDEX(LE_Curves!$C$5:$C$205,MATCH($B153,LE_Curves!$C$5:$C$205,1)))*(INDEX(LE_Curves!$B$5:$B$205,MATCH($B153,LE_Curves!$C$5:$C$205,1)+1)-INDEX(LE_Curves!$B$5:$B$205,MATCH($B153,LE_Curves!$C$5:$C$205,1)))/(INDEX(LE_Curves!$C$5:$C$205,MATCH($B153,LE_Curves!$C$5:$C$205,1)+1)-INDEX(LE_Curves!$C$5:$C$205,MATCH($B153,LE_Curves!$C$5:$C$205,1))))))</f>
        <v/>
      </c>
      <c r="D153" s="11">
        <f>IF(Inputs!$D$24=0,0,IF($B153&lt;=Inputs!$C$24,0,IF($B153&gt;=INDEX(LE_Curves!$D$5:$D$205,201),INDEX(LE_Curves!$B$5:$B$205,201),INDEX(LE_Curves!$B$5:$B$205,MATCH($B153,LE_Curves!$D$5:$D$205,1))+($B153-INDEX(LE_Curves!$D$5:$D$205,MATCH($B153,LE_Curves!$D$5:$D$205,1)))*(INDEX(LE_Curves!$B$5:$B$205,MATCH($B153,LE_Curves!$D$5:$D$205,1)+1)-INDEX(LE_Curves!$B$5:$B$205,MATCH($B153,LE_Curves!$D$5:$D$205,1)))/(INDEX(LE_Curves!$D$5:$D$205,MATCH($B153,LE_Curves!$D$5:$D$205,1)+1)-INDEX(LE_Curves!$D$5:$D$205,MATCH($B153,LE_Curves!$D$5:$D$205,1))))))</f>
        <v/>
      </c>
      <c r="E153" s="11">
        <f>IF(Inputs!$D$25=0,0,IF($B153&lt;=Inputs!$C$25,0,IF($B153&gt;=INDEX(LE_Curves!$E$5:$E$205,201),INDEX(LE_Curves!$B$5:$B$205,201),INDEX(LE_Curves!$B$5:$B$205,MATCH($B153,LE_Curves!$E$5:$E$205,1))+($B153-INDEX(LE_Curves!$E$5:$E$205,MATCH($B153,LE_Curves!$E$5:$E$205,1)))*(INDEX(LE_Curves!$B$5:$B$205,MATCH($B153,LE_Curves!$E$5:$E$205,1)+1)-INDEX(LE_Curves!$B$5:$B$205,MATCH($B153,LE_Curves!$E$5:$E$205,1)))/(INDEX(LE_Curves!$E$5:$E$205,MATCH($B153,LE_Curves!$E$5:$E$205,1)+1)-INDEX(LE_Curves!$E$5:$E$205,MATCH($B153,LE_Curves!$E$5:$E$205,1))))))</f>
        <v/>
      </c>
      <c r="F153" s="11">
        <f>IF(Inputs!$D$26=0,0,IF($B153&lt;=Inputs!$C$26,0,IF($B153&gt;=INDEX(LE_Curves!$F$5:$F$205,201),INDEX(LE_Curves!$B$5:$B$205,201),INDEX(LE_Curves!$B$5:$B$205,MATCH($B153,LE_Curves!$F$5:$F$205,1))+($B153-INDEX(LE_Curves!$F$5:$F$205,MATCH($B153,LE_Curves!$F$5:$F$205,1)))*(INDEX(LE_Curves!$B$5:$B$205,MATCH($B153,LE_Curves!$F$5:$F$205,1)+1)-INDEX(LE_Curves!$B$5:$B$205,MATCH($B153,LE_Curves!$F$5:$F$205,1)))/(INDEX(LE_Curves!$F$5:$F$205,MATCH($B153,LE_Curves!$F$5:$F$205,1)+1)-INDEX(LE_Curves!$F$5:$F$205,MATCH($B153,LE_Curves!$F$5:$F$205,1))))))</f>
        <v/>
      </c>
      <c r="G153" s="11">
        <f>IF(Inputs!$D$27=0,0,IF($B153&lt;=Inputs!$C$27,0,IF($B153&gt;=INDEX(LE_Curves!$G$5:$G$205,201),INDEX(LE_Curves!$B$5:$B$205,201),INDEX(LE_Curves!$B$5:$B$205,MATCH($B153,LE_Curves!$G$5:$G$205,1))+($B153-INDEX(LE_Curves!$G$5:$G$205,MATCH($B153,LE_Curves!$G$5:$G$205,1)))*(INDEX(LE_Curves!$B$5:$B$205,MATCH($B153,LE_Curves!$G$5:$G$205,1)+1)-INDEX(LE_Curves!$B$5:$B$205,MATCH($B153,LE_Curves!$G$5:$G$205,1)))/(INDEX(LE_Curves!$G$5:$G$205,MATCH($B153,LE_Curves!$G$5:$G$205,1)+1)-INDEX(LE_Curves!$G$5:$G$205,MATCH($B153,LE_Curves!$G$5:$G$205,1))))))</f>
        <v/>
      </c>
      <c r="H153" s="11">
        <f>IF(Inputs!$D$28=0,0,IF($B153&lt;=Inputs!$C$28,0,IF($B153&gt;=INDEX(LE_Curves!$H$5:$H$205,201),INDEX(LE_Curves!$B$5:$B$205,201),INDEX(LE_Curves!$B$5:$B$205,MATCH($B153,LE_Curves!$H$5:$H$205,1))+($B153-INDEX(LE_Curves!$H$5:$H$205,MATCH($B153,LE_Curves!$H$5:$H$205,1)))*(INDEX(LE_Curves!$B$5:$B$205,MATCH($B153,LE_Curves!$H$5:$H$205,1)+1)-INDEX(LE_Curves!$B$5:$B$205,MATCH($B153,LE_Curves!$H$5:$H$205,1)))/(INDEX(LE_Curves!$H$5:$H$205,MATCH($B153,LE_Curves!$H$5:$H$205,1)+1)-INDEX(LE_Curves!$H$5:$H$205,MATCH($B153,LE_Curves!$H$5:$H$205,1))))))</f>
        <v/>
      </c>
      <c r="I153" s="11">
        <f>IF(Inputs!$D$29=0,0,IF($B153&lt;=Inputs!$C$29,0,IF($B153&gt;=INDEX(LE_Curves!$I$5:$I$205,201),INDEX(LE_Curves!$B$5:$B$205,201),INDEX(LE_Curves!$B$5:$B$205,MATCH($B153,LE_Curves!$I$5:$I$205,1))+($B153-INDEX(LE_Curves!$I$5:$I$205,MATCH($B153,LE_Curves!$I$5:$I$205,1)))*(INDEX(LE_Curves!$B$5:$B$205,MATCH($B153,LE_Curves!$I$5:$I$205,1)+1)-INDEX(LE_Curves!$B$5:$B$205,MATCH($B153,LE_Curves!$I$5:$I$205,1)))/(INDEX(LE_Curves!$I$5:$I$205,MATCH($B153,LE_Curves!$I$5:$I$205,1)+1)-INDEX(LE_Curves!$I$5:$I$205,MATCH($B153,LE_Curves!$I$5:$I$205,1))))))</f>
        <v/>
      </c>
      <c r="J153" s="11">
        <f>IF(Inputs!$D$30=0,0,IF($B153&lt;=Inputs!$C$30,0,IF($B153&gt;=INDEX(LE_Curves!$J$5:$J$205,201),INDEX(LE_Curves!$B$5:$B$205,201),INDEX(LE_Curves!$B$5:$B$205,MATCH($B153,LE_Curves!$J$5:$J$205,1))+($B153-INDEX(LE_Curves!$J$5:$J$205,MATCH($B153,LE_Curves!$J$5:$J$205,1)))*(INDEX(LE_Curves!$B$5:$B$205,MATCH($B153,LE_Curves!$J$5:$J$205,1)+1)-INDEX(LE_Curves!$B$5:$B$205,MATCH($B153,LE_Curves!$J$5:$J$205,1)))/(INDEX(LE_Curves!$J$5:$J$205,MATCH($B153,LE_Curves!$J$5:$J$205,1)+1)-INDEX(LE_Curves!$J$5:$J$205,MATCH($B153,LE_Curves!$J$5:$J$205,1))))))</f>
        <v/>
      </c>
      <c r="K153" s="11">
        <f>IF(Inputs!$D$31=0,0,IF($B153&lt;=Inputs!$C$31,0,IF($B153&gt;=INDEX(LE_Curves!$K$5:$K$205,201),INDEX(LE_Curves!$B$5:$B$205,201),INDEX(LE_Curves!$B$5:$B$205,MATCH($B153,LE_Curves!$K$5:$K$205,1))+($B153-INDEX(LE_Curves!$K$5:$K$205,MATCH($B153,LE_Curves!$K$5:$K$205,1)))*(INDEX(LE_Curves!$B$5:$B$205,MATCH($B153,LE_Curves!$K$5:$K$205,1)+1)-INDEX(LE_Curves!$B$5:$B$205,MATCH($B153,LE_Curves!$K$5:$K$205,1)))/(INDEX(LE_Curves!$K$5:$K$205,MATCH($B153,LE_Curves!$K$5:$K$205,1)+1)-INDEX(LE_Curves!$K$5:$K$205,MATCH($B153,LE_Curves!$K$5:$K$205,1))))))</f>
        <v/>
      </c>
      <c r="L153" s="11">
        <f>IF(Inputs!$D$32=0,0,IF($B153&lt;=Inputs!$C$32,0,IF($B153&gt;=INDEX(LE_Curves!$L$5:$L$205,201),INDEX(LE_Curves!$B$5:$B$205,201),INDEX(LE_Curves!$B$5:$B$205,MATCH($B153,LE_Curves!$L$5:$L$205,1))+($B153-INDEX(LE_Curves!$L$5:$L$205,MATCH($B153,LE_Curves!$L$5:$L$205,1)))*(INDEX(LE_Curves!$B$5:$B$205,MATCH($B153,LE_Curves!$L$5:$L$205,1)+1)-INDEX(LE_Curves!$B$5:$B$205,MATCH($B153,LE_Curves!$L$5:$L$205,1)))/(INDEX(LE_Curves!$L$5:$L$205,MATCH($B153,LE_Curves!$L$5:$L$205,1)+1)-INDEX(LE_Curves!$L$5:$L$205,MATCH($B153,LE_Curves!$L$5:$L$205,1))))))</f>
        <v/>
      </c>
      <c r="M153" s="11">
        <f>IF(Inputs!$D$33=0,0,IF($B153&lt;=Inputs!$C$33,0,IF($B153&gt;=INDEX(LE_Curves!$M$5:$M$205,201),INDEX(LE_Curves!$B$5:$B$205,201),INDEX(LE_Curves!$B$5:$B$205,MATCH($B153,LE_Curves!$M$5:$M$205,1))+($B153-INDEX(LE_Curves!$M$5:$M$205,MATCH($B153,LE_Curves!$M$5:$M$205,1)))*(INDEX(LE_Curves!$B$5:$B$205,MATCH($B153,LE_Curves!$M$5:$M$205,1)+1)-INDEX(LE_Curves!$B$5:$B$205,MATCH($B153,LE_Curves!$M$5:$M$205,1)))/(INDEX(LE_Curves!$M$5:$M$205,MATCH($B153,LE_Curves!$M$5:$M$205,1)+1)-INDEX(LE_Curves!$M$5:$M$205,MATCH($B153,LE_Curves!$M$5:$M$205,1))))))</f>
        <v/>
      </c>
      <c r="N153" s="11">
        <f>IF(Inputs!$D$34=0,0,IF($B153&lt;=Inputs!$C$34,0,IF($B153&gt;=INDEX(LE_Curves!$N$5:$N$205,201),INDEX(LE_Curves!$B$5:$B$205,201),INDEX(LE_Curves!$B$5:$B$205,MATCH($B153,LE_Curves!$N$5:$N$205,1))+($B153-INDEX(LE_Curves!$N$5:$N$205,MATCH($B153,LE_Curves!$N$5:$N$205,1)))*(INDEX(LE_Curves!$B$5:$B$205,MATCH($B153,LE_Curves!$N$5:$N$205,1)+1)-INDEX(LE_Curves!$B$5:$B$205,MATCH($B153,LE_Curves!$N$5:$N$205,1)))/(INDEX(LE_Curves!$N$5:$N$205,MATCH($B153,LE_Curves!$N$5:$N$205,1)+1)-INDEX(LE_Curves!$N$5:$N$205,MATCH($B153,LE_Curves!$N$5:$N$205,1))))))</f>
        <v/>
      </c>
      <c r="O153" s="11">
        <f>SUM(C153:N153)</f>
        <v/>
      </c>
      <c r="Q153" s="7" t="n">
        <v>122</v>
      </c>
      <c r="R153" s="23">
        <f>$B$6+($B$7-$B$6)*Q153/200</f>
        <v/>
      </c>
      <c r="S153" s="11">
        <f>IF(Inputs!$D$23=0,0,IF($R153&lt;=Inputs!$C$23,0,IF($R153&gt;=INDEX(LE_Curves!$C$5:$C$205,201),INDEX(LE_Curves!$B$5:$B$205,201),INDEX(LE_Curves!$B$5:$B$205,MATCH($R153,LE_Curves!$C$5:$C$205,1))+($R153-INDEX(LE_Curves!$C$5:$C$205,MATCH($R153,LE_Curves!$C$5:$C$205,1)))*(INDEX(LE_Curves!$B$5:$B$205,MATCH($R153,LE_Curves!$C$5:$C$205,1)+1)-INDEX(LE_Curves!$B$5:$B$205,MATCH($R153,LE_Curves!$C$5:$C$205,1)))/(INDEX(LE_Curves!$C$5:$C$205,MATCH($R153,LE_Curves!$C$5:$C$205,1)+1)-INDEX(LE_Curves!$C$5:$C$205,MATCH($R153,LE_Curves!$C$5:$C$205,1))))))</f>
        <v/>
      </c>
      <c r="T153" s="11">
        <f>IF(Inputs!$D$24=0,0,IF($R153&lt;=Inputs!$C$24,0,IF($R153&gt;=INDEX(LE_Curves!$D$5:$D$205,201),INDEX(LE_Curves!$B$5:$B$205,201),INDEX(LE_Curves!$B$5:$B$205,MATCH($R153,LE_Curves!$D$5:$D$205,1))+($R153-INDEX(LE_Curves!$D$5:$D$205,MATCH($R153,LE_Curves!$D$5:$D$205,1)))*(INDEX(LE_Curves!$B$5:$B$205,MATCH($R153,LE_Curves!$D$5:$D$205,1)+1)-INDEX(LE_Curves!$B$5:$B$205,MATCH($R153,LE_Curves!$D$5:$D$205,1)))/(INDEX(LE_Curves!$D$5:$D$205,MATCH($R153,LE_Curves!$D$5:$D$205,1)+1)-INDEX(LE_Curves!$D$5:$D$205,MATCH($R153,LE_Curves!$D$5:$D$205,1))))))</f>
        <v/>
      </c>
      <c r="U153" s="11">
        <f>IF(Inputs!$D$25=0,0,IF($R153&lt;=Inputs!$C$25,0,IF($R153&gt;=INDEX(LE_Curves!$E$5:$E$205,201),INDEX(LE_Curves!$B$5:$B$205,201),INDEX(LE_Curves!$B$5:$B$205,MATCH($R153,LE_Curves!$E$5:$E$205,1))+($R153-INDEX(LE_Curves!$E$5:$E$205,MATCH($R153,LE_Curves!$E$5:$E$205,1)))*(INDEX(LE_Curves!$B$5:$B$205,MATCH($R153,LE_Curves!$E$5:$E$205,1)+1)-INDEX(LE_Curves!$B$5:$B$205,MATCH($R153,LE_Curves!$E$5:$E$205,1)))/(INDEX(LE_Curves!$E$5:$E$205,MATCH($R153,LE_Curves!$E$5:$E$205,1)+1)-INDEX(LE_Curves!$E$5:$E$205,MATCH($R153,LE_Curves!$E$5:$E$205,1))))))</f>
        <v/>
      </c>
      <c r="V153" s="11">
        <f>IF(Inputs!$D$26=0,0,IF($R153&lt;=Inputs!$C$26,0,IF($R153&gt;=INDEX(LE_Curves!$F$5:$F$205,201),INDEX(LE_Curves!$B$5:$B$205,201),INDEX(LE_Curves!$B$5:$B$205,MATCH($R153,LE_Curves!$F$5:$F$205,1))+($R153-INDEX(LE_Curves!$F$5:$F$205,MATCH($R153,LE_Curves!$F$5:$F$205,1)))*(INDEX(LE_Curves!$B$5:$B$205,MATCH($R153,LE_Curves!$F$5:$F$205,1)+1)-INDEX(LE_Curves!$B$5:$B$205,MATCH($R153,LE_Curves!$F$5:$F$205,1)))/(INDEX(LE_Curves!$F$5:$F$205,MATCH($R153,LE_Curves!$F$5:$F$205,1)+1)-INDEX(LE_Curves!$F$5:$F$205,MATCH($R153,LE_Curves!$F$5:$F$205,1))))))</f>
        <v/>
      </c>
      <c r="W153" s="11">
        <f>IF(Inputs!$D$27=0,0,IF($R153&lt;=Inputs!$C$27,0,IF($R153&gt;=INDEX(LE_Curves!$G$5:$G$205,201),INDEX(LE_Curves!$B$5:$B$205,201),INDEX(LE_Curves!$B$5:$B$205,MATCH($R153,LE_Curves!$G$5:$G$205,1))+($R153-INDEX(LE_Curves!$G$5:$G$205,MATCH($R153,LE_Curves!$G$5:$G$205,1)))*(INDEX(LE_Curves!$B$5:$B$205,MATCH($R153,LE_Curves!$G$5:$G$205,1)+1)-INDEX(LE_Curves!$B$5:$B$205,MATCH($R153,LE_Curves!$G$5:$G$205,1)))/(INDEX(LE_Curves!$G$5:$G$205,MATCH($R153,LE_Curves!$G$5:$G$205,1)+1)-INDEX(LE_Curves!$G$5:$G$205,MATCH($R153,LE_Curves!$G$5:$G$205,1))))))</f>
        <v/>
      </c>
      <c r="X153" s="11">
        <f>IF(Inputs!$D$28=0,0,IF($R153&lt;=Inputs!$C$28,0,IF($R153&gt;=INDEX(LE_Curves!$H$5:$H$205,201),INDEX(LE_Curves!$B$5:$B$205,201),INDEX(LE_Curves!$B$5:$B$205,MATCH($R153,LE_Curves!$H$5:$H$205,1))+($R153-INDEX(LE_Curves!$H$5:$H$205,MATCH($R153,LE_Curves!$H$5:$H$205,1)))*(INDEX(LE_Curves!$B$5:$B$205,MATCH($R153,LE_Curves!$H$5:$H$205,1)+1)-INDEX(LE_Curves!$B$5:$B$205,MATCH($R153,LE_Curves!$H$5:$H$205,1)))/(INDEX(LE_Curves!$H$5:$H$205,MATCH($R153,LE_Curves!$H$5:$H$205,1)+1)-INDEX(LE_Curves!$H$5:$H$205,MATCH($R153,LE_Curves!$H$5:$H$205,1))))))</f>
        <v/>
      </c>
      <c r="Y153" s="11">
        <f>IF(Inputs!$D$29=0,0,IF($R153&lt;=Inputs!$C$29,0,IF($R153&gt;=INDEX(LE_Curves!$I$5:$I$205,201),INDEX(LE_Curves!$B$5:$B$205,201),INDEX(LE_Curves!$B$5:$B$205,MATCH($R153,LE_Curves!$I$5:$I$205,1))+($R153-INDEX(LE_Curves!$I$5:$I$205,MATCH($R153,LE_Curves!$I$5:$I$205,1)))*(INDEX(LE_Curves!$B$5:$B$205,MATCH($R153,LE_Curves!$I$5:$I$205,1)+1)-INDEX(LE_Curves!$B$5:$B$205,MATCH($R153,LE_Curves!$I$5:$I$205,1)))/(INDEX(LE_Curves!$I$5:$I$205,MATCH($R153,LE_Curves!$I$5:$I$205,1)+1)-INDEX(LE_Curves!$I$5:$I$205,MATCH($R153,LE_Curves!$I$5:$I$205,1))))))</f>
        <v/>
      </c>
      <c r="Z153" s="11">
        <f>IF(Inputs!$D$30=0,0,IF($R153&lt;=Inputs!$C$30,0,IF($R153&gt;=INDEX(LE_Curves!$J$5:$J$205,201),INDEX(LE_Curves!$B$5:$B$205,201),INDEX(LE_Curves!$B$5:$B$205,MATCH($R153,LE_Curves!$J$5:$J$205,1))+($R153-INDEX(LE_Curves!$J$5:$J$205,MATCH($R153,LE_Curves!$J$5:$J$205,1)))*(INDEX(LE_Curves!$B$5:$B$205,MATCH($R153,LE_Curves!$J$5:$J$205,1)+1)-INDEX(LE_Curves!$B$5:$B$205,MATCH($R153,LE_Curves!$J$5:$J$205,1)))/(INDEX(LE_Curves!$J$5:$J$205,MATCH($R153,LE_Curves!$J$5:$J$205,1)+1)-INDEX(LE_Curves!$J$5:$J$205,MATCH($R153,LE_Curves!$J$5:$J$205,1))))))</f>
        <v/>
      </c>
      <c r="AA153" s="11">
        <f>IF(Inputs!$D$31=0,0,IF($R153&lt;=Inputs!$C$31,0,IF($R153&gt;=INDEX(LE_Curves!$K$5:$K$205,201),INDEX(LE_Curves!$B$5:$B$205,201),INDEX(LE_Curves!$B$5:$B$205,MATCH($R153,LE_Curves!$K$5:$K$205,1))+($R153-INDEX(LE_Curves!$K$5:$K$205,MATCH($R153,LE_Curves!$K$5:$K$205,1)))*(INDEX(LE_Curves!$B$5:$B$205,MATCH($R153,LE_Curves!$K$5:$K$205,1)+1)-INDEX(LE_Curves!$B$5:$B$205,MATCH($R153,LE_Curves!$K$5:$K$205,1)))/(INDEX(LE_Curves!$K$5:$K$205,MATCH($R153,LE_Curves!$K$5:$K$205,1)+1)-INDEX(LE_Curves!$K$5:$K$205,MATCH($R153,LE_Curves!$K$5:$K$205,1))))))</f>
        <v/>
      </c>
      <c r="AB153" s="11">
        <f>IF(Inputs!$D$32=0,0,IF($R153&lt;=Inputs!$C$32,0,IF($R153&gt;=INDEX(LE_Curves!$L$5:$L$205,201),INDEX(LE_Curves!$B$5:$B$205,201),INDEX(LE_Curves!$B$5:$B$205,MATCH($R153,LE_Curves!$L$5:$L$205,1))+($R153-INDEX(LE_Curves!$L$5:$L$205,MATCH($R153,LE_Curves!$L$5:$L$205,1)))*(INDEX(LE_Curves!$B$5:$B$205,MATCH($R153,LE_Curves!$L$5:$L$205,1)+1)-INDEX(LE_Curves!$B$5:$B$205,MATCH($R153,LE_Curves!$L$5:$L$205,1)))/(INDEX(LE_Curves!$L$5:$L$205,MATCH($R153,LE_Curves!$L$5:$L$205,1)+1)-INDEX(LE_Curves!$L$5:$L$205,MATCH($R153,LE_Curves!$L$5:$L$205,1))))))</f>
        <v/>
      </c>
      <c r="AC153" s="11">
        <f>IF(Inputs!$D$33=0,0,IF($R153&lt;=Inputs!$C$33,0,IF($R153&gt;=INDEX(LE_Curves!$M$5:$M$205,201),INDEX(LE_Curves!$B$5:$B$205,201),INDEX(LE_Curves!$B$5:$B$205,MATCH($R153,LE_Curves!$M$5:$M$205,1))+($R153-INDEX(LE_Curves!$M$5:$M$205,MATCH($R153,LE_Curves!$M$5:$M$205,1)))*(INDEX(LE_Curves!$B$5:$B$205,MATCH($R153,LE_Curves!$M$5:$M$205,1)+1)-INDEX(LE_Curves!$B$5:$B$205,MATCH($R153,LE_Curves!$M$5:$M$205,1)))/(INDEX(LE_Curves!$M$5:$M$205,MATCH($R153,LE_Curves!$M$5:$M$205,1)+1)-INDEX(LE_Curves!$M$5:$M$205,MATCH($R153,LE_Curves!$M$5:$M$205,1))))))</f>
        <v/>
      </c>
      <c r="AD153" s="11">
        <f>IF(Inputs!$D$34=0,0,IF($R153&lt;=Inputs!$C$34,0,IF($R153&gt;=INDEX(LE_Curves!$N$5:$N$205,201),INDEX(LE_Curves!$B$5:$B$205,201),INDEX(LE_Curves!$B$5:$B$205,MATCH($R153,LE_Curves!$N$5:$N$205,1))+($R153-INDEX(LE_Curves!$N$5:$N$205,MATCH($R153,LE_Curves!$N$5:$N$205,1)))*(INDEX(LE_Curves!$B$5:$B$205,MATCH($R153,LE_Curves!$N$5:$N$205,1)+1)-INDEX(LE_Curves!$B$5:$B$205,MATCH($R153,LE_Curves!$N$5:$N$205,1)))/(INDEX(LE_Curves!$N$5:$N$205,MATCH($R153,LE_Curves!$N$5:$N$205,1)+1)-INDEX(LE_Curves!$N$5:$N$205,MATCH($R153,LE_Curves!$N$5:$N$205,1))))))</f>
        <v/>
      </c>
      <c r="AE153" s="37">
        <f>SUM(S153:AD153)</f>
        <v/>
      </c>
    </row>
    <row r="154">
      <c r="A154" s="7" t="n">
        <v>123</v>
      </c>
      <c r="B154" s="37">
        <f>$B$3+($B$4-$B$3)*A154/200</f>
        <v/>
      </c>
      <c r="C154" s="11">
        <f>IF(Inputs!$D$23=0,0,IF($B154&lt;=Inputs!$C$23,0,IF($B154&gt;=INDEX(LE_Curves!$C$5:$C$205,201),INDEX(LE_Curves!$B$5:$B$205,201),INDEX(LE_Curves!$B$5:$B$205,MATCH($B154,LE_Curves!$C$5:$C$205,1))+($B154-INDEX(LE_Curves!$C$5:$C$205,MATCH($B154,LE_Curves!$C$5:$C$205,1)))*(INDEX(LE_Curves!$B$5:$B$205,MATCH($B154,LE_Curves!$C$5:$C$205,1)+1)-INDEX(LE_Curves!$B$5:$B$205,MATCH($B154,LE_Curves!$C$5:$C$205,1)))/(INDEX(LE_Curves!$C$5:$C$205,MATCH($B154,LE_Curves!$C$5:$C$205,1)+1)-INDEX(LE_Curves!$C$5:$C$205,MATCH($B154,LE_Curves!$C$5:$C$205,1))))))</f>
        <v/>
      </c>
      <c r="D154" s="11">
        <f>IF(Inputs!$D$24=0,0,IF($B154&lt;=Inputs!$C$24,0,IF($B154&gt;=INDEX(LE_Curves!$D$5:$D$205,201),INDEX(LE_Curves!$B$5:$B$205,201),INDEX(LE_Curves!$B$5:$B$205,MATCH($B154,LE_Curves!$D$5:$D$205,1))+($B154-INDEX(LE_Curves!$D$5:$D$205,MATCH($B154,LE_Curves!$D$5:$D$205,1)))*(INDEX(LE_Curves!$B$5:$B$205,MATCH($B154,LE_Curves!$D$5:$D$205,1)+1)-INDEX(LE_Curves!$B$5:$B$205,MATCH($B154,LE_Curves!$D$5:$D$205,1)))/(INDEX(LE_Curves!$D$5:$D$205,MATCH($B154,LE_Curves!$D$5:$D$205,1)+1)-INDEX(LE_Curves!$D$5:$D$205,MATCH($B154,LE_Curves!$D$5:$D$205,1))))))</f>
        <v/>
      </c>
      <c r="E154" s="11">
        <f>IF(Inputs!$D$25=0,0,IF($B154&lt;=Inputs!$C$25,0,IF($B154&gt;=INDEX(LE_Curves!$E$5:$E$205,201),INDEX(LE_Curves!$B$5:$B$205,201),INDEX(LE_Curves!$B$5:$B$205,MATCH($B154,LE_Curves!$E$5:$E$205,1))+($B154-INDEX(LE_Curves!$E$5:$E$205,MATCH($B154,LE_Curves!$E$5:$E$205,1)))*(INDEX(LE_Curves!$B$5:$B$205,MATCH($B154,LE_Curves!$E$5:$E$205,1)+1)-INDEX(LE_Curves!$B$5:$B$205,MATCH($B154,LE_Curves!$E$5:$E$205,1)))/(INDEX(LE_Curves!$E$5:$E$205,MATCH($B154,LE_Curves!$E$5:$E$205,1)+1)-INDEX(LE_Curves!$E$5:$E$205,MATCH($B154,LE_Curves!$E$5:$E$205,1))))))</f>
        <v/>
      </c>
      <c r="F154" s="11">
        <f>IF(Inputs!$D$26=0,0,IF($B154&lt;=Inputs!$C$26,0,IF($B154&gt;=INDEX(LE_Curves!$F$5:$F$205,201),INDEX(LE_Curves!$B$5:$B$205,201),INDEX(LE_Curves!$B$5:$B$205,MATCH($B154,LE_Curves!$F$5:$F$205,1))+($B154-INDEX(LE_Curves!$F$5:$F$205,MATCH($B154,LE_Curves!$F$5:$F$205,1)))*(INDEX(LE_Curves!$B$5:$B$205,MATCH($B154,LE_Curves!$F$5:$F$205,1)+1)-INDEX(LE_Curves!$B$5:$B$205,MATCH($B154,LE_Curves!$F$5:$F$205,1)))/(INDEX(LE_Curves!$F$5:$F$205,MATCH($B154,LE_Curves!$F$5:$F$205,1)+1)-INDEX(LE_Curves!$F$5:$F$205,MATCH($B154,LE_Curves!$F$5:$F$205,1))))))</f>
        <v/>
      </c>
      <c r="G154" s="11">
        <f>IF(Inputs!$D$27=0,0,IF($B154&lt;=Inputs!$C$27,0,IF($B154&gt;=INDEX(LE_Curves!$G$5:$G$205,201),INDEX(LE_Curves!$B$5:$B$205,201),INDEX(LE_Curves!$B$5:$B$205,MATCH($B154,LE_Curves!$G$5:$G$205,1))+($B154-INDEX(LE_Curves!$G$5:$G$205,MATCH($B154,LE_Curves!$G$5:$G$205,1)))*(INDEX(LE_Curves!$B$5:$B$205,MATCH($B154,LE_Curves!$G$5:$G$205,1)+1)-INDEX(LE_Curves!$B$5:$B$205,MATCH($B154,LE_Curves!$G$5:$G$205,1)))/(INDEX(LE_Curves!$G$5:$G$205,MATCH($B154,LE_Curves!$G$5:$G$205,1)+1)-INDEX(LE_Curves!$G$5:$G$205,MATCH($B154,LE_Curves!$G$5:$G$205,1))))))</f>
        <v/>
      </c>
      <c r="H154" s="11">
        <f>IF(Inputs!$D$28=0,0,IF($B154&lt;=Inputs!$C$28,0,IF($B154&gt;=INDEX(LE_Curves!$H$5:$H$205,201),INDEX(LE_Curves!$B$5:$B$205,201),INDEX(LE_Curves!$B$5:$B$205,MATCH($B154,LE_Curves!$H$5:$H$205,1))+($B154-INDEX(LE_Curves!$H$5:$H$205,MATCH($B154,LE_Curves!$H$5:$H$205,1)))*(INDEX(LE_Curves!$B$5:$B$205,MATCH($B154,LE_Curves!$H$5:$H$205,1)+1)-INDEX(LE_Curves!$B$5:$B$205,MATCH($B154,LE_Curves!$H$5:$H$205,1)))/(INDEX(LE_Curves!$H$5:$H$205,MATCH($B154,LE_Curves!$H$5:$H$205,1)+1)-INDEX(LE_Curves!$H$5:$H$205,MATCH($B154,LE_Curves!$H$5:$H$205,1))))))</f>
        <v/>
      </c>
      <c r="I154" s="11">
        <f>IF(Inputs!$D$29=0,0,IF($B154&lt;=Inputs!$C$29,0,IF($B154&gt;=INDEX(LE_Curves!$I$5:$I$205,201),INDEX(LE_Curves!$B$5:$B$205,201),INDEX(LE_Curves!$B$5:$B$205,MATCH($B154,LE_Curves!$I$5:$I$205,1))+($B154-INDEX(LE_Curves!$I$5:$I$205,MATCH($B154,LE_Curves!$I$5:$I$205,1)))*(INDEX(LE_Curves!$B$5:$B$205,MATCH($B154,LE_Curves!$I$5:$I$205,1)+1)-INDEX(LE_Curves!$B$5:$B$205,MATCH($B154,LE_Curves!$I$5:$I$205,1)))/(INDEX(LE_Curves!$I$5:$I$205,MATCH($B154,LE_Curves!$I$5:$I$205,1)+1)-INDEX(LE_Curves!$I$5:$I$205,MATCH($B154,LE_Curves!$I$5:$I$205,1))))))</f>
        <v/>
      </c>
      <c r="J154" s="11">
        <f>IF(Inputs!$D$30=0,0,IF($B154&lt;=Inputs!$C$30,0,IF($B154&gt;=INDEX(LE_Curves!$J$5:$J$205,201),INDEX(LE_Curves!$B$5:$B$205,201),INDEX(LE_Curves!$B$5:$B$205,MATCH($B154,LE_Curves!$J$5:$J$205,1))+($B154-INDEX(LE_Curves!$J$5:$J$205,MATCH($B154,LE_Curves!$J$5:$J$205,1)))*(INDEX(LE_Curves!$B$5:$B$205,MATCH($B154,LE_Curves!$J$5:$J$205,1)+1)-INDEX(LE_Curves!$B$5:$B$205,MATCH($B154,LE_Curves!$J$5:$J$205,1)))/(INDEX(LE_Curves!$J$5:$J$205,MATCH($B154,LE_Curves!$J$5:$J$205,1)+1)-INDEX(LE_Curves!$J$5:$J$205,MATCH($B154,LE_Curves!$J$5:$J$205,1))))))</f>
        <v/>
      </c>
      <c r="K154" s="11">
        <f>IF(Inputs!$D$31=0,0,IF($B154&lt;=Inputs!$C$31,0,IF($B154&gt;=INDEX(LE_Curves!$K$5:$K$205,201),INDEX(LE_Curves!$B$5:$B$205,201),INDEX(LE_Curves!$B$5:$B$205,MATCH($B154,LE_Curves!$K$5:$K$205,1))+($B154-INDEX(LE_Curves!$K$5:$K$205,MATCH($B154,LE_Curves!$K$5:$K$205,1)))*(INDEX(LE_Curves!$B$5:$B$205,MATCH($B154,LE_Curves!$K$5:$K$205,1)+1)-INDEX(LE_Curves!$B$5:$B$205,MATCH($B154,LE_Curves!$K$5:$K$205,1)))/(INDEX(LE_Curves!$K$5:$K$205,MATCH($B154,LE_Curves!$K$5:$K$205,1)+1)-INDEX(LE_Curves!$K$5:$K$205,MATCH($B154,LE_Curves!$K$5:$K$205,1))))))</f>
        <v/>
      </c>
      <c r="L154" s="11">
        <f>IF(Inputs!$D$32=0,0,IF($B154&lt;=Inputs!$C$32,0,IF($B154&gt;=INDEX(LE_Curves!$L$5:$L$205,201),INDEX(LE_Curves!$B$5:$B$205,201),INDEX(LE_Curves!$B$5:$B$205,MATCH($B154,LE_Curves!$L$5:$L$205,1))+($B154-INDEX(LE_Curves!$L$5:$L$205,MATCH($B154,LE_Curves!$L$5:$L$205,1)))*(INDEX(LE_Curves!$B$5:$B$205,MATCH($B154,LE_Curves!$L$5:$L$205,1)+1)-INDEX(LE_Curves!$B$5:$B$205,MATCH($B154,LE_Curves!$L$5:$L$205,1)))/(INDEX(LE_Curves!$L$5:$L$205,MATCH($B154,LE_Curves!$L$5:$L$205,1)+1)-INDEX(LE_Curves!$L$5:$L$205,MATCH($B154,LE_Curves!$L$5:$L$205,1))))))</f>
        <v/>
      </c>
      <c r="M154" s="11">
        <f>IF(Inputs!$D$33=0,0,IF($B154&lt;=Inputs!$C$33,0,IF($B154&gt;=INDEX(LE_Curves!$M$5:$M$205,201),INDEX(LE_Curves!$B$5:$B$205,201),INDEX(LE_Curves!$B$5:$B$205,MATCH($B154,LE_Curves!$M$5:$M$205,1))+($B154-INDEX(LE_Curves!$M$5:$M$205,MATCH($B154,LE_Curves!$M$5:$M$205,1)))*(INDEX(LE_Curves!$B$5:$B$205,MATCH($B154,LE_Curves!$M$5:$M$205,1)+1)-INDEX(LE_Curves!$B$5:$B$205,MATCH($B154,LE_Curves!$M$5:$M$205,1)))/(INDEX(LE_Curves!$M$5:$M$205,MATCH($B154,LE_Curves!$M$5:$M$205,1)+1)-INDEX(LE_Curves!$M$5:$M$205,MATCH($B154,LE_Curves!$M$5:$M$205,1))))))</f>
        <v/>
      </c>
      <c r="N154" s="11">
        <f>IF(Inputs!$D$34=0,0,IF($B154&lt;=Inputs!$C$34,0,IF($B154&gt;=INDEX(LE_Curves!$N$5:$N$205,201),INDEX(LE_Curves!$B$5:$B$205,201),INDEX(LE_Curves!$B$5:$B$205,MATCH($B154,LE_Curves!$N$5:$N$205,1))+($B154-INDEX(LE_Curves!$N$5:$N$205,MATCH($B154,LE_Curves!$N$5:$N$205,1)))*(INDEX(LE_Curves!$B$5:$B$205,MATCH($B154,LE_Curves!$N$5:$N$205,1)+1)-INDEX(LE_Curves!$B$5:$B$205,MATCH($B154,LE_Curves!$N$5:$N$205,1)))/(INDEX(LE_Curves!$N$5:$N$205,MATCH($B154,LE_Curves!$N$5:$N$205,1)+1)-INDEX(LE_Curves!$N$5:$N$205,MATCH($B154,LE_Curves!$N$5:$N$205,1))))))</f>
        <v/>
      </c>
      <c r="O154" s="11">
        <f>SUM(C154:N154)</f>
        <v/>
      </c>
      <c r="Q154" s="7" t="n">
        <v>123</v>
      </c>
      <c r="R154" s="23">
        <f>$B$6+($B$7-$B$6)*Q154/200</f>
        <v/>
      </c>
      <c r="S154" s="11">
        <f>IF(Inputs!$D$23=0,0,IF($R154&lt;=Inputs!$C$23,0,IF($R154&gt;=INDEX(LE_Curves!$C$5:$C$205,201),INDEX(LE_Curves!$B$5:$B$205,201),INDEX(LE_Curves!$B$5:$B$205,MATCH($R154,LE_Curves!$C$5:$C$205,1))+($R154-INDEX(LE_Curves!$C$5:$C$205,MATCH($R154,LE_Curves!$C$5:$C$205,1)))*(INDEX(LE_Curves!$B$5:$B$205,MATCH($R154,LE_Curves!$C$5:$C$205,1)+1)-INDEX(LE_Curves!$B$5:$B$205,MATCH($R154,LE_Curves!$C$5:$C$205,1)))/(INDEX(LE_Curves!$C$5:$C$205,MATCH($R154,LE_Curves!$C$5:$C$205,1)+1)-INDEX(LE_Curves!$C$5:$C$205,MATCH($R154,LE_Curves!$C$5:$C$205,1))))))</f>
        <v/>
      </c>
      <c r="T154" s="11">
        <f>IF(Inputs!$D$24=0,0,IF($R154&lt;=Inputs!$C$24,0,IF($R154&gt;=INDEX(LE_Curves!$D$5:$D$205,201),INDEX(LE_Curves!$B$5:$B$205,201),INDEX(LE_Curves!$B$5:$B$205,MATCH($R154,LE_Curves!$D$5:$D$205,1))+($R154-INDEX(LE_Curves!$D$5:$D$205,MATCH($R154,LE_Curves!$D$5:$D$205,1)))*(INDEX(LE_Curves!$B$5:$B$205,MATCH($R154,LE_Curves!$D$5:$D$205,1)+1)-INDEX(LE_Curves!$B$5:$B$205,MATCH($R154,LE_Curves!$D$5:$D$205,1)))/(INDEX(LE_Curves!$D$5:$D$205,MATCH($R154,LE_Curves!$D$5:$D$205,1)+1)-INDEX(LE_Curves!$D$5:$D$205,MATCH($R154,LE_Curves!$D$5:$D$205,1))))))</f>
        <v/>
      </c>
      <c r="U154" s="11">
        <f>IF(Inputs!$D$25=0,0,IF($R154&lt;=Inputs!$C$25,0,IF($R154&gt;=INDEX(LE_Curves!$E$5:$E$205,201),INDEX(LE_Curves!$B$5:$B$205,201),INDEX(LE_Curves!$B$5:$B$205,MATCH($R154,LE_Curves!$E$5:$E$205,1))+($R154-INDEX(LE_Curves!$E$5:$E$205,MATCH($R154,LE_Curves!$E$5:$E$205,1)))*(INDEX(LE_Curves!$B$5:$B$205,MATCH($R154,LE_Curves!$E$5:$E$205,1)+1)-INDEX(LE_Curves!$B$5:$B$205,MATCH($R154,LE_Curves!$E$5:$E$205,1)))/(INDEX(LE_Curves!$E$5:$E$205,MATCH($R154,LE_Curves!$E$5:$E$205,1)+1)-INDEX(LE_Curves!$E$5:$E$205,MATCH($R154,LE_Curves!$E$5:$E$205,1))))))</f>
        <v/>
      </c>
      <c r="V154" s="11">
        <f>IF(Inputs!$D$26=0,0,IF($R154&lt;=Inputs!$C$26,0,IF($R154&gt;=INDEX(LE_Curves!$F$5:$F$205,201),INDEX(LE_Curves!$B$5:$B$205,201),INDEX(LE_Curves!$B$5:$B$205,MATCH($R154,LE_Curves!$F$5:$F$205,1))+($R154-INDEX(LE_Curves!$F$5:$F$205,MATCH($R154,LE_Curves!$F$5:$F$205,1)))*(INDEX(LE_Curves!$B$5:$B$205,MATCH($R154,LE_Curves!$F$5:$F$205,1)+1)-INDEX(LE_Curves!$B$5:$B$205,MATCH($R154,LE_Curves!$F$5:$F$205,1)))/(INDEX(LE_Curves!$F$5:$F$205,MATCH($R154,LE_Curves!$F$5:$F$205,1)+1)-INDEX(LE_Curves!$F$5:$F$205,MATCH($R154,LE_Curves!$F$5:$F$205,1))))))</f>
        <v/>
      </c>
      <c r="W154" s="11">
        <f>IF(Inputs!$D$27=0,0,IF($R154&lt;=Inputs!$C$27,0,IF($R154&gt;=INDEX(LE_Curves!$G$5:$G$205,201),INDEX(LE_Curves!$B$5:$B$205,201),INDEX(LE_Curves!$B$5:$B$205,MATCH($R154,LE_Curves!$G$5:$G$205,1))+($R154-INDEX(LE_Curves!$G$5:$G$205,MATCH($R154,LE_Curves!$G$5:$G$205,1)))*(INDEX(LE_Curves!$B$5:$B$205,MATCH($R154,LE_Curves!$G$5:$G$205,1)+1)-INDEX(LE_Curves!$B$5:$B$205,MATCH($R154,LE_Curves!$G$5:$G$205,1)))/(INDEX(LE_Curves!$G$5:$G$205,MATCH($R154,LE_Curves!$G$5:$G$205,1)+1)-INDEX(LE_Curves!$G$5:$G$205,MATCH($R154,LE_Curves!$G$5:$G$205,1))))))</f>
        <v/>
      </c>
      <c r="X154" s="11">
        <f>IF(Inputs!$D$28=0,0,IF($R154&lt;=Inputs!$C$28,0,IF($R154&gt;=INDEX(LE_Curves!$H$5:$H$205,201),INDEX(LE_Curves!$B$5:$B$205,201),INDEX(LE_Curves!$B$5:$B$205,MATCH($R154,LE_Curves!$H$5:$H$205,1))+($R154-INDEX(LE_Curves!$H$5:$H$205,MATCH($R154,LE_Curves!$H$5:$H$205,1)))*(INDEX(LE_Curves!$B$5:$B$205,MATCH($R154,LE_Curves!$H$5:$H$205,1)+1)-INDEX(LE_Curves!$B$5:$B$205,MATCH($R154,LE_Curves!$H$5:$H$205,1)))/(INDEX(LE_Curves!$H$5:$H$205,MATCH($R154,LE_Curves!$H$5:$H$205,1)+1)-INDEX(LE_Curves!$H$5:$H$205,MATCH($R154,LE_Curves!$H$5:$H$205,1))))))</f>
        <v/>
      </c>
      <c r="Y154" s="11">
        <f>IF(Inputs!$D$29=0,0,IF($R154&lt;=Inputs!$C$29,0,IF($R154&gt;=INDEX(LE_Curves!$I$5:$I$205,201),INDEX(LE_Curves!$B$5:$B$205,201),INDEX(LE_Curves!$B$5:$B$205,MATCH($R154,LE_Curves!$I$5:$I$205,1))+($R154-INDEX(LE_Curves!$I$5:$I$205,MATCH($R154,LE_Curves!$I$5:$I$205,1)))*(INDEX(LE_Curves!$B$5:$B$205,MATCH($R154,LE_Curves!$I$5:$I$205,1)+1)-INDEX(LE_Curves!$B$5:$B$205,MATCH($R154,LE_Curves!$I$5:$I$205,1)))/(INDEX(LE_Curves!$I$5:$I$205,MATCH($R154,LE_Curves!$I$5:$I$205,1)+1)-INDEX(LE_Curves!$I$5:$I$205,MATCH($R154,LE_Curves!$I$5:$I$205,1))))))</f>
        <v/>
      </c>
      <c r="Z154" s="11">
        <f>IF(Inputs!$D$30=0,0,IF($R154&lt;=Inputs!$C$30,0,IF($R154&gt;=INDEX(LE_Curves!$J$5:$J$205,201),INDEX(LE_Curves!$B$5:$B$205,201),INDEX(LE_Curves!$B$5:$B$205,MATCH($R154,LE_Curves!$J$5:$J$205,1))+($R154-INDEX(LE_Curves!$J$5:$J$205,MATCH($R154,LE_Curves!$J$5:$J$205,1)))*(INDEX(LE_Curves!$B$5:$B$205,MATCH($R154,LE_Curves!$J$5:$J$205,1)+1)-INDEX(LE_Curves!$B$5:$B$205,MATCH($R154,LE_Curves!$J$5:$J$205,1)))/(INDEX(LE_Curves!$J$5:$J$205,MATCH($R154,LE_Curves!$J$5:$J$205,1)+1)-INDEX(LE_Curves!$J$5:$J$205,MATCH($R154,LE_Curves!$J$5:$J$205,1))))))</f>
        <v/>
      </c>
      <c r="AA154" s="11">
        <f>IF(Inputs!$D$31=0,0,IF($R154&lt;=Inputs!$C$31,0,IF($R154&gt;=INDEX(LE_Curves!$K$5:$K$205,201),INDEX(LE_Curves!$B$5:$B$205,201),INDEX(LE_Curves!$B$5:$B$205,MATCH($R154,LE_Curves!$K$5:$K$205,1))+($R154-INDEX(LE_Curves!$K$5:$K$205,MATCH($R154,LE_Curves!$K$5:$K$205,1)))*(INDEX(LE_Curves!$B$5:$B$205,MATCH($R154,LE_Curves!$K$5:$K$205,1)+1)-INDEX(LE_Curves!$B$5:$B$205,MATCH($R154,LE_Curves!$K$5:$K$205,1)))/(INDEX(LE_Curves!$K$5:$K$205,MATCH($R154,LE_Curves!$K$5:$K$205,1)+1)-INDEX(LE_Curves!$K$5:$K$205,MATCH($R154,LE_Curves!$K$5:$K$205,1))))))</f>
        <v/>
      </c>
      <c r="AB154" s="11">
        <f>IF(Inputs!$D$32=0,0,IF($R154&lt;=Inputs!$C$32,0,IF($R154&gt;=INDEX(LE_Curves!$L$5:$L$205,201),INDEX(LE_Curves!$B$5:$B$205,201),INDEX(LE_Curves!$B$5:$B$205,MATCH($R154,LE_Curves!$L$5:$L$205,1))+($R154-INDEX(LE_Curves!$L$5:$L$205,MATCH($R154,LE_Curves!$L$5:$L$205,1)))*(INDEX(LE_Curves!$B$5:$B$205,MATCH($R154,LE_Curves!$L$5:$L$205,1)+1)-INDEX(LE_Curves!$B$5:$B$205,MATCH($R154,LE_Curves!$L$5:$L$205,1)))/(INDEX(LE_Curves!$L$5:$L$205,MATCH($R154,LE_Curves!$L$5:$L$205,1)+1)-INDEX(LE_Curves!$L$5:$L$205,MATCH($R154,LE_Curves!$L$5:$L$205,1))))))</f>
        <v/>
      </c>
      <c r="AC154" s="11">
        <f>IF(Inputs!$D$33=0,0,IF($R154&lt;=Inputs!$C$33,0,IF($R154&gt;=INDEX(LE_Curves!$M$5:$M$205,201),INDEX(LE_Curves!$B$5:$B$205,201),INDEX(LE_Curves!$B$5:$B$205,MATCH($R154,LE_Curves!$M$5:$M$205,1))+($R154-INDEX(LE_Curves!$M$5:$M$205,MATCH($R154,LE_Curves!$M$5:$M$205,1)))*(INDEX(LE_Curves!$B$5:$B$205,MATCH($R154,LE_Curves!$M$5:$M$205,1)+1)-INDEX(LE_Curves!$B$5:$B$205,MATCH($R154,LE_Curves!$M$5:$M$205,1)))/(INDEX(LE_Curves!$M$5:$M$205,MATCH($R154,LE_Curves!$M$5:$M$205,1)+1)-INDEX(LE_Curves!$M$5:$M$205,MATCH($R154,LE_Curves!$M$5:$M$205,1))))))</f>
        <v/>
      </c>
      <c r="AD154" s="11">
        <f>IF(Inputs!$D$34=0,0,IF($R154&lt;=Inputs!$C$34,0,IF($R154&gt;=INDEX(LE_Curves!$N$5:$N$205,201),INDEX(LE_Curves!$B$5:$B$205,201),INDEX(LE_Curves!$B$5:$B$205,MATCH($R154,LE_Curves!$N$5:$N$205,1))+($R154-INDEX(LE_Curves!$N$5:$N$205,MATCH($R154,LE_Curves!$N$5:$N$205,1)))*(INDEX(LE_Curves!$B$5:$B$205,MATCH($R154,LE_Curves!$N$5:$N$205,1)+1)-INDEX(LE_Curves!$B$5:$B$205,MATCH($R154,LE_Curves!$N$5:$N$205,1)))/(INDEX(LE_Curves!$N$5:$N$205,MATCH($R154,LE_Curves!$N$5:$N$205,1)+1)-INDEX(LE_Curves!$N$5:$N$205,MATCH($R154,LE_Curves!$N$5:$N$205,1))))))</f>
        <v/>
      </c>
      <c r="AE154" s="37">
        <f>SUM(S154:AD154)</f>
        <v/>
      </c>
    </row>
    <row r="155">
      <c r="A155" s="7" t="n">
        <v>124</v>
      </c>
      <c r="B155" s="37">
        <f>$B$3+($B$4-$B$3)*A155/200</f>
        <v/>
      </c>
      <c r="C155" s="11">
        <f>IF(Inputs!$D$23=0,0,IF($B155&lt;=Inputs!$C$23,0,IF($B155&gt;=INDEX(LE_Curves!$C$5:$C$205,201),INDEX(LE_Curves!$B$5:$B$205,201),INDEX(LE_Curves!$B$5:$B$205,MATCH($B155,LE_Curves!$C$5:$C$205,1))+($B155-INDEX(LE_Curves!$C$5:$C$205,MATCH($B155,LE_Curves!$C$5:$C$205,1)))*(INDEX(LE_Curves!$B$5:$B$205,MATCH($B155,LE_Curves!$C$5:$C$205,1)+1)-INDEX(LE_Curves!$B$5:$B$205,MATCH($B155,LE_Curves!$C$5:$C$205,1)))/(INDEX(LE_Curves!$C$5:$C$205,MATCH($B155,LE_Curves!$C$5:$C$205,1)+1)-INDEX(LE_Curves!$C$5:$C$205,MATCH($B155,LE_Curves!$C$5:$C$205,1))))))</f>
        <v/>
      </c>
      <c r="D155" s="11">
        <f>IF(Inputs!$D$24=0,0,IF($B155&lt;=Inputs!$C$24,0,IF($B155&gt;=INDEX(LE_Curves!$D$5:$D$205,201),INDEX(LE_Curves!$B$5:$B$205,201),INDEX(LE_Curves!$B$5:$B$205,MATCH($B155,LE_Curves!$D$5:$D$205,1))+($B155-INDEX(LE_Curves!$D$5:$D$205,MATCH($B155,LE_Curves!$D$5:$D$205,1)))*(INDEX(LE_Curves!$B$5:$B$205,MATCH($B155,LE_Curves!$D$5:$D$205,1)+1)-INDEX(LE_Curves!$B$5:$B$205,MATCH($B155,LE_Curves!$D$5:$D$205,1)))/(INDEX(LE_Curves!$D$5:$D$205,MATCH($B155,LE_Curves!$D$5:$D$205,1)+1)-INDEX(LE_Curves!$D$5:$D$205,MATCH($B155,LE_Curves!$D$5:$D$205,1))))))</f>
        <v/>
      </c>
      <c r="E155" s="11">
        <f>IF(Inputs!$D$25=0,0,IF($B155&lt;=Inputs!$C$25,0,IF($B155&gt;=INDEX(LE_Curves!$E$5:$E$205,201),INDEX(LE_Curves!$B$5:$B$205,201),INDEX(LE_Curves!$B$5:$B$205,MATCH($B155,LE_Curves!$E$5:$E$205,1))+($B155-INDEX(LE_Curves!$E$5:$E$205,MATCH($B155,LE_Curves!$E$5:$E$205,1)))*(INDEX(LE_Curves!$B$5:$B$205,MATCH($B155,LE_Curves!$E$5:$E$205,1)+1)-INDEX(LE_Curves!$B$5:$B$205,MATCH($B155,LE_Curves!$E$5:$E$205,1)))/(INDEX(LE_Curves!$E$5:$E$205,MATCH($B155,LE_Curves!$E$5:$E$205,1)+1)-INDEX(LE_Curves!$E$5:$E$205,MATCH($B155,LE_Curves!$E$5:$E$205,1))))))</f>
        <v/>
      </c>
      <c r="F155" s="11">
        <f>IF(Inputs!$D$26=0,0,IF($B155&lt;=Inputs!$C$26,0,IF($B155&gt;=INDEX(LE_Curves!$F$5:$F$205,201),INDEX(LE_Curves!$B$5:$B$205,201),INDEX(LE_Curves!$B$5:$B$205,MATCH($B155,LE_Curves!$F$5:$F$205,1))+($B155-INDEX(LE_Curves!$F$5:$F$205,MATCH($B155,LE_Curves!$F$5:$F$205,1)))*(INDEX(LE_Curves!$B$5:$B$205,MATCH($B155,LE_Curves!$F$5:$F$205,1)+1)-INDEX(LE_Curves!$B$5:$B$205,MATCH($B155,LE_Curves!$F$5:$F$205,1)))/(INDEX(LE_Curves!$F$5:$F$205,MATCH($B155,LE_Curves!$F$5:$F$205,1)+1)-INDEX(LE_Curves!$F$5:$F$205,MATCH($B155,LE_Curves!$F$5:$F$205,1))))))</f>
        <v/>
      </c>
      <c r="G155" s="11">
        <f>IF(Inputs!$D$27=0,0,IF($B155&lt;=Inputs!$C$27,0,IF($B155&gt;=INDEX(LE_Curves!$G$5:$G$205,201),INDEX(LE_Curves!$B$5:$B$205,201),INDEX(LE_Curves!$B$5:$B$205,MATCH($B155,LE_Curves!$G$5:$G$205,1))+($B155-INDEX(LE_Curves!$G$5:$G$205,MATCH($B155,LE_Curves!$G$5:$G$205,1)))*(INDEX(LE_Curves!$B$5:$B$205,MATCH($B155,LE_Curves!$G$5:$G$205,1)+1)-INDEX(LE_Curves!$B$5:$B$205,MATCH($B155,LE_Curves!$G$5:$G$205,1)))/(INDEX(LE_Curves!$G$5:$G$205,MATCH($B155,LE_Curves!$G$5:$G$205,1)+1)-INDEX(LE_Curves!$G$5:$G$205,MATCH($B155,LE_Curves!$G$5:$G$205,1))))))</f>
        <v/>
      </c>
      <c r="H155" s="11">
        <f>IF(Inputs!$D$28=0,0,IF($B155&lt;=Inputs!$C$28,0,IF($B155&gt;=INDEX(LE_Curves!$H$5:$H$205,201),INDEX(LE_Curves!$B$5:$B$205,201),INDEX(LE_Curves!$B$5:$B$205,MATCH($B155,LE_Curves!$H$5:$H$205,1))+($B155-INDEX(LE_Curves!$H$5:$H$205,MATCH($B155,LE_Curves!$H$5:$H$205,1)))*(INDEX(LE_Curves!$B$5:$B$205,MATCH($B155,LE_Curves!$H$5:$H$205,1)+1)-INDEX(LE_Curves!$B$5:$B$205,MATCH($B155,LE_Curves!$H$5:$H$205,1)))/(INDEX(LE_Curves!$H$5:$H$205,MATCH($B155,LE_Curves!$H$5:$H$205,1)+1)-INDEX(LE_Curves!$H$5:$H$205,MATCH($B155,LE_Curves!$H$5:$H$205,1))))))</f>
        <v/>
      </c>
      <c r="I155" s="11">
        <f>IF(Inputs!$D$29=0,0,IF($B155&lt;=Inputs!$C$29,0,IF($B155&gt;=INDEX(LE_Curves!$I$5:$I$205,201),INDEX(LE_Curves!$B$5:$B$205,201),INDEX(LE_Curves!$B$5:$B$205,MATCH($B155,LE_Curves!$I$5:$I$205,1))+($B155-INDEX(LE_Curves!$I$5:$I$205,MATCH($B155,LE_Curves!$I$5:$I$205,1)))*(INDEX(LE_Curves!$B$5:$B$205,MATCH($B155,LE_Curves!$I$5:$I$205,1)+1)-INDEX(LE_Curves!$B$5:$B$205,MATCH($B155,LE_Curves!$I$5:$I$205,1)))/(INDEX(LE_Curves!$I$5:$I$205,MATCH($B155,LE_Curves!$I$5:$I$205,1)+1)-INDEX(LE_Curves!$I$5:$I$205,MATCH($B155,LE_Curves!$I$5:$I$205,1))))))</f>
        <v/>
      </c>
      <c r="J155" s="11">
        <f>IF(Inputs!$D$30=0,0,IF($B155&lt;=Inputs!$C$30,0,IF($B155&gt;=INDEX(LE_Curves!$J$5:$J$205,201),INDEX(LE_Curves!$B$5:$B$205,201),INDEX(LE_Curves!$B$5:$B$205,MATCH($B155,LE_Curves!$J$5:$J$205,1))+($B155-INDEX(LE_Curves!$J$5:$J$205,MATCH($B155,LE_Curves!$J$5:$J$205,1)))*(INDEX(LE_Curves!$B$5:$B$205,MATCH($B155,LE_Curves!$J$5:$J$205,1)+1)-INDEX(LE_Curves!$B$5:$B$205,MATCH($B155,LE_Curves!$J$5:$J$205,1)))/(INDEX(LE_Curves!$J$5:$J$205,MATCH($B155,LE_Curves!$J$5:$J$205,1)+1)-INDEX(LE_Curves!$J$5:$J$205,MATCH($B155,LE_Curves!$J$5:$J$205,1))))))</f>
        <v/>
      </c>
      <c r="K155" s="11">
        <f>IF(Inputs!$D$31=0,0,IF($B155&lt;=Inputs!$C$31,0,IF($B155&gt;=INDEX(LE_Curves!$K$5:$K$205,201),INDEX(LE_Curves!$B$5:$B$205,201),INDEX(LE_Curves!$B$5:$B$205,MATCH($B155,LE_Curves!$K$5:$K$205,1))+($B155-INDEX(LE_Curves!$K$5:$K$205,MATCH($B155,LE_Curves!$K$5:$K$205,1)))*(INDEX(LE_Curves!$B$5:$B$205,MATCH($B155,LE_Curves!$K$5:$K$205,1)+1)-INDEX(LE_Curves!$B$5:$B$205,MATCH($B155,LE_Curves!$K$5:$K$205,1)))/(INDEX(LE_Curves!$K$5:$K$205,MATCH($B155,LE_Curves!$K$5:$K$205,1)+1)-INDEX(LE_Curves!$K$5:$K$205,MATCH($B155,LE_Curves!$K$5:$K$205,1))))))</f>
        <v/>
      </c>
      <c r="L155" s="11">
        <f>IF(Inputs!$D$32=0,0,IF($B155&lt;=Inputs!$C$32,0,IF($B155&gt;=INDEX(LE_Curves!$L$5:$L$205,201),INDEX(LE_Curves!$B$5:$B$205,201),INDEX(LE_Curves!$B$5:$B$205,MATCH($B155,LE_Curves!$L$5:$L$205,1))+($B155-INDEX(LE_Curves!$L$5:$L$205,MATCH($B155,LE_Curves!$L$5:$L$205,1)))*(INDEX(LE_Curves!$B$5:$B$205,MATCH($B155,LE_Curves!$L$5:$L$205,1)+1)-INDEX(LE_Curves!$B$5:$B$205,MATCH($B155,LE_Curves!$L$5:$L$205,1)))/(INDEX(LE_Curves!$L$5:$L$205,MATCH($B155,LE_Curves!$L$5:$L$205,1)+1)-INDEX(LE_Curves!$L$5:$L$205,MATCH($B155,LE_Curves!$L$5:$L$205,1))))))</f>
        <v/>
      </c>
      <c r="M155" s="11">
        <f>IF(Inputs!$D$33=0,0,IF($B155&lt;=Inputs!$C$33,0,IF($B155&gt;=INDEX(LE_Curves!$M$5:$M$205,201),INDEX(LE_Curves!$B$5:$B$205,201),INDEX(LE_Curves!$B$5:$B$205,MATCH($B155,LE_Curves!$M$5:$M$205,1))+($B155-INDEX(LE_Curves!$M$5:$M$205,MATCH($B155,LE_Curves!$M$5:$M$205,1)))*(INDEX(LE_Curves!$B$5:$B$205,MATCH($B155,LE_Curves!$M$5:$M$205,1)+1)-INDEX(LE_Curves!$B$5:$B$205,MATCH($B155,LE_Curves!$M$5:$M$205,1)))/(INDEX(LE_Curves!$M$5:$M$205,MATCH($B155,LE_Curves!$M$5:$M$205,1)+1)-INDEX(LE_Curves!$M$5:$M$205,MATCH($B155,LE_Curves!$M$5:$M$205,1))))))</f>
        <v/>
      </c>
      <c r="N155" s="11">
        <f>IF(Inputs!$D$34=0,0,IF($B155&lt;=Inputs!$C$34,0,IF($B155&gt;=INDEX(LE_Curves!$N$5:$N$205,201),INDEX(LE_Curves!$B$5:$B$205,201),INDEX(LE_Curves!$B$5:$B$205,MATCH($B155,LE_Curves!$N$5:$N$205,1))+($B155-INDEX(LE_Curves!$N$5:$N$205,MATCH($B155,LE_Curves!$N$5:$N$205,1)))*(INDEX(LE_Curves!$B$5:$B$205,MATCH($B155,LE_Curves!$N$5:$N$205,1)+1)-INDEX(LE_Curves!$B$5:$B$205,MATCH($B155,LE_Curves!$N$5:$N$205,1)))/(INDEX(LE_Curves!$N$5:$N$205,MATCH($B155,LE_Curves!$N$5:$N$205,1)+1)-INDEX(LE_Curves!$N$5:$N$205,MATCH($B155,LE_Curves!$N$5:$N$205,1))))))</f>
        <v/>
      </c>
      <c r="O155" s="11">
        <f>SUM(C155:N155)</f>
        <v/>
      </c>
      <c r="Q155" s="7" t="n">
        <v>124</v>
      </c>
      <c r="R155" s="23">
        <f>$B$6+($B$7-$B$6)*Q155/200</f>
        <v/>
      </c>
      <c r="S155" s="11">
        <f>IF(Inputs!$D$23=0,0,IF($R155&lt;=Inputs!$C$23,0,IF($R155&gt;=INDEX(LE_Curves!$C$5:$C$205,201),INDEX(LE_Curves!$B$5:$B$205,201),INDEX(LE_Curves!$B$5:$B$205,MATCH($R155,LE_Curves!$C$5:$C$205,1))+($R155-INDEX(LE_Curves!$C$5:$C$205,MATCH($R155,LE_Curves!$C$5:$C$205,1)))*(INDEX(LE_Curves!$B$5:$B$205,MATCH($R155,LE_Curves!$C$5:$C$205,1)+1)-INDEX(LE_Curves!$B$5:$B$205,MATCH($R155,LE_Curves!$C$5:$C$205,1)))/(INDEX(LE_Curves!$C$5:$C$205,MATCH($R155,LE_Curves!$C$5:$C$205,1)+1)-INDEX(LE_Curves!$C$5:$C$205,MATCH($R155,LE_Curves!$C$5:$C$205,1))))))</f>
        <v/>
      </c>
      <c r="T155" s="11">
        <f>IF(Inputs!$D$24=0,0,IF($R155&lt;=Inputs!$C$24,0,IF($R155&gt;=INDEX(LE_Curves!$D$5:$D$205,201),INDEX(LE_Curves!$B$5:$B$205,201),INDEX(LE_Curves!$B$5:$B$205,MATCH($R155,LE_Curves!$D$5:$D$205,1))+($R155-INDEX(LE_Curves!$D$5:$D$205,MATCH($R155,LE_Curves!$D$5:$D$205,1)))*(INDEX(LE_Curves!$B$5:$B$205,MATCH($R155,LE_Curves!$D$5:$D$205,1)+1)-INDEX(LE_Curves!$B$5:$B$205,MATCH($R155,LE_Curves!$D$5:$D$205,1)))/(INDEX(LE_Curves!$D$5:$D$205,MATCH($R155,LE_Curves!$D$5:$D$205,1)+1)-INDEX(LE_Curves!$D$5:$D$205,MATCH($R155,LE_Curves!$D$5:$D$205,1))))))</f>
        <v/>
      </c>
      <c r="U155" s="11">
        <f>IF(Inputs!$D$25=0,0,IF($R155&lt;=Inputs!$C$25,0,IF($R155&gt;=INDEX(LE_Curves!$E$5:$E$205,201),INDEX(LE_Curves!$B$5:$B$205,201),INDEX(LE_Curves!$B$5:$B$205,MATCH($R155,LE_Curves!$E$5:$E$205,1))+($R155-INDEX(LE_Curves!$E$5:$E$205,MATCH($R155,LE_Curves!$E$5:$E$205,1)))*(INDEX(LE_Curves!$B$5:$B$205,MATCH($R155,LE_Curves!$E$5:$E$205,1)+1)-INDEX(LE_Curves!$B$5:$B$205,MATCH($R155,LE_Curves!$E$5:$E$205,1)))/(INDEX(LE_Curves!$E$5:$E$205,MATCH($R155,LE_Curves!$E$5:$E$205,1)+1)-INDEX(LE_Curves!$E$5:$E$205,MATCH($R155,LE_Curves!$E$5:$E$205,1))))))</f>
        <v/>
      </c>
      <c r="V155" s="11">
        <f>IF(Inputs!$D$26=0,0,IF($R155&lt;=Inputs!$C$26,0,IF($R155&gt;=INDEX(LE_Curves!$F$5:$F$205,201),INDEX(LE_Curves!$B$5:$B$205,201),INDEX(LE_Curves!$B$5:$B$205,MATCH($R155,LE_Curves!$F$5:$F$205,1))+($R155-INDEX(LE_Curves!$F$5:$F$205,MATCH($R155,LE_Curves!$F$5:$F$205,1)))*(INDEX(LE_Curves!$B$5:$B$205,MATCH($R155,LE_Curves!$F$5:$F$205,1)+1)-INDEX(LE_Curves!$B$5:$B$205,MATCH($R155,LE_Curves!$F$5:$F$205,1)))/(INDEX(LE_Curves!$F$5:$F$205,MATCH($R155,LE_Curves!$F$5:$F$205,1)+1)-INDEX(LE_Curves!$F$5:$F$205,MATCH($R155,LE_Curves!$F$5:$F$205,1))))))</f>
        <v/>
      </c>
      <c r="W155" s="11">
        <f>IF(Inputs!$D$27=0,0,IF($R155&lt;=Inputs!$C$27,0,IF($R155&gt;=INDEX(LE_Curves!$G$5:$G$205,201),INDEX(LE_Curves!$B$5:$B$205,201),INDEX(LE_Curves!$B$5:$B$205,MATCH($R155,LE_Curves!$G$5:$G$205,1))+($R155-INDEX(LE_Curves!$G$5:$G$205,MATCH($R155,LE_Curves!$G$5:$G$205,1)))*(INDEX(LE_Curves!$B$5:$B$205,MATCH($R155,LE_Curves!$G$5:$G$205,1)+1)-INDEX(LE_Curves!$B$5:$B$205,MATCH($R155,LE_Curves!$G$5:$G$205,1)))/(INDEX(LE_Curves!$G$5:$G$205,MATCH($R155,LE_Curves!$G$5:$G$205,1)+1)-INDEX(LE_Curves!$G$5:$G$205,MATCH($R155,LE_Curves!$G$5:$G$205,1))))))</f>
        <v/>
      </c>
      <c r="X155" s="11">
        <f>IF(Inputs!$D$28=0,0,IF($R155&lt;=Inputs!$C$28,0,IF($R155&gt;=INDEX(LE_Curves!$H$5:$H$205,201),INDEX(LE_Curves!$B$5:$B$205,201),INDEX(LE_Curves!$B$5:$B$205,MATCH($R155,LE_Curves!$H$5:$H$205,1))+($R155-INDEX(LE_Curves!$H$5:$H$205,MATCH($R155,LE_Curves!$H$5:$H$205,1)))*(INDEX(LE_Curves!$B$5:$B$205,MATCH($R155,LE_Curves!$H$5:$H$205,1)+1)-INDEX(LE_Curves!$B$5:$B$205,MATCH($R155,LE_Curves!$H$5:$H$205,1)))/(INDEX(LE_Curves!$H$5:$H$205,MATCH($R155,LE_Curves!$H$5:$H$205,1)+1)-INDEX(LE_Curves!$H$5:$H$205,MATCH($R155,LE_Curves!$H$5:$H$205,1))))))</f>
        <v/>
      </c>
      <c r="Y155" s="11">
        <f>IF(Inputs!$D$29=0,0,IF($R155&lt;=Inputs!$C$29,0,IF($R155&gt;=INDEX(LE_Curves!$I$5:$I$205,201),INDEX(LE_Curves!$B$5:$B$205,201),INDEX(LE_Curves!$B$5:$B$205,MATCH($R155,LE_Curves!$I$5:$I$205,1))+($R155-INDEX(LE_Curves!$I$5:$I$205,MATCH($R155,LE_Curves!$I$5:$I$205,1)))*(INDEX(LE_Curves!$B$5:$B$205,MATCH($R155,LE_Curves!$I$5:$I$205,1)+1)-INDEX(LE_Curves!$B$5:$B$205,MATCH($R155,LE_Curves!$I$5:$I$205,1)))/(INDEX(LE_Curves!$I$5:$I$205,MATCH($R155,LE_Curves!$I$5:$I$205,1)+1)-INDEX(LE_Curves!$I$5:$I$205,MATCH($R155,LE_Curves!$I$5:$I$205,1))))))</f>
        <v/>
      </c>
      <c r="Z155" s="11">
        <f>IF(Inputs!$D$30=0,0,IF($R155&lt;=Inputs!$C$30,0,IF($R155&gt;=INDEX(LE_Curves!$J$5:$J$205,201),INDEX(LE_Curves!$B$5:$B$205,201),INDEX(LE_Curves!$B$5:$B$205,MATCH($R155,LE_Curves!$J$5:$J$205,1))+($R155-INDEX(LE_Curves!$J$5:$J$205,MATCH($R155,LE_Curves!$J$5:$J$205,1)))*(INDEX(LE_Curves!$B$5:$B$205,MATCH($R155,LE_Curves!$J$5:$J$205,1)+1)-INDEX(LE_Curves!$B$5:$B$205,MATCH($R155,LE_Curves!$J$5:$J$205,1)))/(INDEX(LE_Curves!$J$5:$J$205,MATCH($R155,LE_Curves!$J$5:$J$205,1)+1)-INDEX(LE_Curves!$J$5:$J$205,MATCH($R155,LE_Curves!$J$5:$J$205,1))))))</f>
        <v/>
      </c>
      <c r="AA155" s="11">
        <f>IF(Inputs!$D$31=0,0,IF($R155&lt;=Inputs!$C$31,0,IF($R155&gt;=INDEX(LE_Curves!$K$5:$K$205,201),INDEX(LE_Curves!$B$5:$B$205,201),INDEX(LE_Curves!$B$5:$B$205,MATCH($R155,LE_Curves!$K$5:$K$205,1))+($R155-INDEX(LE_Curves!$K$5:$K$205,MATCH($R155,LE_Curves!$K$5:$K$205,1)))*(INDEX(LE_Curves!$B$5:$B$205,MATCH($R155,LE_Curves!$K$5:$K$205,1)+1)-INDEX(LE_Curves!$B$5:$B$205,MATCH($R155,LE_Curves!$K$5:$K$205,1)))/(INDEX(LE_Curves!$K$5:$K$205,MATCH($R155,LE_Curves!$K$5:$K$205,1)+1)-INDEX(LE_Curves!$K$5:$K$205,MATCH($R155,LE_Curves!$K$5:$K$205,1))))))</f>
        <v/>
      </c>
      <c r="AB155" s="11">
        <f>IF(Inputs!$D$32=0,0,IF($R155&lt;=Inputs!$C$32,0,IF($R155&gt;=INDEX(LE_Curves!$L$5:$L$205,201),INDEX(LE_Curves!$B$5:$B$205,201),INDEX(LE_Curves!$B$5:$B$205,MATCH($R155,LE_Curves!$L$5:$L$205,1))+($R155-INDEX(LE_Curves!$L$5:$L$205,MATCH($R155,LE_Curves!$L$5:$L$205,1)))*(INDEX(LE_Curves!$B$5:$B$205,MATCH($R155,LE_Curves!$L$5:$L$205,1)+1)-INDEX(LE_Curves!$B$5:$B$205,MATCH($R155,LE_Curves!$L$5:$L$205,1)))/(INDEX(LE_Curves!$L$5:$L$205,MATCH($R155,LE_Curves!$L$5:$L$205,1)+1)-INDEX(LE_Curves!$L$5:$L$205,MATCH($R155,LE_Curves!$L$5:$L$205,1))))))</f>
        <v/>
      </c>
      <c r="AC155" s="11">
        <f>IF(Inputs!$D$33=0,0,IF($R155&lt;=Inputs!$C$33,0,IF($R155&gt;=INDEX(LE_Curves!$M$5:$M$205,201),INDEX(LE_Curves!$B$5:$B$205,201),INDEX(LE_Curves!$B$5:$B$205,MATCH($R155,LE_Curves!$M$5:$M$205,1))+($R155-INDEX(LE_Curves!$M$5:$M$205,MATCH($R155,LE_Curves!$M$5:$M$205,1)))*(INDEX(LE_Curves!$B$5:$B$205,MATCH($R155,LE_Curves!$M$5:$M$205,1)+1)-INDEX(LE_Curves!$B$5:$B$205,MATCH($R155,LE_Curves!$M$5:$M$205,1)))/(INDEX(LE_Curves!$M$5:$M$205,MATCH($R155,LE_Curves!$M$5:$M$205,1)+1)-INDEX(LE_Curves!$M$5:$M$205,MATCH($R155,LE_Curves!$M$5:$M$205,1))))))</f>
        <v/>
      </c>
      <c r="AD155" s="11">
        <f>IF(Inputs!$D$34=0,0,IF($R155&lt;=Inputs!$C$34,0,IF($R155&gt;=INDEX(LE_Curves!$N$5:$N$205,201),INDEX(LE_Curves!$B$5:$B$205,201),INDEX(LE_Curves!$B$5:$B$205,MATCH($R155,LE_Curves!$N$5:$N$205,1))+($R155-INDEX(LE_Curves!$N$5:$N$205,MATCH($R155,LE_Curves!$N$5:$N$205,1)))*(INDEX(LE_Curves!$B$5:$B$205,MATCH($R155,LE_Curves!$N$5:$N$205,1)+1)-INDEX(LE_Curves!$B$5:$B$205,MATCH($R155,LE_Curves!$N$5:$N$205,1)))/(INDEX(LE_Curves!$N$5:$N$205,MATCH($R155,LE_Curves!$N$5:$N$205,1)+1)-INDEX(LE_Curves!$N$5:$N$205,MATCH($R155,LE_Curves!$N$5:$N$205,1))))))</f>
        <v/>
      </c>
      <c r="AE155" s="37">
        <f>SUM(S155:AD155)</f>
        <v/>
      </c>
    </row>
    <row r="156">
      <c r="A156" s="7" t="n">
        <v>125</v>
      </c>
      <c r="B156" s="37">
        <f>$B$3+($B$4-$B$3)*A156/200</f>
        <v/>
      </c>
      <c r="C156" s="11">
        <f>IF(Inputs!$D$23=0,0,IF($B156&lt;=Inputs!$C$23,0,IF($B156&gt;=INDEX(LE_Curves!$C$5:$C$205,201),INDEX(LE_Curves!$B$5:$B$205,201),INDEX(LE_Curves!$B$5:$B$205,MATCH($B156,LE_Curves!$C$5:$C$205,1))+($B156-INDEX(LE_Curves!$C$5:$C$205,MATCH($B156,LE_Curves!$C$5:$C$205,1)))*(INDEX(LE_Curves!$B$5:$B$205,MATCH($B156,LE_Curves!$C$5:$C$205,1)+1)-INDEX(LE_Curves!$B$5:$B$205,MATCH($B156,LE_Curves!$C$5:$C$205,1)))/(INDEX(LE_Curves!$C$5:$C$205,MATCH($B156,LE_Curves!$C$5:$C$205,1)+1)-INDEX(LE_Curves!$C$5:$C$205,MATCH($B156,LE_Curves!$C$5:$C$205,1))))))</f>
        <v/>
      </c>
      <c r="D156" s="11">
        <f>IF(Inputs!$D$24=0,0,IF($B156&lt;=Inputs!$C$24,0,IF($B156&gt;=INDEX(LE_Curves!$D$5:$D$205,201),INDEX(LE_Curves!$B$5:$B$205,201),INDEX(LE_Curves!$B$5:$B$205,MATCH($B156,LE_Curves!$D$5:$D$205,1))+($B156-INDEX(LE_Curves!$D$5:$D$205,MATCH($B156,LE_Curves!$D$5:$D$205,1)))*(INDEX(LE_Curves!$B$5:$B$205,MATCH($B156,LE_Curves!$D$5:$D$205,1)+1)-INDEX(LE_Curves!$B$5:$B$205,MATCH($B156,LE_Curves!$D$5:$D$205,1)))/(INDEX(LE_Curves!$D$5:$D$205,MATCH($B156,LE_Curves!$D$5:$D$205,1)+1)-INDEX(LE_Curves!$D$5:$D$205,MATCH($B156,LE_Curves!$D$5:$D$205,1))))))</f>
        <v/>
      </c>
      <c r="E156" s="11">
        <f>IF(Inputs!$D$25=0,0,IF($B156&lt;=Inputs!$C$25,0,IF($B156&gt;=INDEX(LE_Curves!$E$5:$E$205,201),INDEX(LE_Curves!$B$5:$B$205,201),INDEX(LE_Curves!$B$5:$B$205,MATCH($B156,LE_Curves!$E$5:$E$205,1))+($B156-INDEX(LE_Curves!$E$5:$E$205,MATCH($B156,LE_Curves!$E$5:$E$205,1)))*(INDEX(LE_Curves!$B$5:$B$205,MATCH($B156,LE_Curves!$E$5:$E$205,1)+1)-INDEX(LE_Curves!$B$5:$B$205,MATCH($B156,LE_Curves!$E$5:$E$205,1)))/(INDEX(LE_Curves!$E$5:$E$205,MATCH($B156,LE_Curves!$E$5:$E$205,1)+1)-INDEX(LE_Curves!$E$5:$E$205,MATCH($B156,LE_Curves!$E$5:$E$205,1))))))</f>
        <v/>
      </c>
      <c r="F156" s="11">
        <f>IF(Inputs!$D$26=0,0,IF($B156&lt;=Inputs!$C$26,0,IF($B156&gt;=INDEX(LE_Curves!$F$5:$F$205,201),INDEX(LE_Curves!$B$5:$B$205,201),INDEX(LE_Curves!$B$5:$B$205,MATCH($B156,LE_Curves!$F$5:$F$205,1))+($B156-INDEX(LE_Curves!$F$5:$F$205,MATCH($B156,LE_Curves!$F$5:$F$205,1)))*(INDEX(LE_Curves!$B$5:$B$205,MATCH($B156,LE_Curves!$F$5:$F$205,1)+1)-INDEX(LE_Curves!$B$5:$B$205,MATCH($B156,LE_Curves!$F$5:$F$205,1)))/(INDEX(LE_Curves!$F$5:$F$205,MATCH($B156,LE_Curves!$F$5:$F$205,1)+1)-INDEX(LE_Curves!$F$5:$F$205,MATCH($B156,LE_Curves!$F$5:$F$205,1))))))</f>
        <v/>
      </c>
      <c r="G156" s="11">
        <f>IF(Inputs!$D$27=0,0,IF($B156&lt;=Inputs!$C$27,0,IF($B156&gt;=INDEX(LE_Curves!$G$5:$G$205,201),INDEX(LE_Curves!$B$5:$B$205,201),INDEX(LE_Curves!$B$5:$B$205,MATCH($B156,LE_Curves!$G$5:$G$205,1))+($B156-INDEX(LE_Curves!$G$5:$G$205,MATCH($B156,LE_Curves!$G$5:$G$205,1)))*(INDEX(LE_Curves!$B$5:$B$205,MATCH($B156,LE_Curves!$G$5:$G$205,1)+1)-INDEX(LE_Curves!$B$5:$B$205,MATCH($B156,LE_Curves!$G$5:$G$205,1)))/(INDEX(LE_Curves!$G$5:$G$205,MATCH($B156,LE_Curves!$G$5:$G$205,1)+1)-INDEX(LE_Curves!$G$5:$G$205,MATCH($B156,LE_Curves!$G$5:$G$205,1))))))</f>
        <v/>
      </c>
      <c r="H156" s="11">
        <f>IF(Inputs!$D$28=0,0,IF($B156&lt;=Inputs!$C$28,0,IF($B156&gt;=INDEX(LE_Curves!$H$5:$H$205,201),INDEX(LE_Curves!$B$5:$B$205,201),INDEX(LE_Curves!$B$5:$B$205,MATCH($B156,LE_Curves!$H$5:$H$205,1))+($B156-INDEX(LE_Curves!$H$5:$H$205,MATCH($B156,LE_Curves!$H$5:$H$205,1)))*(INDEX(LE_Curves!$B$5:$B$205,MATCH($B156,LE_Curves!$H$5:$H$205,1)+1)-INDEX(LE_Curves!$B$5:$B$205,MATCH($B156,LE_Curves!$H$5:$H$205,1)))/(INDEX(LE_Curves!$H$5:$H$205,MATCH($B156,LE_Curves!$H$5:$H$205,1)+1)-INDEX(LE_Curves!$H$5:$H$205,MATCH($B156,LE_Curves!$H$5:$H$205,1))))))</f>
        <v/>
      </c>
      <c r="I156" s="11">
        <f>IF(Inputs!$D$29=0,0,IF($B156&lt;=Inputs!$C$29,0,IF($B156&gt;=INDEX(LE_Curves!$I$5:$I$205,201),INDEX(LE_Curves!$B$5:$B$205,201),INDEX(LE_Curves!$B$5:$B$205,MATCH($B156,LE_Curves!$I$5:$I$205,1))+($B156-INDEX(LE_Curves!$I$5:$I$205,MATCH($B156,LE_Curves!$I$5:$I$205,1)))*(INDEX(LE_Curves!$B$5:$B$205,MATCH($B156,LE_Curves!$I$5:$I$205,1)+1)-INDEX(LE_Curves!$B$5:$B$205,MATCH($B156,LE_Curves!$I$5:$I$205,1)))/(INDEX(LE_Curves!$I$5:$I$205,MATCH($B156,LE_Curves!$I$5:$I$205,1)+1)-INDEX(LE_Curves!$I$5:$I$205,MATCH($B156,LE_Curves!$I$5:$I$205,1))))))</f>
        <v/>
      </c>
      <c r="J156" s="11">
        <f>IF(Inputs!$D$30=0,0,IF($B156&lt;=Inputs!$C$30,0,IF($B156&gt;=INDEX(LE_Curves!$J$5:$J$205,201),INDEX(LE_Curves!$B$5:$B$205,201),INDEX(LE_Curves!$B$5:$B$205,MATCH($B156,LE_Curves!$J$5:$J$205,1))+($B156-INDEX(LE_Curves!$J$5:$J$205,MATCH($B156,LE_Curves!$J$5:$J$205,1)))*(INDEX(LE_Curves!$B$5:$B$205,MATCH($B156,LE_Curves!$J$5:$J$205,1)+1)-INDEX(LE_Curves!$B$5:$B$205,MATCH($B156,LE_Curves!$J$5:$J$205,1)))/(INDEX(LE_Curves!$J$5:$J$205,MATCH($B156,LE_Curves!$J$5:$J$205,1)+1)-INDEX(LE_Curves!$J$5:$J$205,MATCH($B156,LE_Curves!$J$5:$J$205,1))))))</f>
        <v/>
      </c>
      <c r="K156" s="11">
        <f>IF(Inputs!$D$31=0,0,IF($B156&lt;=Inputs!$C$31,0,IF($B156&gt;=INDEX(LE_Curves!$K$5:$K$205,201),INDEX(LE_Curves!$B$5:$B$205,201),INDEX(LE_Curves!$B$5:$B$205,MATCH($B156,LE_Curves!$K$5:$K$205,1))+($B156-INDEX(LE_Curves!$K$5:$K$205,MATCH($B156,LE_Curves!$K$5:$K$205,1)))*(INDEX(LE_Curves!$B$5:$B$205,MATCH($B156,LE_Curves!$K$5:$K$205,1)+1)-INDEX(LE_Curves!$B$5:$B$205,MATCH($B156,LE_Curves!$K$5:$K$205,1)))/(INDEX(LE_Curves!$K$5:$K$205,MATCH($B156,LE_Curves!$K$5:$K$205,1)+1)-INDEX(LE_Curves!$K$5:$K$205,MATCH($B156,LE_Curves!$K$5:$K$205,1))))))</f>
        <v/>
      </c>
      <c r="L156" s="11">
        <f>IF(Inputs!$D$32=0,0,IF($B156&lt;=Inputs!$C$32,0,IF($B156&gt;=INDEX(LE_Curves!$L$5:$L$205,201),INDEX(LE_Curves!$B$5:$B$205,201),INDEX(LE_Curves!$B$5:$B$205,MATCH($B156,LE_Curves!$L$5:$L$205,1))+($B156-INDEX(LE_Curves!$L$5:$L$205,MATCH($B156,LE_Curves!$L$5:$L$205,1)))*(INDEX(LE_Curves!$B$5:$B$205,MATCH($B156,LE_Curves!$L$5:$L$205,1)+1)-INDEX(LE_Curves!$B$5:$B$205,MATCH($B156,LE_Curves!$L$5:$L$205,1)))/(INDEX(LE_Curves!$L$5:$L$205,MATCH($B156,LE_Curves!$L$5:$L$205,1)+1)-INDEX(LE_Curves!$L$5:$L$205,MATCH($B156,LE_Curves!$L$5:$L$205,1))))))</f>
        <v/>
      </c>
      <c r="M156" s="11">
        <f>IF(Inputs!$D$33=0,0,IF($B156&lt;=Inputs!$C$33,0,IF($B156&gt;=INDEX(LE_Curves!$M$5:$M$205,201),INDEX(LE_Curves!$B$5:$B$205,201),INDEX(LE_Curves!$B$5:$B$205,MATCH($B156,LE_Curves!$M$5:$M$205,1))+($B156-INDEX(LE_Curves!$M$5:$M$205,MATCH($B156,LE_Curves!$M$5:$M$205,1)))*(INDEX(LE_Curves!$B$5:$B$205,MATCH($B156,LE_Curves!$M$5:$M$205,1)+1)-INDEX(LE_Curves!$B$5:$B$205,MATCH($B156,LE_Curves!$M$5:$M$205,1)))/(INDEX(LE_Curves!$M$5:$M$205,MATCH($B156,LE_Curves!$M$5:$M$205,1)+1)-INDEX(LE_Curves!$M$5:$M$205,MATCH($B156,LE_Curves!$M$5:$M$205,1))))))</f>
        <v/>
      </c>
      <c r="N156" s="11">
        <f>IF(Inputs!$D$34=0,0,IF($B156&lt;=Inputs!$C$34,0,IF($B156&gt;=INDEX(LE_Curves!$N$5:$N$205,201),INDEX(LE_Curves!$B$5:$B$205,201),INDEX(LE_Curves!$B$5:$B$205,MATCH($B156,LE_Curves!$N$5:$N$205,1))+($B156-INDEX(LE_Curves!$N$5:$N$205,MATCH($B156,LE_Curves!$N$5:$N$205,1)))*(INDEX(LE_Curves!$B$5:$B$205,MATCH($B156,LE_Curves!$N$5:$N$205,1)+1)-INDEX(LE_Curves!$B$5:$B$205,MATCH($B156,LE_Curves!$N$5:$N$205,1)))/(INDEX(LE_Curves!$N$5:$N$205,MATCH($B156,LE_Curves!$N$5:$N$205,1)+1)-INDEX(LE_Curves!$N$5:$N$205,MATCH($B156,LE_Curves!$N$5:$N$205,1))))))</f>
        <v/>
      </c>
      <c r="O156" s="11">
        <f>SUM(C156:N156)</f>
        <v/>
      </c>
      <c r="Q156" s="7" t="n">
        <v>125</v>
      </c>
      <c r="R156" s="23">
        <f>$B$6+($B$7-$B$6)*Q156/200</f>
        <v/>
      </c>
      <c r="S156" s="11">
        <f>IF(Inputs!$D$23=0,0,IF($R156&lt;=Inputs!$C$23,0,IF($R156&gt;=INDEX(LE_Curves!$C$5:$C$205,201),INDEX(LE_Curves!$B$5:$B$205,201),INDEX(LE_Curves!$B$5:$B$205,MATCH($R156,LE_Curves!$C$5:$C$205,1))+($R156-INDEX(LE_Curves!$C$5:$C$205,MATCH($R156,LE_Curves!$C$5:$C$205,1)))*(INDEX(LE_Curves!$B$5:$B$205,MATCH($R156,LE_Curves!$C$5:$C$205,1)+1)-INDEX(LE_Curves!$B$5:$B$205,MATCH($R156,LE_Curves!$C$5:$C$205,1)))/(INDEX(LE_Curves!$C$5:$C$205,MATCH($R156,LE_Curves!$C$5:$C$205,1)+1)-INDEX(LE_Curves!$C$5:$C$205,MATCH($R156,LE_Curves!$C$5:$C$205,1))))))</f>
        <v/>
      </c>
      <c r="T156" s="11">
        <f>IF(Inputs!$D$24=0,0,IF($R156&lt;=Inputs!$C$24,0,IF($R156&gt;=INDEX(LE_Curves!$D$5:$D$205,201),INDEX(LE_Curves!$B$5:$B$205,201),INDEX(LE_Curves!$B$5:$B$205,MATCH($R156,LE_Curves!$D$5:$D$205,1))+($R156-INDEX(LE_Curves!$D$5:$D$205,MATCH($R156,LE_Curves!$D$5:$D$205,1)))*(INDEX(LE_Curves!$B$5:$B$205,MATCH($R156,LE_Curves!$D$5:$D$205,1)+1)-INDEX(LE_Curves!$B$5:$B$205,MATCH($R156,LE_Curves!$D$5:$D$205,1)))/(INDEX(LE_Curves!$D$5:$D$205,MATCH($R156,LE_Curves!$D$5:$D$205,1)+1)-INDEX(LE_Curves!$D$5:$D$205,MATCH($R156,LE_Curves!$D$5:$D$205,1))))))</f>
        <v/>
      </c>
      <c r="U156" s="11">
        <f>IF(Inputs!$D$25=0,0,IF($R156&lt;=Inputs!$C$25,0,IF($R156&gt;=INDEX(LE_Curves!$E$5:$E$205,201),INDEX(LE_Curves!$B$5:$B$205,201),INDEX(LE_Curves!$B$5:$B$205,MATCH($R156,LE_Curves!$E$5:$E$205,1))+($R156-INDEX(LE_Curves!$E$5:$E$205,MATCH($R156,LE_Curves!$E$5:$E$205,1)))*(INDEX(LE_Curves!$B$5:$B$205,MATCH($R156,LE_Curves!$E$5:$E$205,1)+1)-INDEX(LE_Curves!$B$5:$B$205,MATCH($R156,LE_Curves!$E$5:$E$205,1)))/(INDEX(LE_Curves!$E$5:$E$205,MATCH($R156,LE_Curves!$E$5:$E$205,1)+1)-INDEX(LE_Curves!$E$5:$E$205,MATCH($R156,LE_Curves!$E$5:$E$205,1))))))</f>
        <v/>
      </c>
      <c r="V156" s="11">
        <f>IF(Inputs!$D$26=0,0,IF($R156&lt;=Inputs!$C$26,0,IF($R156&gt;=INDEX(LE_Curves!$F$5:$F$205,201),INDEX(LE_Curves!$B$5:$B$205,201),INDEX(LE_Curves!$B$5:$B$205,MATCH($R156,LE_Curves!$F$5:$F$205,1))+($R156-INDEX(LE_Curves!$F$5:$F$205,MATCH($R156,LE_Curves!$F$5:$F$205,1)))*(INDEX(LE_Curves!$B$5:$B$205,MATCH($R156,LE_Curves!$F$5:$F$205,1)+1)-INDEX(LE_Curves!$B$5:$B$205,MATCH($R156,LE_Curves!$F$5:$F$205,1)))/(INDEX(LE_Curves!$F$5:$F$205,MATCH($R156,LE_Curves!$F$5:$F$205,1)+1)-INDEX(LE_Curves!$F$5:$F$205,MATCH($R156,LE_Curves!$F$5:$F$205,1))))))</f>
        <v/>
      </c>
      <c r="W156" s="11">
        <f>IF(Inputs!$D$27=0,0,IF($R156&lt;=Inputs!$C$27,0,IF($R156&gt;=INDEX(LE_Curves!$G$5:$G$205,201),INDEX(LE_Curves!$B$5:$B$205,201),INDEX(LE_Curves!$B$5:$B$205,MATCH($R156,LE_Curves!$G$5:$G$205,1))+($R156-INDEX(LE_Curves!$G$5:$G$205,MATCH($R156,LE_Curves!$G$5:$G$205,1)))*(INDEX(LE_Curves!$B$5:$B$205,MATCH($R156,LE_Curves!$G$5:$G$205,1)+1)-INDEX(LE_Curves!$B$5:$B$205,MATCH($R156,LE_Curves!$G$5:$G$205,1)))/(INDEX(LE_Curves!$G$5:$G$205,MATCH($R156,LE_Curves!$G$5:$G$205,1)+1)-INDEX(LE_Curves!$G$5:$G$205,MATCH($R156,LE_Curves!$G$5:$G$205,1))))))</f>
        <v/>
      </c>
      <c r="X156" s="11">
        <f>IF(Inputs!$D$28=0,0,IF($R156&lt;=Inputs!$C$28,0,IF($R156&gt;=INDEX(LE_Curves!$H$5:$H$205,201),INDEX(LE_Curves!$B$5:$B$205,201),INDEX(LE_Curves!$B$5:$B$205,MATCH($R156,LE_Curves!$H$5:$H$205,1))+($R156-INDEX(LE_Curves!$H$5:$H$205,MATCH($R156,LE_Curves!$H$5:$H$205,1)))*(INDEX(LE_Curves!$B$5:$B$205,MATCH($R156,LE_Curves!$H$5:$H$205,1)+1)-INDEX(LE_Curves!$B$5:$B$205,MATCH($R156,LE_Curves!$H$5:$H$205,1)))/(INDEX(LE_Curves!$H$5:$H$205,MATCH($R156,LE_Curves!$H$5:$H$205,1)+1)-INDEX(LE_Curves!$H$5:$H$205,MATCH($R156,LE_Curves!$H$5:$H$205,1))))))</f>
        <v/>
      </c>
      <c r="Y156" s="11">
        <f>IF(Inputs!$D$29=0,0,IF($R156&lt;=Inputs!$C$29,0,IF($R156&gt;=INDEX(LE_Curves!$I$5:$I$205,201),INDEX(LE_Curves!$B$5:$B$205,201),INDEX(LE_Curves!$B$5:$B$205,MATCH($R156,LE_Curves!$I$5:$I$205,1))+($R156-INDEX(LE_Curves!$I$5:$I$205,MATCH($R156,LE_Curves!$I$5:$I$205,1)))*(INDEX(LE_Curves!$B$5:$B$205,MATCH($R156,LE_Curves!$I$5:$I$205,1)+1)-INDEX(LE_Curves!$B$5:$B$205,MATCH($R156,LE_Curves!$I$5:$I$205,1)))/(INDEX(LE_Curves!$I$5:$I$205,MATCH($R156,LE_Curves!$I$5:$I$205,1)+1)-INDEX(LE_Curves!$I$5:$I$205,MATCH($R156,LE_Curves!$I$5:$I$205,1))))))</f>
        <v/>
      </c>
      <c r="Z156" s="11">
        <f>IF(Inputs!$D$30=0,0,IF($R156&lt;=Inputs!$C$30,0,IF($R156&gt;=INDEX(LE_Curves!$J$5:$J$205,201),INDEX(LE_Curves!$B$5:$B$205,201),INDEX(LE_Curves!$B$5:$B$205,MATCH($R156,LE_Curves!$J$5:$J$205,1))+($R156-INDEX(LE_Curves!$J$5:$J$205,MATCH($R156,LE_Curves!$J$5:$J$205,1)))*(INDEX(LE_Curves!$B$5:$B$205,MATCH($R156,LE_Curves!$J$5:$J$205,1)+1)-INDEX(LE_Curves!$B$5:$B$205,MATCH($R156,LE_Curves!$J$5:$J$205,1)))/(INDEX(LE_Curves!$J$5:$J$205,MATCH($R156,LE_Curves!$J$5:$J$205,1)+1)-INDEX(LE_Curves!$J$5:$J$205,MATCH($R156,LE_Curves!$J$5:$J$205,1))))))</f>
        <v/>
      </c>
      <c r="AA156" s="11">
        <f>IF(Inputs!$D$31=0,0,IF($R156&lt;=Inputs!$C$31,0,IF($R156&gt;=INDEX(LE_Curves!$K$5:$K$205,201),INDEX(LE_Curves!$B$5:$B$205,201),INDEX(LE_Curves!$B$5:$B$205,MATCH($R156,LE_Curves!$K$5:$K$205,1))+($R156-INDEX(LE_Curves!$K$5:$K$205,MATCH($R156,LE_Curves!$K$5:$K$205,1)))*(INDEX(LE_Curves!$B$5:$B$205,MATCH($R156,LE_Curves!$K$5:$K$205,1)+1)-INDEX(LE_Curves!$B$5:$B$205,MATCH($R156,LE_Curves!$K$5:$K$205,1)))/(INDEX(LE_Curves!$K$5:$K$205,MATCH($R156,LE_Curves!$K$5:$K$205,1)+1)-INDEX(LE_Curves!$K$5:$K$205,MATCH($R156,LE_Curves!$K$5:$K$205,1))))))</f>
        <v/>
      </c>
      <c r="AB156" s="11">
        <f>IF(Inputs!$D$32=0,0,IF($R156&lt;=Inputs!$C$32,0,IF($R156&gt;=INDEX(LE_Curves!$L$5:$L$205,201),INDEX(LE_Curves!$B$5:$B$205,201),INDEX(LE_Curves!$B$5:$B$205,MATCH($R156,LE_Curves!$L$5:$L$205,1))+($R156-INDEX(LE_Curves!$L$5:$L$205,MATCH($R156,LE_Curves!$L$5:$L$205,1)))*(INDEX(LE_Curves!$B$5:$B$205,MATCH($R156,LE_Curves!$L$5:$L$205,1)+1)-INDEX(LE_Curves!$B$5:$B$205,MATCH($R156,LE_Curves!$L$5:$L$205,1)))/(INDEX(LE_Curves!$L$5:$L$205,MATCH($R156,LE_Curves!$L$5:$L$205,1)+1)-INDEX(LE_Curves!$L$5:$L$205,MATCH($R156,LE_Curves!$L$5:$L$205,1))))))</f>
        <v/>
      </c>
      <c r="AC156" s="11">
        <f>IF(Inputs!$D$33=0,0,IF($R156&lt;=Inputs!$C$33,0,IF($R156&gt;=INDEX(LE_Curves!$M$5:$M$205,201),INDEX(LE_Curves!$B$5:$B$205,201),INDEX(LE_Curves!$B$5:$B$205,MATCH($R156,LE_Curves!$M$5:$M$205,1))+($R156-INDEX(LE_Curves!$M$5:$M$205,MATCH($R156,LE_Curves!$M$5:$M$205,1)))*(INDEX(LE_Curves!$B$5:$B$205,MATCH($R156,LE_Curves!$M$5:$M$205,1)+1)-INDEX(LE_Curves!$B$5:$B$205,MATCH($R156,LE_Curves!$M$5:$M$205,1)))/(INDEX(LE_Curves!$M$5:$M$205,MATCH($R156,LE_Curves!$M$5:$M$205,1)+1)-INDEX(LE_Curves!$M$5:$M$205,MATCH($R156,LE_Curves!$M$5:$M$205,1))))))</f>
        <v/>
      </c>
      <c r="AD156" s="11">
        <f>IF(Inputs!$D$34=0,0,IF($R156&lt;=Inputs!$C$34,0,IF($R156&gt;=INDEX(LE_Curves!$N$5:$N$205,201),INDEX(LE_Curves!$B$5:$B$205,201),INDEX(LE_Curves!$B$5:$B$205,MATCH($R156,LE_Curves!$N$5:$N$205,1))+($R156-INDEX(LE_Curves!$N$5:$N$205,MATCH($R156,LE_Curves!$N$5:$N$205,1)))*(INDEX(LE_Curves!$B$5:$B$205,MATCH($R156,LE_Curves!$N$5:$N$205,1)+1)-INDEX(LE_Curves!$B$5:$B$205,MATCH($R156,LE_Curves!$N$5:$N$205,1)))/(INDEX(LE_Curves!$N$5:$N$205,MATCH($R156,LE_Curves!$N$5:$N$205,1)+1)-INDEX(LE_Curves!$N$5:$N$205,MATCH($R156,LE_Curves!$N$5:$N$205,1))))))</f>
        <v/>
      </c>
      <c r="AE156" s="37">
        <f>SUM(S156:AD156)</f>
        <v/>
      </c>
    </row>
    <row r="157">
      <c r="A157" s="7" t="n">
        <v>126</v>
      </c>
      <c r="B157" s="37">
        <f>$B$3+($B$4-$B$3)*A157/200</f>
        <v/>
      </c>
      <c r="C157" s="11">
        <f>IF(Inputs!$D$23=0,0,IF($B157&lt;=Inputs!$C$23,0,IF($B157&gt;=INDEX(LE_Curves!$C$5:$C$205,201),INDEX(LE_Curves!$B$5:$B$205,201),INDEX(LE_Curves!$B$5:$B$205,MATCH($B157,LE_Curves!$C$5:$C$205,1))+($B157-INDEX(LE_Curves!$C$5:$C$205,MATCH($B157,LE_Curves!$C$5:$C$205,1)))*(INDEX(LE_Curves!$B$5:$B$205,MATCH($B157,LE_Curves!$C$5:$C$205,1)+1)-INDEX(LE_Curves!$B$5:$B$205,MATCH($B157,LE_Curves!$C$5:$C$205,1)))/(INDEX(LE_Curves!$C$5:$C$205,MATCH($B157,LE_Curves!$C$5:$C$205,1)+1)-INDEX(LE_Curves!$C$5:$C$205,MATCH($B157,LE_Curves!$C$5:$C$205,1))))))</f>
        <v/>
      </c>
      <c r="D157" s="11">
        <f>IF(Inputs!$D$24=0,0,IF($B157&lt;=Inputs!$C$24,0,IF($B157&gt;=INDEX(LE_Curves!$D$5:$D$205,201),INDEX(LE_Curves!$B$5:$B$205,201),INDEX(LE_Curves!$B$5:$B$205,MATCH($B157,LE_Curves!$D$5:$D$205,1))+($B157-INDEX(LE_Curves!$D$5:$D$205,MATCH($B157,LE_Curves!$D$5:$D$205,1)))*(INDEX(LE_Curves!$B$5:$B$205,MATCH($B157,LE_Curves!$D$5:$D$205,1)+1)-INDEX(LE_Curves!$B$5:$B$205,MATCH($B157,LE_Curves!$D$5:$D$205,1)))/(INDEX(LE_Curves!$D$5:$D$205,MATCH($B157,LE_Curves!$D$5:$D$205,1)+1)-INDEX(LE_Curves!$D$5:$D$205,MATCH($B157,LE_Curves!$D$5:$D$205,1))))))</f>
        <v/>
      </c>
      <c r="E157" s="11">
        <f>IF(Inputs!$D$25=0,0,IF($B157&lt;=Inputs!$C$25,0,IF($B157&gt;=INDEX(LE_Curves!$E$5:$E$205,201),INDEX(LE_Curves!$B$5:$B$205,201),INDEX(LE_Curves!$B$5:$B$205,MATCH($B157,LE_Curves!$E$5:$E$205,1))+($B157-INDEX(LE_Curves!$E$5:$E$205,MATCH($B157,LE_Curves!$E$5:$E$205,1)))*(INDEX(LE_Curves!$B$5:$B$205,MATCH($B157,LE_Curves!$E$5:$E$205,1)+1)-INDEX(LE_Curves!$B$5:$B$205,MATCH($B157,LE_Curves!$E$5:$E$205,1)))/(INDEX(LE_Curves!$E$5:$E$205,MATCH($B157,LE_Curves!$E$5:$E$205,1)+1)-INDEX(LE_Curves!$E$5:$E$205,MATCH($B157,LE_Curves!$E$5:$E$205,1))))))</f>
        <v/>
      </c>
      <c r="F157" s="11">
        <f>IF(Inputs!$D$26=0,0,IF($B157&lt;=Inputs!$C$26,0,IF($B157&gt;=INDEX(LE_Curves!$F$5:$F$205,201),INDEX(LE_Curves!$B$5:$B$205,201),INDEX(LE_Curves!$B$5:$B$205,MATCH($B157,LE_Curves!$F$5:$F$205,1))+($B157-INDEX(LE_Curves!$F$5:$F$205,MATCH($B157,LE_Curves!$F$5:$F$205,1)))*(INDEX(LE_Curves!$B$5:$B$205,MATCH($B157,LE_Curves!$F$5:$F$205,1)+1)-INDEX(LE_Curves!$B$5:$B$205,MATCH($B157,LE_Curves!$F$5:$F$205,1)))/(INDEX(LE_Curves!$F$5:$F$205,MATCH($B157,LE_Curves!$F$5:$F$205,1)+1)-INDEX(LE_Curves!$F$5:$F$205,MATCH($B157,LE_Curves!$F$5:$F$205,1))))))</f>
        <v/>
      </c>
      <c r="G157" s="11">
        <f>IF(Inputs!$D$27=0,0,IF($B157&lt;=Inputs!$C$27,0,IF($B157&gt;=INDEX(LE_Curves!$G$5:$G$205,201),INDEX(LE_Curves!$B$5:$B$205,201),INDEX(LE_Curves!$B$5:$B$205,MATCH($B157,LE_Curves!$G$5:$G$205,1))+($B157-INDEX(LE_Curves!$G$5:$G$205,MATCH($B157,LE_Curves!$G$5:$G$205,1)))*(INDEX(LE_Curves!$B$5:$B$205,MATCH($B157,LE_Curves!$G$5:$G$205,1)+1)-INDEX(LE_Curves!$B$5:$B$205,MATCH($B157,LE_Curves!$G$5:$G$205,1)))/(INDEX(LE_Curves!$G$5:$G$205,MATCH($B157,LE_Curves!$G$5:$G$205,1)+1)-INDEX(LE_Curves!$G$5:$G$205,MATCH($B157,LE_Curves!$G$5:$G$205,1))))))</f>
        <v/>
      </c>
      <c r="H157" s="11">
        <f>IF(Inputs!$D$28=0,0,IF($B157&lt;=Inputs!$C$28,0,IF($B157&gt;=INDEX(LE_Curves!$H$5:$H$205,201),INDEX(LE_Curves!$B$5:$B$205,201),INDEX(LE_Curves!$B$5:$B$205,MATCH($B157,LE_Curves!$H$5:$H$205,1))+($B157-INDEX(LE_Curves!$H$5:$H$205,MATCH($B157,LE_Curves!$H$5:$H$205,1)))*(INDEX(LE_Curves!$B$5:$B$205,MATCH($B157,LE_Curves!$H$5:$H$205,1)+1)-INDEX(LE_Curves!$B$5:$B$205,MATCH($B157,LE_Curves!$H$5:$H$205,1)))/(INDEX(LE_Curves!$H$5:$H$205,MATCH($B157,LE_Curves!$H$5:$H$205,1)+1)-INDEX(LE_Curves!$H$5:$H$205,MATCH($B157,LE_Curves!$H$5:$H$205,1))))))</f>
        <v/>
      </c>
      <c r="I157" s="11">
        <f>IF(Inputs!$D$29=0,0,IF($B157&lt;=Inputs!$C$29,0,IF($B157&gt;=INDEX(LE_Curves!$I$5:$I$205,201),INDEX(LE_Curves!$B$5:$B$205,201),INDEX(LE_Curves!$B$5:$B$205,MATCH($B157,LE_Curves!$I$5:$I$205,1))+($B157-INDEX(LE_Curves!$I$5:$I$205,MATCH($B157,LE_Curves!$I$5:$I$205,1)))*(INDEX(LE_Curves!$B$5:$B$205,MATCH($B157,LE_Curves!$I$5:$I$205,1)+1)-INDEX(LE_Curves!$B$5:$B$205,MATCH($B157,LE_Curves!$I$5:$I$205,1)))/(INDEX(LE_Curves!$I$5:$I$205,MATCH($B157,LE_Curves!$I$5:$I$205,1)+1)-INDEX(LE_Curves!$I$5:$I$205,MATCH($B157,LE_Curves!$I$5:$I$205,1))))))</f>
        <v/>
      </c>
      <c r="J157" s="11">
        <f>IF(Inputs!$D$30=0,0,IF($B157&lt;=Inputs!$C$30,0,IF($B157&gt;=INDEX(LE_Curves!$J$5:$J$205,201),INDEX(LE_Curves!$B$5:$B$205,201),INDEX(LE_Curves!$B$5:$B$205,MATCH($B157,LE_Curves!$J$5:$J$205,1))+($B157-INDEX(LE_Curves!$J$5:$J$205,MATCH($B157,LE_Curves!$J$5:$J$205,1)))*(INDEX(LE_Curves!$B$5:$B$205,MATCH($B157,LE_Curves!$J$5:$J$205,1)+1)-INDEX(LE_Curves!$B$5:$B$205,MATCH($B157,LE_Curves!$J$5:$J$205,1)))/(INDEX(LE_Curves!$J$5:$J$205,MATCH($B157,LE_Curves!$J$5:$J$205,1)+1)-INDEX(LE_Curves!$J$5:$J$205,MATCH($B157,LE_Curves!$J$5:$J$205,1))))))</f>
        <v/>
      </c>
      <c r="K157" s="11">
        <f>IF(Inputs!$D$31=0,0,IF($B157&lt;=Inputs!$C$31,0,IF($B157&gt;=INDEX(LE_Curves!$K$5:$K$205,201),INDEX(LE_Curves!$B$5:$B$205,201),INDEX(LE_Curves!$B$5:$B$205,MATCH($B157,LE_Curves!$K$5:$K$205,1))+($B157-INDEX(LE_Curves!$K$5:$K$205,MATCH($B157,LE_Curves!$K$5:$K$205,1)))*(INDEX(LE_Curves!$B$5:$B$205,MATCH($B157,LE_Curves!$K$5:$K$205,1)+1)-INDEX(LE_Curves!$B$5:$B$205,MATCH($B157,LE_Curves!$K$5:$K$205,1)))/(INDEX(LE_Curves!$K$5:$K$205,MATCH($B157,LE_Curves!$K$5:$K$205,1)+1)-INDEX(LE_Curves!$K$5:$K$205,MATCH($B157,LE_Curves!$K$5:$K$205,1))))))</f>
        <v/>
      </c>
      <c r="L157" s="11">
        <f>IF(Inputs!$D$32=0,0,IF($B157&lt;=Inputs!$C$32,0,IF($B157&gt;=INDEX(LE_Curves!$L$5:$L$205,201),INDEX(LE_Curves!$B$5:$B$205,201),INDEX(LE_Curves!$B$5:$B$205,MATCH($B157,LE_Curves!$L$5:$L$205,1))+($B157-INDEX(LE_Curves!$L$5:$L$205,MATCH($B157,LE_Curves!$L$5:$L$205,1)))*(INDEX(LE_Curves!$B$5:$B$205,MATCH($B157,LE_Curves!$L$5:$L$205,1)+1)-INDEX(LE_Curves!$B$5:$B$205,MATCH($B157,LE_Curves!$L$5:$L$205,1)))/(INDEX(LE_Curves!$L$5:$L$205,MATCH($B157,LE_Curves!$L$5:$L$205,1)+1)-INDEX(LE_Curves!$L$5:$L$205,MATCH($B157,LE_Curves!$L$5:$L$205,1))))))</f>
        <v/>
      </c>
      <c r="M157" s="11">
        <f>IF(Inputs!$D$33=0,0,IF($B157&lt;=Inputs!$C$33,0,IF($B157&gt;=INDEX(LE_Curves!$M$5:$M$205,201),INDEX(LE_Curves!$B$5:$B$205,201),INDEX(LE_Curves!$B$5:$B$205,MATCH($B157,LE_Curves!$M$5:$M$205,1))+($B157-INDEX(LE_Curves!$M$5:$M$205,MATCH($B157,LE_Curves!$M$5:$M$205,1)))*(INDEX(LE_Curves!$B$5:$B$205,MATCH($B157,LE_Curves!$M$5:$M$205,1)+1)-INDEX(LE_Curves!$B$5:$B$205,MATCH($B157,LE_Curves!$M$5:$M$205,1)))/(INDEX(LE_Curves!$M$5:$M$205,MATCH($B157,LE_Curves!$M$5:$M$205,1)+1)-INDEX(LE_Curves!$M$5:$M$205,MATCH($B157,LE_Curves!$M$5:$M$205,1))))))</f>
        <v/>
      </c>
      <c r="N157" s="11">
        <f>IF(Inputs!$D$34=0,0,IF($B157&lt;=Inputs!$C$34,0,IF($B157&gt;=INDEX(LE_Curves!$N$5:$N$205,201),INDEX(LE_Curves!$B$5:$B$205,201),INDEX(LE_Curves!$B$5:$B$205,MATCH($B157,LE_Curves!$N$5:$N$205,1))+($B157-INDEX(LE_Curves!$N$5:$N$205,MATCH($B157,LE_Curves!$N$5:$N$205,1)))*(INDEX(LE_Curves!$B$5:$B$205,MATCH($B157,LE_Curves!$N$5:$N$205,1)+1)-INDEX(LE_Curves!$B$5:$B$205,MATCH($B157,LE_Curves!$N$5:$N$205,1)))/(INDEX(LE_Curves!$N$5:$N$205,MATCH($B157,LE_Curves!$N$5:$N$205,1)+1)-INDEX(LE_Curves!$N$5:$N$205,MATCH($B157,LE_Curves!$N$5:$N$205,1))))))</f>
        <v/>
      </c>
      <c r="O157" s="11">
        <f>SUM(C157:N157)</f>
        <v/>
      </c>
      <c r="Q157" s="7" t="n">
        <v>126</v>
      </c>
      <c r="R157" s="23">
        <f>$B$6+($B$7-$B$6)*Q157/200</f>
        <v/>
      </c>
      <c r="S157" s="11">
        <f>IF(Inputs!$D$23=0,0,IF($R157&lt;=Inputs!$C$23,0,IF($R157&gt;=INDEX(LE_Curves!$C$5:$C$205,201),INDEX(LE_Curves!$B$5:$B$205,201),INDEX(LE_Curves!$B$5:$B$205,MATCH($R157,LE_Curves!$C$5:$C$205,1))+($R157-INDEX(LE_Curves!$C$5:$C$205,MATCH($R157,LE_Curves!$C$5:$C$205,1)))*(INDEX(LE_Curves!$B$5:$B$205,MATCH($R157,LE_Curves!$C$5:$C$205,1)+1)-INDEX(LE_Curves!$B$5:$B$205,MATCH($R157,LE_Curves!$C$5:$C$205,1)))/(INDEX(LE_Curves!$C$5:$C$205,MATCH($R157,LE_Curves!$C$5:$C$205,1)+1)-INDEX(LE_Curves!$C$5:$C$205,MATCH($R157,LE_Curves!$C$5:$C$205,1))))))</f>
        <v/>
      </c>
      <c r="T157" s="11">
        <f>IF(Inputs!$D$24=0,0,IF($R157&lt;=Inputs!$C$24,0,IF($R157&gt;=INDEX(LE_Curves!$D$5:$D$205,201),INDEX(LE_Curves!$B$5:$B$205,201),INDEX(LE_Curves!$B$5:$B$205,MATCH($R157,LE_Curves!$D$5:$D$205,1))+($R157-INDEX(LE_Curves!$D$5:$D$205,MATCH($R157,LE_Curves!$D$5:$D$205,1)))*(INDEX(LE_Curves!$B$5:$B$205,MATCH($R157,LE_Curves!$D$5:$D$205,1)+1)-INDEX(LE_Curves!$B$5:$B$205,MATCH($R157,LE_Curves!$D$5:$D$205,1)))/(INDEX(LE_Curves!$D$5:$D$205,MATCH($R157,LE_Curves!$D$5:$D$205,1)+1)-INDEX(LE_Curves!$D$5:$D$205,MATCH($R157,LE_Curves!$D$5:$D$205,1))))))</f>
        <v/>
      </c>
      <c r="U157" s="11">
        <f>IF(Inputs!$D$25=0,0,IF($R157&lt;=Inputs!$C$25,0,IF($R157&gt;=INDEX(LE_Curves!$E$5:$E$205,201),INDEX(LE_Curves!$B$5:$B$205,201),INDEX(LE_Curves!$B$5:$B$205,MATCH($R157,LE_Curves!$E$5:$E$205,1))+($R157-INDEX(LE_Curves!$E$5:$E$205,MATCH($R157,LE_Curves!$E$5:$E$205,1)))*(INDEX(LE_Curves!$B$5:$B$205,MATCH($R157,LE_Curves!$E$5:$E$205,1)+1)-INDEX(LE_Curves!$B$5:$B$205,MATCH($R157,LE_Curves!$E$5:$E$205,1)))/(INDEX(LE_Curves!$E$5:$E$205,MATCH($R157,LE_Curves!$E$5:$E$205,1)+1)-INDEX(LE_Curves!$E$5:$E$205,MATCH($R157,LE_Curves!$E$5:$E$205,1))))))</f>
        <v/>
      </c>
      <c r="V157" s="11">
        <f>IF(Inputs!$D$26=0,0,IF($R157&lt;=Inputs!$C$26,0,IF($R157&gt;=INDEX(LE_Curves!$F$5:$F$205,201),INDEX(LE_Curves!$B$5:$B$205,201),INDEX(LE_Curves!$B$5:$B$205,MATCH($R157,LE_Curves!$F$5:$F$205,1))+($R157-INDEX(LE_Curves!$F$5:$F$205,MATCH($R157,LE_Curves!$F$5:$F$205,1)))*(INDEX(LE_Curves!$B$5:$B$205,MATCH($R157,LE_Curves!$F$5:$F$205,1)+1)-INDEX(LE_Curves!$B$5:$B$205,MATCH($R157,LE_Curves!$F$5:$F$205,1)))/(INDEX(LE_Curves!$F$5:$F$205,MATCH($R157,LE_Curves!$F$5:$F$205,1)+1)-INDEX(LE_Curves!$F$5:$F$205,MATCH($R157,LE_Curves!$F$5:$F$205,1))))))</f>
        <v/>
      </c>
      <c r="W157" s="11">
        <f>IF(Inputs!$D$27=0,0,IF($R157&lt;=Inputs!$C$27,0,IF($R157&gt;=INDEX(LE_Curves!$G$5:$G$205,201),INDEX(LE_Curves!$B$5:$B$205,201),INDEX(LE_Curves!$B$5:$B$205,MATCH($R157,LE_Curves!$G$5:$G$205,1))+($R157-INDEX(LE_Curves!$G$5:$G$205,MATCH($R157,LE_Curves!$G$5:$G$205,1)))*(INDEX(LE_Curves!$B$5:$B$205,MATCH($R157,LE_Curves!$G$5:$G$205,1)+1)-INDEX(LE_Curves!$B$5:$B$205,MATCH($R157,LE_Curves!$G$5:$G$205,1)))/(INDEX(LE_Curves!$G$5:$G$205,MATCH($R157,LE_Curves!$G$5:$G$205,1)+1)-INDEX(LE_Curves!$G$5:$G$205,MATCH($R157,LE_Curves!$G$5:$G$205,1))))))</f>
        <v/>
      </c>
      <c r="X157" s="11">
        <f>IF(Inputs!$D$28=0,0,IF($R157&lt;=Inputs!$C$28,0,IF($R157&gt;=INDEX(LE_Curves!$H$5:$H$205,201),INDEX(LE_Curves!$B$5:$B$205,201),INDEX(LE_Curves!$B$5:$B$205,MATCH($R157,LE_Curves!$H$5:$H$205,1))+($R157-INDEX(LE_Curves!$H$5:$H$205,MATCH($R157,LE_Curves!$H$5:$H$205,1)))*(INDEX(LE_Curves!$B$5:$B$205,MATCH($R157,LE_Curves!$H$5:$H$205,1)+1)-INDEX(LE_Curves!$B$5:$B$205,MATCH($R157,LE_Curves!$H$5:$H$205,1)))/(INDEX(LE_Curves!$H$5:$H$205,MATCH($R157,LE_Curves!$H$5:$H$205,1)+1)-INDEX(LE_Curves!$H$5:$H$205,MATCH($R157,LE_Curves!$H$5:$H$205,1))))))</f>
        <v/>
      </c>
      <c r="Y157" s="11">
        <f>IF(Inputs!$D$29=0,0,IF($R157&lt;=Inputs!$C$29,0,IF($R157&gt;=INDEX(LE_Curves!$I$5:$I$205,201),INDEX(LE_Curves!$B$5:$B$205,201),INDEX(LE_Curves!$B$5:$B$205,MATCH($R157,LE_Curves!$I$5:$I$205,1))+($R157-INDEX(LE_Curves!$I$5:$I$205,MATCH($R157,LE_Curves!$I$5:$I$205,1)))*(INDEX(LE_Curves!$B$5:$B$205,MATCH($R157,LE_Curves!$I$5:$I$205,1)+1)-INDEX(LE_Curves!$B$5:$B$205,MATCH($R157,LE_Curves!$I$5:$I$205,1)))/(INDEX(LE_Curves!$I$5:$I$205,MATCH($R157,LE_Curves!$I$5:$I$205,1)+1)-INDEX(LE_Curves!$I$5:$I$205,MATCH($R157,LE_Curves!$I$5:$I$205,1))))))</f>
        <v/>
      </c>
      <c r="Z157" s="11">
        <f>IF(Inputs!$D$30=0,0,IF($R157&lt;=Inputs!$C$30,0,IF($R157&gt;=INDEX(LE_Curves!$J$5:$J$205,201),INDEX(LE_Curves!$B$5:$B$205,201),INDEX(LE_Curves!$B$5:$B$205,MATCH($R157,LE_Curves!$J$5:$J$205,1))+($R157-INDEX(LE_Curves!$J$5:$J$205,MATCH($R157,LE_Curves!$J$5:$J$205,1)))*(INDEX(LE_Curves!$B$5:$B$205,MATCH($R157,LE_Curves!$J$5:$J$205,1)+1)-INDEX(LE_Curves!$B$5:$B$205,MATCH($R157,LE_Curves!$J$5:$J$205,1)))/(INDEX(LE_Curves!$J$5:$J$205,MATCH($R157,LE_Curves!$J$5:$J$205,1)+1)-INDEX(LE_Curves!$J$5:$J$205,MATCH($R157,LE_Curves!$J$5:$J$205,1))))))</f>
        <v/>
      </c>
      <c r="AA157" s="11">
        <f>IF(Inputs!$D$31=0,0,IF($R157&lt;=Inputs!$C$31,0,IF($R157&gt;=INDEX(LE_Curves!$K$5:$K$205,201),INDEX(LE_Curves!$B$5:$B$205,201),INDEX(LE_Curves!$B$5:$B$205,MATCH($R157,LE_Curves!$K$5:$K$205,1))+($R157-INDEX(LE_Curves!$K$5:$K$205,MATCH($R157,LE_Curves!$K$5:$K$205,1)))*(INDEX(LE_Curves!$B$5:$B$205,MATCH($R157,LE_Curves!$K$5:$K$205,1)+1)-INDEX(LE_Curves!$B$5:$B$205,MATCH($R157,LE_Curves!$K$5:$K$205,1)))/(INDEX(LE_Curves!$K$5:$K$205,MATCH($R157,LE_Curves!$K$5:$K$205,1)+1)-INDEX(LE_Curves!$K$5:$K$205,MATCH($R157,LE_Curves!$K$5:$K$205,1))))))</f>
        <v/>
      </c>
      <c r="AB157" s="11">
        <f>IF(Inputs!$D$32=0,0,IF($R157&lt;=Inputs!$C$32,0,IF($R157&gt;=INDEX(LE_Curves!$L$5:$L$205,201),INDEX(LE_Curves!$B$5:$B$205,201),INDEX(LE_Curves!$B$5:$B$205,MATCH($R157,LE_Curves!$L$5:$L$205,1))+($R157-INDEX(LE_Curves!$L$5:$L$205,MATCH($R157,LE_Curves!$L$5:$L$205,1)))*(INDEX(LE_Curves!$B$5:$B$205,MATCH($R157,LE_Curves!$L$5:$L$205,1)+1)-INDEX(LE_Curves!$B$5:$B$205,MATCH($R157,LE_Curves!$L$5:$L$205,1)))/(INDEX(LE_Curves!$L$5:$L$205,MATCH($R157,LE_Curves!$L$5:$L$205,1)+1)-INDEX(LE_Curves!$L$5:$L$205,MATCH($R157,LE_Curves!$L$5:$L$205,1))))))</f>
        <v/>
      </c>
      <c r="AC157" s="11">
        <f>IF(Inputs!$D$33=0,0,IF($R157&lt;=Inputs!$C$33,0,IF($R157&gt;=INDEX(LE_Curves!$M$5:$M$205,201),INDEX(LE_Curves!$B$5:$B$205,201),INDEX(LE_Curves!$B$5:$B$205,MATCH($R157,LE_Curves!$M$5:$M$205,1))+($R157-INDEX(LE_Curves!$M$5:$M$205,MATCH($R157,LE_Curves!$M$5:$M$205,1)))*(INDEX(LE_Curves!$B$5:$B$205,MATCH($R157,LE_Curves!$M$5:$M$205,1)+1)-INDEX(LE_Curves!$B$5:$B$205,MATCH($R157,LE_Curves!$M$5:$M$205,1)))/(INDEX(LE_Curves!$M$5:$M$205,MATCH($R157,LE_Curves!$M$5:$M$205,1)+1)-INDEX(LE_Curves!$M$5:$M$205,MATCH($R157,LE_Curves!$M$5:$M$205,1))))))</f>
        <v/>
      </c>
      <c r="AD157" s="11">
        <f>IF(Inputs!$D$34=0,0,IF($R157&lt;=Inputs!$C$34,0,IF($R157&gt;=INDEX(LE_Curves!$N$5:$N$205,201),INDEX(LE_Curves!$B$5:$B$205,201),INDEX(LE_Curves!$B$5:$B$205,MATCH($R157,LE_Curves!$N$5:$N$205,1))+($R157-INDEX(LE_Curves!$N$5:$N$205,MATCH($R157,LE_Curves!$N$5:$N$205,1)))*(INDEX(LE_Curves!$B$5:$B$205,MATCH($R157,LE_Curves!$N$5:$N$205,1)+1)-INDEX(LE_Curves!$B$5:$B$205,MATCH($R157,LE_Curves!$N$5:$N$205,1)))/(INDEX(LE_Curves!$N$5:$N$205,MATCH($R157,LE_Curves!$N$5:$N$205,1)+1)-INDEX(LE_Curves!$N$5:$N$205,MATCH($R157,LE_Curves!$N$5:$N$205,1))))))</f>
        <v/>
      </c>
      <c r="AE157" s="37">
        <f>SUM(S157:AD157)</f>
        <v/>
      </c>
    </row>
    <row r="158">
      <c r="A158" s="7" t="n">
        <v>127</v>
      </c>
      <c r="B158" s="37">
        <f>$B$3+($B$4-$B$3)*A158/200</f>
        <v/>
      </c>
      <c r="C158" s="11">
        <f>IF(Inputs!$D$23=0,0,IF($B158&lt;=Inputs!$C$23,0,IF($B158&gt;=INDEX(LE_Curves!$C$5:$C$205,201),INDEX(LE_Curves!$B$5:$B$205,201),INDEX(LE_Curves!$B$5:$B$205,MATCH($B158,LE_Curves!$C$5:$C$205,1))+($B158-INDEX(LE_Curves!$C$5:$C$205,MATCH($B158,LE_Curves!$C$5:$C$205,1)))*(INDEX(LE_Curves!$B$5:$B$205,MATCH($B158,LE_Curves!$C$5:$C$205,1)+1)-INDEX(LE_Curves!$B$5:$B$205,MATCH($B158,LE_Curves!$C$5:$C$205,1)))/(INDEX(LE_Curves!$C$5:$C$205,MATCH($B158,LE_Curves!$C$5:$C$205,1)+1)-INDEX(LE_Curves!$C$5:$C$205,MATCH($B158,LE_Curves!$C$5:$C$205,1))))))</f>
        <v/>
      </c>
      <c r="D158" s="11">
        <f>IF(Inputs!$D$24=0,0,IF($B158&lt;=Inputs!$C$24,0,IF($B158&gt;=INDEX(LE_Curves!$D$5:$D$205,201),INDEX(LE_Curves!$B$5:$B$205,201),INDEX(LE_Curves!$B$5:$B$205,MATCH($B158,LE_Curves!$D$5:$D$205,1))+($B158-INDEX(LE_Curves!$D$5:$D$205,MATCH($B158,LE_Curves!$D$5:$D$205,1)))*(INDEX(LE_Curves!$B$5:$B$205,MATCH($B158,LE_Curves!$D$5:$D$205,1)+1)-INDEX(LE_Curves!$B$5:$B$205,MATCH($B158,LE_Curves!$D$5:$D$205,1)))/(INDEX(LE_Curves!$D$5:$D$205,MATCH($B158,LE_Curves!$D$5:$D$205,1)+1)-INDEX(LE_Curves!$D$5:$D$205,MATCH($B158,LE_Curves!$D$5:$D$205,1))))))</f>
        <v/>
      </c>
      <c r="E158" s="11">
        <f>IF(Inputs!$D$25=0,0,IF($B158&lt;=Inputs!$C$25,0,IF($B158&gt;=INDEX(LE_Curves!$E$5:$E$205,201),INDEX(LE_Curves!$B$5:$B$205,201),INDEX(LE_Curves!$B$5:$B$205,MATCH($B158,LE_Curves!$E$5:$E$205,1))+($B158-INDEX(LE_Curves!$E$5:$E$205,MATCH($B158,LE_Curves!$E$5:$E$205,1)))*(INDEX(LE_Curves!$B$5:$B$205,MATCH($B158,LE_Curves!$E$5:$E$205,1)+1)-INDEX(LE_Curves!$B$5:$B$205,MATCH($B158,LE_Curves!$E$5:$E$205,1)))/(INDEX(LE_Curves!$E$5:$E$205,MATCH($B158,LE_Curves!$E$5:$E$205,1)+1)-INDEX(LE_Curves!$E$5:$E$205,MATCH($B158,LE_Curves!$E$5:$E$205,1))))))</f>
        <v/>
      </c>
      <c r="F158" s="11">
        <f>IF(Inputs!$D$26=0,0,IF($B158&lt;=Inputs!$C$26,0,IF($B158&gt;=INDEX(LE_Curves!$F$5:$F$205,201),INDEX(LE_Curves!$B$5:$B$205,201),INDEX(LE_Curves!$B$5:$B$205,MATCH($B158,LE_Curves!$F$5:$F$205,1))+($B158-INDEX(LE_Curves!$F$5:$F$205,MATCH($B158,LE_Curves!$F$5:$F$205,1)))*(INDEX(LE_Curves!$B$5:$B$205,MATCH($B158,LE_Curves!$F$5:$F$205,1)+1)-INDEX(LE_Curves!$B$5:$B$205,MATCH($B158,LE_Curves!$F$5:$F$205,1)))/(INDEX(LE_Curves!$F$5:$F$205,MATCH($B158,LE_Curves!$F$5:$F$205,1)+1)-INDEX(LE_Curves!$F$5:$F$205,MATCH($B158,LE_Curves!$F$5:$F$205,1))))))</f>
        <v/>
      </c>
      <c r="G158" s="11">
        <f>IF(Inputs!$D$27=0,0,IF($B158&lt;=Inputs!$C$27,0,IF($B158&gt;=INDEX(LE_Curves!$G$5:$G$205,201),INDEX(LE_Curves!$B$5:$B$205,201),INDEX(LE_Curves!$B$5:$B$205,MATCH($B158,LE_Curves!$G$5:$G$205,1))+($B158-INDEX(LE_Curves!$G$5:$G$205,MATCH($B158,LE_Curves!$G$5:$G$205,1)))*(INDEX(LE_Curves!$B$5:$B$205,MATCH($B158,LE_Curves!$G$5:$G$205,1)+1)-INDEX(LE_Curves!$B$5:$B$205,MATCH($B158,LE_Curves!$G$5:$G$205,1)))/(INDEX(LE_Curves!$G$5:$G$205,MATCH($B158,LE_Curves!$G$5:$G$205,1)+1)-INDEX(LE_Curves!$G$5:$G$205,MATCH($B158,LE_Curves!$G$5:$G$205,1))))))</f>
        <v/>
      </c>
      <c r="H158" s="11">
        <f>IF(Inputs!$D$28=0,0,IF($B158&lt;=Inputs!$C$28,0,IF($B158&gt;=INDEX(LE_Curves!$H$5:$H$205,201),INDEX(LE_Curves!$B$5:$B$205,201),INDEX(LE_Curves!$B$5:$B$205,MATCH($B158,LE_Curves!$H$5:$H$205,1))+($B158-INDEX(LE_Curves!$H$5:$H$205,MATCH($B158,LE_Curves!$H$5:$H$205,1)))*(INDEX(LE_Curves!$B$5:$B$205,MATCH($B158,LE_Curves!$H$5:$H$205,1)+1)-INDEX(LE_Curves!$B$5:$B$205,MATCH($B158,LE_Curves!$H$5:$H$205,1)))/(INDEX(LE_Curves!$H$5:$H$205,MATCH($B158,LE_Curves!$H$5:$H$205,1)+1)-INDEX(LE_Curves!$H$5:$H$205,MATCH($B158,LE_Curves!$H$5:$H$205,1))))))</f>
        <v/>
      </c>
      <c r="I158" s="11">
        <f>IF(Inputs!$D$29=0,0,IF($B158&lt;=Inputs!$C$29,0,IF($B158&gt;=INDEX(LE_Curves!$I$5:$I$205,201),INDEX(LE_Curves!$B$5:$B$205,201),INDEX(LE_Curves!$B$5:$B$205,MATCH($B158,LE_Curves!$I$5:$I$205,1))+($B158-INDEX(LE_Curves!$I$5:$I$205,MATCH($B158,LE_Curves!$I$5:$I$205,1)))*(INDEX(LE_Curves!$B$5:$B$205,MATCH($B158,LE_Curves!$I$5:$I$205,1)+1)-INDEX(LE_Curves!$B$5:$B$205,MATCH($B158,LE_Curves!$I$5:$I$205,1)))/(INDEX(LE_Curves!$I$5:$I$205,MATCH($B158,LE_Curves!$I$5:$I$205,1)+1)-INDEX(LE_Curves!$I$5:$I$205,MATCH($B158,LE_Curves!$I$5:$I$205,1))))))</f>
        <v/>
      </c>
      <c r="J158" s="11">
        <f>IF(Inputs!$D$30=0,0,IF($B158&lt;=Inputs!$C$30,0,IF($B158&gt;=INDEX(LE_Curves!$J$5:$J$205,201),INDEX(LE_Curves!$B$5:$B$205,201),INDEX(LE_Curves!$B$5:$B$205,MATCH($B158,LE_Curves!$J$5:$J$205,1))+($B158-INDEX(LE_Curves!$J$5:$J$205,MATCH($B158,LE_Curves!$J$5:$J$205,1)))*(INDEX(LE_Curves!$B$5:$B$205,MATCH($B158,LE_Curves!$J$5:$J$205,1)+1)-INDEX(LE_Curves!$B$5:$B$205,MATCH($B158,LE_Curves!$J$5:$J$205,1)))/(INDEX(LE_Curves!$J$5:$J$205,MATCH($B158,LE_Curves!$J$5:$J$205,1)+1)-INDEX(LE_Curves!$J$5:$J$205,MATCH($B158,LE_Curves!$J$5:$J$205,1))))))</f>
        <v/>
      </c>
      <c r="K158" s="11">
        <f>IF(Inputs!$D$31=0,0,IF($B158&lt;=Inputs!$C$31,0,IF($B158&gt;=INDEX(LE_Curves!$K$5:$K$205,201),INDEX(LE_Curves!$B$5:$B$205,201),INDEX(LE_Curves!$B$5:$B$205,MATCH($B158,LE_Curves!$K$5:$K$205,1))+($B158-INDEX(LE_Curves!$K$5:$K$205,MATCH($B158,LE_Curves!$K$5:$K$205,1)))*(INDEX(LE_Curves!$B$5:$B$205,MATCH($B158,LE_Curves!$K$5:$K$205,1)+1)-INDEX(LE_Curves!$B$5:$B$205,MATCH($B158,LE_Curves!$K$5:$K$205,1)))/(INDEX(LE_Curves!$K$5:$K$205,MATCH($B158,LE_Curves!$K$5:$K$205,1)+1)-INDEX(LE_Curves!$K$5:$K$205,MATCH($B158,LE_Curves!$K$5:$K$205,1))))))</f>
        <v/>
      </c>
      <c r="L158" s="11">
        <f>IF(Inputs!$D$32=0,0,IF($B158&lt;=Inputs!$C$32,0,IF($B158&gt;=INDEX(LE_Curves!$L$5:$L$205,201),INDEX(LE_Curves!$B$5:$B$205,201),INDEX(LE_Curves!$B$5:$B$205,MATCH($B158,LE_Curves!$L$5:$L$205,1))+($B158-INDEX(LE_Curves!$L$5:$L$205,MATCH($B158,LE_Curves!$L$5:$L$205,1)))*(INDEX(LE_Curves!$B$5:$B$205,MATCH($B158,LE_Curves!$L$5:$L$205,1)+1)-INDEX(LE_Curves!$B$5:$B$205,MATCH($B158,LE_Curves!$L$5:$L$205,1)))/(INDEX(LE_Curves!$L$5:$L$205,MATCH($B158,LE_Curves!$L$5:$L$205,1)+1)-INDEX(LE_Curves!$L$5:$L$205,MATCH($B158,LE_Curves!$L$5:$L$205,1))))))</f>
        <v/>
      </c>
      <c r="M158" s="11">
        <f>IF(Inputs!$D$33=0,0,IF($B158&lt;=Inputs!$C$33,0,IF($B158&gt;=INDEX(LE_Curves!$M$5:$M$205,201),INDEX(LE_Curves!$B$5:$B$205,201),INDEX(LE_Curves!$B$5:$B$205,MATCH($B158,LE_Curves!$M$5:$M$205,1))+($B158-INDEX(LE_Curves!$M$5:$M$205,MATCH($B158,LE_Curves!$M$5:$M$205,1)))*(INDEX(LE_Curves!$B$5:$B$205,MATCH($B158,LE_Curves!$M$5:$M$205,1)+1)-INDEX(LE_Curves!$B$5:$B$205,MATCH($B158,LE_Curves!$M$5:$M$205,1)))/(INDEX(LE_Curves!$M$5:$M$205,MATCH($B158,LE_Curves!$M$5:$M$205,1)+1)-INDEX(LE_Curves!$M$5:$M$205,MATCH($B158,LE_Curves!$M$5:$M$205,1))))))</f>
        <v/>
      </c>
      <c r="N158" s="11">
        <f>IF(Inputs!$D$34=0,0,IF($B158&lt;=Inputs!$C$34,0,IF($B158&gt;=INDEX(LE_Curves!$N$5:$N$205,201),INDEX(LE_Curves!$B$5:$B$205,201),INDEX(LE_Curves!$B$5:$B$205,MATCH($B158,LE_Curves!$N$5:$N$205,1))+($B158-INDEX(LE_Curves!$N$5:$N$205,MATCH($B158,LE_Curves!$N$5:$N$205,1)))*(INDEX(LE_Curves!$B$5:$B$205,MATCH($B158,LE_Curves!$N$5:$N$205,1)+1)-INDEX(LE_Curves!$B$5:$B$205,MATCH($B158,LE_Curves!$N$5:$N$205,1)))/(INDEX(LE_Curves!$N$5:$N$205,MATCH($B158,LE_Curves!$N$5:$N$205,1)+1)-INDEX(LE_Curves!$N$5:$N$205,MATCH($B158,LE_Curves!$N$5:$N$205,1))))))</f>
        <v/>
      </c>
      <c r="O158" s="11">
        <f>SUM(C158:N158)</f>
        <v/>
      </c>
      <c r="Q158" s="7" t="n">
        <v>127</v>
      </c>
      <c r="R158" s="23">
        <f>$B$6+($B$7-$B$6)*Q158/200</f>
        <v/>
      </c>
      <c r="S158" s="11">
        <f>IF(Inputs!$D$23=0,0,IF($R158&lt;=Inputs!$C$23,0,IF($R158&gt;=INDEX(LE_Curves!$C$5:$C$205,201),INDEX(LE_Curves!$B$5:$B$205,201),INDEX(LE_Curves!$B$5:$B$205,MATCH($R158,LE_Curves!$C$5:$C$205,1))+($R158-INDEX(LE_Curves!$C$5:$C$205,MATCH($R158,LE_Curves!$C$5:$C$205,1)))*(INDEX(LE_Curves!$B$5:$B$205,MATCH($R158,LE_Curves!$C$5:$C$205,1)+1)-INDEX(LE_Curves!$B$5:$B$205,MATCH($R158,LE_Curves!$C$5:$C$205,1)))/(INDEX(LE_Curves!$C$5:$C$205,MATCH($R158,LE_Curves!$C$5:$C$205,1)+1)-INDEX(LE_Curves!$C$5:$C$205,MATCH($R158,LE_Curves!$C$5:$C$205,1))))))</f>
        <v/>
      </c>
      <c r="T158" s="11">
        <f>IF(Inputs!$D$24=0,0,IF($R158&lt;=Inputs!$C$24,0,IF($R158&gt;=INDEX(LE_Curves!$D$5:$D$205,201),INDEX(LE_Curves!$B$5:$B$205,201),INDEX(LE_Curves!$B$5:$B$205,MATCH($R158,LE_Curves!$D$5:$D$205,1))+($R158-INDEX(LE_Curves!$D$5:$D$205,MATCH($R158,LE_Curves!$D$5:$D$205,1)))*(INDEX(LE_Curves!$B$5:$B$205,MATCH($R158,LE_Curves!$D$5:$D$205,1)+1)-INDEX(LE_Curves!$B$5:$B$205,MATCH($R158,LE_Curves!$D$5:$D$205,1)))/(INDEX(LE_Curves!$D$5:$D$205,MATCH($R158,LE_Curves!$D$5:$D$205,1)+1)-INDEX(LE_Curves!$D$5:$D$205,MATCH($R158,LE_Curves!$D$5:$D$205,1))))))</f>
        <v/>
      </c>
      <c r="U158" s="11">
        <f>IF(Inputs!$D$25=0,0,IF($R158&lt;=Inputs!$C$25,0,IF($R158&gt;=INDEX(LE_Curves!$E$5:$E$205,201),INDEX(LE_Curves!$B$5:$B$205,201),INDEX(LE_Curves!$B$5:$B$205,MATCH($R158,LE_Curves!$E$5:$E$205,1))+($R158-INDEX(LE_Curves!$E$5:$E$205,MATCH($R158,LE_Curves!$E$5:$E$205,1)))*(INDEX(LE_Curves!$B$5:$B$205,MATCH($R158,LE_Curves!$E$5:$E$205,1)+1)-INDEX(LE_Curves!$B$5:$B$205,MATCH($R158,LE_Curves!$E$5:$E$205,1)))/(INDEX(LE_Curves!$E$5:$E$205,MATCH($R158,LE_Curves!$E$5:$E$205,1)+1)-INDEX(LE_Curves!$E$5:$E$205,MATCH($R158,LE_Curves!$E$5:$E$205,1))))))</f>
        <v/>
      </c>
      <c r="V158" s="11">
        <f>IF(Inputs!$D$26=0,0,IF($R158&lt;=Inputs!$C$26,0,IF($R158&gt;=INDEX(LE_Curves!$F$5:$F$205,201),INDEX(LE_Curves!$B$5:$B$205,201),INDEX(LE_Curves!$B$5:$B$205,MATCH($R158,LE_Curves!$F$5:$F$205,1))+($R158-INDEX(LE_Curves!$F$5:$F$205,MATCH($R158,LE_Curves!$F$5:$F$205,1)))*(INDEX(LE_Curves!$B$5:$B$205,MATCH($R158,LE_Curves!$F$5:$F$205,1)+1)-INDEX(LE_Curves!$B$5:$B$205,MATCH($R158,LE_Curves!$F$5:$F$205,1)))/(INDEX(LE_Curves!$F$5:$F$205,MATCH($R158,LE_Curves!$F$5:$F$205,1)+1)-INDEX(LE_Curves!$F$5:$F$205,MATCH($R158,LE_Curves!$F$5:$F$205,1))))))</f>
        <v/>
      </c>
      <c r="W158" s="11">
        <f>IF(Inputs!$D$27=0,0,IF($R158&lt;=Inputs!$C$27,0,IF($R158&gt;=INDEX(LE_Curves!$G$5:$G$205,201),INDEX(LE_Curves!$B$5:$B$205,201),INDEX(LE_Curves!$B$5:$B$205,MATCH($R158,LE_Curves!$G$5:$G$205,1))+($R158-INDEX(LE_Curves!$G$5:$G$205,MATCH($R158,LE_Curves!$G$5:$G$205,1)))*(INDEX(LE_Curves!$B$5:$B$205,MATCH($R158,LE_Curves!$G$5:$G$205,1)+1)-INDEX(LE_Curves!$B$5:$B$205,MATCH($R158,LE_Curves!$G$5:$G$205,1)))/(INDEX(LE_Curves!$G$5:$G$205,MATCH($R158,LE_Curves!$G$5:$G$205,1)+1)-INDEX(LE_Curves!$G$5:$G$205,MATCH($R158,LE_Curves!$G$5:$G$205,1))))))</f>
        <v/>
      </c>
      <c r="X158" s="11">
        <f>IF(Inputs!$D$28=0,0,IF($R158&lt;=Inputs!$C$28,0,IF($R158&gt;=INDEX(LE_Curves!$H$5:$H$205,201),INDEX(LE_Curves!$B$5:$B$205,201),INDEX(LE_Curves!$B$5:$B$205,MATCH($R158,LE_Curves!$H$5:$H$205,1))+($R158-INDEX(LE_Curves!$H$5:$H$205,MATCH($R158,LE_Curves!$H$5:$H$205,1)))*(INDEX(LE_Curves!$B$5:$B$205,MATCH($R158,LE_Curves!$H$5:$H$205,1)+1)-INDEX(LE_Curves!$B$5:$B$205,MATCH($R158,LE_Curves!$H$5:$H$205,1)))/(INDEX(LE_Curves!$H$5:$H$205,MATCH($R158,LE_Curves!$H$5:$H$205,1)+1)-INDEX(LE_Curves!$H$5:$H$205,MATCH($R158,LE_Curves!$H$5:$H$205,1))))))</f>
        <v/>
      </c>
      <c r="Y158" s="11">
        <f>IF(Inputs!$D$29=0,0,IF($R158&lt;=Inputs!$C$29,0,IF($R158&gt;=INDEX(LE_Curves!$I$5:$I$205,201),INDEX(LE_Curves!$B$5:$B$205,201),INDEX(LE_Curves!$B$5:$B$205,MATCH($R158,LE_Curves!$I$5:$I$205,1))+($R158-INDEX(LE_Curves!$I$5:$I$205,MATCH($R158,LE_Curves!$I$5:$I$205,1)))*(INDEX(LE_Curves!$B$5:$B$205,MATCH($R158,LE_Curves!$I$5:$I$205,1)+1)-INDEX(LE_Curves!$B$5:$B$205,MATCH($R158,LE_Curves!$I$5:$I$205,1)))/(INDEX(LE_Curves!$I$5:$I$205,MATCH($R158,LE_Curves!$I$5:$I$205,1)+1)-INDEX(LE_Curves!$I$5:$I$205,MATCH($R158,LE_Curves!$I$5:$I$205,1))))))</f>
        <v/>
      </c>
      <c r="Z158" s="11">
        <f>IF(Inputs!$D$30=0,0,IF($R158&lt;=Inputs!$C$30,0,IF($R158&gt;=INDEX(LE_Curves!$J$5:$J$205,201),INDEX(LE_Curves!$B$5:$B$205,201),INDEX(LE_Curves!$B$5:$B$205,MATCH($R158,LE_Curves!$J$5:$J$205,1))+($R158-INDEX(LE_Curves!$J$5:$J$205,MATCH($R158,LE_Curves!$J$5:$J$205,1)))*(INDEX(LE_Curves!$B$5:$B$205,MATCH($R158,LE_Curves!$J$5:$J$205,1)+1)-INDEX(LE_Curves!$B$5:$B$205,MATCH($R158,LE_Curves!$J$5:$J$205,1)))/(INDEX(LE_Curves!$J$5:$J$205,MATCH($R158,LE_Curves!$J$5:$J$205,1)+1)-INDEX(LE_Curves!$J$5:$J$205,MATCH($R158,LE_Curves!$J$5:$J$205,1))))))</f>
        <v/>
      </c>
      <c r="AA158" s="11">
        <f>IF(Inputs!$D$31=0,0,IF($R158&lt;=Inputs!$C$31,0,IF($R158&gt;=INDEX(LE_Curves!$K$5:$K$205,201),INDEX(LE_Curves!$B$5:$B$205,201),INDEX(LE_Curves!$B$5:$B$205,MATCH($R158,LE_Curves!$K$5:$K$205,1))+($R158-INDEX(LE_Curves!$K$5:$K$205,MATCH($R158,LE_Curves!$K$5:$K$205,1)))*(INDEX(LE_Curves!$B$5:$B$205,MATCH($R158,LE_Curves!$K$5:$K$205,1)+1)-INDEX(LE_Curves!$B$5:$B$205,MATCH($R158,LE_Curves!$K$5:$K$205,1)))/(INDEX(LE_Curves!$K$5:$K$205,MATCH($R158,LE_Curves!$K$5:$K$205,1)+1)-INDEX(LE_Curves!$K$5:$K$205,MATCH($R158,LE_Curves!$K$5:$K$205,1))))))</f>
        <v/>
      </c>
      <c r="AB158" s="11">
        <f>IF(Inputs!$D$32=0,0,IF($R158&lt;=Inputs!$C$32,0,IF($R158&gt;=INDEX(LE_Curves!$L$5:$L$205,201),INDEX(LE_Curves!$B$5:$B$205,201),INDEX(LE_Curves!$B$5:$B$205,MATCH($R158,LE_Curves!$L$5:$L$205,1))+($R158-INDEX(LE_Curves!$L$5:$L$205,MATCH($R158,LE_Curves!$L$5:$L$205,1)))*(INDEX(LE_Curves!$B$5:$B$205,MATCH($R158,LE_Curves!$L$5:$L$205,1)+1)-INDEX(LE_Curves!$B$5:$B$205,MATCH($R158,LE_Curves!$L$5:$L$205,1)))/(INDEX(LE_Curves!$L$5:$L$205,MATCH($R158,LE_Curves!$L$5:$L$205,1)+1)-INDEX(LE_Curves!$L$5:$L$205,MATCH($R158,LE_Curves!$L$5:$L$205,1))))))</f>
        <v/>
      </c>
      <c r="AC158" s="11">
        <f>IF(Inputs!$D$33=0,0,IF($R158&lt;=Inputs!$C$33,0,IF($R158&gt;=INDEX(LE_Curves!$M$5:$M$205,201),INDEX(LE_Curves!$B$5:$B$205,201),INDEX(LE_Curves!$B$5:$B$205,MATCH($R158,LE_Curves!$M$5:$M$205,1))+($R158-INDEX(LE_Curves!$M$5:$M$205,MATCH($R158,LE_Curves!$M$5:$M$205,1)))*(INDEX(LE_Curves!$B$5:$B$205,MATCH($R158,LE_Curves!$M$5:$M$205,1)+1)-INDEX(LE_Curves!$B$5:$B$205,MATCH($R158,LE_Curves!$M$5:$M$205,1)))/(INDEX(LE_Curves!$M$5:$M$205,MATCH($R158,LE_Curves!$M$5:$M$205,1)+1)-INDEX(LE_Curves!$M$5:$M$205,MATCH($R158,LE_Curves!$M$5:$M$205,1))))))</f>
        <v/>
      </c>
      <c r="AD158" s="11">
        <f>IF(Inputs!$D$34=0,0,IF($R158&lt;=Inputs!$C$34,0,IF($R158&gt;=INDEX(LE_Curves!$N$5:$N$205,201),INDEX(LE_Curves!$B$5:$B$205,201),INDEX(LE_Curves!$B$5:$B$205,MATCH($R158,LE_Curves!$N$5:$N$205,1))+($R158-INDEX(LE_Curves!$N$5:$N$205,MATCH($R158,LE_Curves!$N$5:$N$205,1)))*(INDEX(LE_Curves!$B$5:$B$205,MATCH($R158,LE_Curves!$N$5:$N$205,1)+1)-INDEX(LE_Curves!$B$5:$B$205,MATCH($R158,LE_Curves!$N$5:$N$205,1)))/(INDEX(LE_Curves!$N$5:$N$205,MATCH($R158,LE_Curves!$N$5:$N$205,1)+1)-INDEX(LE_Curves!$N$5:$N$205,MATCH($R158,LE_Curves!$N$5:$N$205,1))))))</f>
        <v/>
      </c>
      <c r="AE158" s="37">
        <f>SUM(S158:AD158)</f>
        <v/>
      </c>
    </row>
    <row r="159">
      <c r="A159" s="7" t="n">
        <v>128</v>
      </c>
      <c r="B159" s="37">
        <f>$B$3+($B$4-$B$3)*A159/200</f>
        <v/>
      </c>
      <c r="C159" s="11">
        <f>IF(Inputs!$D$23=0,0,IF($B159&lt;=Inputs!$C$23,0,IF($B159&gt;=INDEX(LE_Curves!$C$5:$C$205,201),INDEX(LE_Curves!$B$5:$B$205,201),INDEX(LE_Curves!$B$5:$B$205,MATCH($B159,LE_Curves!$C$5:$C$205,1))+($B159-INDEX(LE_Curves!$C$5:$C$205,MATCH($B159,LE_Curves!$C$5:$C$205,1)))*(INDEX(LE_Curves!$B$5:$B$205,MATCH($B159,LE_Curves!$C$5:$C$205,1)+1)-INDEX(LE_Curves!$B$5:$B$205,MATCH($B159,LE_Curves!$C$5:$C$205,1)))/(INDEX(LE_Curves!$C$5:$C$205,MATCH($B159,LE_Curves!$C$5:$C$205,1)+1)-INDEX(LE_Curves!$C$5:$C$205,MATCH($B159,LE_Curves!$C$5:$C$205,1))))))</f>
        <v/>
      </c>
      <c r="D159" s="11">
        <f>IF(Inputs!$D$24=0,0,IF($B159&lt;=Inputs!$C$24,0,IF($B159&gt;=INDEX(LE_Curves!$D$5:$D$205,201),INDEX(LE_Curves!$B$5:$B$205,201),INDEX(LE_Curves!$B$5:$B$205,MATCH($B159,LE_Curves!$D$5:$D$205,1))+($B159-INDEX(LE_Curves!$D$5:$D$205,MATCH($B159,LE_Curves!$D$5:$D$205,1)))*(INDEX(LE_Curves!$B$5:$B$205,MATCH($B159,LE_Curves!$D$5:$D$205,1)+1)-INDEX(LE_Curves!$B$5:$B$205,MATCH($B159,LE_Curves!$D$5:$D$205,1)))/(INDEX(LE_Curves!$D$5:$D$205,MATCH($B159,LE_Curves!$D$5:$D$205,1)+1)-INDEX(LE_Curves!$D$5:$D$205,MATCH($B159,LE_Curves!$D$5:$D$205,1))))))</f>
        <v/>
      </c>
      <c r="E159" s="11">
        <f>IF(Inputs!$D$25=0,0,IF($B159&lt;=Inputs!$C$25,0,IF($B159&gt;=INDEX(LE_Curves!$E$5:$E$205,201),INDEX(LE_Curves!$B$5:$B$205,201),INDEX(LE_Curves!$B$5:$B$205,MATCH($B159,LE_Curves!$E$5:$E$205,1))+($B159-INDEX(LE_Curves!$E$5:$E$205,MATCH($B159,LE_Curves!$E$5:$E$205,1)))*(INDEX(LE_Curves!$B$5:$B$205,MATCH($B159,LE_Curves!$E$5:$E$205,1)+1)-INDEX(LE_Curves!$B$5:$B$205,MATCH($B159,LE_Curves!$E$5:$E$205,1)))/(INDEX(LE_Curves!$E$5:$E$205,MATCH($B159,LE_Curves!$E$5:$E$205,1)+1)-INDEX(LE_Curves!$E$5:$E$205,MATCH($B159,LE_Curves!$E$5:$E$205,1))))))</f>
        <v/>
      </c>
      <c r="F159" s="11">
        <f>IF(Inputs!$D$26=0,0,IF($B159&lt;=Inputs!$C$26,0,IF($B159&gt;=INDEX(LE_Curves!$F$5:$F$205,201),INDEX(LE_Curves!$B$5:$B$205,201),INDEX(LE_Curves!$B$5:$B$205,MATCH($B159,LE_Curves!$F$5:$F$205,1))+($B159-INDEX(LE_Curves!$F$5:$F$205,MATCH($B159,LE_Curves!$F$5:$F$205,1)))*(INDEX(LE_Curves!$B$5:$B$205,MATCH($B159,LE_Curves!$F$5:$F$205,1)+1)-INDEX(LE_Curves!$B$5:$B$205,MATCH($B159,LE_Curves!$F$5:$F$205,1)))/(INDEX(LE_Curves!$F$5:$F$205,MATCH($B159,LE_Curves!$F$5:$F$205,1)+1)-INDEX(LE_Curves!$F$5:$F$205,MATCH($B159,LE_Curves!$F$5:$F$205,1))))))</f>
        <v/>
      </c>
      <c r="G159" s="11">
        <f>IF(Inputs!$D$27=0,0,IF($B159&lt;=Inputs!$C$27,0,IF($B159&gt;=INDEX(LE_Curves!$G$5:$G$205,201),INDEX(LE_Curves!$B$5:$B$205,201),INDEX(LE_Curves!$B$5:$B$205,MATCH($B159,LE_Curves!$G$5:$G$205,1))+($B159-INDEX(LE_Curves!$G$5:$G$205,MATCH($B159,LE_Curves!$G$5:$G$205,1)))*(INDEX(LE_Curves!$B$5:$B$205,MATCH($B159,LE_Curves!$G$5:$G$205,1)+1)-INDEX(LE_Curves!$B$5:$B$205,MATCH($B159,LE_Curves!$G$5:$G$205,1)))/(INDEX(LE_Curves!$G$5:$G$205,MATCH($B159,LE_Curves!$G$5:$G$205,1)+1)-INDEX(LE_Curves!$G$5:$G$205,MATCH($B159,LE_Curves!$G$5:$G$205,1))))))</f>
        <v/>
      </c>
      <c r="H159" s="11">
        <f>IF(Inputs!$D$28=0,0,IF($B159&lt;=Inputs!$C$28,0,IF($B159&gt;=INDEX(LE_Curves!$H$5:$H$205,201),INDEX(LE_Curves!$B$5:$B$205,201),INDEX(LE_Curves!$B$5:$B$205,MATCH($B159,LE_Curves!$H$5:$H$205,1))+($B159-INDEX(LE_Curves!$H$5:$H$205,MATCH($B159,LE_Curves!$H$5:$H$205,1)))*(INDEX(LE_Curves!$B$5:$B$205,MATCH($B159,LE_Curves!$H$5:$H$205,1)+1)-INDEX(LE_Curves!$B$5:$B$205,MATCH($B159,LE_Curves!$H$5:$H$205,1)))/(INDEX(LE_Curves!$H$5:$H$205,MATCH($B159,LE_Curves!$H$5:$H$205,1)+1)-INDEX(LE_Curves!$H$5:$H$205,MATCH($B159,LE_Curves!$H$5:$H$205,1))))))</f>
        <v/>
      </c>
      <c r="I159" s="11">
        <f>IF(Inputs!$D$29=0,0,IF($B159&lt;=Inputs!$C$29,0,IF($B159&gt;=INDEX(LE_Curves!$I$5:$I$205,201),INDEX(LE_Curves!$B$5:$B$205,201),INDEX(LE_Curves!$B$5:$B$205,MATCH($B159,LE_Curves!$I$5:$I$205,1))+($B159-INDEX(LE_Curves!$I$5:$I$205,MATCH($B159,LE_Curves!$I$5:$I$205,1)))*(INDEX(LE_Curves!$B$5:$B$205,MATCH($B159,LE_Curves!$I$5:$I$205,1)+1)-INDEX(LE_Curves!$B$5:$B$205,MATCH($B159,LE_Curves!$I$5:$I$205,1)))/(INDEX(LE_Curves!$I$5:$I$205,MATCH($B159,LE_Curves!$I$5:$I$205,1)+1)-INDEX(LE_Curves!$I$5:$I$205,MATCH($B159,LE_Curves!$I$5:$I$205,1))))))</f>
        <v/>
      </c>
      <c r="J159" s="11">
        <f>IF(Inputs!$D$30=0,0,IF($B159&lt;=Inputs!$C$30,0,IF($B159&gt;=INDEX(LE_Curves!$J$5:$J$205,201),INDEX(LE_Curves!$B$5:$B$205,201),INDEX(LE_Curves!$B$5:$B$205,MATCH($B159,LE_Curves!$J$5:$J$205,1))+($B159-INDEX(LE_Curves!$J$5:$J$205,MATCH($B159,LE_Curves!$J$5:$J$205,1)))*(INDEX(LE_Curves!$B$5:$B$205,MATCH($B159,LE_Curves!$J$5:$J$205,1)+1)-INDEX(LE_Curves!$B$5:$B$205,MATCH($B159,LE_Curves!$J$5:$J$205,1)))/(INDEX(LE_Curves!$J$5:$J$205,MATCH($B159,LE_Curves!$J$5:$J$205,1)+1)-INDEX(LE_Curves!$J$5:$J$205,MATCH($B159,LE_Curves!$J$5:$J$205,1))))))</f>
        <v/>
      </c>
      <c r="K159" s="11">
        <f>IF(Inputs!$D$31=0,0,IF($B159&lt;=Inputs!$C$31,0,IF($B159&gt;=INDEX(LE_Curves!$K$5:$K$205,201),INDEX(LE_Curves!$B$5:$B$205,201),INDEX(LE_Curves!$B$5:$B$205,MATCH($B159,LE_Curves!$K$5:$K$205,1))+($B159-INDEX(LE_Curves!$K$5:$K$205,MATCH($B159,LE_Curves!$K$5:$K$205,1)))*(INDEX(LE_Curves!$B$5:$B$205,MATCH($B159,LE_Curves!$K$5:$K$205,1)+1)-INDEX(LE_Curves!$B$5:$B$205,MATCH($B159,LE_Curves!$K$5:$K$205,1)))/(INDEX(LE_Curves!$K$5:$K$205,MATCH($B159,LE_Curves!$K$5:$K$205,1)+1)-INDEX(LE_Curves!$K$5:$K$205,MATCH($B159,LE_Curves!$K$5:$K$205,1))))))</f>
        <v/>
      </c>
      <c r="L159" s="11">
        <f>IF(Inputs!$D$32=0,0,IF($B159&lt;=Inputs!$C$32,0,IF($B159&gt;=INDEX(LE_Curves!$L$5:$L$205,201),INDEX(LE_Curves!$B$5:$B$205,201),INDEX(LE_Curves!$B$5:$B$205,MATCH($B159,LE_Curves!$L$5:$L$205,1))+($B159-INDEX(LE_Curves!$L$5:$L$205,MATCH($B159,LE_Curves!$L$5:$L$205,1)))*(INDEX(LE_Curves!$B$5:$B$205,MATCH($B159,LE_Curves!$L$5:$L$205,1)+1)-INDEX(LE_Curves!$B$5:$B$205,MATCH($B159,LE_Curves!$L$5:$L$205,1)))/(INDEX(LE_Curves!$L$5:$L$205,MATCH($B159,LE_Curves!$L$5:$L$205,1)+1)-INDEX(LE_Curves!$L$5:$L$205,MATCH($B159,LE_Curves!$L$5:$L$205,1))))))</f>
        <v/>
      </c>
      <c r="M159" s="11">
        <f>IF(Inputs!$D$33=0,0,IF($B159&lt;=Inputs!$C$33,0,IF($B159&gt;=INDEX(LE_Curves!$M$5:$M$205,201),INDEX(LE_Curves!$B$5:$B$205,201),INDEX(LE_Curves!$B$5:$B$205,MATCH($B159,LE_Curves!$M$5:$M$205,1))+($B159-INDEX(LE_Curves!$M$5:$M$205,MATCH($B159,LE_Curves!$M$5:$M$205,1)))*(INDEX(LE_Curves!$B$5:$B$205,MATCH($B159,LE_Curves!$M$5:$M$205,1)+1)-INDEX(LE_Curves!$B$5:$B$205,MATCH($B159,LE_Curves!$M$5:$M$205,1)))/(INDEX(LE_Curves!$M$5:$M$205,MATCH($B159,LE_Curves!$M$5:$M$205,1)+1)-INDEX(LE_Curves!$M$5:$M$205,MATCH($B159,LE_Curves!$M$5:$M$205,1))))))</f>
        <v/>
      </c>
      <c r="N159" s="11">
        <f>IF(Inputs!$D$34=0,0,IF($B159&lt;=Inputs!$C$34,0,IF($B159&gt;=INDEX(LE_Curves!$N$5:$N$205,201),INDEX(LE_Curves!$B$5:$B$205,201),INDEX(LE_Curves!$B$5:$B$205,MATCH($B159,LE_Curves!$N$5:$N$205,1))+($B159-INDEX(LE_Curves!$N$5:$N$205,MATCH($B159,LE_Curves!$N$5:$N$205,1)))*(INDEX(LE_Curves!$B$5:$B$205,MATCH($B159,LE_Curves!$N$5:$N$205,1)+1)-INDEX(LE_Curves!$B$5:$B$205,MATCH($B159,LE_Curves!$N$5:$N$205,1)))/(INDEX(LE_Curves!$N$5:$N$205,MATCH($B159,LE_Curves!$N$5:$N$205,1)+1)-INDEX(LE_Curves!$N$5:$N$205,MATCH($B159,LE_Curves!$N$5:$N$205,1))))))</f>
        <v/>
      </c>
      <c r="O159" s="11">
        <f>SUM(C159:N159)</f>
        <v/>
      </c>
      <c r="Q159" s="7" t="n">
        <v>128</v>
      </c>
      <c r="R159" s="23">
        <f>$B$6+($B$7-$B$6)*Q159/200</f>
        <v/>
      </c>
      <c r="S159" s="11">
        <f>IF(Inputs!$D$23=0,0,IF($R159&lt;=Inputs!$C$23,0,IF($R159&gt;=INDEX(LE_Curves!$C$5:$C$205,201),INDEX(LE_Curves!$B$5:$B$205,201),INDEX(LE_Curves!$B$5:$B$205,MATCH($R159,LE_Curves!$C$5:$C$205,1))+($R159-INDEX(LE_Curves!$C$5:$C$205,MATCH($R159,LE_Curves!$C$5:$C$205,1)))*(INDEX(LE_Curves!$B$5:$B$205,MATCH($R159,LE_Curves!$C$5:$C$205,1)+1)-INDEX(LE_Curves!$B$5:$B$205,MATCH($R159,LE_Curves!$C$5:$C$205,1)))/(INDEX(LE_Curves!$C$5:$C$205,MATCH($R159,LE_Curves!$C$5:$C$205,1)+1)-INDEX(LE_Curves!$C$5:$C$205,MATCH($R159,LE_Curves!$C$5:$C$205,1))))))</f>
        <v/>
      </c>
      <c r="T159" s="11">
        <f>IF(Inputs!$D$24=0,0,IF($R159&lt;=Inputs!$C$24,0,IF($R159&gt;=INDEX(LE_Curves!$D$5:$D$205,201),INDEX(LE_Curves!$B$5:$B$205,201),INDEX(LE_Curves!$B$5:$B$205,MATCH($R159,LE_Curves!$D$5:$D$205,1))+($R159-INDEX(LE_Curves!$D$5:$D$205,MATCH($R159,LE_Curves!$D$5:$D$205,1)))*(INDEX(LE_Curves!$B$5:$B$205,MATCH($R159,LE_Curves!$D$5:$D$205,1)+1)-INDEX(LE_Curves!$B$5:$B$205,MATCH($R159,LE_Curves!$D$5:$D$205,1)))/(INDEX(LE_Curves!$D$5:$D$205,MATCH($R159,LE_Curves!$D$5:$D$205,1)+1)-INDEX(LE_Curves!$D$5:$D$205,MATCH($R159,LE_Curves!$D$5:$D$205,1))))))</f>
        <v/>
      </c>
      <c r="U159" s="11">
        <f>IF(Inputs!$D$25=0,0,IF($R159&lt;=Inputs!$C$25,0,IF($R159&gt;=INDEX(LE_Curves!$E$5:$E$205,201),INDEX(LE_Curves!$B$5:$B$205,201),INDEX(LE_Curves!$B$5:$B$205,MATCH($R159,LE_Curves!$E$5:$E$205,1))+($R159-INDEX(LE_Curves!$E$5:$E$205,MATCH($R159,LE_Curves!$E$5:$E$205,1)))*(INDEX(LE_Curves!$B$5:$B$205,MATCH($R159,LE_Curves!$E$5:$E$205,1)+1)-INDEX(LE_Curves!$B$5:$B$205,MATCH($R159,LE_Curves!$E$5:$E$205,1)))/(INDEX(LE_Curves!$E$5:$E$205,MATCH($R159,LE_Curves!$E$5:$E$205,1)+1)-INDEX(LE_Curves!$E$5:$E$205,MATCH($R159,LE_Curves!$E$5:$E$205,1))))))</f>
        <v/>
      </c>
      <c r="V159" s="11">
        <f>IF(Inputs!$D$26=0,0,IF($R159&lt;=Inputs!$C$26,0,IF($R159&gt;=INDEX(LE_Curves!$F$5:$F$205,201),INDEX(LE_Curves!$B$5:$B$205,201),INDEX(LE_Curves!$B$5:$B$205,MATCH($R159,LE_Curves!$F$5:$F$205,1))+($R159-INDEX(LE_Curves!$F$5:$F$205,MATCH($R159,LE_Curves!$F$5:$F$205,1)))*(INDEX(LE_Curves!$B$5:$B$205,MATCH($R159,LE_Curves!$F$5:$F$205,1)+1)-INDEX(LE_Curves!$B$5:$B$205,MATCH($R159,LE_Curves!$F$5:$F$205,1)))/(INDEX(LE_Curves!$F$5:$F$205,MATCH($R159,LE_Curves!$F$5:$F$205,1)+1)-INDEX(LE_Curves!$F$5:$F$205,MATCH($R159,LE_Curves!$F$5:$F$205,1))))))</f>
        <v/>
      </c>
      <c r="W159" s="11">
        <f>IF(Inputs!$D$27=0,0,IF($R159&lt;=Inputs!$C$27,0,IF($R159&gt;=INDEX(LE_Curves!$G$5:$G$205,201),INDEX(LE_Curves!$B$5:$B$205,201),INDEX(LE_Curves!$B$5:$B$205,MATCH($R159,LE_Curves!$G$5:$G$205,1))+($R159-INDEX(LE_Curves!$G$5:$G$205,MATCH($R159,LE_Curves!$G$5:$G$205,1)))*(INDEX(LE_Curves!$B$5:$B$205,MATCH($R159,LE_Curves!$G$5:$G$205,1)+1)-INDEX(LE_Curves!$B$5:$B$205,MATCH($R159,LE_Curves!$G$5:$G$205,1)))/(INDEX(LE_Curves!$G$5:$G$205,MATCH($R159,LE_Curves!$G$5:$G$205,1)+1)-INDEX(LE_Curves!$G$5:$G$205,MATCH($R159,LE_Curves!$G$5:$G$205,1))))))</f>
        <v/>
      </c>
      <c r="X159" s="11">
        <f>IF(Inputs!$D$28=0,0,IF($R159&lt;=Inputs!$C$28,0,IF($R159&gt;=INDEX(LE_Curves!$H$5:$H$205,201),INDEX(LE_Curves!$B$5:$B$205,201),INDEX(LE_Curves!$B$5:$B$205,MATCH($R159,LE_Curves!$H$5:$H$205,1))+($R159-INDEX(LE_Curves!$H$5:$H$205,MATCH($R159,LE_Curves!$H$5:$H$205,1)))*(INDEX(LE_Curves!$B$5:$B$205,MATCH($R159,LE_Curves!$H$5:$H$205,1)+1)-INDEX(LE_Curves!$B$5:$B$205,MATCH($R159,LE_Curves!$H$5:$H$205,1)))/(INDEX(LE_Curves!$H$5:$H$205,MATCH($R159,LE_Curves!$H$5:$H$205,1)+1)-INDEX(LE_Curves!$H$5:$H$205,MATCH($R159,LE_Curves!$H$5:$H$205,1))))))</f>
        <v/>
      </c>
      <c r="Y159" s="11">
        <f>IF(Inputs!$D$29=0,0,IF($R159&lt;=Inputs!$C$29,0,IF($R159&gt;=INDEX(LE_Curves!$I$5:$I$205,201),INDEX(LE_Curves!$B$5:$B$205,201),INDEX(LE_Curves!$B$5:$B$205,MATCH($R159,LE_Curves!$I$5:$I$205,1))+($R159-INDEX(LE_Curves!$I$5:$I$205,MATCH($R159,LE_Curves!$I$5:$I$205,1)))*(INDEX(LE_Curves!$B$5:$B$205,MATCH($R159,LE_Curves!$I$5:$I$205,1)+1)-INDEX(LE_Curves!$B$5:$B$205,MATCH($R159,LE_Curves!$I$5:$I$205,1)))/(INDEX(LE_Curves!$I$5:$I$205,MATCH($R159,LE_Curves!$I$5:$I$205,1)+1)-INDEX(LE_Curves!$I$5:$I$205,MATCH($R159,LE_Curves!$I$5:$I$205,1))))))</f>
        <v/>
      </c>
      <c r="Z159" s="11">
        <f>IF(Inputs!$D$30=0,0,IF($R159&lt;=Inputs!$C$30,0,IF($R159&gt;=INDEX(LE_Curves!$J$5:$J$205,201),INDEX(LE_Curves!$B$5:$B$205,201),INDEX(LE_Curves!$B$5:$B$205,MATCH($R159,LE_Curves!$J$5:$J$205,1))+($R159-INDEX(LE_Curves!$J$5:$J$205,MATCH($R159,LE_Curves!$J$5:$J$205,1)))*(INDEX(LE_Curves!$B$5:$B$205,MATCH($R159,LE_Curves!$J$5:$J$205,1)+1)-INDEX(LE_Curves!$B$5:$B$205,MATCH($R159,LE_Curves!$J$5:$J$205,1)))/(INDEX(LE_Curves!$J$5:$J$205,MATCH($R159,LE_Curves!$J$5:$J$205,1)+1)-INDEX(LE_Curves!$J$5:$J$205,MATCH($R159,LE_Curves!$J$5:$J$205,1))))))</f>
        <v/>
      </c>
      <c r="AA159" s="11">
        <f>IF(Inputs!$D$31=0,0,IF($R159&lt;=Inputs!$C$31,0,IF($R159&gt;=INDEX(LE_Curves!$K$5:$K$205,201),INDEX(LE_Curves!$B$5:$B$205,201),INDEX(LE_Curves!$B$5:$B$205,MATCH($R159,LE_Curves!$K$5:$K$205,1))+($R159-INDEX(LE_Curves!$K$5:$K$205,MATCH($R159,LE_Curves!$K$5:$K$205,1)))*(INDEX(LE_Curves!$B$5:$B$205,MATCH($R159,LE_Curves!$K$5:$K$205,1)+1)-INDEX(LE_Curves!$B$5:$B$205,MATCH($R159,LE_Curves!$K$5:$K$205,1)))/(INDEX(LE_Curves!$K$5:$K$205,MATCH($R159,LE_Curves!$K$5:$K$205,1)+1)-INDEX(LE_Curves!$K$5:$K$205,MATCH($R159,LE_Curves!$K$5:$K$205,1))))))</f>
        <v/>
      </c>
      <c r="AB159" s="11">
        <f>IF(Inputs!$D$32=0,0,IF($R159&lt;=Inputs!$C$32,0,IF($R159&gt;=INDEX(LE_Curves!$L$5:$L$205,201),INDEX(LE_Curves!$B$5:$B$205,201),INDEX(LE_Curves!$B$5:$B$205,MATCH($R159,LE_Curves!$L$5:$L$205,1))+($R159-INDEX(LE_Curves!$L$5:$L$205,MATCH($R159,LE_Curves!$L$5:$L$205,1)))*(INDEX(LE_Curves!$B$5:$B$205,MATCH($R159,LE_Curves!$L$5:$L$205,1)+1)-INDEX(LE_Curves!$B$5:$B$205,MATCH($R159,LE_Curves!$L$5:$L$205,1)))/(INDEX(LE_Curves!$L$5:$L$205,MATCH($R159,LE_Curves!$L$5:$L$205,1)+1)-INDEX(LE_Curves!$L$5:$L$205,MATCH($R159,LE_Curves!$L$5:$L$205,1))))))</f>
        <v/>
      </c>
      <c r="AC159" s="11">
        <f>IF(Inputs!$D$33=0,0,IF($R159&lt;=Inputs!$C$33,0,IF($R159&gt;=INDEX(LE_Curves!$M$5:$M$205,201),INDEX(LE_Curves!$B$5:$B$205,201),INDEX(LE_Curves!$B$5:$B$205,MATCH($R159,LE_Curves!$M$5:$M$205,1))+($R159-INDEX(LE_Curves!$M$5:$M$205,MATCH($R159,LE_Curves!$M$5:$M$205,1)))*(INDEX(LE_Curves!$B$5:$B$205,MATCH($R159,LE_Curves!$M$5:$M$205,1)+1)-INDEX(LE_Curves!$B$5:$B$205,MATCH($R159,LE_Curves!$M$5:$M$205,1)))/(INDEX(LE_Curves!$M$5:$M$205,MATCH($R159,LE_Curves!$M$5:$M$205,1)+1)-INDEX(LE_Curves!$M$5:$M$205,MATCH($R159,LE_Curves!$M$5:$M$205,1))))))</f>
        <v/>
      </c>
      <c r="AD159" s="11">
        <f>IF(Inputs!$D$34=0,0,IF($R159&lt;=Inputs!$C$34,0,IF($R159&gt;=INDEX(LE_Curves!$N$5:$N$205,201),INDEX(LE_Curves!$B$5:$B$205,201),INDEX(LE_Curves!$B$5:$B$205,MATCH($R159,LE_Curves!$N$5:$N$205,1))+($R159-INDEX(LE_Curves!$N$5:$N$205,MATCH($R159,LE_Curves!$N$5:$N$205,1)))*(INDEX(LE_Curves!$B$5:$B$205,MATCH($R159,LE_Curves!$N$5:$N$205,1)+1)-INDEX(LE_Curves!$B$5:$B$205,MATCH($R159,LE_Curves!$N$5:$N$205,1)))/(INDEX(LE_Curves!$N$5:$N$205,MATCH($R159,LE_Curves!$N$5:$N$205,1)+1)-INDEX(LE_Curves!$N$5:$N$205,MATCH($R159,LE_Curves!$N$5:$N$205,1))))))</f>
        <v/>
      </c>
      <c r="AE159" s="37">
        <f>SUM(S159:AD159)</f>
        <v/>
      </c>
    </row>
    <row r="160">
      <c r="A160" s="7" t="n">
        <v>129</v>
      </c>
      <c r="B160" s="37">
        <f>$B$3+($B$4-$B$3)*A160/200</f>
        <v/>
      </c>
      <c r="C160" s="11">
        <f>IF(Inputs!$D$23=0,0,IF($B160&lt;=Inputs!$C$23,0,IF($B160&gt;=INDEX(LE_Curves!$C$5:$C$205,201),INDEX(LE_Curves!$B$5:$B$205,201),INDEX(LE_Curves!$B$5:$B$205,MATCH($B160,LE_Curves!$C$5:$C$205,1))+($B160-INDEX(LE_Curves!$C$5:$C$205,MATCH($B160,LE_Curves!$C$5:$C$205,1)))*(INDEX(LE_Curves!$B$5:$B$205,MATCH($B160,LE_Curves!$C$5:$C$205,1)+1)-INDEX(LE_Curves!$B$5:$B$205,MATCH($B160,LE_Curves!$C$5:$C$205,1)))/(INDEX(LE_Curves!$C$5:$C$205,MATCH($B160,LE_Curves!$C$5:$C$205,1)+1)-INDEX(LE_Curves!$C$5:$C$205,MATCH($B160,LE_Curves!$C$5:$C$205,1))))))</f>
        <v/>
      </c>
      <c r="D160" s="11">
        <f>IF(Inputs!$D$24=0,0,IF($B160&lt;=Inputs!$C$24,0,IF($B160&gt;=INDEX(LE_Curves!$D$5:$D$205,201),INDEX(LE_Curves!$B$5:$B$205,201),INDEX(LE_Curves!$B$5:$B$205,MATCH($B160,LE_Curves!$D$5:$D$205,1))+($B160-INDEX(LE_Curves!$D$5:$D$205,MATCH($B160,LE_Curves!$D$5:$D$205,1)))*(INDEX(LE_Curves!$B$5:$B$205,MATCH($B160,LE_Curves!$D$5:$D$205,1)+1)-INDEX(LE_Curves!$B$5:$B$205,MATCH($B160,LE_Curves!$D$5:$D$205,1)))/(INDEX(LE_Curves!$D$5:$D$205,MATCH($B160,LE_Curves!$D$5:$D$205,1)+1)-INDEX(LE_Curves!$D$5:$D$205,MATCH($B160,LE_Curves!$D$5:$D$205,1))))))</f>
        <v/>
      </c>
      <c r="E160" s="11">
        <f>IF(Inputs!$D$25=0,0,IF($B160&lt;=Inputs!$C$25,0,IF($B160&gt;=INDEX(LE_Curves!$E$5:$E$205,201),INDEX(LE_Curves!$B$5:$B$205,201),INDEX(LE_Curves!$B$5:$B$205,MATCH($B160,LE_Curves!$E$5:$E$205,1))+($B160-INDEX(LE_Curves!$E$5:$E$205,MATCH($B160,LE_Curves!$E$5:$E$205,1)))*(INDEX(LE_Curves!$B$5:$B$205,MATCH($B160,LE_Curves!$E$5:$E$205,1)+1)-INDEX(LE_Curves!$B$5:$B$205,MATCH($B160,LE_Curves!$E$5:$E$205,1)))/(INDEX(LE_Curves!$E$5:$E$205,MATCH($B160,LE_Curves!$E$5:$E$205,1)+1)-INDEX(LE_Curves!$E$5:$E$205,MATCH($B160,LE_Curves!$E$5:$E$205,1))))))</f>
        <v/>
      </c>
      <c r="F160" s="11">
        <f>IF(Inputs!$D$26=0,0,IF($B160&lt;=Inputs!$C$26,0,IF($B160&gt;=INDEX(LE_Curves!$F$5:$F$205,201),INDEX(LE_Curves!$B$5:$B$205,201),INDEX(LE_Curves!$B$5:$B$205,MATCH($B160,LE_Curves!$F$5:$F$205,1))+($B160-INDEX(LE_Curves!$F$5:$F$205,MATCH($B160,LE_Curves!$F$5:$F$205,1)))*(INDEX(LE_Curves!$B$5:$B$205,MATCH($B160,LE_Curves!$F$5:$F$205,1)+1)-INDEX(LE_Curves!$B$5:$B$205,MATCH($B160,LE_Curves!$F$5:$F$205,1)))/(INDEX(LE_Curves!$F$5:$F$205,MATCH($B160,LE_Curves!$F$5:$F$205,1)+1)-INDEX(LE_Curves!$F$5:$F$205,MATCH($B160,LE_Curves!$F$5:$F$205,1))))))</f>
        <v/>
      </c>
      <c r="G160" s="11">
        <f>IF(Inputs!$D$27=0,0,IF($B160&lt;=Inputs!$C$27,0,IF($B160&gt;=INDEX(LE_Curves!$G$5:$G$205,201),INDEX(LE_Curves!$B$5:$B$205,201),INDEX(LE_Curves!$B$5:$B$205,MATCH($B160,LE_Curves!$G$5:$G$205,1))+($B160-INDEX(LE_Curves!$G$5:$G$205,MATCH($B160,LE_Curves!$G$5:$G$205,1)))*(INDEX(LE_Curves!$B$5:$B$205,MATCH($B160,LE_Curves!$G$5:$G$205,1)+1)-INDEX(LE_Curves!$B$5:$B$205,MATCH($B160,LE_Curves!$G$5:$G$205,1)))/(INDEX(LE_Curves!$G$5:$G$205,MATCH($B160,LE_Curves!$G$5:$G$205,1)+1)-INDEX(LE_Curves!$G$5:$G$205,MATCH($B160,LE_Curves!$G$5:$G$205,1))))))</f>
        <v/>
      </c>
      <c r="H160" s="11">
        <f>IF(Inputs!$D$28=0,0,IF($B160&lt;=Inputs!$C$28,0,IF($B160&gt;=INDEX(LE_Curves!$H$5:$H$205,201),INDEX(LE_Curves!$B$5:$B$205,201),INDEX(LE_Curves!$B$5:$B$205,MATCH($B160,LE_Curves!$H$5:$H$205,1))+($B160-INDEX(LE_Curves!$H$5:$H$205,MATCH($B160,LE_Curves!$H$5:$H$205,1)))*(INDEX(LE_Curves!$B$5:$B$205,MATCH($B160,LE_Curves!$H$5:$H$205,1)+1)-INDEX(LE_Curves!$B$5:$B$205,MATCH($B160,LE_Curves!$H$5:$H$205,1)))/(INDEX(LE_Curves!$H$5:$H$205,MATCH($B160,LE_Curves!$H$5:$H$205,1)+1)-INDEX(LE_Curves!$H$5:$H$205,MATCH($B160,LE_Curves!$H$5:$H$205,1))))))</f>
        <v/>
      </c>
      <c r="I160" s="11">
        <f>IF(Inputs!$D$29=0,0,IF($B160&lt;=Inputs!$C$29,0,IF($B160&gt;=INDEX(LE_Curves!$I$5:$I$205,201),INDEX(LE_Curves!$B$5:$B$205,201),INDEX(LE_Curves!$B$5:$B$205,MATCH($B160,LE_Curves!$I$5:$I$205,1))+($B160-INDEX(LE_Curves!$I$5:$I$205,MATCH($B160,LE_Curves!$I$5:$I$205,1)))*(INDEX(LE_Curves!$B$5:$B$205,MATCH($B160,LE_Curves!$I$5:$I$205,1)+1)-INDEX(LE_Curves!$B$5:$B$205,MATCH($B160,LE_Curves!$I$5:$I$205,1)))/(INDEX(LE_Curves!$I$5:$I$205,MATCH($B160,LE_Curves!$I$5:$I$205,1)+1)-INDEX(LE_Curves!$I$5:$I$205,MATCH($B160,LE_Curves!$I$5:$I$205,1))))))</f>
        <v/>
      </c>
      <c r="J160" s="11">
        <f>IF(Inputs!$D$30=0,0,IF($B160&lt;=Inputs!$C$30,0,IF($B160&gt;=INDEX(LE_Curves!$J$5:$J$205,201),INDEX(LE_Curves!$B$5:$B$205,201),INDEX(LE_Curves!$B$5:$B$205,MATCH($B160,LE_Curves!$J$5:$J$205,1))+($B160-INDEX(LE_Curves!$J$5:$J$205,MATCH($B160,LE_Curves!$J$5:$J$205,1)))*(INDEX(LE_Curves!$B$5:$B$205,MATCH($B160,LE_Curves!$J$5:$J$205,1)+1)-INDEX(LE_Curves!$B$5:$B$205,MATCH($B160,LE_Curves!$J$5:$J$205,1)))/(INDEX(LE_Curves!$J$5:$J$205,MATCH($B160,LE_Curves!$J$5:$J$205,1)+1)-INDEX(LE_Curves!$J$5:$J$205,MATCH($B160,LE_Curves!$J$5:$J$205,1))))))</f>
        <v/>
      </c>
      <c r="K160" s="11">
        <f>IF(Inputs!$D$31=0,0,IF($B160&lt;=Inputs!$C$31,0,IF($B160&gt;=INDEX(LE_Curves!$K$5:$K$205,201),INDEX(LE_Curves!$B$5:$B$205,201),INDEX(LE_Curves!$B$5:$B$205,MATCH($B160,LE_Curves!$K$5:$K$205,1))+($B160-INDEX(LE_Curves!$K$5:$K$205,MATCH($B160,LE_Curves!$K$5:$K$205,1)))*(INDEX(LE_Curves!$B$5:$B$205,MATCH($B160,LE_Curves!$K$5:$K$205,1)+1)-INDEX(LE_Curves!$B$5:$B$205,MATCH($B160,LE_Curves!$K$5:$K$205,1)))/(INDEX(LE_Curves!$K$5:$K$205,MATCH($B160,LE_Curves!$K$5:$K$205,1)+1)-INDEX(LE_Curves!$K$5:$K$205,MATCH($B160,LE_Curves!$K$5:$K$205,1))))))</f>
        <v/>
      </c>
      <c r="L160" s="11">
        <f>IF(Inputs!$D$32=0,0,IF($B160&lt;=Inputs!$C$32,0,IF($B160&gt;=INDEX(LE_Curves!$L$5:$L$205,201),INDEX(LE_Curves!$B$5:$B$205,201),INDEX(LE_Curves!$B$5:$B$205,MATCH($B160,LE_Curves!$L$5:$L$205,1))+($B160-INDEX(LE_Curves!$L$5:$L$205,MATCH($B160,LE_Curves!$L$5:$L$205,1)))*(INDEX(LE_Curves!$B$5:$B$205,MATCH($B160,LE_Curves!$L$5:$L$205,1)+1)-INDEX(LE_Curves!$B$5:$B$205,MATCH($B160,LE_Curves!$L$5:$L$205,1)))/(INDEX(LE_Curves!$L$5:$L$205,MATCH($B160,LE_Curves!$L$5:$L$205,1)+1)-INDEX(LE_Curves!$L$5:$L$205,MATCH($B160,LE_Curves!$L$5:$L$205,1))))))</f>
        <v/>
      </c>
      <c r="M160" s="11">
        <f>IF(Inputs!$D$33=0,0,IF($B160&lt;=Inputs!$C$33,0,IF($B160&gt;=INDEX(LE_Curves!$M$5:$M$205,201),INDEX(LE_Curves!$B$5:$B$205,201),INDEX(LE_Curves!$B$5:$B$205,MATCH($B160,LE_Curves!$M$5:$M$205,1))+($B160-INDEX(LE_Curves!$M$5:$M$205,MATCH($B160,LE_Curves!$M$5:$M$205,1)))*(INDEX(LE_Curves!$B$5:$B$205,MATCH($B160,LE_Curves!$M$5:$M$205,1)+1)-INDEX(LE_Curves!$B$5:$B$205,MATCH($B160,LE_Curves!$M$5:$M$205,1)))/(INDEX(LE_Curves!$M$5:$M$205,MATCH($B160,LE_Curves!$M$5:$M$205,1)+1)-INDEX(LE_Curves!$M$5:$M$205,MATCH($B160,LE_Curves!$M$5:$M$205,1))))))</f>
        <v/>
      </c>
      <c r="N160" s="11">
        <f>IF(Inputs!$D$34=0,0,IF($B160&lt;=Inputs!$C$34,0,IF($B160&gt;=INDEX(LE_Curves!$N$5:$N$205,201),INDEX(LE_Curves!$B$5:$B$205,201),INDEX(LE_Curves!$B$5:$B$205,MATCH($B160,LE_Curves!$N$5:$N$205,1))+($B160-INDEX(LE_Curves!$N$5:$N$205,MATCH($B160,LE_Curves!$N$5:$N$205,1)))*(INDEX(LE_Curves!$B$5:$B$205,MATCH($B160,LE_Curves!$N$5:$N$205,1)+1)-INDEX(LE_Curves!$B$5:$B$205,MATCH($B160,LE_Curves!$N$5:$N$205,1)))/(INDEX(LE_Curves!$N$5:$N$205,MATCH($B160,LE_Curves!$N$5:$N$205,1)+1)-INDEX(LE_Curves!$N$5:$N$205,MATCH($B160,LE_Curves!$N$5:$N$205,1))))))</f>
        <v/>
      </c>
      <c r="O160" s="11">
        <f>SUM(C160:N160)</f>
        <v/>
      </c>
      <c r="Q160" s="7" t="n">
        <v>129</v>
      </c>
      <c r="R160" s="23">
        <f>$B$6+($B$7-$B$6)*Q160/200</f>
        <v/>
      </c>
      <c r="S160" s="11">
        <f>IF(Inputs!$D$23=0,0,IF($R160&lt;=Inputs!$C$23,0,IF($R160&gt;=INDEX(LE_Curves!$C$5:$C$205,201),INDEX(LE_Curves!$B$5:$B$205,201),INDEX(LE_Curves!$B$5:$B$205,MATCH($R160,LE_Curves!$C$5:$C$205,1))+($R160-INDEX(LE_Curves!$C$5:$C$205,MATCH($R160,LE_Curves!$C$5:$C$205,1)))*(INDEX(LE_Curves!$B$5:$B$205,MATCH($R160,LE_Curves!$C$5:$C$205,1)+1)-INDEX(LE_Curves!$B$5:$B$205,MATCH($R160,LE_Curves!$C$5:$C$205,1)))/(INDEX(LE_Curves!$C$5:$C$205,MATCH($R160,LE_Curves!$C$5:$C$205,1)+1)-INDEX(LE_Curves!$C$5:$C$205,MATCH($R160,LE_Curves!$C$5:$C$205,1))))))</f>
        <v/>
      </c>
      <c r="T160" s="11">
        <f>IF(Inputs!$D$24=0,0,IF($R160&lt;=Inputs!$C$24,0,IF($R160&gt;=INDEX(LE_Curves!$D$5:$D$205,201),INDEX(LE_Curves!$B$5:$B$205,201),INDEX(LE_Curves!$B$5:$B$205,MATCH($R160,LE_Curves!$D$5:$D$205,1))+($R160-INDEX(LE_Curves!$D$5:$D$205,MATCH($R160,LE_Curves!$D$5:$D$205,1)))*(INDEX(LE_Curves!$B$5:$B$205,MATCH($R160,LE_Curves!$D$5:$D$205,1)+1)-INDEX(LE_Curves!$B$5:$B$205,MATCH($R160,LE_Curves!$D$5:$D$205,1)))/(INDEX(LE_Curves!$D$5:$D$205,MATCH($R160,LE_Curves!$D$5:$D$205,1)+1)-INDEX(LE_Curves!$D$5:$D$205,MATCH($R160,LE_Curves!$D$5:$D$205,1))))))</f>
        <v/>
      </c>
      <c r="U160" s="11">
        <f>IF(Inputs!$D$25=0,0,IF($R160&lt;=Inputs!$C$25,0,IF($R160&gt;=INDEX(LE_Curves!$E$5:$E$205,201),INDEX(LE_Curves!$B$5:$B$205,201),INDEX(LE_Curves!$B$5:$B$205,MATCH($R160,LE_Curves!$E$5:$E$205,1))+($R160-INDEX(LE_Curves!$E$5:$E$205,MATCH($R160,LE_Curves!$E$5:$E$205,1)))*(INDEX(LE_Curves!$B$5:$B$205,MATCH($R160,LE_Curves!$E$5:$E$205,1)+1)-INDEX(LE_Curves!$B$5:$B$205,MATCH($R160,LE_Curves!$E$5:$E$205,1)))/(INDEX(LE_Curves!$E$5:$E$205,MATCH($R160,LE_Curves!$E$5:$E$205,1)+1)-INDEX(LE_Curves!$E$5:$E$205,MATCH($R160,LE_Curves!$E$5:$E$205,1))))))</f>
        <v/>
      </c>
      <c r="V160" s="11">
        <f>IF(Inputs!$D$26=0,0,IF($R160&lt;=Inputs!$C$26,0,IF($R160&gt;=INDEX(LE_Curves!$F$5:$F$205,201),INDEX(LE_Curves!$B$5:$B$205,201),INDEX(LE_Curves!$B$5:$B$205,MATCH($R160,LE_Curves!$F$5:$F$205,1))+($R160-INDEX(LE_Curves!$F$5:$F$205,MATCH($R160,LE_Curves!$F$5:$F$205,1)))*(INDEX(LE_Curves!$B$5:$B$205,MATCH($R160,LE_Curves!$F$5:$F$205,1)+1)-INDEX(LE_Curves!$B$5:$B$205,MATCH($R160,LE_Curves!$F$5:$F$205,1)))/(INDEX(LE_Curves!$F$5:$F$205,MATCH($R160,LE_Curves!$F$5:$F$205,1)+1)-INDEX(LE_Curves!$F$5:$F$205,MATCH($R160,LE_Curves!$F$5:$F$205,1))))))</f>
        <v/>
      </c>
      <c r="W160" s="11">
        <f>IF(Inputs!$D$27=0,0,IF($R160&lt;=Inputs!$C$27,0,IF($R160&gt;=INDEX(LE_Curves!$G$5:$G$205,201),INDEX(LE_Curves!$B$5:$B$205,201),INDEX(LE_Curves!$B$5:$B$205,MATCH($R160,LE_Curves!$G$5:$G$205,1))+($R160-INDEX(LE_Curves!$G$5:$G$205,MATCH($R160,LE_Curves!$G$5:$G$205,1)))*(INDEX(LE_Curves!$B$5:$B$205,MATCH($R160,LE_Curves!$G$5:$G$205,1)+1)-INDEX(LE_Curves!$B$5:$B$205,MATCH($R160,LE_Curves!$G$5:$G$205,1)))/(INDEX(LE_Curves!$G$5:$G$205,MATCH($R160,LE_Curves!$G$5:$G$205,1)+1)-INDEX(LE_Curves!$G$5:$G$205,MATCH($R160,LE_Curves!$G$5:$G$205,1))))))</f>
        <v/>
      </c>
      <c r="X160" s="11">
        <f>IF(Inputs!$D$28=0,0,IF($R160&lt;=Inputs!$C$28,0,IF($R160&gt;=INDEX(LE_Curves!$H$5:$H$205,201),INDEX(LE_Curves!$B$5:$B$205,201),INDEX(LE_Curves!$B$5:$B$205,MATCH($R160,LE_Curves!$H$5:$H$205,1))+($R160-INDEX(LE_Curves!$H$5:$H$205,MATCH($R160,LE_Curves!$H$5:$H$205,1)))*(INDEX(LE_Curves!$B$5:$B$205,MATCH($R160,LE_Curves!$H$5:$H$205,1)+1)-INDEX(LE_Curves!$B$5:$B$205,MATCH($R160,LE_Curves!$H$5:$H$205,1)))/(INDEX(LE_Curves!$H$5:$H$205,MATCH($R160,LE_Curves!$H$5:$H$205,1)+1)-INDEX(LE_Curves!$H$5:$H$205,MATCH($R160,LE_Curves!$H$5:$H$205,1))))))</f>
        <v/>
      </c>
      <c r="Y160" s="11">
        <f>IF(Inputs!$D$29=0,0,IF($R160&lt;=Inputs!$C$29,0,IF($R160&gt;=INDEX(LE_Curves!$I$5:$I$205,201),INDEX(LE_Curves!$B$5:$B$205,201),INDEX(LE_Curves!$B$5:$B$205,MATCH($R160,LE_Curves!$I$5:$I$205,1))+($R160-INDEX(LE_Curves!$I$5:$I$205,MATCH($R160,LE_Curves!$I$5:$I$205,1)))*(INDEX(LE_Curves!$B$5:$B$205,MATCH($R160,LE_Curves!$I$5:$I$205,1)+1)-INDEX(LE_Curves!$B$5:$B$205,MATCH($R160,LE_Curves!$I$5:$I$205,1)))/(INDEX(LE_Curves!$I$5:$I$205,MATCH($R160,LE_Curves!$I$5:$I$205,1)+1)-INDEX(LE_Curves!$I$5:$I$205,MATCH($R160,LE_Curves!$I$5:$I$205,1))))))</f>
        <v/>
      </c>
      <c r="Z160" s="11">
        <f>IF(Inputs!$D$30=0,0,IF($R160&lt;=Inputs!$C$30,0,IF($R160&gt;=INDEX(LE_Curves!$J$5:$J$205,201),INDEX(LE_Curves!$B$5:$B$205,201),INDEX(LE_Curves!$B$5:$B$205,MATCH($R160,LE_Curves!$J$5:$J$205,1))+($R160-INDEX(LE_Curves!$J$5:$J$205,MATCH($R160,LE_Curves!$J$5:$J$205,1)))*(INDEX(LE_Curves!$B$5:$B$205,MATCH($R160,LE_Curves!$J$5:$J$205,1)+1)-INDEX(LE_Curves!$B$5:$B$205,MATCH($R160,LE_Curves!$J$5:$J$205,1)))/(INDEX(LE_Curves!$J$5:$J$205,MATCH($R160,LE_Curves!$J$5:$J$205,1)+1)-INDEX(LE_Curves!$J$5:$J$205,MATCH($R160,LE_Curves!$J$5:$J$205,1))))))</f>
        <v/>
      </c>
      <c r="AA160" s="11">
        <f>IF(Inputs!$D$31=0,0,IF($R160&lt;=Inputs!$C$31,0,IF($R160&gt;=INDEX(LE_Curves!$K$5:$K$205,201),INDEX(LE_Curves!$B$5:$B$205,201),INDEX(LE_Curves!$B$5:$B$205,MATCH($R160,LE_Curves!$K$5:$K$205,1))+($R160-INDEX(LE_Curves!$K$5:$K$205,MATCH($R160,LE_Curves!$K$5:$K$205,1)))*(INDEX(LE_Curves!$B$5:$B$205,MATCH($R160,LE_Curves!$K$5:$K$205,1)+1)-INDEX(LE_Curves!$B$5:$B$205,MATCH($R160,LE_Curves!$K$5:$K$205,1)))/(INDEX(LE_Curves!$K$5:$K$205,MATCH($R160,LE_Curves!$K$5:$K$205,1)+1)-INDEX(LE_Curves!$K$5:$K$205,MATCH($R160,LE_Curves!$K$5:$K$205,1))))))</f>
        <v/>
      </c>
      <c r="AB160" s="11">
        <f>IF(Inputs!$D$32=0,0,IF($R160&lt;=Inputs!$C$32,0,IF($R160&gt;=INDEX(LE_Curves!$L$5:$L$205,201),INDEX(LE_Curves!$B$5:$B$205,201),INDEX(LE_Curves!$B$5:$B$205,MATCH($R160,LE_Curves!$L$5:$L$205,1))+($R160-INDEX(LE_Curves!$L$5:$L$205,MATCH($R160,LE_Curves!$L$5:$L$205,1)))*(INDEX(LE_Curves!$B$5:$B$205,MATCH($R160,LE_Curves!$L$5:$L$205,1)+1)-INDEX(LE_Curves!$B$5:$B$205,MATCH($R160,LE_Curves!$L$5:$L$205,1)))/(INDEX(LE_Curves!$L$5:$L$205,MATCH($R160,LE_Curves!$L$5:$L$205,1)+1)-INDEX(LE_Curves!$L$5:$L$205,MATCH($R160,LE_Curves!$L$5:$L$205,1))))))</f>
        <v/>
      </c>
      <c r="AC160" s="11">
        <f>IF(Inputs!$D$33=0,0,IF($R160&lt;=Inputs!$C$33,0,IF($R160&gt;=INDEX(LE_Curves!$M$5:$M$205,201),INDEX(LE_Curves!$B$5:$B$205,201),INDEX(LE_Curves!$B$5:$B$205,MATCH($R160,LE_Curves!$M$5:$M$205,1))+($R160-INDEX(LE_Curves!$M$5:$M$205,MATCH($R160,LE_Curves!$M$5:$M$205,1)))*(INDEX(LE_Curves!$B$5:$B$205,MATCH($R160,LE_Curves!$M$5:$M$205,1)+1)-INDEX(LE_Curves!$B$5:$B$205,MATCH($R160,LE_Curves!$M$5:$M$205,1)))/(INDEX(LE_Curves!$M$5:$M$205,MATCH($R160,LE_Curves!$M$5:$M$205,1)+1)-INDEX(LE_Curves!$M$5:$M$205,MATCH($R160,LE_Curves!$M$5:$M$205,1))))))</f>
        <v/>
      </c>
      <c r="AD160" s="11">
        <f>IF(Inputs!$D$34=0,0,IF($R160&lt;=Inputs!$C$34,0,IF($R160&gt;=INDEX(LE_Curves!$N$5:$N$205,201),INDEX(LE_Curves!$B$5:$B$205,201),INDEX(LE_Curves!$B$5:$B$205,MATCH($R160,LE_Curves!$N$5:$N$205,1))+($R160-INDEX(LE_Curves!$N$5:$N$205,MATCH($R160,LE_Curves!$N$5:$N$205,1)))*(INDEX(LE_Curves!$B$5:$B$205,MATCH($R160,LE_Curves!$N$5:$N$205,1)+1)-INDEX(LE_Curves!$B$5:$B$205,MATCH($R160,LE_Curves!$N$5:$N$205,1)))/(INDEX(LE_Curves!$N$5:$N$205,MATCH($R160,LE_Curves!$N$5:$N$205,1)+1)-INDEX(LE_Curves!$N$5:$N$205,MATCH($R160,LE_Curves!$N$5:$N$205,1))))))</f>
        <v/>
      </c>
      <c r="AE160" s="37">
        <f>SUM(S160:AD160)</f>
        <v/>
      </c>
    </row>
    <row r="161">
      <c r="A161" s="7" t="n">
        <v>130</v>
      </c>
      <c r="B161" s="37">
        <f>$B$3+($B$4-$B$3)*A161/200</f>
        <v/>
      </c>
      <c r="C161" s="11">
        <f>IF(Inputs!$D$23=0,0,IF($B161&lt;=Inputs!$C$23,0,IF($B161&gt;=INDEX(LE_Curves!$C$5:$C$205,201),INDEX(LE_Curves!$B$5:$B$205,201),INDEX(LE_Curves!$B$5:$B$205,MATCH($B161,LE_Curves!$C$5:$C$205,1))+($B161-INDEX(LE_Curves!$C$5:$C$205,MATCH($B161,LE_Curves!$C$5:$C$205,1)))*(INDEX(LE_Curves!$B$5:$B$205,MATCH($B161,LE_Curves!$C$5:$C$205,1)+1)-INDEX(LE_Curves!$B$5:$B$205,MATCH($B161,LE_Curves!$C$5:$C$205,1)))/(INDEX(LE_Curves!$C$5:$C$205,MATCH($B161,LE_Curves!$C$5:$C$205,1)+1)-INDEX(LE_Curves!$C$5:$C$205,MATCH($B161,LE_Curves!$C$5:$C$205,1))))))</f>
        <v/>
      </c>
      <c r="D161" s="11">
        <f>IF(Inputs!$D$24=0,0,IF($B161&lt;=Inputs!$C$24,0,IF($B161&gt;=INDEX(LE_Curves!$D$5:$D$205,201),INDEX(LE_Curves!$B$5:$B$205,201),INDEX(LE_Curves!$B$5:$B$205,MATCH($B161,LE_Curves!$D$5:$D$205,1))+($B161-INDEX(LE_Curves!$D$5:$D$205,MATCH($B161,LE_Curves!$D$5:$D$205,1)))*(INDEX(LE_Curves!$B$5:$B$205,MATCH($B161,LE_Curves!$D$5:$D$205,1)+1)-INDEX(LE_Curves!$B$5:$B$205,MATCH($B161,LE_Curves!$D$5:$D$205,1)))/(INDEX(LE_Curves!$D$5:$D$205,MATCH($B161,LE_Curves!$D$5:$D$205,1)+1)-INDEX(LE_Curves!$D$5:$D$205,MATCH($B161,LE_Curves!$D$5:$D$205,1))))))</f>
        <v/>
      </c>
      <c r="E161" s="11">
        <f>IF(Inputs!$D$25=0,0,IF($B161&lt;=Inputs!$C$25,0,IF($B161&gt;=INDEX(LE_Curves!$E$5:$E$205,201),INDEX(LE_Curves!$B$5:$B$205,201),INDEX(LE_Curves!$B$5:$B$205,MATCH($B161,LE_Curves!$E$5:$E$205,1))+($B161-INDEX(LE_Curves!$E$5:$E$205,MATCH($B161,LE_Curves!$E$5:$E$205,1)))*(INDEX(LE_Curves!$B$5:$B$205,MATCH($B161,LE_Curves!$E$5:$E$205,1)+1)-INDEX(LE_Curves!$B$5:$B$205,MATCH($B161,LE_Curves!$E$5:$E$205,1)))/(INDEX(LE_Curves!$E$5:$E$205,MATCH($B161,LE_Curves!$E$5:$E$205,1)+1)-INDEX(LE_Curves!$E$5:$E$205,MATCH($B161,LE_Curves!$E$5:$E$205,1))))))</f>
        <v/>
      </c>
      <c r="F161" s="11">
        <f>IF(Inputs!$D$26=0,0,IF($B161&lt;=Inputs!$C$26,0,IF($B161&gt;=INDEX(LE_Curves!$F$5:$F$205,201),INDEX(LE_Curves!$B$5:$B$205,201),INDEX(LE_Curves!$B$5:$B$205,MATCH($B161,LE_Curves!$F$5:$F$205,1))+($B161-INDEX(LE_Curves!$F$5:$F$205,MATCH($B161,LE_Curves!$F$5:$F$205,1)))*(INDEX(LE_Curves!$B$5:$B$205,MATCH($B161,LE_Curves!$F$5:$F$205,1)+1)-INDEX(LE_Curves!$B$5:$B$205,MATCH($B161,LE_Curves!$F$5:$F$205,1)))/(INDEX(LE_Curves!$F$5:$F$205,MATCH($B161,LE_Curves!$F$5:$F$205,1)+1)-INDEX(LE_Curves!$F$5:$F$205,MATCH($B161,LE_Curves!$F$5:$F$205,1))))))</f>
        <v/>
      </c>
      <c r="G161" s="11">
        <f>IF(Inputs!$D$27=0,0,IF($B161&lt;=Inputs!$C$27,0,IF($B161&gt;=INDEX(LE_Curves!$G$5:$G$205,201),INDEX(LE_Curves!$B$5:$B$205,201),INDEX(LE_Curves!$B$5:$B$205,MATCH($B161,LE_Curves!$G$5:$G$205,1))+($B161-INDEX(LE_Curves!$G$5:$G$205,MATCH($B161,LE_Curves!$G$5:$G$205,1)))*(INDEX(LE_Curves!$B$5:$B$205,MATCH($B161,LE_Curves!$G$5:$G$205,1)+1)-INDEX(LE_Curves!$B$5:$B$205,MATCH($B161,LE_Curves!$G$5:$G$205,1)))/(INDEX(LE_Curves!$G$5:$G$205,MATCH($B161,LE_Curves!$G$5:$G$205,1)+1)-INDEX(LE_Curves!$G$5:$G$205,MATCH($B161,LE_Curves!$G$5:$G$205,1))))))</f>
        <v/>
      </c>
      <c r="H161" s="11">
        <f>IF(Inputs!$D$28=0,0,IF($B161&lt;=Inputs!$C$28,0,IF($B161&gt;=INDEX(LE_Curves!$H$5:$H$205,201),INDEX(LE_Curves!$B$5:$B$205,201),INDEX(LE_Curves!$B$5:$B$205,MATCH($B161,LE_Curves!$H$5:$H$205,1))+($B161-INDEX(LE_Curves!$H$5:$H$205,MATCH($B161,LE_Curves!$H$5:$H$205,1)))*(INDEX(LE_Curves!$B$5:$B$205,MATCH($B161,LE_Curves!$H$5:$H$205,1)+1)-INDEX(LE_Curves!$B$5:$B$205,MATCH($B161,LE_Curves!$H$5:$H$205,1)))/(INDEX(LE_Curves!$H$5:$H$205,MATCH($B161,LE_Curves!$H$5:$H$205,1)+1)-INDEX(LE_Curves!$H$5:$H$205,MATCH($B161,LE_Curves!$H$5:$H$205,1))))))</f>
        <v/>
      </c>
      <c r="I161" s="11">
        <f>IF(Inputs!$D$29=0,0,IF($B161&lt;=Inputs!$C$29,0,IF($B161&gt;=INDEX(LE_Curves!$I$5:$I$205,201),INDEX(LE_Curves!$B$5:$B$205,201),INDEX(LE_Curves!$B$5:$B$205,MATCH($B161,LE_Curves!$I$5:$I$205,1))+($B161-INDEX(LE_Curves!$I$5:$I$205,MATCH($B161,LE_Curves!$I$5:$I$205,1)))*(INDEX(LE_Curves!$B$5:$B$205,MATCH($B161,LE_Curves!$I$5:$I$205,1)+1)-INDEX(LE_Curves!$B$5:$B$205,MATCH($B161,LE_Curves!$I$5:$I$205,1)))/(INDEX(LE_Curves!$I$5:$I$205,MATCH($B161,LE_Curves!$I$5:$I$205,1)+1)-INDEX(LE_Curves!$I$5:$I$205,MATCH($B161,LE_Curves!$I$5:$I$205,1))))))</f>
        <v/>
      </c>
      <c r="J161" s="11">
        <f>IF(Inputs!$D$30=0,0,IF($B161&lt;=Inputs!$C$30,0,IF($B161&gt;=INDEX(LE_Curves!$J$5:$J$205,201),INDEX(LE_Curves!$B$5:$B$205,201),INDEX(LE_Curves!$B$5:$B$205,MATCH($B161,LE_Curves!$J$5:$J$205,1))+($B161-INDEX(LE_Curves!$J$5:$J$205,MATCH($B161,LE_Curves!$J$5:$J$205,1)))*(INDEX(LE_Curves!$B$5:$B$205,MATCH($B161,LE_Curves!$J$5:$J$205,1)+1)-INDEX(LE_Curves!$B$5:$B$205,MATCH($B161,LE_Curves!$J$5:$J$205,1)))/(INDEX(LE_Curves!$J$5:$J$205,MATCH($B161,LE_Curves!$J$5:$J$205,1)+1)-INDEX(LE_Curves!$J$5:$J$205,MATCH($B161,LE_Curves!$J$5:$J$205,1))))))</f>
        <v/>
      </c>
      <c r="K161" s="11">
        <f>IF(Inputs!$D$31=0,0,IF($B161&lt;=Inputs!$C$31,0,IF($B161&gt;=INDEX(LE_Curves!$K$5:$K$205,201),INDEX(LE_Curves!$B$5:$B$205,201),INDEX(LE_Curves!$B$5:$B$205,MATCH($B161,LE_Curves!$K$5:$K$205,1))+($B161-INDEX(LE_Curves!$K$5:$K$205,MATCH($B161,LE_Curves!$K$5:$K$205,1)))*(INDEX(LE_Curves!$B$5:$B$205,MATCH($B161,LE_Curves!$K$5:$K$205,1)+1)-INDEX(LE_Curves!$B$5:$B$205,MATCH($B161,LE_Curves!$K$5:$K$205,1)))/(INDEX(LE_Curves!$K$5:$K$205,MATCH($B161,LE_Curves!$K$5:$K$205,1)+1)-INDEX(LE_Curves!$K$5:$K$205,MATCH($B161,LE_Curves!$K$5:$K$205,1))))))</f>
        <v/>
      </c>
      <c r="L161" s="11">
        <f>IF(Inputs!$D$32=0,0,IF($B161&lt;=Inputs!$C$32,0,IF($B161&gt;=INDEX(LE_Curves!$L$5:$L$205,201),INDEX(LE_Curves!$B$5:$B$205,201),INDEX(LE_Curves!$B$5:$B$205,MATCH($B161,LE_Curves!$L$5:$L$205,1))+($B161-INDEX(LE_Curves!$L$5:$L$205,MATCH($B161,LE_Curves!$L$5:$L$205,1)))*(INDEX(LE_Curves!$B$5:$B$205,MATCH($B161,LE_Curves!$L$5:$L$205,1)+1)-INDEX(LE_Curves!$B$5:$B$205,MATCH($B161,LE_Curves!$L$5:$L$205,1)))/(INDEX(LE_Curves!$L$5:$L$205,MATCH($B161,LE_Curves!$L$5:$L$205,1)+1)-INDEX(LE_Curves!$L$5:$L$205,MATCH($B161,LE_Curves!$L$5:$L$205,1))))))</f>
        <v/>
      </c>
      <c r="M161" s="11">
        <f>IF(Inputs!$D$33=0,0,IF($B161&lt;=Inputs!$C$33,0,IF($B161&gt;=INDEX(LE_Curves!$M$5:$M$205,201),INDEX(LE_Curves!$B$5:$B$205,201),INDEX(LE_Curves!$B$5:$B$205,MATCH($B161,LE_Curves!$M$5:$M$205,1))+($B161-INDEX(LE_Curves!$M$5:$M$205,MATCH($B161,LE_Curves!$M$5:$M$205,1)))*(INDEX(LE_Curves!$B$5:$B$205,MATCH($B161,LE_Curves!$M$5:$M$205,1)+1)-INDEX(LE_Curves!$B$5:$B$205,MATCH($B161,LE_Curves!$M$5:$M$205,1)))/(INDEX(LE_Curves!$M$5:$M$205,MATCH($B161,LE_Curves!$M$5:$M$205,1)+1)-INDEX(LE_Curves!$M$5:$M$205,MATCH($B161,LE_Curves!$M$5:$M$205,1))))))</f>
        <v/>
      </c>
      <c r="N161" s="11">
        <f>IF(Inputs!$D$34=0,0,IF($B161&lt;=Inputs!$C$34,0,IF($B161&gt;=INDEX(LE_Curves!$N$5:$N$205,201),INDEX(LE_Curves!$B$5:$B$205,201),INDEX(LE_Curves!$B$5:$B$205,MATCH($B161,LE_Curves!$N$5:$N$205,1))+($B161-INDEX(LE_Curves!$N$5:$N$205,MATCH($B161,LE_Curves!$N$5:$N$205,1)))*(INDEX(LE_Curves!$B$5:$B$205,MATCH($B161,LE_Curves!$N$5:$N$205,1)+1)-INDEX(LE_Curves!$B$5:$B$205,MATCH($B161,LE_Curves!$N$5:$N$205,1)))/(INDEX(LE_Curves!$N$5:$N$205,MATCH($B161,LE_Curves!$N$5:$N$205,1)+1)-INDEX(LE_Curves!$N$5:$N$205,MATCH($B161,LE_Curves!$N$5:$N$205,1))))))</f>
        <v/>
      </c>
      <c r="O161" s="11">
        <f>SUM(C161:N161)</f>
        <v/>
      </c>
      <c r="Q161" s="7" t="n">
        <v>130</v>
      </c>
      <c r="R161" s="23">
        <f>$B$6+($B$7-$B$6)*Q161/200</f>
        <v/>
      </c>
      <c r="S161" s="11">
        <f>IF(Inputs!$D$23=0,0,IF($R161&lt;=Inputs!$C$23,0,IF($R161&gt;=INDEX(LE_Curves!$C$5:$C$205,201),INDEX(LE_Curves!$B$5:$B$205,201),INDEX(LE_Curves!$B$5:$B$205,MATCH($R161,LE_Curves!$C$5:$C$205,1))+($R161-INDEX(LE_Curves!$C$5:$C$205,MATCH($R161,LE_Curves!$C$5:$C$205,1)))*(INDEX(LE_Curves!$B$5:$B$205,MATCH($R161,LE_Curves!$C$5:$C$205,1)+1)-INDEX(LE_Curves!$B$5:$B$205,MATCH($R161,LE_Curves!$C$5:$C$205,1)))/(INDEX(LE_Curves!$C$5:$C$205,MATCH($R161,LE_Curves!$C$5:$C$205,1)+1)-INDEX(LE_Curves!$C$5:$C$205,MATCH($R161,LE_Curves!$C$5:$C$205,1))))))</f>
        <v/>
      </c>
      <c r="T161" s="11">
        <f>IF(Inputs!$D$24=0,0,IF($R161&lt;=Inputs!$C$24,0,IF($R161&gt;=INDEX(LE_Curves!$D$5:$D$205,201),INDEX(LE_Curves!$B$5:$B$205,201),INDEX(LE_Curves!$B$5:$B$205,MATCH($R161,LE_Curves!$D$5:$D$205,1))+($R161-INDEX(LE_Curves!$D$5:$D$205,MATCH($R161,LE_Curves!$D$5:$D$205,1)))*(INDEX(LE_Curves!$B$5:$B$205,MATCH($R161,LE_Curves!$D$5:$D$205,1)+1)-INDEX(LE_Curves!$B$5:$B$205,MATCH($R161,LE_Curves!$D$5:$D$205,1)))/(INDEX(LE_Curves!$D$5:$D$205,MATCH($R161,LE_Curves!$D$5:$D$205,1)+1)-INDEX(LE_Curves!$D$5:$D$205,MATCH($R161,LE_Curves!$D$5:$D$205,1))))))</f>
        <v/>
      </c>
      <c r="U161" s="11">
        <f>IF(Inputs!$D$25=0,0,IF($R161&lt;=Inputs!$C$25,0,IF($R161&gt;=INDEX(LE_Curves!$E$5:$E$205,201),INDEX(LE_Curves!$B$5:$B$205,201),INDEX(LE_Curves!$B$5:$B$205,MATCH($R161,LE_Curves!$E$5:$E$205,1))+($R161-INDEX(LE_Curves!$E$5:$E$205,MATCH($R161,LE_Curves!$E$5:$E$205,1)))*(INDEX(LE_Curves!$B$5:$B$205,MATCH($R161,LE_Curves!$E$5:$E$205,1)+1)-INDEX(LE_Curves!$B$5:$B$205,MATCH($R161,LE_Curves!$E$5:$E$205,1)))/(INDEX(LE_Curves!$E$5:$E$205,MATCH($R161,LE_Curves!$E$5:$E$205,1)+1)-INDEX(LE_Curves!$E$5:$E$205,MATCH($R161,LE_Curves!$E$5:$E$205,1))))))</f>
        <v/>
      </c>
      <c r="V161" s="11">
        <f>IF(Inputs!$D$26=0,0,IF($R161&lt;=Inputs!$C$26,0,IF($R161&gt;=INDEX(LE_Curves!$F$5:$F$205,201),INDEX(LE_Curves!$B$5:$B$205,201),INDEX(LE_Curves!$B$5:$B$205,MATCH($R161,LE_Curves!$F$5:$F$205,1))+($R161-INDEX(LE_Curves!$F$5:$F$205,MATCH($R161,LE_Curves!$F$5:$F$205,1)))*(INDEX(LE_Curves!$B$5:$B$205,MATCH($R161,LE_Curves!$F$5:$F$205,1)+1)-INDEX(LE_Curves!$B$5:$B$205,MATCH($R161,LE_Curves!$F$5:$F$205,1)))/(INDEX(LE_Curves!$F$5:$F$205,MATCH($R161,LE_Curves!$F$5:$F$205,1)+1)-INDEX(LE_Curves!$F$5:$F$205,MATCH($R161,LE_Curves!$F$5:$F$205,1))))))</f>
        <v/>
      </c>
      <c r="W161" s="11">
        <f>IF(Inputs!$D$27=0,0,IF($R161&lt;=Inputs!$C$27,0,IF($R161&gt;=INDEX(LE_Curves!$G$5:$G$205,201),INDEX(LE_Curves!$B$5:$B$205,201),INDEX(LE_Curves!$B$5:$B$205,MATCH($R161,LE_Curves!$G$5:$G$205,1))+($R161-INDEX(LE_Curves!$G$5:$G$205,MATCH($R161,LE_Curves!$G$5:$G$205,1)))*(INDEX(LE_Curves!$B$5:$B$205,MATCH($R161,LE_Curves!$G$5:$G$205,1)+1)-INDEX(LE_Curves!$B$5:$B$205,MATCH($R161,LE_Curves!$G$5:$G$205,1)))/(INDEX(LE_Curves!$G$5:$G$205,MATCH($R161,LE_Curves!$G$5:$G$205,1)+1)-INDEX(LE_Curves!$G$5:$G$205,MATCH($R161,LE_Curves!$G$5:$G$205,1))))))</f>
        <v/>
      </c>
      <c r="X161" s="11">
        <f>IF(Inputs!$D$28=0,0,IF($R161&lt;=Inputs!$C$28,0,IF($R161&gt;=INDEX(LE_Curves!$H$5:$H$205,201),INDEX(LE_Curves!$B$5:$B$205,201),INDEX(LE_Curves!$B$5:$B$205,MATCH($R161,LE_Curves!$H$5:$H$205,1))+($R161-INDEX(LE_Curves!$H$5:$H$205,MATCH($R161,LE_Curves!$H$5:$H$205,1)))*(INDEX(LE_Curves!$B$5:$B$205,MATCH($R161,LE_Curves!$H$5:$H$205,1)+1)-INDEX(LE_Curves!$B$5:$B$205,MATCH($R161,LE_Curves!$H$5:$H$205,1)))/(INDEX(LE_Curves!$H$5:$H$205,MATCH($R161,LE_Curves!$H$5:$H$205,1)+1)-INDEX(LE_Curves!$H$5:$H$205,MATCH($R161,LE_Curves!$H$5:$H$205,1))))))</f>
        <v/>
      </c>
      <c r="Y161" s="11">
        <f>IF(Inputs!$D$29=0,0,IF($R161&lt;=Inputs!$C$29,0,IF($R161&gt;=INDEX(LE_Curves!$I$5:$I$205,201),INDEX(LE_Curves!$B$5:$B$205,201),INDEX(LE_Curves!$B$5:$B$205,MATCH($R161,LE_Curves!$I$5:$I$205,1))+($R161-INDEX(LE_Curves!$I$5:$I$205,MATCH($R161,LE_Curves!$I$5:$I$205,1)))*(INDEX(LE_Curves!$B$5:$B$205,MATCH($R161,LE_Curves!$I$5:$I$205,1)+1)-INDEX(LE_Curves!$B$5:$B$205,MATCH($R161,LE_Curves!$I$5:$I$205,1)))/(INDEX(LE_Curves!$I$5:$I$205,MATCH($R161,LE_Curves!$I$5:$I$205,1)+1)-INDEX(LE_Curves!$I$5:$I$205,MATCH($R161,LE_Curves!$I$5:$I$205,1))))))</f>
        <v/>
      </c>
      <c r="Z161" s="11">
        <f>IF(Inputs!$D$30=0,0,IF($R161&lt;=Inputs!$C$30,0,IF($R161&gt;=INDEX(LE_Curves!$J$5:$J$205,201),INDEX(LE_Curves!$B$5:$B$205,201),INDEX(LE_Curves!$B$5:$B$205,MATCH($R161,LE_Curves!$J$5:$J$205,1))+($R161-INDEX(LE_Curves!$J$5:$J$205,MATCH($R161,LE_Curves!$J$5:$J$205,1)))*(INDEX(LE_Curves!$B$5:$B$205,MATCH($R161,LE_Curves!$J$5:$J$205,1)+1)-INDEX(LE_Curves!$B$5:$B$205,MATCH($R161,LE_Curves!$J$5:$J$205,1)))/(INDEX(LE_Curves!$J$5:$J$205,MATCH($R161,LE_Curves!$J$5:$J$205,1)+1)-INDEX(LE_Curves!$J$5:$J$205,MATCH($R161,LE_Curves!$J$5:$J$205,1))))))</f>
        <v/>
      </c>
      <c r="AA161" s="11">
        <f>IF(Inputs!$D$31=0,0,IF($R161&lt;=Inputs!$C$31,0,IF($R161&gt;=INDEX(LE_Curves!$K$5:$K$205,201),INDEX(LE_Curves!$B$5:$B$205,201),INDEX(LE_Curves!$B$5:$B$205,MATCH($R161,LE_Curves!$K$5:$K$205,1))+($R161-INDEX(LE_Curves!$K$5:$K$205,MATCH($R161,LE_Curves!$K$5:$K$205,1)))*(INDEX(LE_Curves!$B$5:$B$205,MATCH($R161,LE_Curves!$K$5:$K$205,1)+1)-INDEX(LE_Curves!$B$5:$B$205,MATCH($R161,LE_Curves!$K$5:$K$205,1)))/(INDEX(LE_Curves!$K$5:$K$205,MATCH($R161,LE_Curves!$K$5:$K$205,1)+1)-INDEX(LE_Curves!$K$5:$K$205,MATCH($R161,LE_Curves!$K$5:$K$205,1))))))</f>
        <v/>
      </c>
      <c r="AB161" s="11">
        <f>IF(Inputs!$D$32=0,0,IF($R161&lt;=Inputs!$C$32,0,IF($R161&gt;=INDEX(LE_Curves!$L$5:$L$205,201),INDEX(LE_Curves!$B$5:$B$205,201),INDEX(LE_Curves!$B$5:$B$205,MATCH($R161,LE_Curves!$L$5:$L$205,1))+($R161-INDEX(LE_Curves!$L$5:$L$205,MATCH($R161,LE_Curves!$L$5:$L$205,1)))*(INDEX(LE_Curves!$B$5:$B$205,MATCH($R161,LE_Curves!$L$5:$L$205,1)+1)-INDEX(LE_Curves!$B$5:$B$205,MATCH($R161,LE_Curves!$L$5:$L$205,1)))/(INDEX(LE_Curves!$L$5:$L$205,MATCH($R161,LE_Curves!$L$5:$L$205,1)+1)-INDEX(LE_Curves!$L$5:$L$205,MATCH($R161,LE_Curves!$L$5:$L$205,1))))))</f>
        <v/>
      </c>
      <c r="AC161" s="11">
        <f>IF(Inputs!$D$33=0,0,IF($R161&lt;=Inputs!$C$33,0,IF($R161&gt;=INDEX(LE_Curves!$M$5:$M$205,201),INDEX(LE_Curves!$B$5:$B$205,201),INDEX(LE_Curves!$B$5:$B$205,MATCH($R161,LE_Curves!$M$5:$M$205,1))+($R161-INDEX(LE_Curves!$M$5:$M$205,MATCH($R161,LE_Curves!$M$5:$M$205,1)))*(INDEX(LE_Curves!$B$5:$B$205,MATCH($R161,LE_Curves!$M$5:$M$205,1)+1)-INDEX(LE_Curves!$B$5:$B$205,MATCH($R161,LE_Curves!$M$5:$M$205,1)))/(INDEX(LE_Curves!$M$5:$M$205,MATCH($R161,LE_Curves!$M$5:$M$205,1)+1)-INDEX(LE_Curves!$M$5:$M$205,MATCH($R161,LE_Curves!$M$5:$M$205,1))))))</f>
        <v/>
      </c>
      <c r="AD161" s="11">
        <f>IF(Inputs!$D$34=0,0,IF($R161&lt;=Inputs!$C$34,0,IF($R161&gt;=INDEX(LE_Curves!$N$5:$N$205,201),INDEX(LE_Curves!$B$5:$B$205,201),INDEX(LE_Curves!$B$5:$B$205,MATCH($R161,LE_Curves!$N$5:$N$205,1))+($R161-INDEX(LE_Curves!$N$5:$N$205,MATCH($R161,LE_Curves!$N$5:$N$205,1)))*(INDEX(LE_Curves!$B$5:$B$205,MATCH($R161,LE_Curves!$N$5:$N$205,1)+1)-INDEX(LE_Curves!$B$5:$B$205,MATCH($R161,LE_Curves!$N$5:$N$205,1)))/(INDEX(LE_Curves!$N$5:$N$205,MATCH($R161,LE_Curves!$N$5:$N$205,1)+1)-INDEX(LE_Curves!$N$5:$N$205,MATCH($R161,LE_Curves!$N$5:$N$205,1))))))</f>
        <v/>
      </c>
      <c r="AE161" s="37">
        <f>SUM(S161:AD161)</f>
        <v/>
      </c>
    </row>
    <row r="162">
      <c r="A162" s="7" t="n">
        <v>131</v>
      </c>
      <c r="B162" s="37">
        <f>$B$3+($B$4-$B$3)*A162/200</f>
        <v/>
      </c>
      <c r="C162" s="11">
        <f>IF(Inputs!$D$23=0,0,IF($B162&lt;=Inputs!$C$23,0,IF($B162&gt;=INDEX(LE_Curves!$C$5:$C$205,201),INDEX(LE_Curves!$B$5:$B$205,201),INDEX(LE_Curves!$B$5:$B$205,MATCH($B162,LE_Curves!$C$5:$C$205,1))+($B162-INDEX(LE_Curves!$C$5:$C$205,MATCH($B162,LE_Curves!$C$5:$C$205,1)))*(INDEX(LE_Curves!$B$5:$B$205,MATCH($B162,LE_Curves!$C$5:$C$205,1)+1)-INDEX(LE_Curves!$B$5:$B$205,MATCH($B162,LE_Curves!$C$5:$C$205,1)))/(INDEX(LE_Curves!$C$5:$C$205,MATCH($B162,LE_Curves!$C$5:$C$205,1)+1)-INDEX(LE_Curves!$C$5:$C$205,MATCH($B162,LE_Curves!$C$5:$C$205,1))))))</f>
        <v/>
      </c>
      <c r="D162" s="11">
        <f>IF(Inputs!$D$24=0,0,IF($B162&lt;=Inputs!$C$24,0,IF($B162&gt;=INDEX(LE_Curves!$D$5:$D$205,201),INDEX(LE_Curves!$B$5:$B$205,201),INDEX(LE_Curves!$B$5:$B$205,MATCH($B162,LE_Curves!$D$5:$D$205,1))+($B162-INDEX(LE_Curves!$D$5:$D$205,MATCH($B162,LE_Curves!$D$5:$D$205,1)))*(INDEX(LE_Curves!$B$5:$B$205,MATCH($B162,LE_Curves!$D$5:$D$205,1)+1)-INDEX(LE_Curves!$B$5:$B$205,MATCH($B162,LE_Curves!$D$5:$D$205,1)))/(INDEX(LE_Curves!$D$5:$D$205,MATCH($B162,LE_Curves!$D$5:$D$205,1)+1)-INDEX(LE_Curves!$D$5:$D$205,MATCH($B162,LE_Curves!$D$5:$D$205,1))))))</f>
        <v/>
      </c>
      <c r="E162" s="11">
        <f>IF(Inputs!$D$25=0,0,IF($B162&lt;=Inputs!$C$25,0,IF($B162&gt;=INDEX(LE_Curves!$E$5:$E$205,201),INDEX(LE_Curves!$B$5:$B$205,201),INDEX(LE_Curves!$B$5:$B$205,MATCH($B162,LE_Curves!$E$5:$E$205,1))+($B162-INDEX(LE_Curves!$E$5:$E$205,MATCH($B162,LE_Curves!$E$5:$E$205,1)))*(INDEX(LE_Curves!$B$5:$B$205,MATCH($B162,LE_Curves!$E$5:$E$205,1)+1)-INDEX(LE_Curves!$B$5:$B$205,MATCH($B162,LE_Curves!$E$5:$E$205,1)))/(INDEX(LE_Curves!$E$5:$E$205,MATCH($B162,LE_Curves!$E$5:$E$205,1)+1)-INDEX(LE_Curves!$E$5:$E$205,MATCH($B162,LE_Curves!$E$5:$E$205,1))))))</f>
        <v/>
      </c>
      <c r="F162" s="11">
        <f>IF(Inputs!$D$26=0,0,IF($B162&lt;=Inputs!$C$26,0,IF($B162&gt;=INDEX(LE_Curves!$F$5:$F$205,201),INDEX(LE_Curves!$B$5:$B$205,201),INDEX(LE_Curves!$B$5:$B$205,MATCH($B162,LE_Curves!$F$5:$F$205,1))+($B162-INDEX(LE_Curves!$F$5:$F$205,MATCH($B162,LE_Curves!$F$5:$F$205,1)))*(INDEX(LE_Curves!$B$5:$B$205,MATCH($B162,LE_Curves!$F$5:$F$205,1)+1)-INDEX(LE_Curves!$B$5:$B$205,MATCH($B162,LE_Curves!$F$5:$F$205,1)))/(INDEX(LE_Curves!$F$5:$F$205,MATCH($B162,LE_Curves!$F$5:$F$205,1)+1)-INDEX(LE_Curves!$F$5:$F$205,MATCH($B162,LE_Curves!$F$5:$F$205,1))))))</f>
        <v/>
      </c>
      <c r="G162" s="11">
        <f>IF(Inputs!$D$27=0,0,IF($B162&lt;=Inputs!$C$27,0,IF($B162&gt;=INDEX(LE_Curves!$G$5:$G$205,201),INDEX(LE_Curves!$B$5:$B$205,201),INDEX(LE_Curves!$B$5:$B$205,MATCH($B162,LE_Curves!$G$5:$G$205,1))+($B162-INDEX(LE_Curves!$G$5:$G$205,MATCH($B162,LE_Curves!$G$5:$G$205,1)))*(INDEX(LE_Curves!$B$5:$B$205,MATCH($B162,LE_Curves!$G$5:$G$205,1)+1)-INDEX(LE_Curves!$B$5:$B$205,MATCH($B162,LE_Curves!$G$5:$G$205,1)))/(INDEX(LE_Curves!$G$5:$G$205,MATCH($B162,LE_Curves!$G$5:$G$205,1)+1)-INDEX(LE_Curves!$G$5:$G$205,MATCH($B162,LE_Curves!$G$5:$G$205,1))))))</f>
        <v/>
      </c>
      <c r="H162" s="11">
        <f>IF(Inputs!$D$28=0,0,IF($B162&lt;=Inputs!$C$28,0,IF($B162&gt;=INDEX(LE_Curves!$H$5:$H$205,201),INDEX(LE_Curves!$B$5:$B$205,201),INDEX(LE_Curves!$B$5:$B$205,MATCH($B162,LE_Curves!$H$5:$H$205,1))+($B162-INDEX(LE_Curves!$H$5:$H$205,MATCH($B162,LE_Curves!$H$5:$H$205,1)))*(INDEX(LE_Curves!$B$5:$B$205,MATCH($B162,LE_Curves!$H$5:$H$205,1)+1)-INDEX(LE_Curves!$B$5:$B$205,MATCH($B162,LE_Curves!$H$5:$H$205,1)))/(INDEX(LE_Curves!$H$5:$H$205,MATCH($B162,LE_Curves!$H$5:$H$205,1)+1)-INDEX(LE_Curves!$H$5:$H$205,MATCH($B162,LE_Curves!$H$5:$H$205,1))))))</f>
        <v/>
      </c>
      <c r="I162" s="11">
        <f>IF(Inputs!$D$29=0,0,IF($B162&lt;=Inputs!$C$29,0,IF($B162&gt;=INDEX(LE_Curves!$I$5:$I$205,201),INDEX(LE_Curves!$B$5:$B$205,201),INDEX(LE_Curves!$B$5:$B$205,MATCH($B162,LE_Curves!$I$5:$I$205,1))+($B162-INDEX(LE_Curves!$I$5:$I$205,MATCH($B162,LE_Curves!$I$5:$I$205,1)))*(INDEX(LE_Curves!$B$5:$B$205,MATCH($B162,LE_Curves!$I$5:$I$205,1)+1)-INDEX(LE_Curves!$B$5:$B$205,MATCH($B162,LE_Curves!$I$5:$I$205,1)))/(INDEX(LE_Curves!$I$5:$I$205,MATCH($B162,LE_Curves!$I$5:$I$205,1)+1)-INDEX(LE_Curves!$I$5:$I$205,MATCH($B162,LE_Curves!$I$5:$I$205,1))))))</f>
        <v/>
      </c>
      <c r="J162" s="11">
        <f>IF(Inputs!$D$30=0,0,IF($B162&lt;=Inputs!$C$30,0,IF($B162&gt;=INDEX(LE_Curves!$J$5:$J$205,201),INDEX(LE_Curves!$B$5:$B$205,201),INDEX(LE_Curves!$B$5:$B$205,MATCH($B162,LE_Curves!$J$5:$J$205,1))+($B162-INDEX(LE_Curves!$J$5:$J$205,MATCH($B162,LE_Curves!$J$5:$J$205,1)))*(INDEX(LE_Curves!$B$5:$B$205,MATCH($B162,LE_Curves!$J$5:$J$205,1)+1)-INDEX(LE_Curves!$B$5:$B$205,MATCH($B162,LE_Curves!$J$5:$J$205,1)))/(INDEX(LE_Curves!$J$5:$J$205,MATCH($B162,LE_Curves!$J$5:$J$205,1)+1)-INDEX(LE_Curves!$J$5:$J$205,MATCH($B162,LE_Curves!$J$5:$J$205,1))))))</f>
        <v/>
      </c>
      <c r="K162" s="11">
        <f>IF(Inputs!$D$31=0,0,IF($B162&lt;=Inputs!$C$31,0,IF($B162&gt;=INDEX(LE_Curves!$K$5:$K$205,201),INDEX(LE_Curves!$B$5:$B$205,201),INDEX(LE_Curves!$B$5:$B$205,MATCH($B162,LE_Curves!$K$5:$K$205,1))+($B162-INDEX(LE_Curves!$K$5:$K$205,MATCH($B162,LE_Curves!$K$5:$K$205,1)))*(INDEX(LE_Curves!$B$5:$B$205,MATCH($B162,LE_Curves!$K$5:$K$205,1)+1)-INDEX(LE_Curves!$B$5:$B$205,MATCH($B162,LE_Curves!$K$5:$K$205,1)))/(INDEX(LE_Curves!$K$5:$K$205,MATCH($B162,LE_Curves!$K$5:$K$205,1)+1)-INDEX(LE_Curves!$K$5:$K$205,MATCH($B162,LE_Curves!$K$5:$K$205,1))))))</f>
        <v/>
      </c>
      <c r="L162" s="11">
        <f>IF(Inputs!$D$32=0,0,IF($B162&lt;=Inputs!$C$32,0,IF($B162&gt;=INDEX(LE_Curves!$L$5:$L$205,201),INDEX(LE_Curves!$B$5:$B$205,201),INDEX(LE_Curves!$B$5:$B$205,MATCH($B162,LE_Curves!$L$5:$L$205,1))+($B162-INDEX(LE_Curves!$L$5:$L$205,MATCH($B162,LE_Curves!$L$5:$L$205,1)))*(INDEX(LE_Curves!$B$5:$B$205,MATCH($B162,LE_Curves!$L$5:$L$205,1)+1)-INDEX(LE_Curves!$B$5:$B$205,MATCH($B162,LE_Curves!$L$5:$L$205,1)))/(INDEX(LE_Curves!$L$5:$L$205,MATCH($B162,LE_Curves!$L$5:$L$205,1)+1)-INDEX(LE_Curves!$L$5:$L$205,MATCH($B162,LE_Curves!$L$5:$L$205,1))))))</f>
        <v/>
      </c>
      <c r="M162" s="11">
        <f>IF(Inputs!$D$33=0,0,IF($B162&lt;=Inputs!$C$33,0,IF($B162&gt;=INDEX(LE_Curves!$M$5:$M$205,201),INDEX(LE_Curves!$B$5:$B$205,201),INDEX(LE_Curves!$B$5:$B$205,MATCH($B162,LE_Curves!$M$5:$M$205,1))+($B162-INDEX(LE_Curves!$M$5:$M$205,MATCH($B162,LE_Curves!$M$5:$M$205,1)))*(INDEX(LE_Curves!$B$5:$B$205,MATCH($B162,LE_Curves!$M$5:$M$205,1)+1)-INDEX(LE_Curves!$B$5:$B$205,MATCH($B162,LE_Curves!$M$5:$M$205,1)))/(INDEX(LE_Curves!$M$5:$M$205,MATCH($B162,LE_Curves!$M$5:$M$205,1)+1)-INDEX(LE_Curves!$M$5:$M$205,MATCH($B162,LE_Curves!$M$5:$M$205,1))))))</f>
        <v/>
      </c>
      <c r="N162" s="11">
        <f>IF(Inputs!$D$34=0,0,IF($B162&lt;=Inputs!$C$34,0,IF($B162&gt;=INDEX(LE_Curves!$N$5:$N$205,201),INDEX(LE_Curves!$B$5:$B$205,201),INDEX(LE_Curves!$B$5:$B$205,MATCH($B162,LE_Curves!$N$5:$N$205,1))+($B162-INDEX(LE_Curves!$N$5:$N$205,MATCH($B162,LE_Curves!$N$5:$N$205,1)))*(INDEX(LE_Curves!$B$5:$B$205,MATCH($B162,LE_Curves!$N$5:$N$205,1)+1)-INDEX(LE_Curves!$B$5:$B$205,MATCH($B162,LE_Curves!$N$5:$N$205,1)))/(INDEX(LE_Curves!$N$5:$N$205,MATCH($B162,LE_Curves!$N$5:$N$205,1)+1)-INDEX(LE_Curves!$N$5:$N$205,MATCH($B162,LE_Curves!$N$5:$N$205,1))))))</f>
        <v/>
      </c>
      <c r="O162" s="11">
        <f>SUM(C162:N162)</f>
        <v/>
      </c>
      <c r="Q162" s="7" t="n">
        <v>131</v>
      </c>
      <c r="R162" s="23">
        <f>$B$6+($B$7-$B$6)*Q162/200</f>
        <v/>
      </c>
      <c r="S162" s="11">
        <f>IF(Inputs!$D$23=0,0,IF($R162&lt;=Inputs!$C$23,0,IF($R162&gt;=INDEX(LE_Curves!$C$5:$C$205,201),INDEX(LE_Curves!$B$5:$B$205,201),INDEX(LE_Curves!$B$5:$B$205,MATCH($R162,LE_Curves!$C$5:$C$205,1))+($R162-INDEX(LE_Curves!$C$5:$C$205,MATCH($R162,LE_Curves!$C$5:$C$205,1)))*(INDEX(LE_Curves!$B$5:$B$205,MATCH($R162,LE_Curves!$C$5:$C$205,1)+1)-INDEX(LE_Curves!$B$5:$B$205,MATCH($R162,LE_Curves!$C$5:$C$205,1)))/(INDEX(LE_Curves!$C$5:$C$205,MATCH($R162,LE_Curves!$C$5:$C$205,1)+1)-INDEX(LE_Curves!$C$5:$C$205,MATCH($R162,LE_Curves!$C$5:$C$205,1))))))</f>
        <v/>
      </c>
      <c r="T162" s="11">
        <f>IF(Inputs!$D$24=0,0,IF($R162&lt;=Inputs!$C$24,0,IF($R162&gt;=INDEX(LE_Curves!$D$5:$D$205,201),INDEX(LE_Curves!$B$5:$B$205,201),INDEX(LE_Curves!$B$5:$B$205,MATCH($R162,LE_Curves!$D$5:$D$205,1))+($R162-INDEX(LE_Curves!$D$5:$D$205,MATCH($R162,LE_Curves!$D$5:$D$205,1)))*(INDEX(LE_Curves!$B$5:$B$205,MATCH($R162,LE_Curves!$D$5:$D$205,1)+1)-INDEX(LE_Curves!$B$5:$B$205,MATCH($R162,LE_Curves!$D$5:$D$205,1)))/(INDEX(LE_Curves!$D$5:$D$205,MATCH($R162,LE_Curves!$D$5:$D$205,1)+1)-INDEX(LE_Curves!$D$5:$D$205,MATCH($R162,LE_Curves!$D$5:$D$205,1))))))</f>
        <v/>
      </c>
      <c r="U162" s="11">
        <f>IF(Inputs!$D$25=0,0,IF($R162&lt;=Inputs!$C$25,0,IF($R162&gt;=INDEX(LE_Curves!$E$5:$E$205,201),INDEX(LE_Curves!$B$5:$B$205,201),INDEX(LE_Curves!$B$5:$B$205,MATCH($R162,LE_Curves!$E$5:$E$205,1))+($R162-INDEX(LE_Curves!$E$5:$E$205,MATCH($R162,LE_Curves!$E$5:$E$205,1)))*(INDEX(LE_Curves!$B$5:$B$205,MATCH($R162,LE_Curves!$E$5:$E$205,1)+1)-INDEX(LE_Curves!$B$5:$B$205,MATCH($R162,LE_Curves!$E$5:$E$205,1)))/(INDEX(LE_Curves!$E$5:$E$205,MATCH($R162,LE_Curves!$E$5:$E$205,1)+1)-INDEX(LE_Curves!$E$5:$E$205,MATCH($R162,LE_Curves!$E$5:$E$205,1))))))</f>
        <v/>
      </c>
      <c r="V162" s="11">
        <f>IF(Inputs!$D$26=0,0,IF($R162&lt;=Inputs!$C$26,0,IF($R162&gt;=INDEX(LE_Curves!$F$5:$F$205,201),INDEX(LE_Curves!$B$5:$B$205,201),INDEX(LE_Curves!$B$5:$B$205,MATCH($R162,LE_Curves!$F$5:$F$205,1))+($R162-INDEX(LE_Curves!$F$5:$F$205,MATCH($R162,LE_Curves!$F$5:$F$205,1)))*(INDEX(LE_Curves!$B$5:$B$205,MATCH($R162,LE_Curves!$F$5:$F$205,1)+1)-INDEX(LE_Curves!$B$5:$B$205,MATCH($R162,LE_Curves!$F$5:$F$205,1)))/(INDEX(LE_Curves!$F$5:$F$205,MATCH($R162,LE_Curves!$F$5:$F$205,1)+1)-INDEX(LE_Curves!$F$5:$F$205,MATCH($R162,LE_Curves!$F$5:$F$205,1))))))</f>
        <v/>
      </c>
      <c r="W162" s="11">
        <f>IF(Inputs!$D$27=0,0,IF($R162&lt;=Inputs!$C$27,0,IF($R162&gt;=INDEX(LE_Curves!$G$5:$G$205,201),INDEX(LE_Curves!$B$5:$B$205,201),INDEX(LE_Curves!$B$5:$B$205,MATCH($R162,LE_Curves!$G$5:$G$205,1))+($R162-INDEX(LE_Curves!$G$5:$G$205,MATCH($R162,LE_Curves!$G$5:$G$205,1)))*(INDEX(LE_Curves!$B$5:$B$205,MATCH($R162,LE_Curves!$G$5:$G$205,1)+1)-INDEX(LE_Curves!$B$5:$B$205,MATCH($R162,LE_Curves!$G$5:$G$205,1)))/(INDEX(LE_Curves!$G$5:$G$205,MATCH($R162,LE_Curves!$G$5:$G$205,1)+1)-INDEX(LE_Curves!$G$5:$G$205,MATCH($R162,LE_Curves!$G$5:$G$205,1))))))</f>
        <v/>
      </c>
      <c r="X162" s="11">
        <f>IF(Inputs!$D$28=0,0,IF($R162&lt;=Inputs!$C$28,0,IF($R162&gt;=INDEX(LE_Curves!$H$5:$H$205,201),INDEX(LE_Curves!$B$5:$B$205,201),INDEX(LE_Curves!$B$5:$B$205,MATCH($R162,LE_Curves!$H$5:$H$205,1))+($R162-INDEX(LE_Curves!$H$5:$H$205,MATCH($R162,LE_Curves!$H$5:$H$205,1)))*(INDEX(LE_Curves!$B$5:$B$205,MATCH($R162,LE_Curves!$H$5:$H$205,1)+1)-INDEX(LE_Curves!$B$5:$B$205,MATCH($R162,LE_Curves!$H$5:$H$205,1)))/(INDEX(LE_Curves!$H$5:$H$205,MATCH($R162,LE_Curves!$H$5:$H$205,1)+1)-INDEX(LE_Curves!$H$5:$H$205,MATCH($R162,LE_Curves!$H$5:$H$205,1))))))</f>
        <v/>
      </c>
      <c r="Y162" s="11">
        <f>IF(Inputs!$D$29=0,0,IF($R162&lt;=Inputs!$C$29,0,IF($R162&gt;=INDEX(LE_Curves!$I$5:$I$205,201),INDEX(LE_Curves!$B$5:$B$205,201),INDEX(LE_Curves!$B$5:$B$205,MATCH($R162,LE_Curves!$I$5:$I$205,1))+($R162-INDEX(LE_Curves!$I$5:$I$205,MATCH($R162,LE_Curves!$I$5:$I$205,1)))*(INDEX(LE_Curves!$B$5:$B$205,MATCH($R162,LE_Curves!$I$5:$I$205,1)+1)-INDEX(LE_Curves!$B$5:$B$205,MATCH($R162,LE_Curves!$I$5:$I$205,1)))/(INDEX(LE_Curves!$I$5:$I$205,MATCH($R162,LE_Curves!$I$5:$I$205,1)+1)-INDEX(LE_Curves!$I$5:$I$205,MATCH($R162,LE_Curves!$I$5:$I$205,1))))))</f>
        <v/>
      </c>
      <c r="Z162" s="11">
        <f>IF(Inputs!$D$30=0,0,IF($R162&lt;=Inputs!$C$30,0,IF($R162&gt;=INDEX(LE_Curves!$J$5:$J$205,201),INDEX(LE_Curves!$B$5:$B$205,201),INDEX(LE_Curves!$B$5:$B$205,MATCH($R162,LE_Curves!$J$5:$J$205,1))+($R162-INDEX(LE_Curves!$J$5:$J$205,MATCH($R162,LE_Curves!$J$5:$J$205,1)))*(INDEX(LE_Curves!$B$5:$B$205,MATCH($R162,LE_Curves!$J$5:$J$205,1)+1)-INDEX(LE_Curves!$B$5:$B$205,MATCH($R162,LE_Curves!$J$5:$J$205,1)))/(INDEX(LE_Curves!$J$5:$J$205,MATCH($R162,LE_Curves!$J$5:$J$205,1)+1)-INDEX(LE_Curves!$J$5:$J$205,MATCH($R162,LE_Curves!$J$5:$J$205,1))))))</f>
        <v/>
      </c>
      <c r="AA162" s="11">
        <f>IF(Inputs!$D$31=0,0,IF($R162&lt;=Inputs!$C$31,0,IF($R162&gt;=INDEX(LE_Curves!$K$5:$K$205,201),INDEX(LE_Curves!$B$5:$B$205,201),INDEX(LE_Curves!$B$5:$B$205,MATCH($R162,LE_Curves!$K$5:$K$205,1))+($R162-INDEX(LE_Curves!$K$5:$K$205,MATCH($R162,LE_Curves!$K$5:$K$205,1)))*(INDEX(LE_Curves!$B$5:$B$205,MATCH($R162,LE_Curves!$K$5:$K$205,1)+1)-INDEX(LE_Curves!$B$5:$B$205,MATCH($R162,LE_Curves!$K$5:$K$205,1)))/(INDEX(LE_Curves!$K$5:$K$205,MATCH($R162,LE_Curves!$K$5:$K$205,1)+1)-INDEX(LE_Curves!$K$5:$K$205,MATCH($R162,LE_Curves!$K$5:$K$205,1))))))</f>
        <v/>
      </c>
      <c r="AB162" s="11">
        <f>IF(Inputs!$D$32=0,0,IF($R162&lt;=Inputs!$C$32,0,IF($R162&gt;=INDEX(LE_Curves!$L$5:$L$205,201),INDEX(LE_Curves!$B$5:$B$205,201),INDEX(LE_Curves!$B$5:$B$205,MATCH($R162,LE_Curves!$L$5:$L$205,1))+($R162-INDEX(LE_Curves!$L$5:$L$205,MATCH($R162,LE_Curves!$L$5:$L$205,1)))*(INDEX(LE_Curves!$B$5:$B$205,MATCH($R162,LE_Curves!$L$5:$L$205,1)+1)-INDEX(LE_Curves!$B$5:$B$205,MATCH($R162,LE_Curves!$L$5:$L$205,1)))/(INDEX(LE_Curves!$L$5:$L$205,MATCH($R162,LE_Curves!$L$5:$L$205,1)+1)-INDEX(LE_Curves!$L$5:$L$205,MATCH($R162,LE_Curves!$L$5:$L$205,1))))))</f>
        <v/>
      </c>
      <c r="AC162" s="11">
        <f>IF(Inputs!$D$33=0,0,IF($R162&lt;=Inputs!$C$33,0,IF($R162&gt;=INDEX(LE_Curves!$M$5:$M$205,201),INDEX(LE_Curves!$B$5:$B$205,201),INDEX(LE_Curves!$B$5:$B$205,MATCH($R162,LE_Curves!$M$5:$M$205,1))+($R162-INDEX(LE_Curves!$M$5:$M$205,MATCH($R162,LE_Curves!$M$5:$M$205,1)))*(INDEX(LE_Curves!$B$5:$B$205,MATCH($R162,LE_Curves!$M$5:$M$205,1)+1)-INDEX(LE_Curves!$B$5:$B$205,MATCH($R162,LE_Curves!$M$5:$M$205,1)))/(INDEX(LE_Curves!$M$5:$M$205,MATCH($R162,LE_Curves!$M$5:$M$205,1)+1)-INDEX(LE_Curves!$M$5:$M$205,MATCH($R162,LE_Curves!$M$5:$M$205,1))))))</f>
        <v/>
      </c>
      <c r="AD162" s="11">
        <f>IF(Inputs!$D$34=0,0,IF($R162&lt;=Inputs!$C$34,0,IF($R162&gt;=INDEX(LE_Curves!$N$5:$N$205,201),INDEX(LE_Curves!$B$5:$B$205,201),INDEX(LE_Curves!$B$5:$B$205,MATCH($R162,LE_Curves!$N$5:$N$205,1))+($R162-INDEX(LE_Curves!$N$5:$N$205,MATCH($R162,LE_Curves!$N$5:$N$205,1)))*(INDEX(LE_Curves!$B$5:$B$205,MATCH($R162,LE_Curves!$N$5:$N$205,1)+1)-INDEX(LE_Curves!$B$5:$B$205,MATCH($R162,LE_Curves!$N$5:$N$205,1)))/(INDEX(LE_Curves!$N$5:$N$205,MATCH($R162,LE_Curves!$N$5:$N$205,1)+1)-INDEX(LE_Curves!$N$5:$N$205,MATCH($R162,LE_Curves!$N$5:$N$205,1))))))</f>
        <v/>
      </c>
      <c r="AE162" s="37">
        <f>SUM(S162:AD162)</f>
        <v/>
      </c>
    </row>
    <row r="163">
      <c r="A163" s="7" t="n">
        <v>132</v>
      </c>
      <c r="B163" s="37">
        <f>$B$3+($B$4-$B$3)*A163/200</f>
        <v/>
      </c>
      <c r="C163" s="11">
        <f>IF(Inputs!$D$23=0,0,IF($B163&lt;=Inputs!$C$23,0,IF($B163&gt;=INDEX(LE_Curves!$C$5:$C$205,201),INDEX(LE_Curves!$B$5:$B$205,201),INDEX(LE_Curves!$B$5:$B$205,MATCH($B163,LE_Curves!$C$5:$C$205,1))+($B163-INDEX(LE_Curves!$C$5:$C$205,MATCH($B163,LE_Curves!$C$5:$C$205,1)))*(INDEX(LE_Curves!$B$5:$B$205,MATCH($B163,LE_Curves!$C$5:$C$205,1)+1)-INDEX(LE_Curves!$B$5:$B$205,MATCH($B163,LE_Curves!$C$5:$C$205,1)))/(INDEX(LE_Curves!$C$5:$C$205,MATCH($B163,LE_Curves!$C$5:$C$205,1)+1)-INDEX(LE_Curves!$C$5:$C$205,MATCH($B163,LE_Curves!$C$5:$C$205,1))))))</f>
        <v/>
      </c>
      <c r="D163" s="11">
        <f>IF(Inputs!$D$24=0,0,IF($B163&lt;=Inputs!$C$24,0,IF($B163&gt;=INDEX(LE_Curves!$D$5:$D$205,201),INDEX(LE_Curves!$B$5:$B$205,201),INDEX(LE_Curves!$B$5:$B$205,MATCH($B163,LE_Curves!$D$5:$D$205,1))+($B163-INDEX(LE_Curves!$D$5:$D$205,MATCH($B163,LE_Curves!$D$5:$D$205,1)))*(INDEX(LE_Curves!$B$5:$B$205,MATCH($B163,LE_Curves!$D$5:$D$205,1)+1)-INDEX(LE_Curves!$B$5:$B$205,MATCH($B163,LE_Curves!$D$5:$D$205,1)))/(INDEX(LE_Curves!$D$5:$D$205,MATCH($B163,LE_Curves!$D$5:$D$205,1)+1)-INDEX(LE_Curves!$D$5:$D$205,MATCH($B163,LE_Curves!$D$5:$D$205,1))))))</f>
        <v/>
      </c>
      <c r="E163" s="11">
        <f>IF(Inputs!$D$25=0,0,IF($B163&lt;=Inputs!$C$25,0,IF($B163&gt;=INDEX(LE_Curves!$E$5:$E$205,201),INDEX(LE_Curves!$B$5:$B$205,201),INDEX(LE_Curves!$B$5:$B$205,MATCH($B163,LE_Curves!$E$5:$E$205,1))+($B163-INDEX(LE_Curves!$E$5:$E$205,MATCH($B163,LE_Curves!$E$5:$E$205,1)))*(INDEX(LE_Curves!$B$5:$B$205,MATCH($B163,LE_Curves!$E$5:$E$205,1)+1)-INDEX(LE_Curves!$B$5:$B$205,MATCH($B163,LE_Curves!$E$5:$E$205,1)))/(INDEX(LE_Curves!$E$5:$E$205,MATCH($B163,LE_Curves!$E$5:$E$205,1)+1)-INDEX(LE_Curves!$E$5:$E$205,MATCH($B163,LE_Curves!$E$5:$E$205,1))))))</f>
        <v/>
      </c>
      <c r="F163" s="11">
        <f>IF(Inputs!$D$26=0,0,IF($B163&lt;=Inputs!$C$26,0,IF($B163&gt;=INDEX(LE_Curves!$F$5:$F$205,201),INDEX(LE_Curves!$B$5:$B$205,201),INDEX(LE_Curves!$B$5:$B$205,MATCH($B163,LE_Curves!$F$5:$F$205,1))+($B163-INDEX(LE_Curves!$F$5:$F$205,MATCH($B163,LE_Curves!$F$5:$F$205,1)))*(INDEX(LE_Curves!$B$5:$B$205,MATCH($B163,LE_Curves!$F$5:$F$205,1)+1)-INDEX(LE_Curves!$B$5:$B$205,MATCH($B163,LE_Curves!$F$5:$F$205,1)))/(INDEX(LE_Curves!$F$5:$F$205,MATCH($B163,LE_Curves!$F$5:$F$205,1)+1)-INDEX(LE_Curves!$F$5:$F$205,MATCH($B163,LE_Curves!$F$5:$F$205,1))))))</f>
        <v/>
      </c>
      <c r="G163" s="11">
        <f>IF(Inputs!$D$27=0,0,IF($B163&lt;=Inputs!$C$27,0,IF($B163&gt;=INDEX(LE_Curves!$G$5:$G$205,201),INDEX(LE_Curves!$B$5:$B$205,201),INDEX(LE_Curves!$B$5:$B$205,MATCH($B163,LE_Curves!$G$5:$G$205,1))+($B163-INDEX(LE_Curves!$G$5:$G$205,MATCH($B163,LE_Curves!$G$5:$G$205,1)))*(INDEX(LE_Curves!$B$5:$B$205,MATCH($B163,LE_Curves!$G$5:$G$205,1)+1)-INDEX(LE_Curves!$B$5:$B$205,MATCH($B163,LE_Curves!$G$5:$G$205,1)))/(INDEX(LE_Curves!$G$5:$G$205,MATCH($B163,LE_Curves!$G$5:$G$205,1)+1)-INDEX(LE_Curves!$G$5:$G$205,MATCH($B163,LE_Curves!$G$5:$G$205,1))))))</f>
        <v/>
      </c>
      <c r="H163" s="11">
        <f>IF(Inputs!$D$28=0,0,IF($B163&lt;=Inputs!$C$28,0,IF($B163&gt;=INDEX(LE_Curves!$H$5:$H$205,201),INDEX(LE_Curves!$B$5:$B$205,201),INDEX(LE_Curves!$B$5:$B$205,MATCH($B163,LE_Curves!$H$5:$H$205,1))+($B163-INDEX(LE_Curves!$H$5:$H$205,MATCH($B163,LE_Curves!$H$5:$H$205,1)))*(INDEX(LE_Curves!$B$5:$B$205,MATCH($B163,LE_Curves!$H$5:$H$205,1)+1)-INDEX(LE_Curves!$B$5:$B$205,MATCH($B163,LE_Curves!$H$5:$H$205,1)))/(INDEX(LE_Curves!$H$5:$H$205,MATCH($B163,LE_Curves!$H$5:$H$205,1)+1)-INDEX(LE_Curves!$H$5:$H$205,MATCH($B163,LE_Curves!$H$5:$H$205,1))))))</f>
        <v/>
      </c>
      <c r="I163" s="11">
        <f>IF(Inputs!$D$29=0,0,IF($B163&lt;=Inputs!$C$29,0,IF($B163&gt;=INDEX(LE_Curves!$I$5:$I$205,201),INDEX(LE_Curves!$B$5:$B$205,201),INDEX(LE_Curves!$B$5:$B$205,MATCH($B163,LE_Curves!$I$5:$I$205,1))+($B163-INDEX(LE_Curves!$I$5:$I$205,MATCH($B163,LE_Curves!$I$5:$I$205,1)))*(INDEX(LE_Curves!$B$5:$B$205,MATCH($B163,LE_Curves!$I$5:$I$205,1)+1)-INDEX(LE_Curves!$B$5:$B$205,MATCH($B163,LE_Curves!$I$5:$I$205,1)))/(INDEX(LE_Curves!$I$5:$I$205,MATCH($B163,LE_Curves!$I$5:$I$205,1)+1)-INDEX(LE_Curves!$I$5:$I$205,MATCH($B163,LE_Curves!$I$5:$I$205,1))))))</f>
        <v/>
      </c>
      <c r="J163" s="11">
        <f>IF(Inputs!$D$30=0,0,IF($B163&lt;=Inputs!$C$30,0,IF($B163&gt;=INDEX(LE_Curves!$J$5:$J$205,201),INDEX(LE_Curves!$B$5:$B$205,201),INDEX(LE_Curves!$B$5:$B$205,MATCH($B163,LE_Curves!$J$5:$J$205,1))+($B163-INDEX(LE_Curves!$J$5:$J$205,MATCH($B163,LE_Curves!$J$5:$J$205,1)))*(INDEX(LE_Curves!$B$5:$B$205,MATCH($B163,LE_Curves!$J$5:$J$205,1)+1)-INDEX(LE_Curves!$B$5:$B$205,MATCH($B163,LE_Curves!$J$5:$J$205,1)))/(INDEX(LE_Curves!$J$5:$J$205,MATCH($B163,LE_Curves!$J$5:$J$205,1)+1)-INDEX(LE_Curves!$J$5:$J$205,MATCH($B163,LE_Curves!$J$5:$J$205,1))))))</f>
        <v/>
      </c>
      <c r="K163" s="11">
        <f>IF(Inputs!$D$31=0,0,IF($B163&lt;=Inputs!$C$31,0,IF($B163&gt;=INDEX(LE_Curves!$K$5:$K$205,201),INDEX(LE_Curves!$B$5:$B$205,201),INDEX(LE_Curves!$B$5:$B$205,MATCH($B163,LE_Curves!$K$5:$K$205,1))+($B163-INDEX(LE_Curves!$K$5:$K$205,MATCH($B163,LE_Curves!$K$5:$K$205,1)))*(INDEX(LE_Curves!$B$5:$B$205,MATCH($B163,LE_Curves!$K$5:$K$205,1)+1)-INDEX(LE_Curves!$B$5:$B$205,MATCH($B163,LE_Curves!$K$5:$K$205,1)))/(INDEX(LE_Curves!$K$5:$K$205,MATCH($B163,LE_Curves!$K$5:$K$205,1)+1)-INDEX(LE_Curves!$K$5:$K$205,MATCH($B163,LE_Curves!$K$5:$K$205,1))))))</f>
        <v/>
      </c>
      <c r="L163" s="11">
        <f>IF(Inputs!$D$32=0,0,IF($B163&lt;=Inputs!$C$32,0,IF($B163&gt;=INDEX(LE_Curves!$L$5:$L$205,201),INDEX(LE_Curves!$B$5:$B$205,201),INDEX(LE_Curves!$B$5:$B$205,MATCH($B163,LE_Curves!$L$5:$L$205,1))+($B163-INDEX(LE_Curves!$L$5:$L$205,MATCH($B163,LE_Curves!$L$5:$L$205,1)))*(INDEX(LE_Curves!$B$5:$B$205,MATCH($B163,LE_Curves!$L$5:$L$205,1)+1)-INDEX(LE_Curves!$B$5:$B$205,MATCH($B163,LE_Curves!$L$5:$L$205,1)))/(INDEX(LE_Curves!$L$5:$L$205,MATCH($B163,LE_Curves!$L$5:$L$205,1)+1)-INDEX(LE_Curves!$L$5:$L$205,MATCH($B163,LE_Curves!$L$5:$L$205,1))))))</f>
        <v/>
      </c>
      <c r="M163" s="11">
        <f>IF(Inputs!$D$33=0,0,IF($B163&lt;=Inputs!$C$33,0,IF($B163&gt;=INDEX(LE_Curves!$M$5:$M$205,201),INDEX(LE_Curves!$B$5:$B$205,201),INDEX(LE_Curves!$B$5:$B$205,MATCH($B163,LE_Curves!$M$5:$M$205,1))+($B163-INDEX(LE_Curves!$M$5:$M$205,MATCH($B163,LE_Curves!$M$5:$M$205,1)))*(INDEX(LE_Curves!$B$5:$B$205,MATCH($B163,LE_Curves!$M$5:$M$205,1)+1)-INDEX(LE_Curves!$B$5:$B$205,MATCH($B163,LE_Curves!$M$5:$M$205,1)))/(INDEX(LE_Curves!$M$5:$M$205,MATCH($B163,LE_Curves!$M$5:$M$205,1)+1)-INDEX(LE_Curves!$M$5:$M$205,MATCH($B163,LE_Curves!$M$5:$M$205,1))))))</f>
        <v/>
      </c>
      <c r="N163" s="11">
        <f>IF(Inputs!$D$34=0,0,IF($B163&lt;=Inputs!$C$34,0,IF($B163&gt;=INDEX(LE_Curves!$N$5:$N$205,201),INDEX(LE_Curves!$B$5:$B$205,201),INDEX(LE_Curves!$B$5:$B$205,MATCH($B163,LE_Curves!$N$5:$N$205,1))+($B163-INDEX(LE_Curves!$N$5:$N$205,MATCH($B163,LE_Curves!$N$5:$N$205,1)))*(INDEX(LE_Curves!$B$5:$B$205,MATCH($B163,LE_Curves!$N$5:$N$205,1)+1)-INDEX(LE_Curves!$B$5:$B$205,MATCH($B163,LE_Curves!$N$5:$N$205,1)))/(INDEX(LE_Curves!$N$5:$N$205,MATCH($B163,LE_Curves!$N$5:$N$205,1)+1)-INDEX(LE_Curves!$N$5:$N$205,MATCH($B163,LE_Curves!$N$5:$N$205,1))))))</f>
        <v/>
      </c>
      <c r="O163" s="11">
        <f>SUM(C163:N163)</f>
        <v/>
      </c>
      <c r="Q163" s="7" t="n">
        <v>132</v>
      </c>
      <c r="R163" s="23">
        <f>$B$6+($B$7-$B$6)*Q163/200</f>
        <v/>
      </c>
      <c r="S163" s="11">
        <f>IF(Inputs!$D$23=0,0,IF($R163&lt;=Inputs!$C$23,0,IF($R163&gt;=INDEX(LE_Curves!$C$5:$C$205,201),INDEX(LE_Curves!$B$5:$B$205,201),INDEX(LE_Curves!$B$5:$B$205,MATCH($R163,LE_Curves!$C$5:$C$205,1))+($R163-INDEX(LE_Curves!$C$5:$C$205,MATCH($R163,LE_Curves!$C$5:$C$205,1)))*(INDEX(LE_Curves!$B$5:$B$205,MATCH($R163,LE_Curves!$C$5:$C$205,1)+1)-INDEX(LE_Curves!$B$5:$B$205,MATCH($R163,LE_Curves!$C$5:$C$205,1)))/(INDEX(LE_Curves!$C$5:$C$205,MATCH($R163,LE_Curves!$C$5:$C$205,1)+1)-INDEX(LE_Curves!$C$5:$C$205,MATCH($R163,LE_Curves!$C$5:$C$205,1))))))</f>
        <v/>
      </c>
      <c r="T163" s="11">
        <f>IF(Inputs!$D$24=0,0,IF($R163&lt;=Inputs!$C$24,0,IF($R163&gt;=INDEX(LE_Curves!$D$5:$D$205,201),INDEX(LE_Curves!$B$5:$B$205,201),INDEX(LE_Curves!$B$5:$B$205,MATCH($R163,LE_Curves!$D$5:$D$205,1))+($R163-INDEX(LE_Curves!$D$5:$D$205,MATCH($R163,LE_Curves!$D$5:$D$205,1)))*(INDEX(LE_Curves!$B$5:$B$205,MATCH($R163,LE_Curves!$D$5:$D$205,1)+1)-INDEX(LE_Curves!$B$5:$B$205,MATCH($R163,LE_Curves!$D$5:$D$205,1)))/(INDEX(LE_Curves!$D$5:$D$205,MATCH($R163,LE_Curves!$D$5:$D$205,1)+1)-INDEX(LE_Curves!$D$5:$D$205,MATCH($R163,LE_Curves!$D$5:$D$205,1))))))</f>
        <v/>
      </c>
      <c r="U163" s="11">
        <f>IF(Inputs!$D$25=0,0,IF($R163&lt;=Inputs!$C$25,0,IF($R163&gt;=INDEX(LE_Curves!$E$5:$E$205,201),INDEX(LE_Curves!$B$5:$B$205,201),INDEX(LE_Curves!$B$5:$B$205,MATCH($R163,LE_Curves!$E$5:$E$205,1))+($R163-INDEX(LE_Curves!$E$5:$E$205,MATCH($R163,LE_Curves!$E$5:$E$205,1)))*(INDEX(LE_Curves!$B$5:$B$205,MATCH($R163,LE_Curves!$E$5:$E$205,1)+1)-INDEX(LE_Curves!$B$5:$B$205,MATCH($R163,LE_Curves!$E$5:$E$205,1)))/(INDEX(LE_Curves!$E$5:$E$205,MATCH($R163,LE_Curves!$E$5:$E$205,1)+1)-INDEX(LE_Curves!$E$5:$E$205,MATCH($R163,LE_Curves!$E$5:$E$205,1))))))</f>
        <v/>
      </c>
      <c r="V163" s="11">
        <f>IF(Inputs!$D$26=0,0,IF($R163&lt;=Inputs!$C$26,0,IF($R163&gt;=INDEX(LE_Curves!$F$5:$F$205,201),INDEX(LE_Curves!$B$5:$B$205,201),INDEX(LE_Curves!$B$5:$B$205,MATCH($R163,LE_Curves!$F$5:$F$205,1))+($R163-INDEX(LE_Curves!$F$5:$F$205,MATCH($R163,LE_Curves!$F$5:$F$205,1)))*(INDEX(LE_Curves!$B$5:$B$205,MATCH($R163,LE_Curves!$F$5:$F$205,1)+1)-INDEX(LE_Curves!$B$5:$B$205,MATCH($R163,LE_Curves!$F$5:$F$205,1)))/(INDEX(LE_Curves!$F$5:$F$205,MATCH($R163,LE_Curves!$F$5:$F$205,1)+1)-INDEX(LE_Curves!$F$5:$F$205,MATCH($R163,LE_Curves!$F$5:$F$205,1))))))</f>
        <v/>
      </c>
      <c r="W163" s="11">
        <f>IF(Inputs!$D$27=0,0,IF($R163&lt;=Inputs!$C$27,0,IF($R163&gt;=INDEX(LE_Curves!$G$5:$G$205,201),INDEX(LE_Curves!$B$5:$B$205,201),INDEX(LE_Curves!$B$5:$B$205,MATCH($R163,LE_Curves!$G$5:$G$205,1))+($R163-INDEX(LE_Curves!$G$5:$G$205,MATCH($R163,LE_Curves!$G$5:$G$205,1)))*(INDEX(LE_Curves!$B$5:$B$205,MATCH($R163,LE_Curves!$G$5:$G$205,1)+1)-INDEX(LE_Curves!$B$5:$B$205,MATCH($R163,LE_Curves!$G$5:$G$205,1)))/(INDEX(LE_Curves!$G$5:$G$205,MATCH($R163,LE_Curves!$G$5:$G$205,1)+1)-INDEX(LE_Curves!$G$5:$G$205,MATCH($R163,LE_Curves!$G$5:$G$205,1))))))</f>
        <v/>
      </c>
      <c r="X163" s="11">
        <f>IF(Inputs!$D$28=0,0,IF($R163&lt;=Inputs!$C$28,0,IF($R163&gt;=INDEX(LE_Curves!$H$5:$H$205,201),INDEX(LE_Curves!$B$5:$B$205,201),INDEX(LE_Curves!$B$5:$B$205,MATCH($R163,LE_Curves!$H$5:$H$205,1))+($R163-INDEX(LE_Curves!$H$5:$H$205,MATCH($R163,LE_Curves!$H$5:$H$205,1)))*(INDEX(LE_Curves!$B$5:$B$205,MATCH($R163,LE_Curves!$H$5:$H$205,1)+1)-INDEX(LE_Curves!$B$5:$B$205,MATCH($R163,LE_Curves!$H$5:$H$205,1)))/(INDEX(LE_Curves!$H$5:$H$205,MATCH($R163,LE_Curves!$H$5:$H$205,1)+1)-INDEX(LE_Curves!$H$5:$H$205,MATCH($R163,LE_Curves!$H$5:$H$205,1))))))</f>
        <v/>
      </c>
      <c r="Y163" s="11">
        <f>IF(Inputs!$D$29=0,0,IF($R163&lt;=Inputs!$C$29,0,IF($R163&gt;=INDEX(LE_Curves!$I$5:$I$205,201),INDEX(LE_Curves!$B$5:$B$205,201),INDEX(LE_Curves!$B$5:$B$205,MATCH($R163,LE_Curves!$I$5:$I$205,1))+($R163-INDEX(LE_Curves!$I$5:$I$205,MATCH($R163,LE_Curves!$I$5:$I$205,1)))*(INDEX(LE_Curves!$B$5:$B$205,MATCH($R163,LE_Curves!$I$5:$I$205,1)+1)-INDEX(LE_Curves!$B$5:$B$205,MATCH($R163,LE_Curves!$I$5:$I$205,1)))/(INDEX(LE_Curves!$I$5:$I$205,MATCH($R163,LE_Curves!$I$5:$I$205,1)+1)-INDEX(LE_Curves!$I$5:$I$205,MATCH($R163,LE_Curves!$I$5:$I$205,1))))))</f>
        <v/>
      </c>
      <c r="Z163" s="11">
        <f>IF(Inputs!$D$30=0,0,IF($R163&lt;=Inputs!$C$30,0,IF($R163&gt;=INDEX(LE_Curves!$J$5:$J$205,201),INDEX(LE_Curves!$B$5:$B$205,201),INDEX(LE_Curves!$B$5:$B$205,MATCH($R163,LE_Curves!$J$5:$J$205,1))+($R163-INDEX(LE_Curves!$J$5:$J$205,MATCH($R163,LE_Curves!$J$5:$J$205,1)))*(INDEX(LE_Curves!$B$5:$B$205,MATCH($R163,LE_Curves!$J$5:$J$205,1)+1)-INDEX(LE_Curves!$B$5:$B$205,MATCH($R163,LE_Curves!$J$5:$J$205,1)))/(INDEX(LE_Curves!$J$5:$J$205,MATCH($R163,LE_Curves!$J$5:$J$205,1)+1)-INDEX(LE_Curves!$J$5:$J$205,MATCH($R163,LE_Curves!$J$5:$J$205,1))))))</f>
        <v/>
      </c>
      <c r="AA163" s="11">
        <f>IF(Inputs!$D$31=0,0,IF($R163&lt;=Inputs!$C$31,0,IF($R163&gt;=INDEX(LE_Curves!$K$5:$K$205,201),INDEX(LE_Curves!$B$5:$B$205,201),INDEX(LE_Curves!$B$5:$B$205,MATCH($R163,LE_Curves!$K$5:$K$205,1))+($R163-INDEX(LE_Curves!$K$5:$K$205,MATCH($R163,LE_Curves!$K$5:$K$205,1)))*(INDEX(LE_Curves!$B$5:$B$205,MATCH($R163,LE_Curves!$K$5:$K$205,1)+1)-INDEX(LE_Curves!$B$5:$B$205,MATCH($R163,LE_Curves!$K$5:$K$205,1)))/(INDEX(LE_Curves!$K$5:$K$205,MATCH($R163,LE_Curves!$K$5:$K$205,1)+1)-INDEX(LE_Curves!$K$5:$K$205,MATCH($R163,LE_Curves!$K$5:$K$205,1))))))</f>
        <v/>
      </c>
      <c r="AB163" s="11">
        <f>IF(Inputs!$D$32=0,0,IF($R163&lt;=Inputs!$C$32,0,IF($R163&gt;=INDEX(LE_Curves!$L$5:$L$205,201),INDEX(LE_Curves!$B$5:$B$205,201),INDEX(LE_Curves!$B$5:$B$205,MATCH($R163,LE_Curves!$L$5:$L$205,1))+($R163-INDEX(LE_Curves!$L$5:$L$205,MATCH($R163,LE_Curves!$L$5:$L$205,1)))*(INDEX(LE_Curves!$B$5:$B$205,MATCH($R163,LE_Curves!$L$5:$L$205,1)+1)-INDEX(LE_Curves!$B$5:$B$205,MATCH($R163,LE_Curves!$L$5:$L$205,1)))/(INDEX(LE_Curves!$L$5:$L$205,MATCH($R163,LE_Curves!$L$5:$L$205,1)+1)-INDEX(LE_Curves!$L$5:$L$205,MATCH($R163,LE_Curves!$L$5:$L$205,1))))))</f>
        <v/>
      </c>
      <c r="AC163" s="11">
        <f>IF(Inputs!$D$33=0,0,IF($R163&lt;=Inputs!$C$33,0,IF($R163&gt;=INDEX(LE_Curves!$M$5:$M$205,201),INDEX(LE_Curves!$B$5:$B$205,201),INDEX(LE_Curves!$B$5:$B$205,MATCH($R163,LE_Curves!$M$5:$M$205,1))+($R163-INDEX(LE_Curves!$M$5:$M$205,MATCH($R163,LE_Curves!$M$5:$M$205,1)))*(INDEX(LE_Curves!$B$5:$B$205,MATCH($R163,LE_Curves!$M$5:$M$205,1)+1)-INDEX(LE_Curves!$B$5:$B$205,MATCH($R163,LE_Curves!$M$5:$M$205,1)))/(INDEX(LE_Curves!$M$5:$M$205,MATCH($R163,LE_Curves!$M$5:$M$205,1)+1)-INDEX(LE_Curves!$M$5:$M$205,MATCH($R163,LE_Curves!$M$5:$M$205,1))))))</f>
        <v/>
      </c>
      <c r="AD163" s="11">
        <f>IF(Inputs!$D$34=0,0,IF($R163&lt;=Inputs!$C$34,0,IF($R163&gt;=INDEX(LE_Curves!$N$5:$N$205,201),INDEX(LE_Curves!$B$5:$B$205,201),INDEX(LE_Curves!$B$5:$B$205,MATCH($R163,LE_Curves!$N$5:$N$205,1))+($R163-INDEX(LE_Curves!$N$5:$N$205,MATCH($R163,LE_Curves!$N$5:$N$205,1)))*(INDEX(LE_Curves!$B$5:$B$205,MATCH($R163,LE_Curves!$N$5:$N$205,1)+1)-INDEX(LE_Curves!$B$5:$B$205,MATCH($R163,LE_Curves!$N$5:$N$205,1)))/(INDEX(LE_Curves!$N$5:$N$205,MATCH($R163,LE_Curves!$N$5:$N$205,1)+1)-INDEX(LE_Curves!$N$5:$N$205,MATCH($R163,LE_Curves!$N$5:$N$205,1))))))</f>
        <v/>
      </c>
      <c r="AE163" s="37">
        <f>SUM(S163:AD163)</f>
        <v/>
      </c>
    </row>
    <row r="164">
      <c r="A164" s="7" t="n">
        <v>133</v>
      </c>
      <c r="B164" s="37">
        <f>$B$3+($B$4-$B$3)*A164/200</f>
        <v/>
      </c>
      <c r="C164" s="11">
        <f>IF(Inputs!$D$23=0,0,IF($B164&lt;=Inputs!$C$23,0,IF($B164&gt;=INDEX(LE_Curves!$C$5:$C$205,201),INDEX(LE_Curves!$B$5:$B$205,201),INDEX(LE_Curves!$B$5:$B$205,MATCH($B164,LE_Curves!$C$5:$C$205,1))+($B164-INDEX(LE_Curves!$C$5:$C$205,MATCH($B164,LE_Curves!$C$5:$C$205,1)))*(INDEX(LE_Curves!$B$5:$B$205,MATCH($B164,LE_Curves!$C$5:$C$205,1)+1)-INDEX(LE_Curves!$B$5:$B$205,MATCH($B164,LE_Curves!$C$5:$C$205,1)))/(INDEX(LE_Curves!$C$5:$C$205,MATCH($B164,LE_Curves!$C$5:$C$205,1)+1)-INDEX(LE_Curves!$C$5:$C$205,MATCH($B164,LE_Curves!$C$5:$C$205,1))))))</f>
        <v/>
      </c>
      <c r="D164" s="11">
        <f>IF(Inputs!$D$24=0,0,IF($B164&lt;=Inputs!$C$24,0,IF($B164&gt;=INDEX(LE_Curves!$D$5:$D$205,201),INDEX(LE_Curves!$B$5:$B$205,201),INDEX(LE_Curves!$B$5:$B$205,MATCH($B164,LE_Curves!$D$5:$D$205,1))+($B164-INDEX(LE_Curves!$D$5:$D$205,MATCH($B164,LE_Curves!$D$5:$D$205,1)))*(INDEX(LE_Curves!$B$5:$B$205,MATCH($B164,LE_Curves!$D$5:$D$205,1)+1)-INDEX(LE_Curves!$B$5:$B$205,MATCH($B164,LE_Curves!$D$5:$D$205,1)))/(INDEX(LE_Curves!$D$5:$D$205,MATCH($B164,LE_Curves!$D$5:$D$205,1)+1)-INDEX(LE_Curves!$D$5:$D$205,MATCH($B164,LE_Curves!$D$5:$D$205,1))))))</f>
        <v/>
      </c>
      <c r="E164" s="11">
        <f>IF(Inputs!$D$25=0,0,IF($B164&lt;=Inputs!$C$25,0,IF($B164&gt;=INDEX(LE_Curves!$E$5:$E$205,201),INDEX(LE_Curves!$B$5:$B$205,201),INDEX(LE_Curves!$B$5:$B$205,MATCH($B164,LE_Curves!$E$5:$E$205,1))+($B164-INDEX(LE_Curves!$E$5:$E$205,MATCH($B164,LE_Curves!$E$5:$E$205,1)))*(INDEX(LE_Curves!$B$5:$B$205,MATCH($B164,LE_Curves!$E$5:$E$205,1)+1)-INDEX(LE_Curves!$B$5:$B$205,MATCH($B164,LE_Curves!$E$5:$E$205,1)))/(INDEX(LE_Curves!$E$5:$E$205,MATCH($B164,LE_Curves!$E$5:$E$205,1)+1)-INDEX(LE_Curves!$E$5:$E$205,MATCH($B164,LE_Curves!$E$5:$E$205,1))))))</f>
        <v/>
      </c>
      <c r="F164" s="11">
        <f>IF(Inputs!$D$26=0,0,IF($B164&lt;=Inputs!$C$26,0,IF($B164&gt;=INDEX(LE_Curves!$F$5:$F$205,201),INDEX(LE_Curves!$B$5:$B$205,201),INDEX(LE_Curves!$B$5:$B$205,MATCH($B164,LE_Curves!$F$5:$F$205,1))+($B164-INDEX(LE_Curves!$F$5:$F$205,MATCH($B164,LE_Curves!$F$5:$F$205,1)))*(INDEX(LE_Curves!$B$5:$B$205,MATCH($B164,LE_Curves!$F$5:$F$205,1)+1)-INDEX(LE_Curves!$B$5:$B$205,MATCH($B164,LE_Curves!$F$5:$F$205,1)))/(INDEX(LE_Curves!$F$5:$F$205,MATCH($B164,LE_Curves!$F$5:$F$205,1)+1)-INDEX(LE_Curves!$F$5:$F$205,MATCH($B164,LE_Curves!$F$5:$F$205,1))))))</f>
        <v/>
      </c>
      <c r="G164" s="11">
        <f>IF(Inputs!$D$27=0,0,IF($B164&lt;=Inputs!$C$27,0,IF($B164&gt;=INDEX(LE_Curves!$G$5:$G$205,201),INDEX(LE_Curves!$B$5:$B$205,201),INDEX(LE_Curves!$B$5:$B$205,MATCH($B164,LE_Curves!$G$5:$G$205,1))+($B164-INDEX(LE_Curves!$G$5:$G$205,MATCH($B164,LE_Curves!$G$5:$G$205,1)))*(INDEX(LE_Curves!$B$5:$B$205,MATCH($B164,LE_Curves!$G$5:$G$205,1)+1)-INDEX(LE_Curves!$B$5:$B$205,MATCH($B164,LE_Curves!$G$5:$G$205,1)))/(INDEX(LE_Curves!$G$5:$G$205,MATCH($B164,LE_Curves!$G$5:$G$205,1)+1)-INDEX(LE_Curves!$G$5:$G$205,MATCH($B164,LE_Curves!$G$5:$G$205,1))))))</f>
        <v/>
      </c>
      <c r="H164" s="11">
        <f>IF(Inputs!$D$28=0,0,IF($B164&lt;=Inputs!$C$28,0,IF($B164&gt;=INDEX(LE_Curves!$H$5:$H$205,201),INDEX(LE_Curves!$B$5:$B$205,201),INDEX(LE_Curves!$B$5:$B$205,MATCH($B164,LE_Curves!$H$5:$H$205,1))+($B164-INDEX(LE_Curves!$H$5:$H$205,MATCH($B164,LE_Curves!$H$5:$H$205,1)))*(INDEX(LE_Curves!$B$5:$B$205,MATCH($B164,LE_Curves!$H$5:$H$205,1)+1)-INDEX(LE_Curves!$B$5:$B$205,MATCH($B164,LE_Curves!$H$5:$H$205,1)))/(INDEX(LE_Curves!$H$5:$H$205,MATCH($B164,LE_Curves!$H$5:$H$205,1)+1)-INDEX(LE_Curves!$H$5:$H$205,MATCH($B164,LE_Curves!$H$5:$H$205,1))))))</f>
        <v/>
      </c>
      <c r="I164" s="11">
        <f>IF(Inputs!$D$29=0,0,IF($B164&lt;=Inputs!$C$29,0,IF($B164&gt;=INDEX(LE_Curves!$I$5:$I$205,201),INDEX(LE_Curves!$B$5:$B$205,201),INDEX(LE_Curves!$B$5:$B$205,MATCH($B164,LE_Curves!$I$5:$I$205,1))+($B164-INDEX(LE_Curves!$I$5:$I$205,MATCH($B164,LE_Curves!$I$5:$I$205,1)))*(INDEX(LE_Curves!$B$5:$B$205,MATCH($B164,LE_Curves!$I$5:$I$205,1)+1)-INDEX(LE_Curves!$B$5:$B$205,MATCH($B164,LE_Curves!$I$5:$I$205,1)))/(INDEX(LE_Curves!$I$5:$I$205,MATCH($B164,LE_Curves!$I$5:$I$205,1)+1)-INDEX(LE_Curves!$I$5:$I$205,MATCH($B164,LE_Curves!$I$5:$I$205,1))))))</f>
        <v/>
      </c>
      <c r="J164" s="11">
        <f>IF(Inputs!$D$30=0,0,IF($B164&lt;=Inputs!$C$30,0,IF($B164&gt;=INDEX(LE_Curves!$J$5:$J$205,201),INDEX(LE_Curves!$B$5:$B$205,201),INDEX(LE_Curves!$B$5:$B$205,MATCH($B164,LE_Curves!$J$5:$J$205,1))+($B164-INDEX(LE_Curves!$J$5:$J$205,MATCH($B164,LE_Curves!$J$5:$J$205,1)))*(INDEX(LE_Curves!$B$5:$B$205,MATCH($B164,LE_Curves!$J$5:$J$205,1)+1)-INDEX(LE_Curves!$B$5:$B$205,MATCH($B164,LE_Curves!$J$5:$J$205,1)))/(INDEX(LE_Curves!$J$5:$J$205,MATCH($B164,LE_Curves!$J$5:$J$205,1)+1)-INDEX(LE_Curves!$J$5:$J$205,MATCH($B164,LE_Curves!$J$5:$J$205,1))))))</f>
        <v/>
      </c>
      <c r="K164" s="11">
        <f>IF(Inputs!$D$31=0,0,IF($B164&lt;=Inputs!$C$31,0,IF($B164&gt;=INDEX(LE_Curves!$K$5:$K$205,201),INDEX(LE_Curves!$B$5:$B$205,201),INDEX(LE_Curves!$B$5:$B$205,MATCH($B164,LE_Curves!$K$5:$K$205,1))+($B164-INDEX(LE_Curves!$K$5:$K$205,MATCH($B164,LE_Curves!$K$5:$K$205,1)))*(INDEX(LE_Curves!$B$5:$B$205,MATCH($B164,LE_Curves!$K$5:$K$205,1)+1)-INDEX(LE_Curves!$B$5:$B$205,MATCH($B164,LE_Curves!$K$5:$K$205,1)))/(INDEX(LE_Curves!$K$5:$K$205,MATCH($B164,LE_Curves!$K$5:$K$205,1)+1)-INDEX(LE_Curves!$K$5:$K$205,MATCH($B164,LE_Curves!$K$5:$K$205,1))))))</f>
        <v/>
      </c>
      <c r="L164" s="11">
        <f>IF(Inputs!$D$32=0,0,IF($B164&lt;=Inputs!$C$32,0,IF($B164&gt;=INDEX(LE_Curves!$L$5:$L$205,201),INDEX(LE_Curves!$B$5:$B$205,201),INDEX(LE_Curves!$B$5:$B$205,MATCH($B164,LE_Curves!$L$5:$L$205,1))+($B164-INDEX(LE_Curves!$L$5:$L$205,MATCH($B164,LE_Curves!$L$5:$L$205,1)))*(INDEX(LE_Curves!$B$5:$B$205,MATCH($B164,LE_Curves!$L$5:$L$205,1)+1)-INDEX(LE_Curves!$B$5:$B$205,MATCH($B164,LE_Curves!$L$5:$L$205,1)))/(INDEX(LE_Curves!$L$5:$L$205,MATCH($B164,LE_Curves!$L$5:$L$205,1)+1)-INDEX(LE_Curves!$L$5:$L$205,MATCH($B164,LE_Curves!$L$5:$L$205,1))))))</f>
        <v/>
      </c>
      <c r="M164" s="11">
        <f>IF(Inputs!$D$33=0,0,IF($B164&lt;=Inputs!$C$33,0,IF($B164&gt;=INDEX(LE_Curves!$M$5:$M$205,201),INDEX(LE_Curves!$B$5:$B$205,201),INDEX(LE_Curves!$B$5:$B$205,MATCH($B164,LE_Curves!$M$5:$M$205,1))+($B164-INDEX(LE_Curves!$M$5:$M$205,MATCH($B164,LE_Curves!$M$5:$M$205,1)))*(INDEX(LE_Curves!$B$5:$B$205,MATCH($B164,LE_Curves!$M$5:$M$205,1)+1)-INDEX(LE_Curves!$B$5:$B$205,MATCH($B164,LE_Curves!$M$5:$M$205,1)))/(INDEX(LE_Curves!$M$5:$M$205,MATCH($B164,LE_Curves!$M$5:$M$205,1)+1)-INDEX(LE_Curves!$M$5:$M$205,MATCH($B164,LE_Curves!$M$5:$M$205,1))))))</f>
        <v/>
      </c>
      <c r="N164" s="11">
        <f>IF(Inputs!$D$34=0,0,IF($B164&lt;=Inputs!$C$34,0,IF($B164&gt;=INDEX(LE_Curves!$N$5:$N$205,201),INDEX(LE_Curves!$B$5:$B$205,201),INDEX(LE_Curves!$B$5:$B$205,MATCH($B164,LE_Curves!$N$5:$N$205,1))+($B164-INDEX(LE_Curves!$N$5:$N$205,MATCH($B164,LE_Curves!$N$5:$N$205,1)))*(INDEX(LE_Curves!$B$5:$B$205,MATCH($B164,LE_Curves!$N$5:$N$205,1)+1)-INDEX(LE_Curves!$B$5:$B$205,MATCH($B164,LE_Curves!$N$5:$N$205,1)))/(INDEX(LE_Curves!$N$5:$N$205,MATCH($B164,LE_Curves!$N$5:$N$205,1)+1)-INDEX(LE_Curves!$N$5:$N$205,MATCH($B164,LE_Curves!$N$5:$N$205,1))))))</f>
        <v/>
      </c>
      <c r="O164" s="11">
        <f>SUM(C164:N164)</f>
        <v/>
      </c>
      <c r="Q164" s="7" t="n">
        <v>133</v>
      </c>
      <c r="R164" s="23">
        <f>$B$6+($B$7-$B$6)*Q164/200</f>
        <v/>
      </c>
      <c r="S164" s="11">
        <f>IF(Inputs!$D$23=0,0,IF($R164&lt;=Inputs!$C$23,0,IF($R164&gt;=INDEX(LE_Curves!$C$5:$C$205,201),INDEX(LE_Curves!$B$5:$B$205,201),INDEX(LE_Curves!$B$5:$B$205,MATCH($R164,LE_Curves!$C$5:$C$205,1))+($R164-INDEX(LE_Curves!$C$5:$C$205,MATCH($R164,LE_Curves!$C$5:$C$205,1)))*(INDEX(LE_Curves!$B$5:$B$205,MATCH($R164,LE_Curves!$C$5:$C$205,1)+1)-INDEX(LE_Curves!$B$5:$B$205,MATCH($R164,LE_Curves!$C$5:$C$205,1)))/(INDEX(LE_Curves!$C$5:$C$205,MATCH($R164,LE_Curves!$C$5:$C$205,1)+1)-INDEX(LE_Curves!$C$5:$C$205,MATCH($R164,LE_Curves!$C$5:$C$205,1))))))</f>
        <v/>
      </c>
      <c r="T164" s="11">
        <f>IF(Inputs!$D$24=0,0,IF($R164&lt;=Inputs!$C$24,0,IF($R164&gt;=INDEX(LE_Curves!$D$5:$D$205,201),INDEX(LE_Curves!$B$5:$B$205,201),INDEX(LE_Curves!$B$5:$B$205,MATCH($R164,LE_Curves!$D$5:$D$205,1))+($R164-INDEX(LE_Curves!$D$5:$D$205,MATCH($R164,LE_Curves!$D$5:$D$205,1)))*(INDEX(LE_Curves!$B$5:$B$205,MATCH($R164,LE_Curves!$D$5:$D$205,1)+1)-INDEX(LE_Curves!$B$5:$B$205,MATCH($R164,LE_Curves!$D$5:$D$205,1)))/(INDEX(LE_Curves!$D$5:$D$205,MATCH($R164,LE_Curves!$D$5:$D$205,1)+1)-INDEX(LE_Curves!$D$5:$D$205,MATCH($R164,LE_Curves!$D$5:$D$205,1))))))</f>
        <v/>
      </c>
      <c r="U164" s="11">
        <f>IF(Inputs!$D$25=0,0,IF($R164&lt;=Inputs!$C$25,0,IF($R164&gt;=INDEX(LE_Curves!$E$5:$E$205,201),INDEX(LE_Curves!$B$5:$B$205,201),INDEX(LE_Curves!$B$5:$B$205,MATCH($R164,LE_Curves!$E$5:$E$205,1))+($R164-INDEX(LE_Curves!$E$5:$E$205,MATCH($R164,LE_Curves!$E$5:$E$205,1)))*(INDEX(LE_Curves!$B$5:$B$205,MATCH($R164,LE_Curves!$E$5:$E$205,1)+1)-INDEX(LE_Curves!$B$5:$B$205,MATCH($R164,LE_Curves!$E$5:$E$205,1)))/(INDEX(LE_Curves!$E$5:$E$205,MATCH($R164,LE_Curves!$E$5:$E$205,1)+1)-INDEX(LE_Curves!$E$5:$E$205,MATCH($R164,LE_Curves!$E$5:$E$205,1))))))</f>
        <v/>
      </c>
      <c r="V164" s="11">
        <f>IF(Inputs!$D$26=0,0,IF($R164&lt;=Inputs!$C$26,0,IF($R164&gt;=INDEX(LE_Curves!$F$5:$F$205,201),INDEX(LE_Curves!$B$5:$B$205,201),INDEX(LE_Curves!$B$5:$B$205,MATCH($R164,LE_Curves!$F$5:$F$205,1))+($R164-INDEX(LE_Curves!$F$5:$F$205,MATCH($R164,LE_Curves!$F$5:$F$205,1)))*(INDEX(LE_Curves!$B$5:$B$205,MATCH($R164,LE_Curves!$F$5:$F$205,1)+1)-INDEX(LE_Curves!$B$5:$B$205,MATCH($R164,LE_Curves!$F$5:$F$205,1)))/(INDEX(LE_Curves!$F$5:$F$205,MATCH($R164,LE_Curves!$F$5:$F$205,1)+1)-INDEX(LE_Curves!$F$5:$F$205,MATCH($R164,LE_Curves!$F$5:$F$205,1))))))</f>
        <v/>
      </c>
      <c r="W164" s="11">
        <f>IF(Inputs!$D$27=0,0,IF($R164&lt;=Inputs!$C$27,0,IF($R164&gt;=INDEX(LE_Curves!$G$5:$G$205,201),INDEX(LE_Curves!$B$5:$B$205,201),INDEX(LE_Curves!$B$5:$B$205,MATCH($R164,LE_Curves!$G$5:$G$205,1))+($R164-INDEX(LE_Curves!$G$5:$G$205,MATCH($R164,LE_Curves!$G$5:$G$205,1)))*(INDEX(LE_Curves!$B$5:$B$205,MATCH($R164,LE_Curves!$G$5:$G$205,1)+1)-INDEX(LE_Curves!$B$5:$B$205,MATCH($R164,LE_Curves!$G$5:$G$205,1)))/(INDEX(LE_Curves!$G$5:$G$205,MATCH($R164,LE_Curves!$G$5:$G$205,1)+1)-INDEX(LE_Curves!$G$5:$G$205,MATCH($R164,LE_Curves!$G$5:$G$205,1))))))</f>
        <v/>
      </c>
      <c r="X164" s="11">
        <f>IF(Inputs!$D$28=0,0,IF($R164&lt;=Inputs!$C$28,0,IF($R164&gt;=INDEX(LE_Curves!$H$5:$H$205,201),INDEX(LE_Curves!$B$5:$B$205,201),INDEX(LE_Curves!$B$5:$B$205,MATCH($R164,LE_Curves!$H$5:$H$205,1))+($R164-INDEX(LE_Curves!$H$5:$H$205,MATCH($R164,LE_Curves!$H$5:$H$205,1)))*(INDEX(LE_Curves!$B$5:$B$205,MATCH($R164,LE_Curves!$H$5:$H$205,1)+1)-INDEX(LE_Curves!$B$5:$B$205,MATCH($R164,LE_Curves!$H$5:$H$205,1)))/(INDEX(LE_Curves!$H$5:$H$205,MATCH($R164,LE_Curves!$H$5:$H$205,1)+1)-INDEX(LE_Curves!$H$5:$H$205,MATCH($R164,LE_Curves!$H$5:$H$205,1))))))</f>
        <v/>
      </c>
      <c r="Y164" s="11">
        <f>IF(Inputs!$D$29=0,0,IF($R164&lt;=Inputs!$C$29,0,IF($R164&gt;=INDEX(LE_Curves!$I$5:$I$205,201),INDEX(LE_Curves!$B$5:$B$205,201),INDEX(LE_Curves!$B$5:$B$205,MATCH($R164,LE_Curves!$I$5:$I$205,1))+($R164-INDEX(LE_Curves!$I$5:$I$205,MATCH($R164,LE_Curves!$I$5:$I$205,1)))*(INDEX(LE_Curves!$B$5:$B$205,MATCH($R164,LE_Curves!$I$5:$I$205,1)+1)-INDEX(LE_Curves!$B$5:$B$205,MATCH($R164,LE_Curves!$I$5:$I$205,1)))/(INDEX(LE_Curves!$I$5:$I$205,MATCH($R164,LE_Curves!$I$5:$I$205,1)+1)-INDEX(LE_Curves!$I$5:$I$205,MATCH($R164,LE_Curves!$I$5:$I$205,1))))))</f>
        <v/>
      </c>
      <c r="Z164" s="11">
        <f>IF(Inputs!$D$30=0,0,IF($R164&lt;=Inputs!$C$30,0,IF($R164&gt;=INDEX(LE_Curves!$J$5:$J$205,201),INDEX(LE_Curves!$B$5:$B$205,201),INDEX(LE_Curves!$B$5:$B$205,MATCH($R164,LE_Curves!$J$5:$J$205,1))+($R164-INDEX(LE_Curves!$J$5:$J$205,MATCH($R164,LE_Curves!$J$5:$J$205,1)))*(INDEX(LE_Curves!$B$5:$B$205,MATCH($R164,LE_Curves!$J$5:$J$205,1)+1)-INDEX(LE_Curves!$B$5:$B$205,MATCH($R164,LE_Curves!$J$5:$J$205,1)))/(INDEX(LE_Curves!$J$5:$J$205,MATCH($R164,LE_Curves!$J$5:$J$205,1)+1)-INDEX(LE_Curves!$J$5:$J$205,MATCH($R164,LE_Curves!$J$5:$J$205,1))))))</f>
        <v/>
      </c>
      <c r="AA164" s="11">
        <f>IF(Inputs!$D$31=0,0,IF($R164&lt;=Inputs!$C$31,0,IF($R164&gt;=INDEX(LE_Curves!$K$5:$K$205,201),INDEX(LE_Curves!$B$5:$B$205,201),INDEX(LE_Curves!$B$5:$B$205,MATCH($R164,LE_Curves!$K$5:$K$205,1))+($R164-INDEX(LE_Curves!$K$5:$K$205,MATCH($R164,LE_Curves!$K$5:$K$205,1)))*(INDEX(LE_Curves!$B$5:$B$205,MATCH($R164,LE_Curves!$K$5:$K$205,1)+1)-INDEX(LE_Curves!$B$5:$B$205,MATCH($R164,LE_Curves!$K$5:$K$205,1)))/(INDEX(LE_Curves!$K$5:$K$205,MATCH($R164,LE_Curves!$K$5:$K$205,1)+1)-INDEX(LE_Curves!$K$5:$K$205,MATCH($R164,LE_Curves!$K$5:$K$205,1))))))</f>
        <v/>
      </c>
      <c r="AB164" s="11">
        <f>IF(Inputs!$D$32=0,0,IF($R164&lt;=Inputs!$C$32,0,IF($R164&gt;=INDEX(LE_Curves!$L$5:$L$205,201),INDEX(LE_Curves!$B$5:$B$205,201),INDEX(LE_Curves!$B$5:$B$205,MATCH($R164,LE_Curves!$L$5:$L$205,1))+($R164-INDEX(LE_Curves!$L$5:$L$205,MATCH($R164,LE_Curves!$L$5:$L$205,1)))*(INDEX(LE_Curves!$B$5:$B$205,MATCH($R164,LE_Curves!$L$5:$L$205,1)+1)-INDEX(LE_Curves!$B$5:$B$205,MATCH($R164,LE_Curves!$L$5:$L$205,1)))/(INDEX(LE_Curves!$L$5:$L$205,MATCH($R164,LE_Curves!$L$5:$L$205,1)+1)-INDEX(LE_Curves!$L$5:$L$205,MATCH($R164,LE_Curves!$L$5:$L$205,1))))))</f>
        <v/>
      </c>
      <c r="AC164" s="11">
        <f>IF(Inputs!$D$33=0,0,IF($R164&lt;=Inputs!$C$33,0,IF($R164&gt;=INDEX(LE_Curves!$M$5:$M$205,201),INDEX(LE_Curves!$B$5:$B$205,201),INDEX(LE_Curves!$B$5:$B$205,MATCH($R164,LE_Curves!$M$5:$M$205,1))+($R164-INDEX(LE_Curves!$M$5:$M$205,MATCH($R164,LE_Curves!$M$5:$M$205,1)))*(INDEX(LE_Curves!$B$5:$B$205,MATCH($R164,LE_Curves!$M$5:$M$205,1)+1)-INDEX(LE_Curves!$B$5:$B$205,MATCH($R164,LE_Curves!$M$5:$M$205,1)))/(INDEX(LE_Curves!$M$5:$M$205,MATCH($R164,LE_Curves!$M$5:$M$205,1)+1)-INDEX(LE_Curves!$M$5:$M$205,MATCH($R164,LE_Curves!$M$5:$M$205,1))))))</f>
        <v/>
      </c>
      <c r="AD164" s="11">
        <f>IF(Inputs!$D$34=0,0,IF($R164&lt;=Inputs!$C$34,0,IF($R164&gt;=INDEX(LE_Curves!$N$5:$N$205,201),INDEX(LE_Curves!$B$5:$B$205,201),INDEX(LE_Curves!$B$5:$B$205,MATCH($R164,LE_Curves!$N$5:$N$205,1))+($R164-INDEX(LE_Curves!$N$5:$N$205,MATCH($R164,LE_Curves!$N$5:$N$205,1)))*(INDEX(LE_Curves!$B$5:$B$205,MATCH($R164,LE_Curves!$N$5:$N$205,1)+1)-INDEX(LE_Curves!$B$5:$B$205,MATCH($R164,LE_Curves!$N$5:$N$205,1)))/(INDEX(LE_Curves!$N$5:$N$205,MATCH($R164,LE_Curves!$N$5:$N$205,1)+1)-INDEX(LE_Curves!$N$5:$N$205,MATCH($R164,LE_Curves!$N$5:$N$205,1))))))</f>
        <v/>
      </c>
      <c r="AE164" s="37">
        <f>SUM(S164:AD164)</f>
        <v/>
      </c>
    </row>
    <row r="165">
      <c r="A165" s="7" t="n">
        <v>134</v>
      </c>
      <c r="B165" s="37">
        <f>$B$3+($B$4-$B$3)*A165/200</f>
        <v/>
      </c>
      <c r="C165" s="11">
        <f>IF(Inputs!$D$23=0,0,IF($B165&lt;=Inputs!$C$23,0,IF($B165&gt;=INDEX(LE_Curves!$C$5:$C$205,201),INDEX(LE_Curves!$B$5:$B$205,201),INDEX(LE_Curves!$B$5:$B$205,MATCH($B165,LE_Curves!$C$5:$C$205,1))+($B165-INDEX(LE_Curves!$C$5:$C$205,MATCH($B165,LE_Curves!$C$5:$C$205,1)))*(INDEX(LE_Curves!$B$5:$B$205,MATCH($B165,LE_Curves!$C$5:$C$205,1)+1)-INDEX(LE_Curves!$B$5:$B$205,MATCH($B165,LE_Curves!$C$5:$C$205,1)))/(INDEX(LE_Curves!$C$5:$C$205,MATCH($B165,LE_Curves!$C$5:$C$205,1)+1)-INDEX(LE_Curves!$C$5:$C$205,MATCH($B165,LE_Curves!$C$5:$C$205,1))))))</f>
        <v/>
      </c>
      <c r="D165" s="11">
        <f>IF(Inputs!$D$24=0,0,IF($B165&lt;=Inputs!$C$24,0,IF($B165&gt;=INDEX(LE_Curves!$D$5:$D$205,201),INDEX(LE_Curves!$B$5:$B$205,201),INDEX(LE_Curves!$B$5:$B$205,MATCH($B165,LE_Curves!$D$5:$D$205,1))+($B165-INDEX(LE_Curves!$D$5:$D$205,MATCH($B165,LE_Curves!$D$5:$D$205,1)))*(INDEX(LE_Curves!$B$5:$B$205,MATCH($B165,LE_Curves!$D$5:$D$205,1)+1)-INDEX(LE_Curves!$B$5:$B$205,MATCH($B165,LE_Curves!$D$5:$D$205,1)))/(INDEX(LE_Curves!$D$5:$D$205,MATCH($B165,LE_Curves!$D$5:$D$205,1)+1)-INDEX(LE_Curves!$D$5:$D$205,MATCH($B165,LE_Curves!$D$5:$D$205,1))))))</f>
        <v/>
      </c>
      <c r="E165" s="11">
        <f>IF(Inputs!$D$25=0,0,IF($B165&lt;=Inputs!$C$25,0,IF($B165&gt;=INDEX(LE_Curves!$E$5:$E$205,201),INDEX(LE_Curves!$B$5:$B$205,201),INDEX(LE_Curves!$B$5:$B$205,MATCH($B165,LE_Curves!$E$5:$E$205,1))+($B165-INDEX(LE_Curves!$E$5:$E$205,MATCH($B165,LE_Curves!$E$5:$E$205,1)))*(INDEX(LE_Curves!$B$5:$B$205,MATCH($B165,LE_Curves!$E$5:$E$205,1)+1)-INDEX(LE_Curves!$B$5:$B$205,MATCH($B165,LE_Curves!$E$5:$E$205,1)))/(INDEX(LE_Curves!$E$5:$E$205,MATCH($B165,LE_Curves!$E$5:$E$205,1)+1)-INDEX(LE_Curves!$E$5:$E$205,MATCH($B165,LE_Curves!$E$5:$E$205,1))))))</f>
        <v/>
      </c>
      <c r="F165" s="11">
        <f>IF(Inputs!$D$26=0,0,IF($B165&lt;=Inputs!$C$26,0,IF($B165&gt;=INDEX(LE_Curves!$F$5:$F$205,201),INDEX(LE_Curves!$B$5:$B$205,201),INDEX(LE_Curves!$B$5:$B$205,MATCH($B165,LE_Curves!$F$5:$F$205,1))+($B165-INDEX(LE_Curves!$F$5:$F$205,MATCH($B165,LE_Curves!$F$5:$F$205,1)))*(INDEX(LE_Curves!$B$5:$B$205,MATCH($B165,LE_Curves!$F$5:$F$205,1)+1)-INDEX(LE_Curves!$B$5:$B$205,MATCH($B165,LE_Curves!$F$5:$F$205,1)))/(INDEX(LE_Curves!$F$5:$F$205,MATCH($B165,LE_Curves!$F$5:$F$205,1)+1)-INDEX(LE_Curves!$F$5:$F$205,MATCH($B165,LE_Curves!$F$5:$F$205,1))))))</f>
        <v/>
      </c>
      <c r="G165" s="11">
        <f>IF(Inputs!$D$27=0,0,IF($B165&lt;=Inputs!$C$27,0,IF($B165&gt;=INDEX(LE_Curves!$G$5:$G$205,201),INDEX(LE_Curves!$B$5:$B$205,201),INDEX(LE_Curves!$B$5:$B$205,MATCH($B165,LE_Curves!$G$5:$G$205,1))+($B165-INDEX(LE_Curves!$G$5:$G$205,MATCH($B165,LE_Curves!$G$5:$G$205,1)))*(INDEX(LE_Curves!$B$5:$B$205,MATCH($B165,LE_Curves!$G$5:$G$205,1)+1)-INDEX(LE_Curves!$B$5:$B$205,MATCH($B165,LE_Curves!$G$5:$G$205,1)))/(INDEX(LE_Curves!$G$5:$G$205,MATCH($B165,LE_Curves!$G$5:$G$205,1)+1)-INDEX(LE_Curves!$G$5:$G$205,MATCH($B165,LE_Curves!$G$5:$G$205,1))))))</f>
        <v/>
      </c>
      <c r="H165" s="11">
        <f>IF(Inputs!$D$28=0,0,IF($B165&lt;=Inputs!$C$28,0,IF($B165&gt;=INDEX(LE_Curves!$H$5:$H$205,201),INDEX(LE_Curves!$B$5:$B$205,201),INDEX(LE_Curves!$B$5:$B$205,MATCH($B165,LE_Curves!$H$5:$H$205,1))+($B165-INDEX(LE_Curves!$H$5:$H$205,MATCH($B165,LE_Curves!$H$5:$H$205,1)))*(INDEX(LE_Curves!$B$5:$B$205,MATCH($B165,LE_Curves!$H$5:$H$205,1)+1)-INDEX(LE_Curves!$B$5:$B$205,MATCH($B165,LE_Curves!$H$5:$H$205,1)))/(INDEX(LE_Curves!$H$5:$H$205,MATCH($B165,LE_Curves!$H$5:$H$205,1)+1)-INDEX(LE_Curves!$H$5:$H$205,MATCH($B165,LE_Curves!$H$5:$H$205,1))))))</f>
        <v/>
      </c>
      <c r="I165" s="11">
        <f>IF(Inputs!$D$29=0,0,IF($B165&lt;=Inputs!$C$29,0,IF($B165&gt;=INDEX(LE_Curves!$I$5:$I$205,201),INDEX(LE_Curves!$B$5:$B$205,201),INDEX(LE_Curves!$B$5:$B$205,MATCH($B165,LE_Curves!$I$5:$I$205,1))+($B165-INDEX(LE_Curves!$I$5:$I$205,MATCH($B165,LE_Curves!$I$5:$I$205,1)))*(INDEX(LE_Curves!$B$5:$B$205,MATCH($B165,LE_Curves!$I$5:$I$205,1)+1)-INDEX(LE_Curves!$B$5:$B$205,MATCH($B165,LE_Curves!$I$5:$I$205,1)))/(INDEX(LE_Curves!$I$5:$I$205,MATCH($B165,LE_Curves!$I$5:$I$205,1)+1)-INDEX(LE_Curves!$I$5:$I$205,MATCH($B165,LE_Curves!$I$5:$I$205,1))))))</f>
        <v/>
      </c>
      <c r="J165" s="11">
        <f>IF(Inputs!$D$30=0,0,IF($B165&lt;=Inputs!$C$30,0,IF($B165&gt;=INDEX(LE_Curves!$J$5:$J$205,201),INDEX(LE_Curves!$B$5:$B$205,201),INDEX(LE_Curves!$B$5:$B$205,MATCH($B165,LE_Curves!$J$5:$J$205,1))+($B165-INDEX(LE_Curves!$J$5:$J$205,MATCH($B165,LE_Curves!$J$5:$J$205,1)))*(INDEX(LE_Curves!$B$5:$B$205,MATCH($B165,LE_Curves!$J$5:$J$205,1)+1)-INDEX(LE_Curves!$B$5:$B$205,MATCH($B165,LE_Curves!$J$5:$J$205,1)))/(INDEX(LE_Curves!$J$5:$J$205,MATCH($B165,LE_Curves!$J$5:$J$205,1)+1)-INDEX(LE_Curves!$J$5:$J$205,MATCH($B165,LE_Curves!$J$5:$J$205,1))))))</f>
        <v/>
      </c>
      <c r="K165" s="11">
        <f>IF(Inputs!$D$31=0,0,IF($B165&lt;=Inputs!$C$31,0,IF($B165&gt;=INDEX(LE_Curves!$K$5:$K$205,201),INDEX(LE_Curves!$B$5:$B$205,201),INDEX(LE_Curves!$B$5:$B$205,MATCH($B165,LE_Curves!$K$5:$K$205,1))+($B165-INDEX(LE_Curves!$K$5:$K$205,MATCH($B165,LE_Curves!$K$5:$K$205,1)))*(INDEX(LE_Curves!$B$5:$B$205,MATCH($B165,LE_Curves!$K$5:$K$205,1)+1)-INDEX(LE_Curves!$B$5:$B$205,MATCH($B165,LE_Curves!$K$5:$K$205,1)))/(INDEX(LE_Curves!$K$5:$K$205,MATCH($B165,LE_Curves!$K$5:$K$205,1)+1)-INDEX(LE_Curves!$K$5:$K$205,MATCH($B165,LE_Curves!$K$5:$K$205,1))))))</f>
        <v/>
      </c>
      <c r="L165" s="11">
        <f>IF(Inputs!$D$32=0,0,IF($B165&lt;=Inputs!$C$32,0,IF($B165&gt;=INDEX(LE_Curves!$L$5:$L$205,201),INDEX(LE_Curves!$B$5:$B$205,201),INDEX(LE_Curves!$B$5:$B$205,MATCH($B165,LE_Curves!$L$5:$L$205,1))+($B165-INDEX(LE_Curves!$L$5:$L$205,MATCH($B165,LE_Curves!$L$5:$L$205,1)))*(INDEX(LE_Curves!$B$5:$B$205,MATCH($B165,LE_Curves!$L$5:$L$205,1)+1)-INDEX(LE_Curves!$B$5:$B$205,MATCH($B165,LE_Curves!$L$5:$L$205,1)))/(INDEX(LE_Curves!$L$5:$L$205,MATCH($B165,LE_Curves!$L$5:$L$205,1)+1)-INDEX(LE_Curves!$L$5:$L$205,MATCH($B165,LE_Curves!$L$5:$L$205,1))))))</f>
        <v/>
      </c>
      <c r="M165" s="11">
        <f>IF(Inputs!$D$33=0,0,IF($B165&lt;=Inputs!$C$33,0,IF($B165&gt;=INDEX(LE_Curves!$M$5:$M$205,201),INDEX(LE_Curves!$B$5:$B$205,201),INDEX(LE_Curves!$B$5:$B$205,MATCH($B165,LE_Curves!$M$5:$M$205,1))+($B165-INDEX(LE_Curves!$M$5:$M$205,MATCH($B165,LE_Curves!$M$5:$M$205,1)))*(INDEX(LE_Curves!$B$5:$B$205,MATCH($B165,LE_Curves!$M$5:$M$205,1)+1)-INDEX(LE_Curves!$B$5:$B$205,MATCH($B165,LE_Curves!$M$5:$M$205,1)))/(INDEX(LE_Curves!$M$5:$M$205,MATCH($B165,LE_Curves!$M$5:$M$205,1)+1)-INDEX(LE_Curves!$M$5:$M$205,MATCH($B165,LE_Curves!$M$5:$M$205,1))))))</f>
        <v/>
      </c>
      <c r="N165" s="11">
        <f>IF(Inputs!$D$34=0,0,IF($B165&lt;=Inputs!$C$34,0,IF($B165&gt;=INDEX(LE_Curves!$N$5:$N$205,201),INDEX(LE_Curves!$B$5:$B$205,201),INDEX(LE_Curves!$B$5:$B$205,MATCH($B165,LE_Curves!$N$5:$N$205,1))+($B165-INDEX(LE_Curves!$N$5:$N$205,MATCH($B165,LE_Curves!$N$5:$N$205,1)))*(INDEX(LE_Curves!$B$5:$B$205,MATCH($B165,LE_Curves!$N$5:$N$205,1)+1)-INDEX(LE_Curves!$B$5:$B$205,MATCH($B165,LE_Curves!$N$5:$N$205,1)))/(INDEX(LE_Curves!$N$5:$N$205,MATCH($B165,LE_Curves!$N$5:$N$205,1)+1)-INDEX(LE_Curves!$N$5:$N$205,MATCH($B165,LE_Curves!$N$5:$N$205,1))))))</f>
        <v/>
      </c>
      <c r="O165" s="11">
        <f>SUM(C165:N165)</f>
        <v/>
      </c>
      <c r="Q165" s="7" t="n">
        <v>134</v>
      </c>
      <c r="R165" s="23">
        <f>$B$6+($B$7-$B$6)*Q165/200</f>
        <v/>
      </c>
      <c r="S165" s="11">
        <f>IF(Inputs!$D$23=0,0,IF($R165&lt;=Inputs!$C$23,0,IF($R165&gt;=INDEX(LE_Curves!$C$5:$C$205,201),INDEX(LE_Curves!$B$5:$B$205,201),INDEX(LE_Curves!$B$5:$B$205,MATCH($R165,LE_Curves!$C$5:$C$205,1))+($R165-INDEX(LE_Curves!$C$5:$C$205,MATCH($R165,LE_Curves!$C$5:$C$205,1)))*(INDEX(LE_Curves!$B$5:$B$205,MATCH($R165,LE_Curves!$C$5:$C$205,1)+1)-INDEX(LE_Curves!$B$5:$B$205,MATCH($R165,LE_Curves!$C$5:$C$205,1)))/(INDEX(LE_Curves!$C$5:$C$205,MATCH($R165,LE_Curves!$C$5:$C$205,1)+1)-INDEX(LE_Curves!$C$5:$C$205,MATCH($R165,LE_Curves!$C$5:$C$205,1))))))</f>
        <v/>
      </c>
      <c r="T165" s="11">
        <f>IF(Inputs!$D$24=0,0,IF($R165&lt;=Inputs!$C$24,0,IF($R165&gt;=INDEX(LE_Curves!$D$5:$D$205,201),INDEX(LE_Curves!$B$5:$B$205,201),INDEX(LE_Curves!$B$5:$B$205,MATCH($R165,LE_Curves!$D$5:$D$205,1))+($R165-INDEX(LE_Curves!$D$5:$D$205,MATCH($R165,LE_Curves!$D$5:$D$205,1)))*(INDEX(LE_Curves!$B$5:$B$205,MATCH($R165,LE_Curves!$D$5:$D$205,1)+1)-INDEX(LE_Curves!$B$5:$B$205,MATCH($R165,LE_Curves!$D$5:$D$205,1)))/(INDEX(LE_Curves!$D$5:$D$205,MATCH($R165,LE_Curves!$D$5:$D$205,1)+1)-INDEX(LE_Curves!$D$5:$D$205,MATCH($R165,LE_Curves!$D$5:$D$205,1))))))</f>
        <v/>
      </c>
      <c r="U165" s="11">
        <f>IF(Inputs!$D$25=0,0,IF($R165&lt;=Inputs!$C$25,0,IF($R165&gt;=INDEX(LE_Curves!$E$5:$E$205,201),INDEX(LE_Curves!$B$5:$B$205,201),INDEX(LE_Curves!$B$5:$B$205,MATCH($R165,LE_Curves!$E$5:$E$205,1))+($R165-INDEX(LE_Curves!$E$5:$E$205,MATCH($R165,LE_Curves!$E$5:$E$205,1)))*(INDEX(LE_Curves!$B$5:$B$205,MATCH($R165,LE_Curves!$E$5:$E$205,1)+1)-INDEX(LE_Curves!$B$5:$B$205,MATCH($R165,LE_Curves!$E$5:$E$205,1)))/(INDEX(LE_Curves!$E$5:$E$205,MATCH($R165,LE_Curves!$E$5:$E$205,1)+1)-INDEX(LE_Curves!$E$5:$E$205,MATCH($R165,LE_Curves!$E$5:$E$205,1))))))</f>
        <v/>
      </c>
      <c r="V165" s="11">
        <f>IF(Inputs!$D$26=0,0,IF($R165&lt;=Inputs!$C$26,0,IF($R165&gt;=INDEX(LE_Curves!$F$5:$F$205,201),INDEX(LE_Curves!$B$5:$B$205,201),INDEX(LE_Curves!$B$5:$B$205,MATCH($R165,LE_Curves!$F$5:$F$205,1))+($R165-INDEX(LE_Curves!$F$5:$F$205,MATCH($R165,LE_Curves!$F$5:$F$205,1)))*(INDEX(LE_Curves!$B$5:$B$205,MATCH($R165,LE_Curves!$F$5:$F$205,1)+1)-INDEX(LE_Curves!$B$5:$B$205,MATCH($R165,LE_Curves!$F$5:$F$205,1)))/(INDEX(LE_Curves!$F$5:$F$205,MATCH($R165,LE_Curves!$F$5:$F$205,1)+1)-INDEX(LE_Curves!$F$5:$F$205,MATCH($R165,LE_Curves!$F$5:$F$205,1))))))</f>
        <v/>
      </c>
      <c r="W165" s="11">
        <f>IF(Inputs!$D$27=0,0,IF($R165&lt;=Inputs!$C$27,0,IF($R165&gt;=INDEX(LE_Curves!$G$5:$G$205,201),INDEX(LE_Curves!$B$5:$B$205,201),INDEX(LE_Curves!$B$5:$B$205,MATCH($R165,LE_Curves!$G$5:$G$205,1))+($R165-INDEX(LE_Curves!$G$5:$G$205,MATCH($R165,LE_Curves!$G$5:$G$205,1)))*(INDEX(LE_Curves!$B$5:$B$205,MATCH($R165,LE_Curves!$G$5:$G$205,1)+1)-INDEX(LE_Curves!$B$5:$B$205,MATCH($R165,LE_Curves!$G$5:$G$205,1)))/(INDEX(LE_Curves!$G$5:$G$205,MATCH($R165,LE_Curves!$G$5:$G$205,1)+1)-INDEX(LE_Curves!$G$5:$G$205,MATCH($R165,LE_Curves!$G$5:$G$205,1))))))</f>
        <v/>
      </c>
      <c r="X165" s="11">
        <f>IF(Inputs!$D$28=0,0,IF($R165&lt;=Inputs!$C$28,0,IF($R165&gt;=INDEX(LE_Curves!$H$5:$H$205,201),INDEX(LE_Curves!$B$5:$B$205,201),INDEX(LE_Curves!$B$5:$B$205,MATCH($R165,LE_Curves!$H$5:$H$205,1))+($R165-INDEX(LE_Curves!$H$5:$H$205,MATCH($R165,LE_Curves!$H$5:$H$205,1)))*(INDEX(LE_Curves!$B$5:$B$205,MATCH($R165,LE_Curves!$H$5:$H$205,1)+1)-INDEX(LE_Curves!$B$5:$B$205,MATCH($R165,LE_Curves!$H$5:$H$205,1)))/(INDEX(LE_Curves!$H$5:$H$205,MATCH($R165,LE_Curves!$H$5:$H$205,1)+1)-INDEX(LE_Curves!$H$5:$H$205,MATCH($R165,LE_Curves!$H$5:$H$205,1))))))</f>
        <v/>
      </c>
      <c r="Y165" s="11">
        <f>IF(Inputs!$D$29=0,0,IF($R165&lt;=Inputs!$C$29,0,IF($R165&gt;=INDEX(LE_Curves!$I$5:$I$205,201),INDEX(LE_Curves!$B$5:$B$205,201),INDEX(LE_Curves!$B$5:$B$205,MATCH($R165,LE_Curves!$I$5:$I$205,1))+($R165-INDEX(LE_Curves!$I$5:$I$205,MATCH($R165,LE_Curves!$I$5:$I$205,1)))*(INDEX(LE_Curves!$B$5:$B$205,MATCH($R165,LE_Curves!$I$5:$I$205,1)+1)-INDEX(LE_Curves!$B$5:$B$205,MATCH($R165,LE_Curves!$I$5:$I$205,1)))/(INDEX(LE_Curves!$I$5:$I$205,MATCH($R165,LE_Curves!$I$5:$I$205,1)+1)-INDEX(LE_Curves!$I$5:$I$205,MATCH($R165,LE_Curves!$I$5:$I$205,1))))))</f>
        <v/>
      </c>
      <c r="Z165" s="11">
        <f>IF(Inputs!$D$30=0,0,IF($R165&lt;=Inputs!$C$30,0,IF($R165&gt;=INDEX(LE_Curves!$J$5:$J$205,201),INDEX(LE_Curves!$B$5:$B$205,201),INDEX(LE_Curves!$B$5:$B$205,MATCH($R165,LE_Curves!$J$5:$J$205,1))+($R165-INDEX(LE_Curves!$J$5:$J$205,MATCH($R165,LE_Curves!$J$5:$J$205,1)))*(INDEX(LE_Curves!$B$5:$B$205,MATCH($R165,LE_Curves!$J$5:$J$205,1)+1)-INDEX(LE_Curves!$B$5:$B$205,MATCH($R165,LE_Curves!$J$5:$J$205,1)))/(INDEX(LE_Curves!$J$5:$J$205,MATCH($R165,LE_Curves!$J$5:$J$205,1)+1)-INDEX(LE_Curves!$J$5:$J$205,MATCH($R165,LE_Curves!$J$5:$J$205,1))))))</f>
        <v/>
      </c>
      <c r="AA165" s="11">
        <f>IF(Inputs!$D$31=0,0,IF($R165&lt;=Inputs!$C$31,0,IF($R165&gt;=INDEX(LE_Curves!$K$5:$K$205,201),INDEX(LE_Curves!$B$5:$B$205,201),INDEX(LE_Curves!$B$5:$B$205,MATCH($R165,LE_Curves!$K$5:$K$205,1))+($R165-INDEX(LE_Curves!$K$5:$K$205,MATCH($R165,LE_Curves!$K$5:$K$205,1)))*(INDEX(LE_Curves!$B$5:$B$205,MATCH($R165,LE_Curves!$K$5:$K$205,1)+1)-INDEX(LE_Curves!$B$5:$B$205,MATCH($R165,LE_Curves!$K$5:$K$205,1)))/(INDEX(LE_Curves!$K$5:$K$205,MATCH($R165,LE_Curves!$K$5:$K$205,1)+1)-INDEX(LE_Curves!$K$5:$K$205,MATCH($R165,LE_Curves!$K$5:$K$205,1))))))</f>
        <v/>
      </c>
      <c r="AB165" s="11">
        <f>IF(Inputs!$D$32=0,0,IF($R165&lt;=Inputs!$C$32,0,IF($R165&gt;=INDEX(LE_Curves!$L$5:$L$205,201),INDEX(LE_Curves!$B$5:$B$205,201),INDEX(LE_Curves!$B$5:$B$205,MATCH($R165,LE_Curves!$L$5:$L$205,1))+($R165-INDEX(LE_Curves!$L$5:$L$205,MATCH($R165,LE_Curves!$L$5:$L$205,1)))*(INDEX(LE_Curves!$B$5:$B$205,MATCH($R165,LE_Curves!$L$5:$L$205,1)+1)-INDEX(LE_Curves!$B$5:$B$205,MATCH($R165,LE_Curves!$L$5:$L$205,1)))/(INDEX(LE_Curves!$L$5:$L$205,MATCH($R165,LE_Curves!$L$5:$L$205,1)+1)-INDEX(LE_Curves!$L$5:$L$205,MATCH($R165,LE_Curves!$L$5:$L$205,1))))))</f>
        <v/>
      </c>
      <c r="AC165" s="11">
        <f>IF(Inputs!$D$33=0,0,IF($R165&lt;=Inputs!$C$33,0,IF($R165&gt;=INDEX(LE_Curves!$M$5:$M$205,201),INDEX(LE_Curves!$B$5:$B$205,201),INDEX(LE_Curves!$B$5:$B$205,MATCH($R165,LE_Curves!$M$5:$M$205,1))+($R165-INDEX(LE_Curves!$M$5:$M$205,MATCH($R165,LE_Curves!$M$5:$M$205,1)))*(INDEX(LE_Curves!$B$5:$B$205,MATCH($R165,LE_Curves!$M$5:$M$205,1)+1)-INDEX(LE_Curves!$B$5:$B$205,MATCH($R165,LE_Curves!$M$5:$M$205,1)))/(INDEX(LE_Curves!$M$5:$M$205,MATCH($R165,LE_Curves!$M$5:$M$205,1)+1)-INDEX(LE_Curves!$M$5:$M$205,MATCH($R165,LE_Curves!$M$5:$M$205,1))))))</f>
        <v/>
      </c>
      <c r="AD165" s="11">
        <f>IF(Inputs!$D$34=0,0,IF($R165&lt;=Inputs!$C$34,0,IF($R165&gt;=INDEX(LE_Curves!$N$5:$N$205,201),INDEX(LE_Curves!$B$5:$B$205,201),INDEX(LE_Curves!$B$5:$B$205,MATCH($R165,LE_Curves!$N$5:$N$205,1))+($R165-INDEX(LE_Curves!$N$5:$N$205,MATCH($R165,LE_Curves!$N$5:$N$205,1)))*(INDEX(LE_Curves!$B$5:$B$205,MATCH($R165,LE_Curves!$N$5:$N$205,1)+1)-INDEX(LE_Curves!$B$5:$B$205,MATCH($R165,LE_Curves!$N$5:$N$205,1)))/(INDEX(LE_Curves!$N$5:$N$205,MATCH($R165,LE_Curves!$N$5:$N$205,1)+1)-INDEX(LE_Curves!$N$5:$N$205,MATCH($R165,LE_Curves!$N$5:$N$205,1))))))</f>
        <v/>
      </c>
      <c r="AE165" s="37">
        <f>SUM(S165:AD165)</f>
        <v/>
      </c>
    </row>
    <row r="166">
      <c r="A166" s="7" t="n">
        <v>135</v>
      </c>
      <c r="B166" s="37">
        <f>$B$3+($B$4-$B$3)*A166/200</f>
        <v/>
      </c>
      <c r="C166" s="11">
        <f>IF(Inputs!$D$23=0,0,IF($B166&lt;=Inputs!$C$23,0,IF($B166&gt;=INDEX(LE_Curves!$C$5:$C$205,201),INDEX(LE_Curves!$B$5:$B$205,201),INDEX(LE_Curves!$B$5:$B$205,MATCH($B166,LE_Curves!$C$5:$C$205,1))+($B166-INDEX(LE_Curves!$C$5:$C$205,MATCH($B166,LE_Curves!$C$5:$C$205,1)))*(INDEX(LE_Curves!$B$5:$B$205,MATCH($B166,LE_Curves!$C$5:$C$205,1)+1)-INDEX(LE_Curves!$B$5:$B$205,MATCH($B166,LE_Curves!$C$5:$C$205,1)))/(INDEX(LE_Curves!$C$5:$C$205,MATCH($B166,LE_Curves!$C$5:$C$205,1)+1)-INDEX(LE_Curves!$C$5:$C$205,MATCH($B166,LE_Curves!$C$5:$C$205,1))))))</f>
        <v/>
      </c>
      <c r="D166" s="11">
        <f>IF(Inputs!$D$24=0,0,IF($B166&lt;=Inputs!$C$24,0,IF($B166&gt;=INDEX(LE_Curves!$D$5:$D$205,201),INDEX(LE_Curves!$B$5:$B$205,201),INDEX(LE_Curves!$B$5:$B$205,MATCH($B166,LE_Curves!$D$5:$D$205,1))+($B166-INDEX(LE_Curves!$D$5:$D$205,MATCH($B166,LE_Curves!$D$5:$D$205,1)))*(INDEX(LE_Curves!$B$5:$B$205,MATCH($B166,LE_Curves!$D$5:$D$205,1)+1)-INDEX(LE_Curves!$B$5:$B$205,MATCH($B166,LE_Curves!$D$5:$D$205,1)))/(INDEX(LE_Curves!$D$5:$D$205,MATCH($B166,LE_Curves!$D$5:$D$205,1)+1)-INDEX(LE_Curves!$D$5:$D$205,MATCH($B166,LE_Curves!$D$5:$D$205,1))))))</f>
        <v/>
      </c>
      <c r="E166" s="11">
        <f>IF(Inputs!$D$25=0,0,IF($B166&lt;=Inputs!$C$25,0,IF($B166&gt;=INDEX(LE_Curves!$E$5:$E$205,201),INDEX(LE_Curves!$B$5:$B$205,201),INDEX(LE_Curves!$B$5:$B$205,MATCH($B166,LE_Curves!$E$5:$E$205,1))+($B166-INDEX(LE_Curves!$E$5:$E$205,MATCH($B166,LE_Curves!$E$5:$E$205,1)))*(INDEX(LE_Curves!$B$5:$B$205,MATCH($B166,LE_Curves!$E$5:$E$205,1)+1)-INDEX(LE_Curves!$B$5:$B$205,MATCH($B166,LE_Curves!$E$5:$E$205,1)))/(INDEX(LE_Curves!$E$5:$E$205,MATCH($B166,LE_Curves!$E$5:$E$205,1)+1)-INDEX(LE_Curves!$E$5:$E$205,MATCH($B166,LE_Curves!$E$5:$E$205,1))))))</f>
        <v/>
      </c>
      <c r="F166" s="11">
        <f>IF(Inputs!$D$26=0,0,IF($B166&lt;=Inputs!$C$26,0,IF($B166&gt;=INDEX(LE_Curves!$F$5:$F$205,201),INDEX(LE_Curves!$B$5:$B$205,201),INDEX(LE_Curves!$B$5:$B$205,MATCH($B166,LE_Curves!$F$5:$F$205,1))+($B166-INDEX(LE_Curves!$F$5:$F$205,MATCH($B166,LE_Curves!$F$5:$F$205,1)))*(INDEX(LE_Curves!$B$5:$B$205,MATCH($B166,LE_Curves!$F$5:$F$205,1)+1)-INDEX(LE_Curves!$B$5:$B$205,MATCH($B166,LE_Curves!$F$5:$F$205,1)))/(INDEX(LE_Curves!$F$5:$F$205,MATCH($B166,LE_Curves!$F$5:$F$205,1)+1)-INDEX(LE_Curves!$F$5:$F$205,MATCH($B166,LE_Curves!$F$5:$F$205,1))))))</f>
        <v/>
      </c>
      <c r="G166" s="11">
        <f>IF(Inputs!$D$27=0,0,IF($B166&lt;=Inputs!$C$27,0,IF($B166&gt;=INDEX(LE_Curves!$G$5:$G$205,201),INDEX(LE_Curves!$B$5:$B$205,201),INDEX(LE_Curves!$B$5:$B$205,MATCH($B166,LE_Curves!$G$5:$G$205,1))+($B166-INDEX(LE_Curves!$G$5:$G$205,MATCH($B166,LE_Curves!$G$5:$G$205,1)))*(INDEX(LE_Curves!$B$5:$B$205,MATCH($B166,LE_Curves!$G$5:$G$205,1)+1)-INDEX(LE_Curves!$B$5:$B$205,MATCH($B166,LE_Curves!$G$5:$G$205,1)))/(INDEX(LE_Curves!$G$5:$G$205,MATCH($B166,LE_Curves!$G$5:$G$205,1)+1)-INDEX(LE_Curves!$G$5:$G$205,MATCH($B166,LE_Curves!$G$5:$G$205,1))))))</f>
        <v/>
      </c>
      <c r="H166" s="11">
        <f>IF(Inputs!$D$28=0,0,IF($B166&lt;=Inputs!$C$28,0,IF($B166&gt;=INDEX(LE_Curves!$H$5:$H$205,201),INDEX(LE_Curves!$B$5:$B$205,201),INDEX(LE_Curves!$B$5:$B$205,MATCH($B166,LE_Curves!$H$5:$H$205,1))+($B166-INDEX(LE_Curves!$H$5:$H$205,MATCH($B166,LE_Curves!$H$5:$H$205,1)))*(INDEX(LE_Curves!$B$5:$B$205,MATCH($B166,LE_Curves!$H$5:$H$205,1)+1)-INDEX(LE_Curves!$B$5:$B$205,MATCH($B166,LE_Curves!$H$5:$H$205,1)))/(INDEX(LE_Curves!$H$5:$H$205,MATCH($B166,LE_Curves!$H$5:$H$205,1)+1)-INDEX(LE_Curves!$H$5:$H$205,MATCH($B166,LE_Curves!$H$5:$H$205,1))))))</f>
        <v/>
      </c>
      <c r="I166" s="11">
        <f>IF(Inputs!$D$29=0,0,IF($B166&lt;=Inputs!$C$29,0,IF($B166&gt;=INDEX(LE_Curves!$I$5:$I$205,201),INDEX(LE_Curves!$B$5:$B$205,201),INDEX(LE_Curves!$B$5:$B$205,MATCH($B166,LE_Curves!$I$5:$I$205,1))+($B166-INDEX(LE_Curves!$I$5:$I$205,MATCH($B166,LE_Curves!$I$5:$I$205,1)))*(INDEX(LE_Curves!$B$5:$B$205,MATCH($B166,LE_Curves!$I$5:$I$205,1)+1)-INDEX(LE_Curves!$B$5:$B$205,MATCH($B166,LE_Curves!$I$5:$I$205,1)))/(INDEX(LE_Curves!$I$5:$I$205,MATCH($B166,LE_Curves!$I$5:$I$205,1)+1)-INDEX(LE_Curves!$I$5:$I$205,MATCH($B166,LE_Curves!$I$5:$I$205,1))))))</f>
        <v/>
      </c>
      <c r="J166" s="11">
        <f>IF(Inputs!$D$30=0,0,IF($B166&lt;=Inputs!$C$30,0,IF($B166&gt;=INDEX(LE_Curves!$J$5:$J$205,201),INDEX(LE_Curves!$B$5:$B$205,201),INDEX(LE_Curves!$B$5:$B$205,MATCH($B166,LE_Curves!$J$5:$J$205,1))+($B166-INDEX(LE_Curves!$J$5:$J$205,MATCH($B166,LE_Curves!$J$5:$J$205,1)))*(INDEX(LE_Curves!$B$5:$B$205,MATCH($B166,LE_Curves!$J$5:$J$205,1)+1)-INDEX(LE_Curves!$B$5:$B$205,MATCH($B166,LE_Curves!$J$5:$J$205,1)))/(INDEX(LE_Curves!$J$5:$J$205,MATCH($B166,LE_Curves!$J$5:$J$205,1)+1)-INDEX(LE_Curves!$J$5:$J$205,MATCH($B166,LE_Curves!$J$5:$J$205,1))))))</f>
        <v/>
      </c>
      <c r="K166" s="11">
        <f>IF(Inputs!$D$31=0,0,IF($B166&lt;=Inputs!$C$31,0,IF($B166&gt;=INDEX(LE_Curves!$K$5:$K$205,201),INDEX(LE_Curves!$B$5:$B$205,201),INDEX(LE_Curves!$B$5:$B$205,MATCH($B166,LE_Curves!$K$5:$K$205,1))+($B166-INDEX(LE_Curves!$K$5:$K$205,MATCH($B166,LE_Curves!$K$5:$K$205,1)))*(INDEX(LE_Curves!$B$5:$B$205,MATCH($B166,LE_Curves!$K$5:$K$205,1)+1)-INDEX(LE_Curves!$B$5:$B$205,MATCH($B166,LE_Curves!$K$5:$K$205,1)))/(INDEX(LE_Curves!$K$5:$K$205,MATCH($B166,LE_Curves!$K$5:$K$205,1)+1)-INDEX(LE_Curves!$K$5:$K$205,MATCH($B166,LE_Curves!$K$5:$K$205,1))))))</f>
        <v/>
      </c>
      <c r="L166" s="11">
        <f>IF(Inputs!$D$32=0,0,IF($B166&lt;=Inputs!$C$32,0,IF($B166&gt;=INDEX(LE_Curves!$L$5:$L$205,201),INDEX(LE_Curves!$B$5:$B$205,201),INDEX(LE_Curves!$B$5:$B$205,MATCH($B166,LE_Curves!$L$5:$L$205,1))+($B166-INDEX(LE_Curves!$L$5:$L$205,MATCH($B166,LE_Curves!$L$5:$L$205,1)))*(INDEX(LE_Curves!$B$5:$B$205,MATCH($B166,LE_Curves!$L$5:$L$205,1)+1)-INDEX(LE_Curves!$B$5:$B$205,MATCH($B166,LE_Curves!$L$5:$L$205,1)))/(INDEX(LE_Curves!$L$5:$L$205,MATCH($B166,LE_Curves!$L$5:$L$205,1)+1)-INDEX(LE_Curves!$L$5:$L$205,MATCH($B166,LE_Curves!$L$5:$L$205,1))))))</f>
        <v/>
      </c>
      <c r="M166" s="11">
        <f>IF(Inputs!$D$33=0,0,IF($B166&lt;=Inputs!$C$33,0,IF($B166&gt;=INDEX(LE_Curves!$M$5:$M$205,201),INDEX(LE_Curves!$B$5:$B$205,201),INDEX(LE_Curves!$B$5:$B$205,MATCH($B166,LE_Curves!$M$5:$M$205,1))+($B166-INDEX(LE_Curves!$M$5:$M$205,MATCH($B166,LE_Curves!$M$5:$M$205,1)))*(INDEX(LE_Curves!$B$5:$B$205,MATCH($B166,LE_Curves!$M$5:$M$205,1)+1)-INDEX(LE_Curves!$B$5:$B$205,MATCH($B166,LE_Curves!$M$5:$M$205,1)))/(INDEX(LE_Curves!$M$5:$M$205,MATCH($B166,LE_Curves!$M$5:$M$205,1)+1)-INDEX(LE_Curves!$M$5:$M$205,MATCH($B166,LE_Curves!$M$5:$M$205,1))))))</f>
        <v/>
      </c>
      <c r="N166" s="11">
        <f>IF(Inputs!$D$34=0,0,IF($B166&lt;=Inputs!$C$34,0,IF($B166&gt;=INDEX(LE_Curves!$N$5:$N$205,201),INDEX(LE_Curves!$B$5:$B$205,201),INDEX(LE_Curves!$B$5:$B$205,MATCH($B166,LE_Curves!$N$5:$N$205,1))+($B166-INDEX(LE_Curves!$N$5:$N$205,MATCH($B166,LE_Curves!$N$5:$N$205,1)))*(INDEX(LE_Curves!$B$5:$B$205,MATCH($B166,LE_Curves!$N$5:$N$205,1)+1)-INDEX(LE_Curves!$B$5:$B$205,MATCH($B166,LE_Curves!$N$5:$N$205,1)))/(INDEX(LE_Curves!$N$5:$N$205,MATCH($B166,LE_Curves!$N$5:$N$205,1)+1)-INDEX(LE_Curves!$N$5:$N$205,MATCH($B166,LE_Curves!$N$5:$N$205,1))))))</f>
        <v/>
      </c>
      <c r="O166" s="11">
        <f>SUM(C166:N166)</f>
        <v/>
      </c>
      <c r="Q166" s="7" t="n">
        <v>135</v>
      </c>
      <c r="R166" s="23">
        <f>$B$6+($B$7-$B$6)*Q166/200</f>
        <v/>
      </c>
      <c r="S166" s="11">
        <f>IF(Inputs!$D$23=0,0,IF($R166&lt;=Inputs!$C$23,0,IF($R166&gt;=INDEX(LE_Curves!$C$5:$C$205,201),INDEX(LE_Curves!$B$5:$B$205,201),INDEX(LE_Curves!$B$5:$B$205,MATCH($R166,LE_Curves!$C$5:$C$205,1))+($R166-INDEX(LE_Curves!$C$5:$C$205,MATCH($R166,LE_Curves!$C$5:$C$205,1)))*(INDEX(LE_Curves!$B$5:$B$205,MATCH($R166,LE_Curves!$C$5:$C$205,1)+1)-INDEX(LE_Curves!$B$5:$B$205,MATCH($R166,LE_Curves!$C$5:$C$205,1)))/(INDEX(LE_Curves!$C$5:$C$205,MATCH($R166,LE_Curves!$C$5:$C$205,1)+1)-INDEX(LE_Curves!$C$5:$C$205,MATCH($R166,LE_Curves!$C$5:$C$205,1))))))</f>
        <v/>
      </c>
      <c r="T166" s="11">
        <f>IF(Inputs!$D$24=0,0,IF($R166&lt;=Inputs!$C$24,0,IF($R166&gt;=INDEX(LE_Curves!$D$5:$D$205,201),INDEX(LE_Curves!$B$5:$B$205,201),INDEX(LE_Curves!$B$5:$B$205,MATCH($R166,LE_Curves!$D$5:$D$205,1))+($R166-INDEX(LE_Curves!$D$5:$D$205,MATCH($R166,LE_Curves!$D$5:$D$205,1)))*(INDEX(LE_Curves!$B$5:$B$205,MATCH($R166,LE_Curves!$D$5:$D$205,1)+1)-INDEX(LE_Curves!$B$5:$B$205,MATCH($R166,LE_Curves!$D$5:$D$205,1)))/(INDEX(LE_Curves!$D$5:$D$205,MATCH($R166,LE_Curves!$D$5:$D$205,1)+1)-INDEX(LE_Curves!$D$5:$D$205,MATCH($R166,LE_Curves!$D$5:$D$205,1))))))</f>
        <v/>
      </c>
      <c r="U166" s="11">
        <f>IF(Inputs!$D$25=0,0,IF($R166&lt;=Inputs!$C$25,0,IF($R166&gt;=INDEX(LE_Curves!$E$5:$E$205,201),INDEX(LE_Curves!$B$5:$B$205,201),INDEX(LE_Curves!$B$5:$B$205,MATCH($R166,LE_Curves!$E$5:$E$205,1))+($R166-INDEX(LE_Curves!$E$5:$E$205,MATCH($R166,LE_Curves!$E$5:$E$205,1)))*(INDEX(LE_Curves!$B$5:$B$205,MATCH($R166,LE_Curves!$E$5:$E$205,1)+1)-INDEX(LE_Curves!$B$5:$B$205,MATCH($R166,LE_Curves!$E$5:$E$205,1)))/(INDEX(LE_Curves!$E$5:$E$205,MATCH($R166,LE_Curves!$E$5:$E$205,1)+1)-INDEX(LE_Curves!$E$5:$E$205,MATCH($R166,LE_Curves!$E$5:$E$205,1))))))</f>
        <v/>
      </c>
      <c r="V166" s="11">
        <f>IF(Inputs!$D$26=0,0,IF($R166&lt;=Inputs!$C$26,0,IF($R166&gt;=INDEX(LE_Curves!$F$5:$F$205,201),INDEX(LE_Curves!$B$5:$B$205,201),INDEX(LE_Curves!$B$5:$B$205,MATCH($R166,LE_Curves!$F$5:$F$205,1))+($R166-INDEX(LE_Curves!$F$5:$F$205,MATCH($R166,LE_Curves!$F$5:$F$205,1)))*(INDEX(LE_Curves!$B$5:$B$205,MATCH($R166,LE_Curves!$F$5:$F$205,1)+1)-INDEX(LE_Curves!$B$5:$B$205,MATCH($R166,LE_Curves!$F$5:$F$205,1)))/(INDEX(LE_Curves!$F$5:$F$205,MATCH($R166,LE_Curves!$F$5:$F$205,1)+1)-INDEX(LE_Curves!$F$5:$F$205,MATCH($R166,LE_Curves!$F$5:$F$205,1))))))</f>
        <v/>
      </c>
      <c r="W166" s="11">
        <f>IF(Inputs!$D$27=0,0,IF($R166&lt;=Inputs!$C$27,0,IF($R166&gt;=INDEX(LE_Curves!$G$5:$G$205,201),INDEX(LE_Curves!$B$5:$B$205,201),INDEX(LE_Curves!$B$5:$B$205,MATCH($R166,LE_Curves!$G$5:$G$205,1))+($R166-INDEX(LE_Curves!$G$5:$G$205,MATCH($R166,LE_Curves!$G$5:$G$205,1)))*(INDEX(LE_Curves!$B$5:$B$205,MATCH($R166,LE_Curves!$G$5:$G$205,1)+1)-INDEX(LE_Curves!$B$5:$B$205,MATCH($R166,LE_Curves!$G$5:$G$205,1)))/(INDEX(LE_Curves!$G$5:$G$205,MATCH($R166,LE_Curves!$G$5:$G$205,1)+1)-INDEX(LE_Curves!$G$5:$G$205,MATCH($R166,LE_Curves!$G$5:$G$205,1))))))</f>
        <v/>
      </c>
      <c r="X166" s="11">
        <f>IF(Inputs!$D$28=0,0,IF($R166&lt;=Inputs!$C$28,0,IF($R166&gt;=INDEX(LE_Curves!$H$5:$H$205,201),INDEX(LE_Curves!$B$5:$B$205,201),INDEX(LE_Curves!$B$5:$B$205,MATCH($R166,LE_Curves!$H$5:$H$205,1))+($R166-INDEX(LE_Curves!$H$5:$H$205,MATCH($R166,LE_Curves!$H$5:$H$205,1)))*(INDEX(LE_Curves!$B$5:$B$205,MATCH($R166,LE_Curves!$H$5:$H$205,1)+1)-INDEX(LE_Curves!$B$5:$B$205,MATCH($R166,LE_Curves!$H$5:$H$205,1)))/(INDEX(LE_Curves!$H$5:$H$205,MATCH($R166,LE_Curves!$H$5:$H$205,1)+1)-INDEX(LE_Curves!$H$5:$H$205,MATCH($R166,LE_Curves!$H$5:$H$205,1))))))</f>
        <v/>
      </c>
      <c r="Y166" s="11">
        <f>IF(Inputs!$D$29=0,0,IF($R166&lt;=Inputs!$C$29,0,IF($R166&gt;=INDEX(LE_Curves!$I$5:$I$205,201),INDEX(LE_Curves!$B$5:$B$205,201),INDEX(LE_Curves!$B$5:$B$205,MATCH($R166,LE_Curves!$I$5:$I$205,1))+($R166-INDEX(LE_Curves!$I$5:$I$205,MATCH($R166,LE_Curves!$I$5:$I$205,1)))*(INDEX(LE_Curves!$B$5:$B$205,MATCH($R166,LE_Curves!$I$5:$I$205,1)+1)-INDEX(LE_Curves!$B$5:$B$205,MATCH($R166,LE_Curves!$I$5:$I$205,1)))/(INDEX(LE_Curves!$I$5:$I$205,MATCH($R166,LE_Curves!$I$5:$I$205,1)+1)-INDEX(LE_Curves!$I$5:$I$205,MATCH($R166,LE_Curves!$I$5:$I$205,1))))))</f>
        <v/>
      </c>
      <c r="Z166" s="11">
        <f>IF(Inputs!$D$30=0,0,IF($R166&lt;=Inputs!$C$30,0,IF($R166&gt;=INDEX(LE_Curves!$J$5:$J$205,201),INDEX(LE_Curves!$B$5:$B$205,201),INDEX(LE_Curves!$B$5:$B$205,MATCH($R166,LE_Curves!$J$5:$J$205,1))+($R166-INDEX(LE_Curves!$J$5:$J$205,MATCH($R166,LE_Curves!$J$5:$J$205,1)))*(INDEX(LE_Curves!$B$5:$B$205,MATCH($R166,LE_Curves!$J$5:$J$205,1)+1)-INDEX(LE_Curves!$B$5:$B$205,MATCH($R166,LE_Curves!$J$5:$J$205,1)))/(INDEX(LE_Curves!$J$5:$J$205,MATCH($R166,LE_Curves!$J$5:$J$205,1)+1)-INDEX(LE_Curves!$J$5:$J$205,MATCH($R166,LE_Curves!$J$5:$J$205,1))))))</f>
        <v/>
      </c>
      <c r="AA166" s="11">
        <f>IF(Inputs!$D$31=0,0,IF($R166&lt;=Inputs!$C$31,0,IF($R166&gt;=INDEX(LE_Curves!$K$5:$K$205,201),INDEX(LE_Curves!$B$5:$B$205,201),INDEX(LE_Curves!$B$5:$B$205,MATCH($R166,LE_Curves!$K$5:$K$205,1))+($R166-INDEX(LE_Curves!$K$5:$K$205,MATCH($R166,LE_Curves!$K$5:$K$205,1)))*(INDEX(LE_Curves!$B$5:$B$205,MATCH($R166,LE_Curves!$K$5:$K$205,1)+1)-INDEX(LE_Curves!$B$5:$B$205,MATCH($R166,LE_Curves!$K$5:$K$205,1)))/(INDEX(LE_Curves!$K$5:$K$205,MATCH($R166,LE_Curves!$K$5:$K$205,1)+1)-INDEX(LE_Curves!$K$5:$K$205,MATCH($R166,LE_Curves!$K$5:$K$205,1))))))</f>
        <v/>
      </c>
      <c r="AB166" s="11">
        <f>IF(Inputs!$D$32=0,0,IF($R166&lt;=Inputs!$C$32,0,IF($R166&gt;=INDEX(LE_Curves!$L$5:$L$205,201),INDEX(LE_Curves!$B$5:$B$205,201),INDEX(LE_Curves!$B$5:$B$205,MATCH($R166,LE_Curves!$L$5:$L$205,1))+($R166-INDEX(LE_Curves!$L$5:$L$205,MATCH($R166,LE_Curves!$L$5:$L$205,1)))*(INDEX(LE_Curves!$B$5:$B$205,MATCH($R166,LE_Curves!$L$5:$L$205,1)+1)-INDEX(LE_Curves!$B$5:$B$205,MATCH($R166,LE_Curves!$L$5:$L$205,1)))/(INDEX(LE_Curves!$L$5:$L$205,MATCH($R166,LE_Curves!$L$5:$L$205,1)+1)-INDEX(LE_Curves!$L$5:$L$205,MATCH($R166,LE_Curves!$L$5:$L$205,1))))))</f>
        <v/>
      </c>
      <c r="AC166" s="11">
        <f>IF(Inputs!$D$33=0,0,IF($R166&lt;=Inputs!$C$33,0,IF($R166&gt;=INDEX(LE_Curves!$M$5:$M$205,201),INDEX(LE_Curves!$B$5:$B$205,201),INDEX(LE_Curves!$B$5:$B$205,MATCH($R166,LE_Curves!$M$5:$M$205,1))+($R166-INDEX(LE_Curves!$M$5:$M$205,MATCH($R166,LE_Curves!$M$5:$M$205,1)))*(INDEX(LE_Curves!$B$5:$B$205,MATCH($R166,LE_Curves!$M$5:$M$205,1)+1)-INDEX(LE_Curves!$B$5:$B$205,MATCH($R166,LE_Curves!$M$5:$M$205,1)))/(INDEX(LE_Curves!$M$5:$M$205,MATCH($R166,LE_Curves!$M$5:$M$205,1)+1)-INDEX(LE_Curves!$M$5:$M$205,MATCH($R166,LE_Curves!$M$5:$M$205,1))))))</f>
        <v/>
      </c>
      <c r="AD166" s="11">
        <f>IF(Inputs!$D$34=0,0,IF($R166&lt;=Inputs!$C$34,0,IF($R166&gt;=INDEX(LE_Curves!$N$5:$N$205,201),INDEX(LE_Curves!$B$5:$B$205,201),INDEX(LE_Curves!$B$5:$B$205,MATCH($R166,LE_Curves!$N$5:$N$205,1))+($R166-INDEX(LE_Curves!$N$5:$N$205,MATCH($R166,LE_Curves!$N$5:$N$205,1)))*(INDEX(LE_Curves!$B$5:$B$205,MATCH($R166,LE_Curves!$N$5:$N$205,1)+1)-INDEX(LE_Curves!$B$5:$B$205,MATCH($R166,LE_Curves!$N$5:$N$205,1)))/(INDEX(LE_Curves!$N$5:$N$205,MATCH($R166,LE_Curves!$N$5:$N$205,1)+1)-INDEX(LE_Curves!$N$5:$N$205,MATCH($R166,LE_Curves!$N$5:$N$205,1))))))</f>
        <v/>
      </c>
      <c r="AE166" s="37">
        <f>SUM(S166:AD166)</f>
        <v/>
      </c>
    </row>
    <row r="167">
      <c r="A167" s="7" t="n">
        <v>136</v>
      </c>
      <c r="B167" s="37">
        <f>$B$3+($B$4-$B$3)*A167/200</f>
        <v/>
      </c>
      <c r="C167" s="11">
        <f>IF(Inputs!$D$23=0,0,IF($B167&lt;=Inputs!$C$23,0,IF($B167&gt;=INDEX(LE_Curves!$C$5:$C$205,201),INDEX(LE_Curves!$B$5:$B$205,201),INDEX(LE_Curves!$B$5:$B$205,MATCH($B167,LE_Curves!$C$5:$C$205,1))+($B167-INDEX(LE_Curves!$C$5:$C$205,MATCH($B167,LE_Curves!$C$5:$C$205,1)))*(INDEX(LE_Curves!$B$5:$B$205,MATCH($B167,LE_Curves!$C$5:$C$205,1)+1)-INDEX(LE_Curves!$B$5:$B$205,MATCH($B167,LE_Curves!$C$5:$C$205,1)))/(INDEX(LE_Curves!$C$5:$C$205,MATCH($B167,LE_Curves!$C$5:$C$205,1)+1)-INDEX(LE_Curves!$C$5:$C$205,MATCH($B167,LE_Curves!$C$5:$C$205,1))))))</f>
        <v/>
      </c>
      <c r="D167" s="11">
        <f>IF(Inputs!$D$24=0,0,IF($B167&lt;=Inputs!$C$24,0,IF($B167&gt;=INDEX(LE_Curves!$D$5:$D$205,201),INDEX(LE_Curves!$B$5:$B$205,201),INDEX(LE_Curves!$B$5:$B$205,MATCH($B167,LE_Curves!$D$5:$D$205,1))+($B167-INDEX(LE_Curves!$D$5:$D$205,MATCH($B167,LE_Curves!$D$5:$D$205,1)))*(INDEX(LE_Curves!$B$5:$B$205,MATCH($B167,LE_Curves!$D$5:$D$205,1)+1)-INDEX(LE_Curves!$B$5:$B$205,MATCH($B167,LE_Curves!$D$5:$D$205,1)))/(INDEX(LE_Curves!$D$5:$D$205,MATCH($B167,LE_Curves!$D$5:$D$205,1)+1)-INDEX(LE_Curves!$D$5:$D$205,MATCH($B167,LE_Curves!$D$5:$D$205,1))))))</f>
        <v/>
      </c>
      <c r="E167" s="11">
        <f>IF(Inputs!$D$25=0,0,IF($B167&lt;=Inputs!$C$25,0,IF($B167&gt;=INDEX(LE_Curves!$E$5:$E$205,201),INDEX(LE_Curves!$B$5:$B$205,201),INDEX(LE_Curves!$B$5:$B$205,MATCH($B167,LE_Curves!$E$5:$E$205,1))+($B167-INDEX(LE_Curves!$E$5:$E$205,MATCH($B167,LE_Curves!$E$5:$E$205,1)))*(INDEX(LE_Curves!$B$5:$B$205,MATCH($B167,LE_Curves!$E$5:$E$205,1)+1)-INDEX(LE_Curves!$B$5:$B$205,MATCH($B167,LE_Curves!$E$5:$E$205,1)))/(INDEX(LE_Curves!$E$5:$E$205,MATCH($B167,LE_Curves!$E$5:$E$205,1)+1)-INDEX(LE_Curves!$E$5:$E$205,MATCH($B167,LE_Curves!$E$5:$E$205,1))))))</f>
        <v/>
      </c>
      <c r="F167" s="11">
        <f>IF(Inputs!$D$26=0,0,IF($B167&lt;=Inputs!$C$26,0,IF($B167&gt;=INDEX(LE_Curves!$F$5:$F$205,201),INDEX(LE_Curves!$B$5:$B$205,201),INDEX(LE_Curves!$B$5:$B$205,MATCH($B167,LE_Curves!$F$5:$F$205,1))+($B167-INDEX(LE_Curves!$F$5:$F$205,MATCH($B167,LE_Curves!$F$5:$F$205,1)))*(INDEX(LE_Curves!$B$5:$B$205,MATCH($B167,LE_Curves!$F$5:$F$205,1)+1)-INDEX(LE_Curves!$B$5:$B$205,MATCH($B167,LE_Curves!$F$5:$F$205,1)))/(INDEX(LE_Curves!$F$5:$F$205,MATCH($B167,LE_Curves!$F$5:$F$205,1)+1)-INDEX(LE_Curves!$F$5:$F$205,MATCH($B167,LE_Curves!$F$5:$F$205,1))))))</f>
        <v/>
      </c>
      <c r="G167" s="11">
        <f>IF(Inputs!$D$27=0,0,IF($B167&lt;=Inputs!$C$27,0,IF($B167&gt;=INDEX(LE_Curves!$G$5:$G$205,201),INDEX(LE_Curves!$B$5:$B$205,201),INDEX(LE_Curves!$B$5:$B$205,MATCH($B167,LE_Curves!$G$5:$G$205,1))+($B167-INDEX(LE_Curves!$G$5:$G$205,MATCH($B167,LE_Curves!$G$5:$G$205,1)))*(INDEX(LE_Curves!$B$5:$B$205,MATCH($B167,LE_Curves!$G$5:$G$205,1)+1)-INDEX(LE_Curves!$B$5:$B$205,MATCH($B167,LE_Curves!$G$5:$G$205,1)))/(INDEX(LE_Curves!$G$5:$G$205,MATCH($B167,LE_Curves!$G$5:$G$205,1)+1)-INDEX(LE_Curves!$G$5:$G$205,MATCH($B167,LE_Curves!$G$5:$G$205,1))))))</f>
        <v/>
      </c>
      <c r="H167" s="11">
        <f>IF(Inputs!$D$28=0,0,IF($B167&lt;=Inputs!$C$28,0,IF($B167&gt;=INDEX(LE_Curves!$H$5:$H$205,201),INDEX(LE_Curves!$B$5:$B$205,201),INDEX(LE_Curves!$B$5:$B$205,MATCH($B167,LE_Curves!$H$5:$H$205,1))+($B167-INDEX(LE_Curves!$H$5:$H$205,MATCH($B167,LE_Curves!$H$5:$H$205,1)))*(INDEX(LE_Curves!$B$5:$B$205,MATCH($B167,LE_Curves!$H$5:$H$205,1)+1)-INDEX(LE_Curves!$B$5:$B$205,MATCH($B167,LE_Curves!$H$5:$H$205,1)))/(INDEX(LE_Curves!$H$5:$H$205,MATCH($B167,LE_Curves!$H$5:$H$205,1)+1)-INDEX(LE_Curves!$H$5:$H$205,MATCH($B167,LE_Curves!$H$5:$H$205,1))))))</f>
        <v/>
      </c>
      <c r="I167" s="11">
        <f>IF(Inputs!$D$29=0,0,IF($B167&lt;=Inputs!$C$29,0,IF($B167&gt;=INDEX(LE_Curves!$I$5:$I$205,201),INDEX(LE_Curves!$B$5:$B$205,201),INDEX(LE_Curves!$B$5:$B$205,MATCH($B167,LE_Curves!$I$5:$I$205,1))+($B167-INDEX(LE_Curves!$I$5:$I$205,MATCH($B167,LE_Curves!$I$5:$I$205,1)))*(INDEX(LE_Curves!$B$5:$B$205,MATCH($B167,LE_Curves!$I$5:$I$205,1)+1)-INDEX(LE_Curves!$B$5:$B$205,MATCH($B167,LE_Curves!$I$5:$I$205,1)))/(INDEX(LE_Curves!$I$5:$I$205,MATCH($B167,LE_Curves!$I$5:$I$205,1)+1)-INDEX(LE_Curves!$I$5:$I$205,MATCH($B167,LE_Curves!$I$5:$I$205,1))))))</f>
        <v/>
      </c>
      <c r="J167" s="11">
        <f>IF(Inputs!$D$30=0,0,IF($B167&lt;=Inputs!$C$30,0,IF($B167&gt;=INDEX(LE_Curves!$J$5:$J$205,201),INDEX(LE_Curves!$B$5:$B$205,201),INDEX(LE_Curves!$B$5:$B$205,MATCH($B167,LE_Curves!$J$5:$J$205,1))+($B167-INDEX(LE_Curves!$J$5:$J$205,MATCH($B167,LE_Curves!$J$5:$J$205,1)))*(INDEX(LE_Curves!$B$5:$B$205,MATCH($B167,LE_Curves!$J$5:$J$205,1)+1)-INDEX(LE_Curves!$B$5:$B$205,MATCH($B167,LE_Curves!$J$5:$J$205,1)))/(INDEX(LE_Curves!$J$5:$J$205,MATCH($B167,LE_Curves!$J$5:$J$205,1)+1)-INDEX(LE_Curves!$J$5:$J$205,MATCH($B167,LE_Curves!$J$5:$J$205,1))))))</f>
        <v/>
      </c>
      <c r="K167" s="11">
        <f>IF(Inputs!$D$31=0,0,IF($B167&lt;=Inputs!$C$31,0,IF($B167&gt;=INDEX(LE_Curves!$K$5:$K$205,201),INDEX(LE_Curves!$B$5:$B$205,201),INDEX(LE_Curves!$B$5:$B$205,MATCH($B167,LE_Curves!$K$5:$K$205,1))+($B167-INDEX(LE_Curves!$K$5:$K$205,MATCH($B167,LE_Curves!$K$5:$K$205,1)))*(INDEX(LE_Curves!$B$5:$B$205,MATCH($B167,LE_Curves!$K$5:$K$205,1)+1)-INDEX(LE_Curves!$B$5:$B$205,MATCH($B167,LE_Curves!$K$5:$K$205,1)))/(INDEX(LE_Curves!$K$5:$K$205,MATCH($B167,LE_Curves!$K$5:$K$205,1)+1)-INDEX(LE_Curves!$K$5:$K$205,MATCH($B167,LE_Curves!$K$5:$K$205,1))))))</f>
        <v/>
      </c>
      <c r="L167" s="11">
        <f>IF(Inputs!$D$32=0,0,IF($B167&lt;=Inputs!$C$32,0,IF($B167&gt;=INDEX(LE_Curves!$L$5:$L$205,201),INDEX(LE_Curves!$B$5:$B$205,201),INDEX(LE_Curves!$B$5:$B$205,MATCH($B167,LE_Curves!$L$5:$L$205,1))+($B167-INDEX(LE_Curves!$L$5:$L$205,MATCH($B167,LE_Curves!$L$5:$L$205,1)))*(INDEX(LE_Curves!$B$5:$B$205,MATCH($B167,LE_Curves!$L$5:$L$205,1)+1)-INDEX(LE_Curves!$B$5:$B$205,MATCH($B167,LE_Curves!$L$5:$L$205,1)))/(INDEX(LE_Curves!$L$5:$L$205,MATCH($B167,LE_Curves!$L$5:$L$205,1)+1)-INDEX(LE_Curves!$L$5:$L$205,MATCH($B167,LE_Curves!$L$5:$L$205,1))))))</f>
        <v/>
      </c>
      <c r="M167" s="11">
        <f>IF(Inputs!$D$33=0,0,IF($B167&lt;=Inputs!$C$33,0,IF($B167&gt;=INDEX(LE_Curves!$M$5:$M$205,201),INDEX(LE_Curves!$B$5:$B$205,201),INDEX(LE_Curves!$B$5:$B$205,MATCH($B167,LE_Curves!$M$5:$M$205,1))+($B167-INDEX(LE_Curves!$M$5:$M$205,MATCH($B167,LE_Curves!$M$5:$M$205,1)))*(INDEX(LE_Curves!$B$5:$B$205,MATCH($B167,LE_Curves!$M$5:$M$205,1)+1)-INDEX(LE_Curves!$B$5:$B$205,MATCH($B167,LE_Curves!$M$5:$M$205,1)))/(INDEX(LE_Curves!$M$5:$M$205,MATCH($B167,LE_Curves!$M$5:$M$205,1)+1)-INDEX(LE_Curves!$M$5:$M$205,MATCH($B167,LE_Curves!$M$5:$M$205,1))))))</f>
        <v/>
      </c>
      <c r="N167" s="11">
        <f>IF(Inputs!$D$34=0,0,IF($B167&lt;=Inputs!$C$34,0,IF($B167&gt;=INDEX(LE_Curves!$N$5:$N$205,201),INDEX(LE_Curves!$B$5:$B$205,201),INDEX(LE_Curves!$B$5:$B$205,MATCH($B167,LE_Curves!$N$5:$N$205,1))+($B167-INDEX(LE_Curves!$N$5:$N$205,MATCH($B167,LE_Curves!$N$5:$N$205,1)))*(INDEX(LE_Curves!$B$5:$B$205,MATCH($B167,LE_Curves!$N$5:$N$205,1)+1)-INDEX(LE_Curves!$B$5:$B$205,MATCH($B167,LE_Curves!$N$5:$N$205,1)))/(INDEX(LE_Curves!$N$5:$N$205,MATCH($B167,LE_Curves!$N$5:$N$205,1)+1)-INDEX(LE_Curves!$N$5:$N$205,MATCH($B167,LE_Curves!$N$5:$N$205,1))))))</f>
        <v/>
      </c>
      <c r="O167" s="11">
        <f>SUM(C167:N167)</f>
        <v/>
      </c>
      <c r="Q167" s="7" t="n">
        <v>136</v>
      </c>
      <c r="R167" s="23">
        <f>$B$6+($B$7-$B$6)*Q167/200</f>
        <v/>
      </c>
      <c r="S167" s="11">
        <f>IF(Inputs!$D$23=0,0,IF($R167&lt;=Inputs!$C$23,0,IF($R167&gt;=INDEX(LE_Curves!$C$5:$C$205,201),INDEX(LE_Curves!$B$5:$B$205,201),INDEX(LE_Curves!$B$5:$B$205,MATCH($R167,LE_Curves!$C$5:$C$205,1))+($R167-INDEX(LE_Curves!$C$5:$C$205,MATCH($R167,LE_Curves!$C$5:$C$205,1)))*(INDEX(LE_Curves!$B$5:$B$205,MATCH($R167,LE_Curves!$C$5:$C$205,1)+1)-INDEX(LE_Curves!$B$5:$B$205,MATCH($R167,LE_Curves!$C$5:$C$205,1)))/(INDEX(LE_Curves!$C$5:$C$205,MATCH($R167,LE_Curves!$C$5:$C$205,1)+1)-INDEX(LE_Curves!$C$5:$C$205,MATCH($R167,LE_Curves!$C$5:$C$205,1))))))</f>
        <v/>
      </c>
      <c r="T167" s="11">
        <f>IF(Inputs!$D$24=0,0,IF($R167&lt;=Inputs!$C$24,0,IF($R167&gt;=INDEX(LE_Curves!$D$5:$D$205,201),INDEX(LE_Curves!$B$5:$B$205,201),INDEX(LE_Curves!$B$5:$B$205,MATCH($R167,LE_Curves!$D$5:$D$205,1))+($R167-INDEX(LE_Curves!$D$5:$D$205,MATCH($R167,LE_Curves!$D$5:$D$205,1)))*(INDEX(LE_Curves!$B$5:$B$205,MATCH($R167,LE_Curves!$D$5:$D$205,1)+1)-INDEX(LE_Curves!$B$5:$B$205,MATCH($R167,LE_Curves!$D$5:$D$205,1)))/(INDEX(LE_Curves!$D$5:$D$205,MATCH($R167,LE_Curves!$D$5:$D$205,1)+1)-INDEX(LE_Curves!$D$5:$D$205,MATCH($R167,LE_Curves!$D$5:$D$205,1))))))</f>
        <v/>
      </c>
      <c r="U167" s="11">
        <f>IF(Inputs!$D$25=0,0,IF($R167&lt;=Inputs!$C$25,0,IF($R167&gt;=INDEX(LE_Curves!$E$5:$E$205,201),INDEX(LE_Curves!$B$5:$B$205,201),INDEX(LE_Curves!$B$5:$B$205,MATCH($R167,LE_Curves!$E$5:$E$205,1))+($R167-INDEX(LE_Curves!$E$5:$E$205,MATCH($R167,LE_Curves!$E$5:$E$205,1)))*(INDEX(LE_Curves!$B$5:$B$205,MATCH($R167,LE_Curves!$E$5:$E$205,1)+1)-INDEX(LE_Curves!$B$5:$B$205,MATCH($R167,LE_Curves!$E$5:$E$205,1)))/(INDEX(LE_Curves!$E$5:$E$205,MATCH($R167,LE_Curves!$E$5:$E$205,1)+1)-INDEX(LE_Curves!$E$5:$E$205,MATCH($R167,LE_Curves!$E$5:$E$205,1))))))</f>
        <v/>
      </c>
      <c r="V167" s="11">
        <f>IF(Inputs!$D$26=0,0,IF($R167&lt;=Inputs!$C$26,0,IF($R167&gt;=INDEX(LE_Curves!$F$5:$F$205,201),INDEX(LE_Curves!$B$5:$B$205,201),INDEX(LE_Curves!$B$5:$B$205,MATCH($R167,LE_Curves!$F$5:$F$205,1))+($R167-INDEX(LE_Curves!$F$5:$F$205,MATCH($R167,LE_Curves!$F$5:$F$205,1)))*(INDEX(LE_Curves!$B$5:$B$205,MATCH($R167,LE_Curves!$F$5:$F$205,1)+1)-INDEX(LE_Curves!$B$5:$B$205,MATCH($R167,LE_Curves!$F$5:$F$205,1)))/(INDEX(LE_Curves!$F$5:$F$205,MATCH($R167,LE_Curves!$F$5:$F$205,1)+1)-INDEX(LE_Curves!$F$5:$F$205,MATCH($R167,LE_Curves!$F$5:$F$205,1))))))</f>
        <v/>
      </c>
      <c r="W167" s="11">
        <f>IF(Inputs!$D$27=0,0,IF($R167&lt;=Inputs!$C$27,0,IF($R167&gt;=INDEX(LE_Curves!$G$5:$G$205,201),INDEX(LE_Curves!$B$5:$B$205,201),INDEX(LE_Curves!$B$5:$B$205,MATCH($R167,LE_Curves!$G$5:$G$205,1))+($R167-INDEX(LE_Curves!$G$5:$G$205,MATCH($R167,LE_Curves!$G$5:$G$205,1)))*(INDEX(LE_Curves!$B$5:$B$205,MATCH($R167,LE_Curves!$G$5:$G$205,1)+1)-INDEX(LE_Curves!$B$5:$B$205,MATCH($R167,LE_Curves!$G$5:$G$205,1)))/(INDEX(LE_Curves!$G$5:$G$205,MATCH($R167,LE_Curves!$G$5:$G$205,1)+1)-INDEX(LE_Curves!$G$5:$G$205,MATCH($R167,LE_Curves!$G$5:$G$205,1))))))</f>
        <v/>
      </c>
      <c r="X167" s="11">
        <f>IF(Inputs!$D$28=0,0,IF($R167&lt;=Inputs!$C$28,0,IF($R167&gt;=INDEX(LE_Curves!$H$5:$H$205,201),INDEX(LE_Curves!$B$5:$B$205,201),INDEX(LE_Curves!$B$5:$B$205,MATCH($R167,LE_Curves!$H$5:$H$205,1))+($R167-INDEX(LE_Curves!$H$5:$H$205,MATCH($R167,LE_Curves!$H$5:$H$205,1)))*(INDEX(LE_Curves!$B$5:$B$205,MATCH($R167,LE_Curves!$H$5:$H$205,1)+1)-INDEX(LE_Curves!$B$5:$B$205,MATCH($R167,LE_Curves!$H$5:$H$205,1)))/(INDEX(LE_Curves!$H$5:$H$205,MATCH($R167,LE_Curves!$H$5:$H$205,1)+1)-INDEX(LE_Curves!$H$5:$H$205,MATCH($R167,LE_Curves!$H$5:$H$205,1))))))</f>
        <v/>
      </c>
      <c r="Y167" s="11">
        <f>IF(Inputs!$D$29=0,0,IF($R167&lt;=Inputs!$C$29,0,IF($R167&gt;=INDEX(LE_Curves!$I$5:$I$205,201),INDEX(LE_Curves!$B$5:$B$205,201),INDEX(LE_Curves!$B$5:$B$205,MATCH($R167,LE_Curves!$I$5:$I$205,1))+($R167-INDEX(LE_Curves!$I$5:$I$205,MATCH($R167,LE_Curves!$I$5:$I$205,1)))*(INDEX(LE_Curves!$B$5:$B$205,MATCH($R167,LE_Curves!$I$5:$I$205,1)+1)-INDEX(LE_Curves!$B$5:$B$205,MATCH($R167,LE_Curves!$I$5:$I$205,1)))/(INDEX(LE_Curves!$I$5:$I$205,MATCH($R167,LE_Curves!$I$5:$I$205,1)+1)-INDEX(LE_Curves!$I$5:$I$205,MATCH($R167,LE_Curves!$I$5:$I$205,1))))))</f>
        <v/>
      </c>
      <c r="Z167" s="11">
        <f>IF(Inputs!$D$30=0,0,IF($R167&lt;=Inputs!$C$30,0,IF($R167&gt;=INDEX(LE_Curves!$J$5:$J$205,201),INDEX(LE_Curves!$B$5:$B$205,201),INDEX(LE_Curves!$B$5:$B$205,MATCH($R167,LE_Curves!$J$5:$J$205,1))+($R167-INDEX(LE_Curves!$J$5:$J$205,MATCH($R167,LE_Curves!$J$5:$J$205,1)))*(INDEX(LE_Curves!$B$5:$B$205,MATCH($R167,LE_Curves!$J$5:$J$205,1)+1)-INDEX(LE_Curves!$B$5:$B$205,MATCH($R167,LE_Curves!$J$5:$J$205,1)))/(INDEX(LE_Curves!$J$5:$J$205,MATCH($R167,LE_Curves!$J$5:$J$205,1)+1)-INDEX(LE_Curves!$J$5:$J$205,MATCH($R167,LE_Curves!$J$5:$J$205,1))))))</f>
        <v/>
      </c>
      <c r="AA167" s="11">
        <f>IF(Inputs!$D$31=0,0,IF($R167&lt;=Inputs!$C$31,0,IF($R167&gt;=INDEX(LE_Curves!$K$5:$K$205,201),INDEX(LE_Curves!$B$5:$B$205,201),INDEX(LE_Curves!$B$5:$B$205,MATCH($R167,LE_Curves!$K$5:$K$205,1))+($R167-INDEX(LE_Curves!$K$5:$K$205,MATCH($R167,LE_Curves!$K$5:$K$205,1)))*(INDEX(LE_Curves!$B$5:$B$205,MATCH($R167,LE_Curves!$K$5:$K$205,1)+1)-INDEX(LE_Curves!$B$5:$B$205,MATCH($R167,LE_Curves!$K$5:$K$205,1)))/(INDEX(LE_Curves!$K$5:$K$205,MATCH($R167,LE_Curves!$K$5:$K$205,1)+1)-INDEX(LE_Curves!$K$5:$K$205,MATCH($R167,LE_Curves!$K$5:$K$205,1))))))</f>
        <v/>
      </c>
      <c r="AB167" s="11">
        <f>IF(Inputs!$D$32=0,0,IF($R167&lt;=Inputs!$C$32,0,IF($R167&gt;=INDEX(LE_Curves!$L$5:$L$205,201),INDEX(LE_Curves!$B$5:$B$205,201),INDEX(LE_Curves!$B$5:$B$205,MATCH($R167,LE_Curves!$L$5:$L$205,1))+($R167-INDEX(LE_Curves!$L$5:$L$205,MATCH($R167,LE_Curves!$L$5:$L$205,1)))*(INDEX(LE_Curves!$B$5:$B$205,MATCH($R167,LE_Curves!$L$5:$L$205,1)+1)-INDEX(LE_Curves!$B$5:$B$205,MATCH($R167,LE_Curves!$L$5:$L$205,1)))/(INDEX(LE_Curves!$L$5:$L$205,MATCH($R167,LE_Curves!$L$5:$L$205,1)+1)-INDEX(LE_Curves!$L$5:$L$205,MATCH($R167,LE_Curves!$L$5:$L$205,1))))))</f>
        <v/>
      </c>
      <c r="AC167" s="11">
        <f>IF(Inputs!$D$33=0,0,IF($R167&lt;=Inputs!$C$33,0,IF($R167&gt;=INDEX(LE_Curves!$M$5:$M$205,201),INDEX(LE_Curves!$B$5:$B$205,201),INDEX(LE_Curves!$B$5:$B$205,MATCH($R167,LE_Curves!$M$5:$M$205,1))+($R167-INDEX(LE_Curves!$M$5:$M$205,MATCH($R167,LE_Curves!$M$5:$M$205,1)))*(INDEX(LE_Curves!$B$5:$B$205,MATCH($R167,LE_Curves!$M$5:$M$205,1)+1)-INDEX(LE_Curves!$B$5:$B$205,MATCH($R167,LE_Curves!$M$5:$M$205,1)))/(INDEX(LE_Curves!$M$5:$M$205,MATCH($R167,LE_Curves!$M$5:$M$205,1)+1)-INDEX(LE_Curves!$M$5:$M$205,MATCH($R167,LE_Curves!$M$5:$M$205,1))))))</f>
        <v/>
      </c>
      <c r="AD167" s="11">
        <f>IF(Inputs!$D$34=0,0,IF($R167&lt;=Inputs!$C$34,0,IF($R167&gt;=INDEX(LE_Curves!$N$5:$N$205,201),INDEX(LE_Curves!$B$5:$B$205,201),INDEX(LE_Curves!$B$5:$B$205,MATCH($R167,LE_Curves!$N$5:$N$205,1))+($R167-INDEX(LE_Curves!$N$5:$N$205,MATCH($R167,LE_Curves!$N$5:$N$205,1)))*(INDEX(LE_Curves!$B$5:$B$205,MATCH($R167,LE_Curves!$N$5:$N$205,1)+1)-INDEX(LE_Curves!$B$5:$B$205,MATCH($R167,LE_Curves!$N$5:$N$205,1)))/(INDEX(LE_Curves!$N$5:$N$205,MATCH($R167,LE_Curves!$N$5:$N$205,1)+1)-INDEX(LE_Curves!$N$5:$N$205,MATCH($R167,LE_Curves!$N$5:$N$205,1))))))</f>
        <v/>
      </c>
      <c r="AE167" s="37">
        <f>SUM(S167:AD167)</f>
        <v/>
      </c>
    </row>
    <row r="168">
      <c r="A168" s="7" t="n">
        <v>137</v>
      </c>
      <c r="B168" s="37">
        <f>$B$3+($B$4-$B$3)*A168/200</f>
        <v/>
      </c>
      <c r="C168" s="11">
        <f>IF(Inputs!$D$23=0,0,IF($B168&lt;=Inputs!$C$23,0,IF($B168&gt;=INDEX(LE_Curves!$C$5:$C$205,201),INDEX(LE_Curves!$B$5:$B$205,201),INDEX(LE_Curves!$B$5:$B$205,MATCH($B168,LE_Curves!$C$5:$C$205,1))+($B168-INDEX(LE_Curves!$C$5:$C$205,MATCH($B168,LE_Curves!$C$5:$C$205,1)))*(INDEX(LE_Curves!$B$5:$B$205,MATCH($B168,LE_Curves!$C$5:$C$205,1)+1)-INDEX(LE_Curves!$B$5:$B$205,MATCH($B168,LE_Curves!$C$5:$C$205,1)))/(INDEX(LE_Curves!$C$5:$C$205,MATCH($B168,LE_Curves!$C$5:$C$205,1)+1)-INDEX(LE_Curves!$C$5:$C$205,MATCH($B168,LE_Curves!$C$5:$C$205,1))))))</f>
        <v/>
      </c>
      <c r="D168" s="11">
        <f>IF(Inputs!$D$24=0,0,IF($B168&lt;=Inputs!$C$24,0,IF($B168&gt;=INDEX(LE_Curves!$D$5:$D$205,201),INDEX(LE_Curves!$B$5:$B$205,201),INDEX(LE_Curves!$B$5:$B$205,MATCH($B168,LE_Curves!$D$5:$D$205,1))+($B168-INDEX(LE_Curves!$D$5:$D$205,MATCH($B168,LE_Curves!$D$5:$D$205,1)))*(INDEX(LE_Curves!$B$5:$B$205,MATCH($B168,LE_Curves!$D$5:$D$205,1)+1)-INDEX(LE_Curves!$B$5:$B$205,MATCH($B168,LE_Curves!$D$5:$D$205,1)))/(INDEX(LE_Curves!$D$5:$D$205,MATCH($B168,LE_Curves!$D$5:$D$205,1)+1)-INDEX(LE_Curves!$D$5:$D$205,MATCH($B168,LE_Curves!$D$5:$D$205,1))))))</f>
        <v/>
      </c>
      <c r="E168" s="11">
        <f>IF(Inputs!$D$25=0,0,IF($B168&lt;=Inputs!$C$25,0,IF($B168&gt;=INDEX(LE_Curves!$E$5:$E$205,201),INDEX(LE_Curves!$B$5:$B$205,201),INDEX(LE_Curves!$B$5:$B$205,MATCH($B168,LE_Curves!$E$5:$E$205,1))+($B168-INDEX(LE_Curves!$E$5:$E$205,MATCH($B168,LE_Curves!$E$5:$E$205,1)))*(INDEX(LE_Curves!$B$5:$B$205,MATCH($B168,LE_Curves!$E$5:$E$205,1)+1)-INDEX(LE_Curves!$B$5:$B$205,MATCH($B168,LE_Curves!$E$5:$E$205,1)))/(INDEX(LE_Curves!$E$5:$E$205,MATCH($B168,LE_Curves!$E$5:$E$205,1)+1)-INDEX(LE_Curves!$E$5:$E$205,MATCH($B168,LE_Curves!$E$5:$E$205,1))))))</f>
        <v/>
      </c>
      <c r="F168" s="11">
        <f>IF(Inputs!$D$26=0,0,IF($B168&lt;=Inputs!$C$26,0,IF($B168&gt;=INDEX(LE_Curves!$F$5:$F$205,201),INDEX(LE_Curves!$B$5:$B$205,201),INDEX(LE_Curves!$B$5:$B$205,MATCH($B168,LE_Curves!$F$5:$F$205,1))+($B168-INDEX(LE_Curves!$F$5:$F$205,MATCH($B168,LE_Curves!$F$5:$F$205,1)))*(INDEX(LE_Curves!$B$5:$B$205,MATCH($B168,LE_Curves!$F$5:$F$205,1)+1)-INDEX(LE_Curves!$B$5:$B$205,MATCH($B168,LE_Curves!$F$5:$F$205,1)))/(INDEX(LE_Curves!$F$5:$F$205,MATCH($B168,LE_Curves!$F$5:$F$205,1)+1)-INDEX(LE_Curves!$F$5:$F$205,MATCH($B168,LE_Curves!$F$5:$F$205,1))))))</f>
        <v/>
      </c>
      <c r="G168" s="11">
        <f>IF(Inputs!$D$27=0,0,IF($B168&lt;=Inputs!$C$27,0,IF($B168&gt;=INDEX(LE_Curves!$G$5:$G$205,201),INDEX(LE_Curves!$B$5:$B$205,201),INDEX(LE_Curves!$B$5:$B$205,MATCH($B168,LE_Curves!$G$5:$G$205,1))+($B168-INDEX(LE_Curves!$G$5:$G$205,MATCH($B168,LE_Curves!$G$5:$G$205,1)))*(INDEX(LE_Curves!$B$5:$B$205,MATCH($B168,LE_Curves!$G$5:$G$205,1)+1)-INDEX(LE_Curves!$B$5:$B$205,MATCH($B168,LE_Curves!$G$5:$G$205,1)))/(INDEX(LE_Curves!$G$5:$G$205,MATCH($B168,LE_Curves!$G$5:$G$205,1)+1)-INDEX(LE_Curves!$G$5:$G$205,MATCH($B168,LE_Curves!$G$5:$G$205,1))))))</f>
        <v/>
      </c>
      <c r="H168" s="11">
        <f>IF(Inputs!$D$28=0,0,IF($B168&lt;=Inputs!$C$28,0,IF($B168&gt;=INDEX(LE_Curves!$H$5:$H$205,201),INDEX(LE_Curves!$B$5:$B$205,201),INDEX(LE_Curves!$B$5:$B$205,MATCH($B168,LE_Curves!$H$5:$H$205,1))+($B168-INDEX(LE_Curves!$H$5:$H$205,MATCH($B168,LE_Curves!$H$5:$H$205,1)))*(INDEX(LE_Curves!$B$5:$B$205,MATCH($B168,LE_Curves!$H$5:$H$205,1)+1)-INDEX(LE_Curves!$B$5:$B$205,MATCH($B168,LE_Curves!$H$5:$H$205,1)))/(INDEX(LE_Curves!$H$5:$H$205,MATCH($B168,LE_Curves!$H$5:$H$205,1)+1)-INDEX(LE_Curves!$H$5:$H$205,MATCH($B168,LE_Curves!$H$5:$H$205,1))))))</f>
        <v/>
      </c>
      <c r="I168" s="11">
        <f>IF(Inputs!$D$29=0,0,IF($B168&lt;=Inputs!$C$29,0,IF($B168&gt;=INDEX(LE_Curves!$I$5:$I$205,201),INDEX(LE_Curves!$B$5:$B$205,201),INDEX(LE_Curves!$B$5:$B$205,MATCH($B168,LE_Curves!$I$5:$I$205,1))+($B168-INDEX(LE_Curves!$I$5:$I$205,MATCH($B168,LE_Curves!$I$5:$I$205,1)))*(INDEX(LE_Curves!$B$5:$B$205,MATCH($B168,LE_Curves!$I$5:$I$205,1)+1)-INDEX(LE_Curves!$B$5:$B$205,MATCH($B168,LE_Curves!$I$5:$I$205,1)))/(INDEX(LE_Curves!$I$5:$I$205,MATCH($B168,LE_Curves!$I$5:$I$205,1)+1)-INDEX(LE_Curves!$I$5:$I$205,MATCH($B168,LE_Curves!$I$5:$I$205,1))))))</f>
        <v/>
      </c>
      <c r="J168" s="11">
        <f>IF(Inputs!$D$30=0,0,IF($B168&lt;=Inputs!$C$30,0,IF($B168&gt;=INDEX(LE_Curves!$J$5:$J$205,201),INDEX(LE_Curves!$B$5:$B$205,201),INDEX(LE_Curves!$B$5:$B$205,MATCH($B168,LE_Curves!$J$5:$J$205,1))+($B168-INDEX(LE_Curves!$J$5:$J$205,MATCH($B168,LE_Curves!$J$5:$J$205,1)))*(INDEX(LE_Curves!$B$5:$B$205,MATCH($B168,LE_Curves!$J$5:$J$205,1)+1)-INDEX(LE_Curves!$B$5:$B$205,MATCH($B168,LE_Curves!$J$5:$J$205,1)))/(INDEX(LE_Curves!$J$5:$J$205,MATCH($B168,LE_Curves!$J$5:$J$205,1)+1)-INDEX(LE_Curves!$J$5:$J$205,MATCH($B168,LE_Curves!$J$5:$J$205,1))))))</f>
        <v/>
      </c>
      <c r="K168" s="11">
        <f>IF(Inputs!$D$31=0,0,IF($B168&lt;=Inputs!$C$31,0,IF($B168&gt;=INDEX(LE_Curves!$K$5:$K$205,201),INDEX(LE_Curves!$B$5:$B$205,201),INDEX(LE_Curves!$B$5:$B$205,MATCH($B168,LE_Curves!$K$5:$K$205,1))+($B168-INDEX(LE_Curves!$K$5:$K$205,MATCH($B168,LE_Curves!$K$5:$K$205,1)))*(INDEX(LE_Curves!$B$5:$B$205,MATCH($B168,LE_Curves!$K$5:$K$205,1)+1)-INDEX(LE_Curves!$B$5:$B$205,MATCH($B168,LE_Curves!$K$5:$K$205,1)))/(INDEX(LE_Curves!$K$5:$K$205,MATCH($B168,LE_Curves!$K$5:$K$205,1)+1)-INDEX(LE_Curves!$K$5:$K$205,MATCH($B168,LE_Curves!$K$5:$K$205,1))))))</f>
        <v/>
      </c>
      <c r="L168" s="11">
        <f>IF(Inputs!$D$32=0,0,IF($B168&lt;=Inputs!$C$32,0,IF($B168&gt;=INDEX(LE_Curves!$L$5:$L$205,201),INDEX(LE_Curves!$B$5:$B$205,201),INDEX(LE_Curves!$B$5:$B$205,MATCH($B168,LE_Curves!$L$5:$L$205,1))+($B168-INDEX(LE_Curves!$L$5:$L$205,MATCH($B168,LE_Curves!$L$5:$L$205,1)))*(INDEX(LE_Curves!$B$5:$B$205,MATCH($B168,LE_Curves!$L$5:$L$205,1)+1)-INDEX(LE_Curves!$B$5:$B$205,MATCH($B168,LE_Curves!$L$5:$L$205,1)))/(INDEX(LE_Curves!$L$5:$L$205,MATCH($B168,LE_Curves!$L$5:$L$205,1)+1)-INDEX(LE_Curves!$L$5:$L$205,MATCH($B168,LE_Curves!$L$5:$L$205,1))))))</f>
        <v/>
      </c>
      <c r="M168" s="11">
        <f>IF(Inputs!$D$33=0,0,IF($B168&lt;=Inputs!$C$33,0,IF($B168&gt;=INDEX(LE_Curves!$M$5:$M$205,201),INDEX(LE_Curves!$B$5:$B$205,201),INDEX(LE_Curves!$B$5:$B$205,MATCH($B168,LE_Curves!$M$5:$M$205,1))+($B168-INDEX(LE_Curves!$M$5:$M$205,MATCH($B168,LE_Curves!$M$5:$M$205,1)))*(INDEX(LE_Curves!$B$5:$B$205,MATCH($B168,LE_Curves!$M$5:$M$205,1)+1)-INDEX(LE_Curves!$B$5:$B$205,MATCH($B168,LE_Curves!$M$5:$M$205,1)))/(INDEX(LE_Curves!$M$5:$M$205,MATCH($B168,LE_Curves!$M$5:$M$205,1)+1)-INDEX(LE_Curves!$M$5:$M$205,MATCH($B168,LE_Curves!$M$5:$M$205,1))))))</f>
        <v/>
      </c>
      <c r="N168" s="11">
        <f>IF(Inputs!$D$34=0,0,IF($B168&lt;=Inputs!$C$34,0,IF($B168&gt;=INDEX(LE_Curves!$N$5:$N$205,201),INDEX(LE_Curves!$B$5:$B$205,201),INDEX(LE_Curves!$B$5:$B$205,MATCH($B168,LE_Curves!$N$5:$N$205,1))+($B168-INDEX(LE_Curves!$N$5:$N$205,MATCH($B168,LE_Curves!$N$5:$N$205,1)))*(INDEX(LE_Curves!$B$5:$B$205,MATCH($B168,LE_Curves!$N$5:$N$205,1)+1)-INDEX(LE_Curves!$B$5:$B$205,MATCH($B168,LE_Curves!$N$5:$N$205,1)))/(INDEX(LE_Curves!$N$5:$N$205,MATCH($B168,LE_Curves!$N$5:$N$205,1)+1)-INDEX(LE_Curves!$N$5:$N$205,MATCH($B168,LE_Curves!$N$5:$N$205,1))))))</f>
        <v/>
      </c>
      <c r="O168" s="11">
        <f>SUM(C168:N168)</f>
        <v/>
      </c>
      <c r="Q168" s="7" t="n">
        <v>137</v>
      </c>
      <c r="R168" s="23">
        <f>$B$6+($B$7-$B$6)*Q168/200</f>
        <v/>
      </c>
      <c r="S168" s="11">
        <f>IF(Inputs!$D$23=0,0,IF($R168&lt;=Inputs!$C$23,0,IF($R168&gt;=INDEX(LE_Curves!$C$5:$C$205,201),INDEX(LE_Curves!$B$5:$B$205,201),INDEX(LE_Curves!$B$5:$B$205,MATCH($R168,LE_Curves!$C$5:$C$205,1))+($R168-INDEX(LE_Curves!$C$5:$C$205,MATCH($R168,LE_Curves!$C$5:$C$205,1)))*(INDEX(LE_Curves!$B$5:$B$205,MATCH($R168,LE_Curves!$C$5:$C$205,1)+1)-INDEX(LE_Curves!$B$5:$B$205,MATCH($R168,LE_Curves!$C$5:$C$205,1)))/(INDEX(LE_Curves!$C$5:$C$205,MATCH($R168,LE_Curves!$C$5:$C$205,1)+1)-INDEX(LE_Curves!$C$5:$C$205,MATCH($R168,LE_Curves!$C$5:$C$205,1))))))</f>
        <v/>
      </c>
      <c r="T168" s="11">
        <f>IF(Inputs!$D$24=0,0,IF($R168&lt;=Inputs!$C$24,0,IF($R168&gt;=INDEX(LE_Curves!$D$5:$D$205,201),INDEX(LE_Curves!$B$5:$B$205,201),INDEX(LE_Curves!$B$5:$B$205,MATCH($R168,LE_Curves!$D$5:$D$205,1))+($R168-INDEX(LE_Curves!$D$5:$D$205,MATCH($R168,LE_Curves!$D$5:$D$205,1)))*(INDEX(LE_Curves!$B$5:$B$205,MATCH($R168,LE_Curves!$D$5:$D$205,1)+1)-INDEX(LE_Curves!$B$5:$B$205,MATCH($R168,LE_Curves!$D$5:$D$205,1)))/(INDEX(LE_Curves!$D$5:$D$205,MATCH($R168,LE_Curves!$D$5:$D$205,1)+1)-INDEX(LE_Curves!$D$5:$D$205,MATCH($R168,LE_Curves!$D$5:$D$205,1))))))</f>
        <v/>
      </c>
      <c r="U168" s="11">
        <f>IF(Inputs!$D$25=0,0,IF($R168&lt;=Inputs!$C$25,0,IF($R168&gt;=INDEX(LE_Curves!$E$5:$E$205,201),INDEX(LE_Curves!$B$5:$B$205,201),INDEX(LE_Curves!$B$5:$B$205,MATCH($R168,LE_Curves!$E$5:$E$205,1))+($R168-INDEX(LE_Curves!$E$5:$E$205,MATCH($R168,LE_Curves!$E$5:$E$205,1)))*(INDEX(LE_Curves!$B$5:$B$205,MATCH($R168,LE_Curves!$E$5:$E$205,1)+1)-INDEX(LE_Curves!$B$5:$B$205,MATCH($R168,LE_Curves!$E$5:$E$205,1)))/(INDEX(LE_Curves!$E$5:$E$205,MATCH($R168,LE_Curves!$E$5:$E$205,1)+1)-INDEX(LE_Curves!$E$5:$E$205,MATCH($R168,LE_Curves!$E$5:$E$205,1))))))</f>
        <v/>
      </c>
      <c r="V168" s="11">
        <f>IF(Inputs!$D$26=0,0,IF($R168&lt;=Inputs!$C$26,0,IF($R168&gt;=INDEX(LE_Curves!$F$5:$F$205,201),INDEX(LE_Curves!$B$5:$B$205,201),INDEX(LE_Curves!$B$5:$B$205,MATCH($R168,LE_Curves!$F$5:$F$205,1))+($R168-INDEX(LE_Curves!$F$5:$F$205,MATCH($R168,LE_Curves!$F$5:$F$205,1)))*(INDEX(LE_Curves!$B$5:$B$205,MATCH($R168,LE_Curves!$F$5:$F$205,1)+1)-INDEX(LE_Curves!$B$5:$B$205,MATCH($R168,LE_Curves!$F$5:$F$205,1)))/(INDEX(LE_Curves!$F$5:$F$205,MATCH($R168,LE_Curves!$F$5:$F$205,1)+1)-INDEX(LE_Curves!$F$5:$F$205,MATCH($R168,LE_Curves!$F$5:$F$205,1))))))</f>
        <v/>
      </c>
      <c r="W168" s="11">
        <f>IF(Inputs!$D$27=0,0,IF($R168&lt;=Inputs!$C$27,0,IF($R168&gt;=INDEX(LE_Curves!$G$5:$G$205,201),INDEX(LE_Curves!$B$5:$B$205,201),INDEX(LE_Curves!$B$5:$B$205,MATCH($R168,LE_Curves!$G$5:$G$205,1))+($R168-INDEX(LE_Curves!$G$5:$G$205,MATCH($R168,LE_Curves!$G$5:$G$205,1)))*(INDEX(LE_Curves!$B$5:$B$205,MATCH($R168,LE_Curves!$G$5:$G$205,1)+1)-INDEX(LE_Curves!$B$5:$B$205,MATCH($R168,LE_Curves!$G$5:$G$205,1)))/(INDEX(LE_Curves!$G$5:$G$205,MATCH($R168,LE_Curves!$G$5:$G$205,1)+1)-INDEX(LE_Curves!$G$5:$G$205,MATCH($R168,LE_Curves!$G$5:$G$205,1))))))</f>
        <v/>
      </c>
      <c r="X168" s="11">
        <f>IF(Inputs!$D$28=0,0,IF($R168&lt;=Inputs!$C$28,0,IF($R168&gt;=INDEX(LE_Curves!$H$5:$H$205,201),INDEX(LE_Curves!$B$5:$B$205,201),INDEX(LE_Curves!$B$5:$B$205,MATCH($R168,LE_Curves!$H$5:$H$205,1))+($R168-INDEX(LE_Curves!$H$5:$H$205,MATCH($R168,LE_Curves!$H$5:$H$205,1)))*(INDEX(LE_Curves!$B$5:$B$205,MATCH($R168,LE_Curves!$H$5:$H$205,1)+1)-INDEX(LE_Curves!$B$5:$B$205,MATCH($R168,LE_Curves!$H$5:$H$205,1)))/(INDEX(LE_Curves!$H$5:$H$205,MATCH($R168,LE_Curves!$H$5:$H$205,1)+1)-INDEX(LE_Curves!$H$5:$H$205,MATCH($R168,LE_Curves!$H$5:$H$205,1))))))</f>
        <v/>
      </c>
      <c r="Y168" s="11">
        <f>IF(Inputs!$D$29=0,0,IF($R168&lt;=Inputs!$C$29,0,IF($R168&gt;=INDEX(LE_Curves!$I$5:$I$205,201),INDEX(LE_Curves!$B$5:$B$205,201),INDEX(LE_Curves!$B$5:$B$205,MATCH($R168,LE_Curves!$I$5:$I$205,1))+($R168-INDEX(LE_Curves!$I$5:$I$205,MATCH($R168,LE_Curves!$I$5:$I$205,1)))*(INDEX(LE_Curves!$B$5:$B$205,MATCH($R168,LE_Curves!$I$5:$I$205,1)+1)-INDEX(LE_Curves!$B$5:$B$205,MATCH($R168,LE_Curves!$I$5:$I$205,1)))/(INDEX(LE_Curves!$I$5:$I$205,MATCH($R168,LE_Curves!$I$5:$I$205,1)+1)-INDEX(LE_Curves!$I$5:$I$205,MATCH($R168,LE_Curves!$I$5:$I$205,1))))))</f>
        <v/>
      </c>
      <c r="Z168" s="11">
        <f>IF(Inputs!$D$30=0,0,IF($R168&lt;=Inputs!$C$30,0,IF($R168&gt;=INDEX(LE_Curves!$J$5:$J$205,201),INDEX(LE_Curves!$B$5:$B$205,201),INDEX(LE_Curves!$B$5:$B$205,MATCH($R168,LE_Curves!$J$5:$J$205,1))+($R168-INDEX(LE_Curves!$J$5:$J$205,MATCH($R168,LE_Curves!$J$5:$J$205,1)))*(INDEX(LE_Curves!$B$5:$B$205,MATCH($R168,LE_Curves!$J$5:$J$205,1)+1)-INDEX(LE_Curves!$B$5:$B$205,MATCH($R168,LE_Curves!$J$5:$J$205,1)))/(INDEX(LE_Curves!$J$5:$J$205,MATCH($R168,LE_Curves!$J$5:$J$205,1)+1)-INDEX(LE_Curves!$J$5:$J$205,MATCH($R168,LE_Curves!$J$5:$J$205,1))))))</f>
        <v/>
      </c>
      <c r="AA168" s="11">
        <f>IF(Inputs!$D$31=0,0,IF($R168&lt;=Inputs!$C$31,0,IF($R168&gt;=INDEX(LE_Curves!$K$5:$K$205,201),INDEX(LE_Curves!$B$5:$B$205,201),INDEX(LE_Curves!$B$5:$B$205,MATCH($R168,LE_Curves!$K$5:$K$205,1))+($R168-INDEX(LE_Curves!$K$5:$K$205,MATCH($R168,LE_Curves!$K$5:$K$205,1)))*(INDEX(LE_Curves!$B$5:$B$205,MATCH($R168,LE_Curves!$K$5:$K$205,1)+1)-INDEX(LE_Curves!$B$5:$B$205,MATCH($R168,LE_Curves!$K$5:$K$205,1)))/(INDEX(LE_Curves!$K$5:$K$205,MATCH($R168,LE_Curves!$K$5:$K$205,1)+1)-INDEX(LE_Curves!$K$5:$K$205,MATCH($R168,LE_Curves!$K$5:$K$205,1))))))</f>
        <v/>
      </c>
      <c r="AB168" s="11">
        <f>IF(Inputs!$D$32=0,0,IF($R168&lt;=Inputs!$C$32,0,IF($R168&gt;=INDEX(LE_Curves!$L$5:$L$205,201),INDEX(LE_Curves!$B$5:$B$205,201),INDEX(LE_Curves!$B$5:$B$205,MATCH($R168,LE_Curves!$L$5:$L$205,1))+($R168-INDEX(LE_Curves!$L$5:$L$205,MATCH($R168,LE_Curves!$L$5:$L$205,1)))*(INDEX(LE_Curves!$B$5:$B$205,MATCH($R168,LE_Curves!$L$5:$L$205,1)+1)-INDEX(LE_Curves!$B$5:$B$205,MATCH($R168,LE_Curves!$L$5:$L$205,1)))/(INDEX(LE_Curves!$L$5:$L$205,MATCH($R168,LE_Curves!$L$5:$L$205,1)+1)-INDEX(LE_Curves!$L$5:$L$205,MATCH($R168,LE_Curves!$L$5:$L$205,1))))))</f>
        <v/>
      </c>
      <c r="AC168" s="11">
        <f>IF(Inputs!$D$33=0,0,IF($R168&lt;=Inputs!$C$33,0,IF($R168&gt;=INDEX(LE_Curves!$M$5:$M$205,201),INDEX(LE_Curves!$B$5:$B$205,201),INDEX(LE_Curves!$B$5:$B$205,MATCH($R168,LE_Curves!$M$5:$M$205,1))+($R168-INDEX(LE_Curves!$M$5:$M$205,MATCH($R168,LE_Curves!$M$5:$M$205,1)))*(INDEX(LE_Curves!$B$5:$B$205,MATCH($R168,LE_Curves!$M$5:$M$205,1)+1)-INDEX(LE_Curves!$B$5:$B$205,MATCH($R168,LE_Curves!$M$5:$M$205,1)))/(INDEX(LE_Curves!$M$5:$M$205,MATCH($R168,LE_Curves!$M$5:$M$205,1)+1)-INDEX(LE_Curves!$M$5:$M$205,MATCH($R168,LE_Curves!$M$5:$M$205,1))))))</f>
        <v/>
      </c>
      <c r="AD168" s="11">
        <f>IF(Inputs!$D$34=0,0,IF($R168&lt;=Inputs!$C$34,0,IF($R168&gt;=INDEX(LE_Curves!$N$5:$N$205,201),INDEX(LE_Curves!$B$5:$B$205,201),INDEX(LE_Curves!$B$5:$B$205,MATCH($R168,LE_Curves!$N$5:$N$205,1))+($R168-INDEX(LE_Curves!$N$5:$N$205,MATCH($R168,LE_Curves!$N$5:$N$205,1)))*(INDEX(LE_Curves!$B$5:$B$205,MATCH($R168,LE_Curves!$N$5:$N$205,1)+1)-INDEX(LE_Curves!$B$5:$B$205,MATCH($R168,LE_Curves!$N$5:$N$205,1)))/(INDEX(LE_Curves!$N$5:$N$205,MATCH($R168,LE_Curves!$N$5:$N$205,1)+1)-INDEX(LE_Curves!$N$5:$N$205,MATCH($R168,LE_Curves!$N$5:$N$205,1))))))</f>
        <v/>
      </c>
      <c r="AE168" s="37">
        <f>SUM(S168:AD168)</f>
        <v/>
      </c>
    </row>
    <row r="169">
      <c r="A169" s="7" t="n">
        <v>138</v>
      </c>
      <c r="B169" s="37">
        <f>$B$3+($B$4-$B$3)*A169/200</f>
        <v/>
      </c>
      <c r="C169" s="11">
        <f>IF(Inputs!$D$23=0,0,IF($B169&lt;=Inputs!$C$23,0,IF($B169&gt;=INDEX(LE_Curves!$C$5:$C$205,201),INDEX(LE_Curves!$B$5:$B$205,201),INDEX(LE_Curves!$B$5:$B$205,MATCH($B169,LE_Curves!$C$5:$C$205,1))+($B169-INDEX(LE_Curves!$C$5:$C$205,MATCH($B169,LE_Curves!$C$5:$C$205,1)))*(INDEX(LE_Curves!$B$5:$B$205,MATCH($B169,LE_Curves!$C$5:$C$205,1)+1)-INDEX(LE_Curves!$B$5:$B$205,MATCH($B169,LE_Curves!$C$5:$C$205,1)))/(INDEX(LE_Curves!$C$5:$C$205,MATCH($B169,LE_Curves!$C$5:$C$205,1)+1)-INDEX(LE_Curves!$C$5:$C$205,MATCH($B169,LE_Curves!$C$5:$C$205,1))))))</f>
        <v/>
      </c>
      <c r="D169" s="11">
        <f>IF(Inputs!$D$24=0,0,IF($B169&lt;=Inputs!$C$24,0,IF($B169&gt;=INDEX(LE_Curves!$D$5:$D$205,201),INDEX(LE_Curves!$B$5:$B$205,201),INDEX(LE_Curves!$B$5:$B$205,MATCH($B169,LE_Curves!$D$5:$D$205,1))+($B169-INDEX(LE_Curves!$D$5:$D$205,MATCH($B169,LE_Curves!$D$5:$D$205,1)))*(INDEX(LE_Curves!$B$5:$B$205,MATCH($B169,LE_Curves!$D$5:$D$205,1)+1)-INDEX(LE_Curves!$B$5:$B$205,MATCH($B169,LE_Curves!$D$5:$D$205,1)))/(INDEX(LE_Curves!$D$5:$D$205,MATCH($B169,LE_Curves!$D$5:$D$205,1)+1)-INDEX(LE_Curves!$D$5:$D$205,MATCH($B169,LE_Curves!$D$5:$D$205,1))))))</f>
        <v/>
      </c>
      <c r="E169" s="11">
        <f>IF(Inputs!$D$25=0,0,IF($B169&lt;=Inputs!$C$25,0,IF($B169&gt;=INDEX(LE_Curves!$E$5:$E$205,201),INDEX(LE_Curves!$B$5:$B$205,201),INDEX(LE_Curves!$B$5:$B$205,MATCH($B169,LE_Curves!$E$5:$E$205,1))+($B169-INDEX(LE_Curves!$E$5:$E$205,MATCH($B169,LE_Curves!$E$5:$E$205,1)))*(INDEX(LE_Curves!$B$5:$B$205,MATCH($B169,LE_Curves!$E$5:$E$205,1)+1)-INDEX(LE_Curves!$B$5:$B$205,MATCH($B169,LE_Curves!$E$5:$E$205,1)))/(INDEX(LE_Curves!$E$5:$E$205,MATCH($B169,LE_Curves!$E$5:$E$205,1)+1)-INDEX(LE_Curves!$E$5:$E$205,MATCH($B169,LE_Curves!$E$5:$E$205,1))))))</f>
        <v/>
      </c>
      <c r="F169" s="11">
        <f>IF(Inputs!$D$26=0,0,IF($B169&lt;=Inputs!$C$26,0,IF($B169&gt;=INDEX(LE_Curves!$F$5:$F$205,201),INDEX(LE_Curves!$B$5:$B$205,201),INDEX(LE_Curves!$B$5:$B$205,MATCH($B169,LE_Curves!$F$5:$F$205,1))+($B169-INDEX(LE_Curves!$F$5:$F$205,MATCH($B169,LE_Curves!$F$5:$F$205,1)))*(INDEX(LE_Curves!$B$5:$B$205,MATCH($B169,LE_Curves!$F$5:$F$205,1)+1)-INDEX(LE_Curves!$B$5:$B$205,MATCH($B169,LE_Curves!$F$5:$F$205,1)))/(INDEX(LE_Curves!$F$5:$F$205,MATCH($B169,LE_Curves!$F$5:$F$205,1)+1)-INDEX(LE_Curves!$F$5:$F$205,MATCH($B169,LE_Curves!$F$5:$F$205,1))))))</f>
        <v/>
      </c>
      <c r="G169" s="11">
        <f>IF(Inputs!$D$27=0,0,IF($B169&lt;=Inputs!$C$27,0,IF($B169&gt;=INDEX(LE_Curves!$G$5:$G$205,201),INDEX(LE_Curves!$B$5:$B$205,201),INDEX(LE_Curves!$B$5:$B$205,MATCH($B169,LE_Curves!$G$5:$G$205,1))+($B169-INDEX(LE_Curves!$G$5:$G$205,MATCH($B169,LE_Curves!$G$5:$G$205,1)))*(INDEX(LE_Curves!$B$5:$B$205,MATCH($B169,LE_Curves!$G$5:$G$205,1)+1)-INDEX(LE_Curves!$B$5:$B$205,MATCH($B169,LE_Curves!$G$5:$G$205,1)))/(INDEX(LE_Curves!$G$5:$G$205,MATCH($B169,LE_Curves!$G$5:$G$205,1)+1)-INDEX(LE_Curves!$G$5:$G$205,MATCH($B169,LE_Curves!$G$5:$G$205,1))))))</f>
        <v/>
      </c>
      <c r="H169" s="11">
        <f>IF(Inputs!$D$28=0,0,IF($B169&lt;=Inputs!$C$28,0,IF($B169&gt;=INDEX(LE_Curves!$H$5:$H$205,201),INDEX(LE_Curves!$B$5:$B$205,201),INDEX(LE_Curves!$B$5:$B$205,MATCH($B169,LE_Curves!$H$5:$H$205,1))+($B169-INDEX(LE_Curves!$H$5:$H$205,MATCH($B169,LE_Curves!$H$5:$H$205,1)))*(INDEX(LE_Curves!$B$5:$B$205,MATCH($B169,LE_Curves!$H$5:$H$205,1)+1)-INDEX(LE_Curves!$B$5:$B$205,MATCH($B169,LE_Curves!$H$5:$H$205,1)))/(INDEX(LE_Curves!$H$5:$H$205,MATCH($B169,LE_Curves!$H$5:$H$205,1)+1)-INDEX(LE_Curves!$H$5:$H$205,MATCH($B169,LE_Curves!$H$5:$H$205,1))))))</f>
        <v/>
      </c>
      <c r="I169" s="11">
        <f>IF(Inputs!$D$29=0,0,IF($B169&lt;=Inputs!$C$29,0,IF($B169&gt;=INDEX(LE_Curves!$I$5:$I$205,201),INDEX(LE_Curves!$B$5:$B$205,201),INDEX(LE_Curves!$B$5:$B$205,MATCH($B169,LE_Curves!$I$5:$I$205,1))+($B169-INDEX(LE_Curves!$I$5:$I$205,MATCH($B169,LE_Curves!$I$5:$I$205,1)))*(INDEX(LE_Curves!$B$5:$B$205,MATCH($B169,LE_Curves!$I$5:$I$205,1)+1)-INDEX(LE_Curves!$B$5:$B$205,MATCH($B169,LE_Curves!$I$5:$I$205,1)))/(INDEX(LE_Curves!$I$5:$I$205,MATCH($B169,LE_Curves!$I$5:$I$205,1)+1)-INDEX(LE_Curves!$I$5:$I$205,MATCH($B169,LE_Curves!$I$5:$I$205,1))))))</f>
        <v/>
      </c>
      <c r="J169" s="11">
        <f>IF(Inputs!$D$30=0,0,IF($B169&lt;=Inputs!$C$30,0,IF($B169&gt;=INDEX(LE_Curves!$J$5:$J$205,201),INDEX(LE_Curves!$B$5:$B$205,201),INDEX(LE_Curves!$B$5:$B$205,MATCH($B169,LE_Curves!$J$5:$J$205,1))+($B169-INDEX(LE_Curves!$J$5:$J$205,MATCH($B169,LE_Curves!$J$5:$J$205,1)))*(INDEX(LE_Curves!$B$5:$B$205,MATCH($B169,LE_Curves!$J$5:$J$205,1)+1)-INDEX(LE_Curves!$B$5:$B$205,MATCH($B169,LE_Curves!$J$5:$J$205,1)))/(INDEX(LE_Curves!$J$5:$J$205,MATCH($B169,LE_Curves!$J$5:$J$205,1)+1)-INDEX(LE_Curves!$J$5:$J$205,MATCH($B169,LE_Curves!$J$5:$J$205,1))))))</f>
        <v/>
      </c>
      <c r="K169" s="11">
        <f>IF(Inputs!$D$31=0,0,IF($B169&lt;=Inputs!$C$31,0,IF($B169&gt;=INDEX(LE_Curves!$K$5:$K$205,201),INDEX(LE_Curves!$B$5:$B$205,201),INDEX(LE_Curves!$B$5:$B$205,MATCH($B169,LE_Curves!$K$5:$K$205,1))+($B169-INDEX(LE_Curves!$K$5:$K$205,MATCH($B169,LE_Curves!$K$5:$K$205,1)))*(INDEX(LE_Curves!$B$5:$B$205,MATCH($B169,LE_Curves!$K$5:$K$205,1)+1)-INDEX(LE_Curves!$B$5:$B$205,MATCH($B169,LE_Curves!$K$5:$K$205,1)))/(INDEX(LE_Curves!$K$5:$K$205,MATCH($B169,LE_Curves!$K$5:$K$205,1)+1)-INDEX(LE_Curves!$K$5:$K$205,MATCH($B169,LE_Curves!$K$5:$K$205,1))))))</f>
        <v/>
      </c>
      <c r="L169" s="11">
        <f>IF(Inputs!$D$32=0,0,IF($B169&lt;=Inputs!$C$32,0,IF($B169&gt;=INDEX(LE_Curves!$L$5:$L$205,201),INDEX(LE_Curves!$B$5:$B$205,201),INDEX(LE_Curves!$B$5:$B$205,MATCH($B169,LE_Curves!$L$5:$L$205,1))+($B169-INDEX(LE_Curves!$L$5:$L$205,MATCH($B169,LE_Curves!$L$5:$L$205,1)))*(INDEX(LE_Curves!$B$5:$B$205,MATCH($B169,LE_Curves!$L$5:$L$205,1)+1)-INDEX(LE_Curves!$B$5:$B$205,MATCH($B169,LE_Curves!$L$5:$L$205,1)))/(INDEX(LE_Curves!$L$5:$L$205,MATCH($B169,LE_Curves!$L$5:$L$205,1)+1)-INDEX(LE_Curves!$L$5:$L$205,MATCH($B169,LE_Curves!$L$5:$L$205,1))))))</f>
        <v/>
      </c>
      <c r="M169" s="11">
        <f>IF(Inputs!$D$33=0,0,IF($B169&lt;=Inputs!$C$33,0,IF($B169&gt;=INDEX(LE_Curves!$M$5:$M$205,201),INDEX(LE_Curves!$B$5:$B$205,201),INDEX(LE_Curves!$B$5:$B$205,MATCH($B169,LE_Curves!$M$5:$M$205,1))+($B169-INDEX(LE_Curves!$M$5:$M$205,MATCH($B169,LE_Curves!$M$5:$M$205,1)))*(INDEX(LE_Curves!$B$5:$B$205,MATCH($B169,LE_Curves!$M$5:$M$205,1)+1)-INDEX(LE_Curves!$B$5:$B$205,MATCH($B169,LE_Curves!$M$5:$M$205,1)))/(INDEX(LE_Curves!$M$5:$M$205,MATCH($B169,LE_Curves!$M$5:$M$205,1)+1)-INDEX(LE_Curves!$M$5:$M$205,MATCH($B169,LE_Curves!$M$5:$M$205,1))))))</f>
        <v/>
      </c>
      <c r="N169" s="11">
        <f>IF(Inputs!$D$34=0,0,IF($B169&lt;=Inputs!$C$34,0,IF($B169&gt;=INDEX(LE_Curves!$N$5:$N$205,201),INDEX(LE_Curves!$B$5:$B$205,201),INDEX(LE_Curves!$B$5:$B$205,MATCH($B169,LE_Curves!$N$5:$N$205,1))+($B169-INDEX(LE_Curves!$N$5:$N$205,MATCH($B169,LE_Curves!$N$5:$N$205,1)))*(INDEX(LE_Curves!$B$5:$B$205,MATCH($B169,LE_Curves!$N$5:$N$205,1)+1)-INDEX(LE_Curves!$B$5:$B$205,MATCH($B169,LE_Curves!$N$5:$N$205,1)))/(INDEX(LE_Curves!$N$5:$N$205,MATCH($B169,LE_Curves!$N$5:$N$205,1)+1)-INDEX(LE_Curves!$N$5:$N$205,MATCH($B169,LE_Curves!$N$5:$N$205,1))))))</f>
        <v/>
      </c>
      <c r="O169" s="11">
        <f>SUM(C169:N169)</f>
        <v/>
      </c>
      <c r="Q169" s="7" t="n">
        <v>138</v>
      </c>
      <c r="R169" s="23">
        <f>$B$6+($B$7-$B$6)*Q169/200</f>
        <v/>
      </c>
      <c r="S169" s="11">
        <f>IF(Inputs!$D$23=0,0,IF($R169&lt;=Inputs!$C$23,0,IF($R169&gt;=INDEX(LE_Curves!$C$5:$C$205,201),INDEX(LE_Curves!$B$5:$B$205,201),INDEX(LE_Curves!$B$5:$B$205,MATCH($R169,LE_Curves!$C$5:$C$205,1))+($R169-INDEX(LE_Curves!$C$5:$C$205,MATCH($R169,LE_Curves!$C$5:$C$205,1)))*(INDEX(LE_Curves!$B$5:$B$205,MATCH($R169,LE_Curves!$C$5:$C$205,1)+1)-INDEX(LE_Curves!$B$5:$B$205,MATCH($R169,LE_Curves!$C$5:$C$205,1)))/(INDEX(LE_Curves!$C$5:$C$205,MATCH($R169,LE_Curves!$C$5:$C$205,1)+1)-INDEX(LE_Curves!$C$5:$C$205,MATCH($R169,LE_Curves!$C$5:$C$205,1))))))</f>
        <v/>
      </c>
      <c r="T169" s="11">
        <f>IF(Inputs!$D$24=0,0,IF($R169&lt;=Inputs!$C$24,0,IF($R169&gt;=INDEX(LE_Curves!$D$5:$D$205,201),INDEX(LE_Curves!$B$5:$B$205,201),INDEX(LE_Curves!$B$5:$B$205,MATCH($R169,LE_Curves!$D$5:$D$205,1))+($R169-INDEX(LE_Curves!$D$5:$D$205,MATCH($R169,LE_Curves!$D$5:$D$205,1)))*(INDEX(LE_Curves!$B$5:$B$205,MATCH($R169,LE_Curves!$D$5:$D$205,1)+1)-INDEX(LE_Curves!$B$5:$B$205,MATCH($R169,LE_Curves!$D$5:$D$205,1)))/(INDEX(LE_Curves!$D$5:$D$205,MATCH($R169,LE_Curves!$D$5:$D$205,1)+1)-INDEX(LE_Curves!$D$5:$D$205,MATCH($R169,LE_Curves!$D$5:$D$205,1))))))</f>
        <v/>
      </c>
      <c r="U169" s="11">
        <f>IF(Inputs!$D$25=0,0,IF($R169&lt;=Inputs!$C$25,0,IF($R169&gt;=INDEX(LE_Curves!$E$5:$E$205,201),INDEX(LE_Curves!$B$5:$B$205,201),INDEX(LE_Curves!$B$5:$B$205,MATCH($R169,LE_Curves!$E$5:$E$205,1))+($R169-INDEX(LE_Curves!$E$5:$E$205,MATCH($R169,LE_Curves!$E$5:$E$205,1)))*(INDEX(LE_Curves!$B$5:$B$205,MATCH($R169,LE_Curves!$E$5:$E$205,1)+1)-INDEX(LE_Curves!$B$5:$B$205,MATCH($R169,LE_Curves!$E$5:$E$205,1)))/(INDEX(LE_Curves!$E$5:$E$205,MATCH($R169,LE_Curves!$E$5:$E$205,1)+1)-INDEX(LE_Curves!$E$5:$E$205,MATCH($R169,LE_Curves!$E$5:$E$205,1))))))</f>
        <v/>
      </c>
      <c r="V169" s="11">
        <f>IF(Inputs!$D$26=0,0,IF($R169&lt;=Inputs!$C$26,0,IF($R169&gt;=INDEX(LE_Curves!$F$5:$F$205,201),INDEX(LE_Curves!$B$5:$B$205,201),INDEX(LE_Curves!$B$5:$B$205,MATCH($R169,LE_Curves!$F$5:$F$205,1))+($R169-INDEX(LE_Curves!$F$5:$F$205,MATCH($R169,LE_Curves!$F$5:$F$205,1)))*(INDEX(LE_Curves!$B$5:$B$205,MATCH($R169,LE_Curves!$F$5:$F$205,1)+1)-INDEX(LE_Curves!$B$5:$B$205,MATCH($R169,LE_Curves!$F$5:$F$205,1)))/(INDEX(LE_Curves!$F$5:$F$205,MATCH($R169,LE_Curves!$F$5:$F$205,1)+1)-INDEX(LE_Curves!$F$5:$F$205,MATCH($R169,LE_Curves!$F$5:$F$205,1))))))</f>
        <v/>
      </c>
      <c r="W169" s="11">
        <f>IF(Inputs!$D$27=0,0,IF($R169&lt;=Inputs!$C$27,0,IF($R169&gt;=INDEX(LE_Curves!$G$5:$G$205,201),INDEX(LE_Curves!$B$5:$B$205,201),INDEX(LE_Curves!$B$5:$B$205,MATCH($R169,LE_Curves!$G$5:$G$205,1))+($R169-INDEX(LE_Curves!$G$5:$G$205,MATCH($R169,LE_Curves!$G$5:$G$205,1)))*(INDEX(LE_Curves!$B$5:$B$205,MATCH($R169,LE_Curves!$G$5:$G$205,1)+1)-INDEX(LE_Curves!$B$5:$B$205,MATCH($R169,LE_Curves!$G$5:$G$205,1)))/(INDEX(LE_Curves!$G$5:$G$205,MATCH($R169,LE_Curves!$G$5:$G$205,1)+1)-INDEX(LE_Curves!$G$5:$G$205,MATCH($R169,LE_Curves!$G$5:$G$205,1))))))</f>
        <v/>
      </c>
      <c r="X169" s="11">
        <f>IF(Inputs!$D$28=0,0,IF($R169&lt;=Inputs!$C$28,0,IF($R169&gt;=INDEX(LE_Curves!$H$5:$H$205,201),INDEX(LE_Curves!$B$5:$B$205,201),INDEX(LE_Curves!$B$5:$B$205,MATCH($R169,LE_Curves!$H$5:$H$205,1))+($R169-INDEX(LE_Curves!$H$5:$H$205,MATCH($R169,LE_Curves!$H$5:$H$205,1)))*(INDEX(LE_Curves!$B$5:$B$205,MATCH($R169,LE_Curves!$H$5:$H$205,1)+1)-INDEX(LE_Curves!$B$5:$B$205,MATCH($R169,LE_Curves!$H$5:$H$205,1)))/(INDEX(LE_Curves!$H$5:$H$205,MATCH($R169,LE_Curves!$H$5:$H$205,1)+1)-INDEX(LE_Curves!$H$5:$H$205,MATCH($R169,LE_Curves!$H$5:$H$205,1))))))</f>
        <v/>
      </c>
      <c r="Y169" s="11">
        <f>IF(Inputs!$D$29=0,0,IF($R169&lt;=Inputs!$C$29,0,IF($R169&gt;=INDEX(LE_Curves!$I$5:$I$205,201),INDEX(LE_Curves!$B$5:$B$205,201),INDEX(LE_Curves!$B$5:$B$205,MATCH($R169,LE_Curves!$I$5:$I$205,1))+($R169-INDEX(LE_Curves!$I$5:$I$205,MATCH($R169,LE_Curves!$I$5:$I$205,1)))*(INDEX(LE_Curves!$B$5:$B$205,MATCH($R169,LE_Curves!$I$5:$I$205,1)+1)-INDEX(LE_Curves!$B$5:$B$205,MATCH($R169,LE_Curves!$I$5:$I$205,1)))/(INDEX(LE_Curves!$I$5:$I$205,MATCH($R169,LE_Curves!$I$5:$I$205,1)+1)-INDEX(LE_Curves!$I$5:$I$205,MATCH($R169,LE_Curves!$I$5:$I$205,1))))))</f>
        <v/>
      </c>
      <c r="Z169" s="11">
        <f>IF(Inputs!$D$30=0,0,IF($R169&lt;=Inputs!$C$30,0,IF($R169&gt;=INDEX(LE_Curves!$J$5:$J$205,201),INDEX(LE_Curves!$B$5:$B$205,201),INDEX(LE_Curves!$B$5:$B$205,MATCH($R169,LE_Curves!$J$5:$J$205,1))+($R169-INDEX(LE_Curves!$J$5:$J$205,MATCH($R169,LE_Curves!$J$5:$J$205,1)))*(INDEX(LE_Curves!$B$5:$B$205,MATCH($R169,LE_Curves!$J$5:$J$205,1)+1)-INDEX(LE_Curves!$B$5:$B$205,MATCH($R169,LE_Curves!$J$5:$J$205,1)))/(INDEX(LE_Curves!$J$5:$J$205,MATCH($R169,LE_Curves!$J$5:$J$205,1)+1)-INDEX(LE_Curves!$J$5:$J$205,MATCH($R169,LE_Curves!$J$5:$J$205,1))))))</f>
        <v/>
      </c>
      <c r="AA169" s="11">
        <f>IF(Inputs!$D$31=0,0,IF($R169&lt;=Inputs!$C$31,0,IF($R169&gt;=INDEX(LE_Curves!$K$5:$K$205,201),INDEX(LE_Curves!$B$5:$B$205,201),INDEX(LE_Curves!$B$5:$B$205,MATCH($R169,LE_Curves!$K$5:$K$205,1))+($R169-INDEX(LE_Curves!$K$5:$K$205,MATCH($R169,LE_Curves!$K$5:$K$205,1)))*(INDEX(LE_Curves!$B$5:$B$205,MATCH($R169,LE_Curves!$K$5:$K$205,1)+1)-INDEX(LE_Curves!$B$5:$B$205,MATCH($R169,LE_Curves!$K$5:$K$205,1)))/(INDEX(LE_Curves!$K$5:$K$205,MATCH($R169,LE_Curves!$K$5:$K$205,1)+1)-INDEX(LE_Curves!$K$5:$K$205,MATCH($R169,LE_Curves!$K$5:$K$205,1))))))</f>
        <v/>
      </c>
      <c r="AB169" s="11">
        <f>IF(Inputs!$D$32=0,0,IF($R169&lt;=Inputs!$C$32,0,IF($R169&gt;=INDEX(LE_Curves!$L$5:$L$205,201),INDEX(LE_Curves!$B$5:$B$205,201),INDEX(LE_Curves!$B$5:$B$205,MATCH($R169,LE_Curves!$L$5:$L$205,1))+($R169-INDEX(LE_Curves!$L$5:$L$205,MATCH($R169,LE_Curves!$L$5:$L$205,1)))*(INDEX(LE_Curves!$B$5:$B$205,MATCH($R169,LE_Curves!$L$5:$L$205,1)+1)-INDEX(LE_Curves!$B$5:$B$205,MATCH($R169,LE_Curves!$L$5:$L$205,1)))/(INDEX(LE_Curves!$L$5:$L$205,MATCH($R169,LE_Curves!$L$5:$L$205,1)+1)-INDEX(LE_Curves!$L$5:$L$205,MATCH($R169,LE_Curves!$L$5:$L$205,1))))))</f>
        <v/>
      </c>
      <c r="AC169" s="11">
        <f>IF(Inputs!$D$33=0,0,IF($R169&lt;=Inputs!$C$33,0,IF($R169&gt;=INDEX(LE_Curves!$M$5:$M$205,201),INDEX(LE_Curves!$B$5:$B$205,201),INDEX(LE_Curves!$B$5:$B$205,MATCH($R169,LE_Curves!$M$5:$M$205,1))+($R169-INDEX(LE_Curves!$M$5:$M$205,MATCH($R169,LE_Curves!$M$5:$M$205,1)))*(INDEX(LE_Curves!$B$5:$B$205,MATCH($R169,LE_Curves!$M$5:$M$205,1)+1)-INDEX(LE_Curves!$B$5:$B$205,MATCH($R169,LE_Curves!$M$5:$M$205,1)))/(INDEX(LE_Curves!$M$5:$M$205,MATCH($R169,LE_Curves!$M$5:$M$205,1)+1)-INDEX(LE_Curves!$M$5:$M$205,MATCH($R169,LE_Curves!$M$5:$M$205,1))))))</f>
        <v/>
      </c>
      <c r="AD169" s="11">
        <f>IF(Inputs!$D$34=0,0,IF($R169&lt;=Inputs!$C$34,0,IF($R169&gt;=INDEX(LE_Curves!$N$5:$N$205,201),INDEX(LE_Curves!$B$5:$B$205,201),INDEX(LE_Curves!$B$5:$B$205,MATCH($R169,LE_Curves!$N$5:$N$205,1))+($R169-INDEX(LE_Curves!$N$5:$N$205,MATCH($R169,LE_Curves!$N$5:$N$205,1)))*(INDEX(LE_Curves!$B$5:$B$205,MATCH($R169,LE_Curves!$N$5:$N$205,1)+1)-INDEX(LE_Curves!$B$5:$B$205,MATCH($R169,LE_Curves!$N$5:$N$205,1)))/(INDEX(LE_Curves!$N$5:$N$205,MATCH($R169,LE_Curves!$N$5:$N$205,1)+1)-INDEX(LE_Curves!$N$5:$N$205,MATCH($R169,LE_Curves!$N$5:$N$205,1))))))</f>
        <v/>
      </c>
      <c r="AE169" s="37">
        <f>SUM(S169:AD169)</f>
        <v/>
      </c>
    </row>
    <row r="170">
      <c r="A170" s="7" t="n">
        <v>139</v>
      </c>
      <c r="B170" s="37">
        <f>$B$3+($B$4-$B$3)*A170/200</f>
        <v/>
      </c>
      <c r="C170" s="11">
        <f>IF(Inputs!$D$23=0,0,IF($B170&lt;=Inputs!$C$23,0,IF($B170&gt;=INDEX(LE_Curves!$C$5:$C$205,201),INDEX(LE_Curves!$B$5:$B$205,201),INDEX(LE_Curves!$B$5:$B$205,MATCH($B170,LE_Curves!$C$5:$C$205,1))+($B170-INDEX(LE_Curves!$C$5:$C$205,MATCH($B170,LE_Curves!$C$5:$C$205,1)))*(INDEX(LE_Curves!$B$5:$B$205,MATCH($B170,LE_Curves!$C$5:$C$205,1)+1)-INDEX(LE_Curves!$B$5:$B$205,MATCH($B170,LE_Curves!$C$5:$C$205,1)))/(INDEX(LE_Curves!$C$5:$C$205,MATCH($B170,LE_Curves!$C$5:$C$205,1)+1)-INDEX(LE_Curves!$C$5:$C$205,MATCH($B170,LE_Curves!$C$5:$C$205,1))))))</f>
        <v/>
      </c>
      <c r="D170" s="11">
        <f>IF(Inputs!$D$24=0,0,IF($B170&lt;=Inputs!$C$24,0,IF($B170&gt;=INDEX(LE_Curves!$D$5:$D$205,201),INDEX(LE_Curves!$B$5:$B$205,201),INDEX(LE_Curves!$B$5:$B$205,MATCH($B170,LE_Curves!$D$5:$D$205,1))+($B170-INDEX(LE_Curves!$D$5:$D$205,MATCH($B170,LE_Curves!$D$5:$D$205,1)))*(INDEX(LE_Curves!$B$5:$B$205,MATCH($B170,LE_Curves!$D$5:$D$205,1)+1)-INDEX(LE_Curves!$B$5:$B$205,MATCH($B170,LE_Curves!$D$5:$D$205,1)))/(INDEX(LE_Curves!$D$5:$D$205,MATCH($B170,LE_Curves!$D$5:$D$205,1)+1)-INDEX(LE_Curves!$D$5:$D$205,MATCH($B170,LE_Curves!$D$5:$D$205,1))))))</f>
        <v/>
      </c>
      <c r="E170" s="11">
        <f>IF(Inputs!$D$25=0,0,IF($B170&lt;=Inputs!$C$25,0,IF($B170&gt;=INDEX(LE_Curves!$E$5:$E$205,201),INDEX(LE_Curves!$B$5:$B$205,201),INDEX(LE_Curves!$B$5:$B$205,MATCH($B170,LE_Curves!$E$5:$E$205,1))+($B170-INDEX(LE_Curves!$E$5:$E$205,MATCH($B170,LE_Curves!$E$5:$E$205,1)))*(INDEX(LE_Curves!$B$5:$B$205,MATCH($B170,LE_Curves!$E$5:$E$205,1)+1)-INDEX(LE_Curves!$B$5:$B$205,MATCH($B170,LE_Curves!$E$5:$E$205,1)))/(INDEX(LE_Curves!$E$5:$E$205,MATCH($B170,LE_Curves!$E$5:$E$205,1)+1)-INDEX(LE_Curves!$E$5:$E$205,MATCH($B170,LE_Curves!$E$5:$E$205,1))))))</f>
        <v/>
      </c>
      <c r="F170" s="11">
        <f>IF(Inputs!$D$26=0,0,IF($B170&lt;=Inputs!$C$26,0,IF($B170&gt;=INDEX(LE_Curves!$F$5:$F$205,201),INDEX(LE_Curves!$B$5:$B$205,201),INDEX(LE_Curves!$B$5:$B$205,MATCH($B170,LE_Curves!$F$5:$F$205,1))+($B170-INDEX(LE_Curves!$F$5:$F$205,MATCH($B170,LE_Curves!$F$5:$F$205,1)))*(INDEX(LE_Curves!$B$5:$B$205,MATCH($B170,LE_Curves!$F$5:$F$205,1)+1)-INDEX(LE_Curves!$B$5:$B$205,MATCH($B170,LE_Curves!$F$5:$F$205,1)))/(INDEX(LE_Curves!$F$5:$F$205,MATCH($B170,LE_Curves!$F$5:$F$205,1)+1)-INDEX(LE_Curves!$F$5:$F$205,MATCH($B170,LE_Curves!$F$5:$F$205,1))))))</f>
        <v/>
      </c>
      <c r="G170" s="11">
        <f>IF(Inputs!$D$27=0,0,IF($B170&lt;=Inputs!$C$27,0,IF($B170&gt;=INDEX(LE_Curves!$G$5:$G$205,201),INDEX(LE_Curves!$B$5:$B$205,201),INDEX(LE_Curves!$B$5:$B$205,MATCH($B170,LE_Curves!$G$5:$G$205,1))+($B170-INDEX(LE_Curves!$G$5:$G$205,MATCH($B170,LE_Curves!$G$5:$G$205,1)))*(INDEX(LE_Curves!$B$5:$B$205,MATCH($B170,LE_Curves!$G$5:$G$205,1)+1)-INDEX(LE_Curves!$B$5:$B$205,MATCH($B170,LE_Curves!$G$5:$G$205,1)))/(INDEX(LE_Curves!$G$5:$G$205,MATCH($B170,LE_Curves!$G$5:$G$205,1)+1)-INDEX(LE_Curves!$G$5:$G$205,MATCH($B170,LE_Curves!$G$5:$G$205,1))))))</f>
        <v/>
      </c>
      <c r="H170" s="11">
        <f>IF(Inputs!$D$28=0,0,IF($B170&lt;=Inputs!$C$28,0,IF($B170&gt;=INDEX(LE_Curves!$H$5:$H$205,201),INDEX(LE_Curves!$B$5:$B$205,201),INDEX(LE_Curves!$B$5:$B$205,MATCH($B170,LE_Curves!$H$5:$H$205,1))+($B170-INDEX(LE_Curves!$H$5:$H$205,MATCH($B170,LE_Curves!$H$5:$H$205,1)))*(INDEX(LE_Curves!$B$5:$B$205,MATCH($B170,LE_Curves!$H$5:$H$205,1)+1)-INDEX(LE_Curves!$B$5:$B$205,MATCH($B170,LE_Curves!$H$5:$H$205,1)))/(INDEX(LE_Curves!$H$5:$H$205,MATCH($B170,LE_Curves!$H$5:$H$205,1)+1)-INDEX(LE_Curves!$H$5:$H$205,MATCH($B170,LE_Curves!$H$5:$H$205,1))))))</f>
        <v/>
      </c>
      <c r="I170" s="11">
        <f>IF(Inputs!$D$29=0,0,IF($B170&lt;=Inputs!$C$29,0,IF($B170&gt;=INDEX(LE_Curves!$I$5:$I$205,201),INDEX(LE_Curves!$B$5:$B$205,201),INDEX(LE_Curves!$B$5:$B$205,MATCH($B170,LE_Curves!$I$5:$I$205,1))+($B170-INDEX(LE_Curves!$I$5:$I$205,MATCH($B170,LE_Curves!$I$5:$I$205,1)))*(INDEX(LE_Curves!$B$5:$B$205,MATCH($B170,LE_Curves!$I$5:$I$205,1)+1)-INDEX(LE_Curves!$B$5:$B$205,MATCH($B170,LE_Curves!$I$5:$I$205,1)))/(INDEX(LE_Curves!$I$5:$I$205,MATCH($B170,LE_Curves!$I$5:$I$205,1)+1)-INDEX(LE_Curves!$I$5:$I$205,MATCH($B170,LE_Curves!$I$5:$I$205,1))))))</f>
        <v/>
      </c>
      <c r="J170" s="11">
        <f>IF(Inputs!$D$30=0,0,IF($B170&lt;=Inputs!$C$30,0,IF($B170&gt;=INDEX(LE_Curves!$J$5:$J$205,201),INDEX(LE_Curves!$B$5:$B$205,201),INDEX(LE_Curves!$B$5:$B$205,MATCH($B170,LE_Curves!$J$5:$J$205,1))+($B170-INDEX(LE_Curves!$J$5:$J$205,MATCH($B170,LE_Curves!$J$5:$J$205,1)))*(INDEX(LE_Curves!$B$5:$B$205,MATCH($B170,LE_Curves!$J$5:$J$205,1)+1)-INDEX(LE_Curves!$B$5:$B$205,MATCH($B170,LE_Curves!$J$5:$J$205,1)))/(INDEX(LE_Curves!$J$5:$J$205,MATCH($B170,LE_Curves!$J$5:$J$205,1)+1)-INDEX(LE_Curves!$J$5:$J$205,MATCH($B170,LE_Curves!$J$5:$J$205,1))))))</f>
        <v/>
      </c>
      <c r="K170" s="11">
        <f>IF(Inputs!$D$31=0,0,IF($B170&lt;=Inputs!$C$31,0,IF($B170&gt;=INDEX(LE_Curves!$K$5:$K$205,201),INDEX(LE_Curves!$B$5:$B$205,201),INDEX(LE_Curves!$B$5:$B$205,MATCH($B170,LE_Curves!$K$5:$K$205,1))+($B170-INDEX(LE_Curves!$K$5:$K$205,MATCH($B170,LE_Curves!$K$5:$K$205,1)))*(INDEX(LE_Curves!$B$5:$B$205,MATCH($B170,LE_Curves!$K$5:$K$205,1)+1)-INDEX(LE_Curves!$B$5:$B$205,MATCH($B170,LE_Curves!$K$5:$K$205,1)))/(INDEX(LE_Curves!$K$5:$K$205,MATCH($B170,LE_Curves!$K$5:$K$205,1)+1)-INDEX(LE_Curves!$K$5:$K$205,MATCH($B170,LE_Curves!$K$5:$K$205,1))))))</f>
        <v/>
      </c>
      <c r="L170" s="11">
        <f>IF(Inputs!$D$32=0,0,IF($B170&lt;=Inputs!$C$32,0,IF($B170&gt;=INDEX(LE_Curves!$L$5:$L$205,201),INDEX(LE_Curves!$B$5:$B$205,201),INDEX(LE_Curves!$B$5:$B$205,MATCH($B170,LE_Curves!$L$5:$L$205,1))+($B170-INDEX(LE_Curves!$L$5:$L$205,MATCH($B170,LE_Curves!$L$5:$L$205,1)))*(INDEX(LE_Curves!$B$5:$B$205,MATCH($B170,LE_Curves!$L$5:$L$205,1)+1)-INDEX(LE_Curves!$B$5:$B$205,MATCH($B170,LE_Curves!$L$5:$L$205,1)))/(INDEX(LE_Curves!$L$5:$L$205,MATCH($B170,LE_Curves!$L$5:$L$205,1)+1)-INDEX(LE_Curves!$L$5:$L$205,MATCH($B170,LE_Curves!$L$5:$L$205,1))))))</f>
        <v/>
      </c>
      <c r="M170" s="11">
        <f>IF(Inputs!$D$33=0,0,IF($B170&lt;=Inputs!$C$33,0,IF($B170&gt;=INDEX(LE_Curves!$M$5:$M$205,201),INDEX(LE_Curves!$B$5:$B$205,201),INDEX(LE_Curves!$B$5:$B$205,MATCH($B170,LE_Curves!$M$5:$M$205,1))+($B170-INDEX(LE_Curves!$M$5:$M$205,MATCH($B170,LE_Curves!$M$5:$M$205,1)))*(INDEX(LE_Curves!$B$5:$B$205,MATCH($B170,LE_Curves!$M$5:$M$205,1)+1)-INDEX(LE_Curves!$B$5:$B$205,MATCH($B170,LE_Curves!$M$5:$M$205,1)))/(INDEX(LE_Curves!$M$5:$M$205,MATCH($B170,LE_Curves!$M$5:$M$205,1)+1)-INDEX(LE_Curves!$M$5:$M$205,MATCH($B170,LE_Curves!$M$5:$M$205,1))))))</f>
        <v/>
      </c>
      <c r="N170" s="11">
        <f>IF(Inputs!$D$34=0,0,IF($B170&lt;=Inputs!$C$34,0,IF($B170&gt;=INDEX(LE_Curves!$N$5:$N$205,201),INDEX(LE_Curves!$B$5:$B$205,201),INDEX(LE_Curves!$B$5:$B$205,MATCH($B170,LE_Curves!$N$5:$N$205,1))+($B170-INDEX(LE_Curves!$N$5:$N$205,MATCH($B170,LE_Curves!$N$5:$N$205,1)))*(INDEX(LE_Curves!$B$5:$B$205,MATCH($B170,LE_Curves!$N$5:$N$205,1)+1)-INDEX(LE_Curves!$B$5:$B$205,MATCH($B170,LE_Curves!$N$5:$N$205,1)))/(INDEX(LE_Curves!$N$5:$N$205,MATCH($B170,LE_Curves!$N$5:$N$205,1)+1)-INDEX(LE_Curves!$N$5:$N$205,MATCH($B170,LE_Curves!$N$5:$N$205,1))))))</f>
        <v/>
      </c>
      <c r="O170" s="11">
        <f>SUM(C170:N170)</f>
        <v/>
      </c>
      <c r="Q170" s="7" t="n">
        <v>139</v>
      </c>
      <c r="R170" s="23">
        <f>$B$6+($B$7-$B$6)*Q170/200</f>
        <v/>
      </c>
      <c r="S170" s="11">
        <f>IF(Inputs!$D$23=0,0,IF($R170&lt;=Inputs!$C$23,0,IF($R170&gt;=INDEX(LE_Curves!$C$5:$C$205,201),INDEX(LE_Curves!$B$5:$B$205,201),INDEX(LE_Curves!$B$5:$B$205,MATCH($R170,LE_Curves!$C$5:$C$205,1))+($R170-INDEX(LE_Curves!$C$5:$C$205,MATCH($R170,LE_Curves!$C$5:$C$205,1)))*(INDEX(LE_Curves!$B$5:$B$205,MATCH($R170,LE_Curves!$C$5:$C$205,1)+1)-INDEX(LE_Curves!$B$5:$B$205,MATCH($R170,LE_Curves!$C$5:$C$205,1)))/(INDEX(LE_Curves!$C$5:$C$205,MATCH($R170,LE_Curves!$C$5:$C$205,1)+1)-INDEX(LE_Curves!$C$5:$C$205,MATCH($R170,LE_Curves!$C$5:$C$205,1))))))</f>
        <v/>
      </c>
      <c r="T170" s="11">
        <f>IF(Inputs!$D$24=0,0,IF($R170&lt;=Inputs!$C$24,0,IF($R170&gt;=INDEX(LE_Curves!$D$5:$D$205,201),INDEX(LE_Curves!$B$5:$B$205,201),INDEX(LE_Curves!$B$5:$B$205,MATCH($R170,LE_Curves!$D$5:$D$205,1))+($R170-INDEX(LE_Curves!$D$5:$D$205,MATCH($R170,LE_Curves!$D$5:$D$205,1)))*(INDEX(LE_Curves!$B$5:$B$205,MATCH($R170,LE_Curves!$D$5:$D$205,1)+1)-INDEX(LE_Curves!$B$5:$B$205,MATCH($R170,LE_Curves!$D$5:$D$205,1)))/(INDEX(LE_Curves!$D$5:$D$205,MATCH($R170,LE_Curves!$D$5:$D$205,1)+1)-INDEX(LE_Curves!$D$5:$D$205,MATCH($R170,LE_Curves!$D$5:$D$205,1))))))</f>
        <v/>
      </c>
      <c r="U170" s="11">
        <f>IF(Inputs!$D$25=0,0,IF($R170&lt;=Inputs!$C$25,0,IF($R170&gt;=INDEX(LE_Curves!$E$5:$E$205,201),INDEX(LE_Curves!$B$5:$B$205,201),INDEX(LE_Curves!$B$5:$B$205,MATCH($R170,LE_Curves!$E$5:$E$205,1))+($R170-INDEX(LE_Curves!$E$5:$E$205,MATCH($R170,LE_Curves!$E$5:$E$205,1)))*(INDEX(LE_Curves!$B$5:$B$205,MATCH($R170,LE_Curves!$E$5:$E$205,1)+1)-INDEX(LE_Curves!$B$5:$B$205,MATCH($R170,LE_Curves!$E$5:$E$205,1)))/(INDEX(LE_Curves!$E$5:$E$205,MATCH($R170,LE_Curves!$E$5:$E$205,1)+1)-INDEX(LE_Curves!$E$5:$E$205,MATCH($R170,LE_Curves!$E$5:$E$205,1))))))</f>
        <v/>
      </c>
      <c r="V170" s="11">
        <f>IF(Inputs!$D$26=0,0,IF($R170&lt;=Inputs!$C$26,0,IF($R170&gt;=INDEX(LE_Curves!$F$5:$F$205,201),INDEX(LE_Curves!$B$5:$B$205,201),INDEX(LE_Curves!$B$5:$B$205,MATCH($R170,LE_Curves!$F$5:$F$205,1))+($R170-INDEX(LE_Curves!$F$5:$F$205,MATCH($R170,LE_Curves!$F$5:$F$205,1)))*(INDEX(LE_Curves!$B$5:$B$205,MATCH($R170,LE_Curves!$F$5:$F$205,1)+1)-INDEX(LE_Curves!$B$5:$B$205,MATCH($R170,LE_Curves!$F$5:$F$205,1)))/(INDEX(LE_Curves!$F$5:$F$205,MATCH($R170,LE_Curves!$F$5:$F$205,1)+1)-INDEX(LE_Curves!$F$5:$F$205,MATCH($R170,LE_Curves!$F$5:$F$205,1))))))</f>
        <v/>
      </c>
      <c r="W170" s="11">
        <f>IF(Inputs!$D$27=0,0,IF($R170&lt;=Inputs!$C$27,0,IF($R170&gt;=INDEX(LE_Curves!$G$5:$G$205,201),INDEX(LE_Curves!$B$5:$B$205,201),INDEX(LE_Curves!$B$5:$B$205,MATCH($R170,LE_Curves!$G$5:$G$205,1))+($R170-INDEX(LE_Curves!$G$5:$G$205,MATCH($R170,LE_Curves!$G$5:$G$205,1)))*(INDEX(LE_Curves!$B$5:$B$205,MATCH($R170,LE_Curves!$G$5:$G$205,1)+1)-INDEX(LE_Curves!$B$5:$B$205,MATCH($R170,LE_Curves!$G$5:$G$205,1)))/(INDEX(LE_Curves!$G$5:$G$205,MATCH($R170,LE_Curves!$G$5:$G$205,1)+1)-INDEX(LE_Curves!$G$5:$G$205,MATCH($R170,LE_Curves!$G$5:$G$205,1))))))</f>
        <v/>
      </c>
      <c r="X170" s="11">
        <f>IF(Inputs!$D$28=0,0,IF($R170&lt;=Inputs!$C$28,0,IF($R170&gt;=INDEX(LE_Curves!$H$5:$H$205,201),INDEX(LE_Curves!$B$5:$B$205,201),INDEX(LE_Curves!$B$5:$B$205,MATCH($R170,LE_Curves!$H$5:$H$205,1))+($R170-INDEX(LE_Curves!$H$5:$H$205,MATCH($R170,LE_Curves!$H$5:$H$205,1)))*(INDEX(LE_Curves!$B$5:$B$205,MATCH($R170,LE_Curves!$H$5:$H$205,1)+1)-INDEX(LE_Curves!$B$5:$B$205,MATCH($R170,LE_Curves!$H$5:$H$205,1)))/(INDEX(LE_Curves!$H$5:$H$205,MATCH($R170,LE_Curves!$H$5:$H$205,1)+1)-INDEX(LE_Curves!$H$5:$H$205,MATCH($R170,LE_Curves!$H$5:$H$205,1))))))</f>
        <v/>
      </c>
      <c r="Y170" s="11">
        <f>IF(Inputs!$D$29=0,0,IF($R170&lt;=Inputs!$C$29,0,IF($R170&gt;=INDEX(LE_Curves!$I$5:$I$205,201),INDEX(LE_Curves!$B$5:$B$205,201),INDEX(LE_Curves!$B$5:$B$205,MATCH($R170,LE_Curves!$I$5:$I$205,1))+($R170-INDEX(LE_Curves!$I$5:$I$205,MATCH($R170,LE_Curves!$I$5:$I$205,1)))*(INDEX(LE_Curves!$B$5:$B$205,MATCH($R170,LE_Curves!$I$5:$I$205,1)+1)-INDEX(LE_Curves!$B$5:$B$205,MATCH($R170,LE_Curves!$I$5:$I$205,1)))/(INDEX(LE_Curves!$I$5:$I$205,MATCH($R170,LE_Curves!$I$5:$I$205,1)+1)-INDEX(LE_Curves!$I$5:$I$205,MATCH($R170,LE_Curves!$I$5:$I$205,1))))))</f>
        <v/>
      </c>
      <c r="Z170" s="11">
        <f>IF(Inputs!$D$30=0,0,IF($R170&lt;=Inputs!$C$30,0,IF($R170&gt;=INDEX(LE_Curves!$J$5:$J$205,201),INDEX(LE_Curves!$B$5:$B$205,201),INDEX(LE_Curves!$B$5:$B$205,MATCH($R170,LE_Curves!$J$5:$J$205,1))+($R170-INDEX(LE_Curves!$J$5:$J$205,MATCH($R170,LE_Curves!$J$5:$J$205,1)))*(INDEX(LE_Curves!$B$5:$B$205,MATCH($R170,LE_Curves!$J$5:$J$205,1)+1)-INDEX(LE_Curves!$B$5:$B$205,MATCH($R170,LE_Curves!$J$5:$J$205,1)))/(INDEX(LE_Curves!$J$5:$J$205,MATCH($R170,LE_Curves!$J$5:$J$205,1)+1)-INDEX(LE_Curves!$J$5:$J$205,MATCH($R170,LE_Curves!$J$5:$J$205,1))))))</f>
        <v/>
      </c>
      <c r="AA170" s="11">
        <f>IF(Inputs!$D$31=0,0,IF($R170&lt;=Inputs!$C$31,0,IF($R170&gt;=INDEX(LE_Curves!$K$5:$K$205,201),INDEX(LE_Curves!$B$5:$B$205,201),INDEX(LE_Curves!$B$5:$B$205,MATCH($R170,LE_Curves!$K$5:$K$205,1))+($R170-INDEX(LE_Curves!$K$5:$K$205,MATCH($R170,LE_Curves!$K$5:$K$205,1)))*(INDEX(LE_Curves!$B$5:$B$205,MATCH($R170,LE_Curves!$K$5:$K$205,1)+1)-INDEX(LE_Curves!$B$5:$B$205,MATCH($R170,LE_Curves!$K$5:$K$205,1)))/(INDEX(LE_Curves!$K$5:$K$205,MATCH($R170,LE_Curves!$K$5:$K$205,1)+1)-INDEX(LE_Curves!$K$5:$K$205,MATCH($R170,LE_Curves!$K$5:$K$205,1))))))</f>
        <v/>
      </c>
      <c r="AB170" s="11">
        <f>IF(Inputs!$D$32=0,0,IF($R170&lt;=Inputs!$C$32,0,IF($R170&gt;=INDEX(LE_Curves!$L$5:$L$205,201),INDEX(LE_Curves!$B$5:$B$205,201),INDEX(LE_Curves!$B$5:$B$205,MATCH($R170,LE_Curves!$L$5:$L$205,1))+($R170-INDEX(LE_Curves!$L$5:$L$205,MATCH($R170,LE_Curves!$L$5:$L$205,1)))*(INDEX(LE_Curves!$B$5:$B$205,MATCH($R170,LE_Curves!$L$5:$L$205,1)+1)-INDEX(LE_Curves!$B$5:$B$205,MATCH($R170,LE_Curves!$L$5:$L$205,1)))/(INDEX(LE_Curves!$L$5:$L$205,MATCH($R170,LE_Curves!$L$5:$L$205,1)+1)-INDEX(LE_Curves!$L$5:$L$205,MATCH($R170,LE_Curves!$L$5:$L$205,1))))))</f>
        <v/>
      </c>
      <c r="AC170" s="11">
        <f>IF(Inputs!$D$33=0,0,IF($R170&lt;=Inputs!$C$33,0,IF($R170&gt;=INDEX(LE_Curves!$M$5:$M$205,201),INDEX(LE_Curves!$B$5:$B$205,201),INDEX(LE_Curves!$B$5:$B$205,MATCH($R170,LE_Curves!$M$5:$M$205,1))+($R170-INDEX(LE_Curves!$M$5:$M$205,MATCH($R170,LE_Curves!$M$5:$M$205,1)))*(INDEX(LE_Curves!$B$5:$B$205,MATCH($R170,LE_Curves!$M$5:$M$205,1)+1)-INDEX(LE_Curves!$B$5:$B$205,MATCH($R170,LE_Curves!$M$5:$M$205,1)))/(INDEX(LE_Curves!$M$5:$M$205,MATCH($R170,LE_Curves!$M$5:$M$205,1)+1)-INDEX(LE_Curves!$M$5:$M$205,MATCH($R170,LE_Curves!$M$5:$M$205,1))))))</f>
        <v/>
      </c>
      <c r="AD170" s="11">
        <f>IF(Inputs!$D$34=0,0,IF($R170&lt;=Inputs!$C$34,0,IF($R170&gt;=INDEX(LE_Curves!$N$5:$N$205,201),INDEX(LE_Curves!$B$5:$B$205,201),INDEX(LE_Curves!$B$5:$B$205,MATCH($R170,LE_Curves!$N$5:$N$205,1))+($R170-INDEX(LE_Curves!$N$5:$N$205,MATCH($R170,LE_Curves!$N$5:$N$205,1)))*(INDEX(LE_Curves!$B$5:$B$205,MATCH($R170,LE_Curves!$N$5:$N$205,1)+1)-INDEX(LE_Curves!$B$5:$B$205,MATCH($R170,LE_Curves!$N$5:$N$205,1)))/(INDEX(LE_Curves!$N$5:$N$205,MATCH($R170,LE_Curves!$N$5:$N$205,1)+1)-INDEX(LE_Curves!$N$5:$N$205,MATCH($R170,LE_Curves!$N$5:$N$205,1))))))</f>
        <v/>
      </c>
      <c r="AE170" s="37">
        <f>SUM(S170:AD170)</f>
        <v/>
      </c>
    </row>
    <row r="171">
      <c r="A171" s="7" t="n">
        <v>140</v>
      </c>
      <c r="B171" s="37">
        <f>$B$3+($B$4-$B$3)*A171/200</f>
        <v/>
      </c>
      <c r="C171" s="11">
        <f>IF(Inputs!$D$23=0,0,IF($B171&lt;=Inputs!$C$23,0,IF($B171&gt;=INDEX(LE_Curves!$C$5:$C$205,201),INDEX(LE_Curves!$B$5:$B$205,201),INDEX(LE_Curves!$B$5:$B$205,MATCH($B171,LE_Curves!$C$5:$C$205,1))+($B171-INDEX(LE_Curves!$C$5:$C$205,MATCH($B171,LE_Curves!$C$5:$C$205,1)))*(INDEX(LE_Curves!$B$5:$B$205,MATCH($B171,LE_Curves!$C$5:$C$205,1)+1)-INDEX(LE_Curves!$B$5:$B$205,MATCH($B171,LE_Curves!$C$5:$C$205,1)))/(INDEX(LE_Curves!$C$5:$C$205,MATCH($B171,LE_Curves!$C$5:$C$205,1)+1)-INDEX(LE_Curves!$C$5:$C$205,MATCH($B171,LE_Curves!$C$5:$C$205,1))))))</f>
        <v/>
      </c>
      <c r="D171" s="11">
        <f>IF(Inputs!$D$24=0,0,IF($B171&lt;=Inputs!$C$24,0,IF($B171&gt;=INDEX(LE_Curves!$D$5:$D$205,201),INDEX(LE_Curves!$B$5:$B$205,201),INDEX(LE_Curves!$B$5:$B$205,MATCH($B171,LE_Curves!$D$5:$D$205,1))+($B171-INDEX(LE_Curves!$D$5:$D$205,MATCH($B171,LE_Curves!$D$5:$D$205,1)))*(INDEX(LE_Curves!$B$5:$B$205,MATCH($B171,LE_Curves!$D$5:$D$205,1)+1)-INDEX(LE_Curves!$B$5:$B$205,MATCH($B171,LE_Curves!$D$5:$D$205,1)))/(INDEX(LE_Curves!$D$5:$D$205,MATCH($B171,LE_Curves!$D$5:$D$205,1)+1)-INDEX(LE_Curves!$D$5:$D$205,MATCH($B171,LE_Curves!$D$5:$D$205,1))))))</f>
        <v/>
      </c>
      <c r="E171" s="11">
        <f>IF(Inputs!$D$25=0,0,IF($B171&lt;=Inputs!$C$25,0,IF($B171&gt;=INDEX(LE_Curves!$E$5:$E$205,201),INDEX(LE_Curves!$B$5:$B$205,201),INDEX(LE_Curves!$B$5:$B$205,MATCH($B171,LE_Curves!$E$5:$E$205,1))+($B171-INDEX(LE_Curves!$E$5:$E$205,MATCH($B171,LE_Curves!$E$5:$E$205,1)))*(INDEX(LE_Curves!$B$5:$B$205,MATCH($B171,LE_Curves!$E$5:$E$205,1)+1)-INDEX(LE_Curves!$B$5:$B$205,MATCH($B171,LE_Curves!$E$5:$E$205,1)))/(INDEX(LE_Curves!$E$5:$E$205,MATCH($B171,LE_Curves!$E$5:$E$205,1)+1)-INDEX(LE_Curves!$E$5:$E$205,MATCH($B171,LE_Curves!$E$5:$E$205,1))))))</f>
        <v/>
      </c>
      <c r="F171" s="11">
        <f>IF(Inputs!$D$26=0,0,IF($B171&lt;=Inputs!$C$26,0,IF($B171&gt;=INDEX(LE_Curves!$F$5:$F$205,201),INDEX(LE_Curves!$B$5:$B$205,201),INDEX(LE_Curves!$B$5:$B$205,MATCH($B171,LE_Curves!$F$5:$F$205,1))+($B171-INDEX(LE_Curves!$F$5:$F$205,MATCH($B171,LE_Curves!$F$5:$F$205,1)))*(INDEX(LE_Curves!$B$5:$B$205,MATCH($B171,LE_Curves!$F$5:$F$205,1)+1)-INDEX(LE_Curves!$B$5:$B$205,MATCH($B171,LE_Curves!$F$5:$F$205,1)))/(INDEX(LE_Curves!$F$5:$F$205,MATCH($B171,LE_Curves!$F$5:$F$205,1)+1)-INDEX(LE_Curves!$F$5:$F$205,MATCH($B171,LE_Curves!$F$5:$F$205,1))))))</f>
        <v/>
      </c>
      <c r="G171" s="11">
        <f>IF(Inputs!$D$27=0,0,IF($B171&lt;=Inputs!$C$27,0,IF($B171&gt;=INDEX(LE_Curves!$G$5:$G$205,201),INDEX(LE_Curves!$B$5:$B$205,201),INDEX(LE_Curves!$B$5:$B$205,MATCH($B171,LE_Curves!$G$5:$G$205,1))+($B171-INDEX(LE_Curves!$G$5:$G$205,MATCH($B171,LE_Curves!$G$5:$G$205,1)))*(INDEX(LE_Curves!$B$5:$B$205,MATCH($B171,LE_Curves!$G$5:$G$205,1)+1)-INDEX(LE_Curves!$B$5:$B$205,MATCH($B171,LE_Curves!$G$5:$G$205,1)))/(INDEX(LE_Curves!$G$5:$G$205,MATCH($B171,LE_Curves!$G$5:$G$205,1)+1)-INDEX(LE_Curves!$G$5:$G$205,MATCH($B171,LE_Curves!$G$5:$G$205,1))))))</f>
        <v/>
      </c>
      <c r="H171" s="11">
        <f>IF(Inputs!$D$28=0,0,IF($B171&lt;=Inputs!$C$28,0,IF($B171&gt;=INDEX(LE_Curves!$H$5:$H$205,201),INDEX(LE_Curves!$B$5:$B$205,201),INDEX(LE_Curves!$B$5:$B$205,MATCH($B171,LE_Curves!$H$5:$H$205,1))+($B171-INDEX(LE_Curves!$H$5:$H$205,MATCH($B171,LE_Curves!$H$5:$H$205,1)))*(INDEX(LE_Curves!$B$5:$B$205,MATCH($B171,LE_Curves!$H$5:$H$205,1)+1)-INDEX(LE_Curves!$B$5:$B$205,MATCH($B171,LE_Curves!$H$5:$H$205,1)))/(INDEX(LE_Curves!$H$5:$H$205,MATCH($B171,LE_Curves!$H$5:$H$205,1)+1)-INDEX(LE_Curves!$H$5:$H$205,MATCH($B171,LE_Curves!$H$5:$H$205,1))))))</f>
        <v/>
      </c>
      <c r="I171" s="11">
        <f>IF(Inputs!$D$29=0,0,IF($B171&lt;=Inputs!$C$29,0,IF($B171&gt;=INDEX(LE_Curves!$I$5:$I$205,201),INDEX(LE_Curves!$B$5:$B$205,201),INDEX(LE_Curves!$B$5:$B$205,MATCH($B171,LE_Curves!$I$5:$I$205,1))+($B171-INDEX(LE_Curves!$I$5:$I$205,MATCH($B171,LE_Curves!$I$5:$I$205,1)))*(INDEX(LE_Curves!$B$5:$B$205,MATCH($B171,LE_Curves!$I$5:$I$205,1)+1)-INDEX(LE_Curves!$B$5:$B$205,MATCH($B171,LE_Curves!$I$5:$I$205,1)))/(INDEX(LE_Curves!$I$5:$I$205,MATCH($B171,LE_Curves!$I$5:$I$205,1)+1)-INDEX(LE_Curves!$I$5:$I$205,MATCH($B171,LE_Curves!$I$5:$I$205,1))))))</f>
        <v/>
      </c>
      <c r="J171" s="11">
        <f>IF(Inputs!$D$30=0,0,IF($B171&lt;=Inputs!$C$30,0,IF($B171&gt;=INDEX(LE_Curves!$J$5:$J$205,201),INDEX(LE_Curves!$B$5:$B$205,201),INDEX(LE_Curves!$B$5:$B$205,MATCH($B171,LE_Curves!$J$5:$J$205,1))+($B171-INDEX(LE_Curves!$J$5:$J$205,MATCH($B171,LE_Curves!$J$5:$J$205,1)))*(INDEX(LE_Curves!$B$5:$B$205,MATCH($B171,LE_Curves!$J$5:$J$205,1)+1)-INDEX(LE_Curves!$B$5:$B$205,MATCH($B171,LE_Curves!$J$5:$J$205,1)))/(INDEX(LE_Curves!$J$5:$J$205,MATCH($B171,LE_Curves!$J$5:$J$205,1)+1)-INDEX(LE_Curves!$J$5:$J$205,MATCH($B171,LE_Curves!$J$5:$J$205,1))))))</f>
        <v/>
      </c>
      <c r="K171" s="11">
        <f>IF(Inputs!$D$31=0,0,IF($B171&lt;=Inputs!$C$31,0,IF($B171&gt;=INDEX(LE_Curves!$K$5:$K$205,201),INDEX(LE_Curves!$B$5:$B$205,201),INDEX(LE_Curves!$B$5:$B$205,MATCH($B171,LE_Curves!$K$5:$K$205,1))+($B171-INDEX(LE_Curves!$K$5:$K$205,MATCH($B171,LE_Curves!$K$5:$K$205,1)))*(INDEX(LE_Curves!$B$5:$B$205,MATCH($B171,LE_Curves!$K$5:$K$205,1)+1)-INDEX(LE_Curves!$B$5:$B$205,MATCH($B171,LE_Curves!$K$5:$K$205,1)))/(INDEX(LE_Curves!$K$5:$K$205,MATCH($B171,LE_Curves!$K$5:$K$205,1)+1)-INDEX(LE_Curves!$K$5:$K$205,MATCH($B171,LE_Curves!$K$5:$K$205,1))))))</f>
        <v/>
      </c>
      <c r="L171" s="11">
        <f>IF(Inputs!$D$32=0,0,IF($B171&lt;=Inputs!$C$32,0,IF($B171&gt;=INDEX(LE_Curves!$L$5:$L$205,201),INDEX(LE_Curves!$B$5:$B$205,201),INDEX(LE_Curves!$B$5:$B$205,MATCH($B171,LE_Curves!$L$5:$L$205,1))+($B171-INDEX(LE_Curves!$L$5:$L$205,MATCH($B171,LE_Curves!$L$5:$L$205,1)))*(INDEX(LE_Curves!$B$5:$B$205,MATCH($B171,LE_Curves!$L$5:$L$205,1)+1)-INDEX(LE_Curves!$B$5:$B$205,MATCH($B171,LE_Curves!$L$5:$L$205,1)))/(INDEX(LE_Curves!$L$5:$L$205,MATCH($B171,LE_Curves!$L$5:$L$205,1)+1)-INDEX(LE_Curves!$L$5:$L$205,MATCH($B171,LE_Curves!$L$5:$L$205,1))))))</f>
        <v/>
      </c>
      <c r="M171" s="11">
        <f>IF(Inputs!$D$33=0,0,IF($B171&lt;=Inputs!$C$33,0,IF($B171&gt;=INDEX(LE_Curves!$M$5:$M$205,201),INDEX(LE_Curves!$B$5:$B$205,201),INDEX(LE_Curves!$B$5:$B$205,MATCH($B171,LE_Curves!$M$5:$M$205,1))+($B171-INDEX(LE_Curves!$M$5:$M$205,MATCH($B171,LE_Curves!$M$5:$M$205,1)))*(INDEX(LE_Curves!$B$5:$B$205,MATCH($B171,LE_Curves!$M$5:$M$205,1)+1)-INDEX(LE_Curves!$B$5:$B$205,MATCH($B171,LE_Curves!$M$5:$M$205,1)))/(INDEX(LE_Curves!$M$5:$M$205,MATCH($B171,LE_Curves!$M$5:$M$205,1)+1)-INDEX(LE_Curves!$M$5:$M$205,MATCH($B171,LE_Curves!$M$5:$M$205,1))))))</f>
        <v/>
      </c>
      <c r="N171" s="11">
        <f>IF(Inputs!$D$34=0,0,IF($B171&lt;=Inputs!$C$34,0,IF($B171&gt;=INDEX(LE_Curves!$N$5:$N$205,201),INDEX(LE_Curves!$B$5:$B$205,201),INDEX(LE_Curves!$B$5:$B$205,MATCH($B171,LE_Curves!$N$5:$N$205,1))+($B171-INDEX(LE_Curves!$N$5:$N$205,MATCH($B171,LE_Curves!$N$5:$N$205,1)))*(INDEX(LE_Curves!$B$5:$B$205,MATCH($B171,LE_Curves!$N$5:$N$205,1)+1)-INDEX(LE_Curves!$B$5:$B$205,MATCH($B171,LE_Curves!$N$5:$N$205,1)))/(INDEX(LE_Curves!$N$5:$N$205,MATCH($B171,LE_Curves!$N$5:$N$205,1)+1)-INDEX(LE_Curves!$N$5:$N$205,MATCH($B171,LE_Curves!$N$5:$N$205,1))))))</f>
        <v/>
      </c>
      <c r="O171" s="11">
        <f>SUM(C171:N171)</f>
        <v/>
      </c>
      <c r="Q171" s="7" t="n">
        <v>140</v>
      </c>
      <c r="R171" s="23">
        <f>$B$6+($B$7-$B$6)*Q171/200</f>
        <v/>
      </c>
      <c r="S171" s="11">
        <f>IF(Inputs!$D$23=0,0,IF($R171&lt;=Inputs!$C$23,0,IF($R171&gt;=INDEX(LE_Curves!$C$5:$C$205,201),INDEX(LE_Curves!$B$5:$B$205,201),INDEX(LE_Curves!$B$5:$B$205,MATCH($R171,LE_Curves!$C$5:$C$205,1))+($R171-INDEX(LE_Curves!$C$5:$C$205,MATCH($R171,LE_Curves!$C$5:$C$205,1)))*(INDEX(LE_Curves!$B$5:$B$205,MATCH($R171,LE_Curves!$C$5:$C$205,1)+1)-INDEX(LE_Curves!$B$5:$B$205,MATCH($R171,LE_Curves!$C$5:$C$205,1)))/(INDEX(LE_Curves!$C$5:$C$205,MATCH($R171,LE_Curves!$C$5:$C$205,1)+1)-INDEX(LE_Curves!$C$5:$C$205,MATCH($R171,LE_Curves!$C$5:$C$205,1))))))</f>
        <v/>
      </c>
      <c r="T171" s="11">
        <f>IF(Inputs!$D$24=0,0,IF($R171&lt;=Inputs!$C$24,0,IF($R171&gt;=INDEX(LE_Curves!$D$5:$D$205,201),INDEX(LE_Curves!$B$5:$B$205,201),INDEX(LE_Curves!$B$5:$B$205,MATCH($R171,LE_Curves!$D$5:$D$205,1))+($R171-INDEX(LE_Curves!$D$5:$D$205,MATCH($R171,LE_Curves!$D$5:$D$205,1)))*(INDEX(LE_Curves!$B$5:$B$205,MATCH($R171,LE_Curves!$D$5:$D$205,1)+1)-INDEX(LE_Curves!$B$5:$B$205,MATCH($R171,LE_Curves!$D$5:$D$205,1)))/(INDEX(LE_Curves!$D$5:$D$205,MATCH($R171,LE_Curves!$D$5:$D$205,1)+1)-INDEX(LE_Curves!$D$5:$D$205,MATCH($R171,LE_Curves!$D$5:$D$205,1))))))</f>
        <v/>
      </c>
      <c r="U171" s="11">
        <f>IF(Inputs!$D$25=0,0,IF($R171&lt;=Inputs!$C$25,0,IF($R171&gt;=INDEX(LE_Curves!$E$5:$E$205,201),INDEX(LE_Curves!$B$5:$B$205,201),INDEX(LE_Curves!$B$5:$B$205,MATCH($R171,LE_Curves!$E$5:$E$205,1))+($R171-INDEX(LE_Curves!$E$5:$E$205,MATCH($R171,LE_Curves!$E$5:$E$205,1)))*(INDEX(LE_Curves!$B$5:$B$205,MATCH($R171,LE_Curves!$E$5:$E$205,1)+1)-INDEX(LE_Curves!$B$5:$B$205,MATCH($R171,LE_Curves!$E$5:$E$205,1)))/(INDEX(LE_Curves!$E$5:$E$205,MATCH($R171,LE_Curves!$E$5:$E$205,1)+1)-INDEX(LE_Curves!$E$5:$E$205,MATCH($R171,LE_Curves!$E$5:$E$205,1))))))</f>
        <v/>
      </c>
      <c r="V171" s="11">
        <f>IF(Inputs!$D$26=0,0,IF($R171&lt;=Inputs!$C$26,0,IF($R171&gt;=INDEX(LE_Curves!$F$5:$F$205,201),INDEX(LE_Curves!$B$5:$B$205,201),INDEX(LE_Curves!$B$5:$B$205,MATCH($R171,LE_Curves!$F$5:$F$205,1))+($R171-INDEX(LE_Curves!$F$5:$F$205,MATCH($R171,LE_Curves!$F$5:$F$205,1)))*(INDEX(LE_Curves!$B$5:$B$205,MATCH($R171,LE_Curves!$F$5:$F$205,1)+1)-INDEX(LE_Curves!$B$5:$B$205,MATCH($R171,LE_Curves!$F$5:$F$205,1)))/(INDEX(LE_Curves!$F$5:$F$205,MATCH($R171,LE_Curves!$F$5:$F$205,1)+1)-INDEX(LE_Curves!$F$5:$F$205,MATCH($R171,LE_Curves!$F$5:$F$205,1))))))</f>
        <v/>
      </c>
      <c r="W171" s="11">
        <f>IF(Inputs!$D$27=0,0,IF($R171&lt;=Inputs!$C$27,0,IF($R171&gt;=INDEX(LE_Curves!$G$5:$G$205,201),INDEX(LE_Curves!$B$5:$B$205,201),INDEX(LE_Curves!$B$5:$B$205,MATCH($R171,LE_Curves!$G$5:$G$205,1))+($R171-INDEX(LE_Curves!$G$5:$G$205,MATCH($R171,LE_Curves!$G$5:$G$205,1)))*(INDEX(LE_Curves!$B$5:$B$205,MATCH($R171,LE_Curves!$G$5:$G$205,1)+1)-INDEX(LE_Curves!$B$5:$B$205,MATCH($R171,LE_Curves!$G$5:$G$205,1)))/(INDEX(LE_Curves!$G$5:$G$205,MATCH($R171,LE_Curves!$G$5:$G$205,1)+1)-INDEX(LE_Curves!$G$5:$G$205,MATCH($R171,LE_Curves!$G$5:$G$205,1))))))</f>
        <v/>
      </c>
      <c r="X171" s="11">
        <f>IF(Inputs!$D$28=0,0,IF($R171&lt;=Inputs!$C$28,0,IF($R171&gt;=INDEX(LE_Curves!$H$5:$H$205,201),INDEX(LE_Curves!$B$5:$B$205,201),INDEX(LE_Curves!$B$5:$B$205,MATCH($R171,LE_Curves!$H$5:$H$205,1))+($R171-INDEX(LE_Curves!$H$5:$H$205,MATCH($R171,LE_Curves!$H$5:$H$205,1)))*(INDEX(LE_Curves!$B$5:$B$205,MATCH($R171,LE_Curves!$H$5:$H$205,1)+1)-INDEX(LE_Curves!$B$5:$B$205,MATCH($R171,LE_Curves!$H$5:$H$205,1)))/(INDEX(LE_Curves!$H$5:$H$205,MATCH($R171,LE_Curves!$H$5:$H$205,1)+1)-INDEX(LE_Curves!$H$5:$H$205,MATCH($R171,LE_Curves!$H$5:$H$205,1))))))</f>
        <v/>
      </c>
      <c r="Y171" s="11">
        <f>IF(Inputs!$D$29=0,0,IF($R171&lt;=Inputs!$C$29,0,IF($R171&gt;=INDEX(LE_Curves!$I$5:$I$205,201),INDEX(LE_Curves!$B$5:$B$205,201),INDEX(LE_Curves!$B$5:$B$205,MATCH($R171,LE_Curves!$I$5:$I$205,1))+($R171-INDEX(LE_Curves!$I$5:$I$205,MATCH($R171,LE_Curves!$I$5:$I$205,1)))*(INDEX(LE_Curves!$B$5:$B$205,MATCH($R171,LE_Curves!$I$5:$I$205,1)+1)-INDEX(LE_Curves!$B$5:$B$205,MATCH($R171,LE_Curves!$I$5:$I$205,1)))/(INDEX(LE_Curves!$I$5:$I$205,MATCH($R171,LE_Curves!$I$5:$I$205,1)+1)-INDEX(LE_Curves!$I$5:$I$205,MATCH($R171,LE_Curves!$I$5:$I$205,1))))))</f>
        <v/>
      </c>
      <c r="Z171" s="11">
        <f>IF(Inputs!$D$30=0,0,IF($R171&lt;=Inputs!$C$30,0,IF($R171&gt;=INDEX(LE_Curves!$J$5:$J$205,201),INDEX(LE_Curves!$B$5:$B$205,201),INDEX(LE_Curves!$B$5:$B$205,MATCH($R171,LE_Curves!$J$5:$J$205,1))+($R171-INDEX(LE_Curves!$J$5:$J$205,MATCH($R171,LE_Curves!$J$5:$J$205,1)))*(INDEX(LE_Curves!$B$5:$B$205,MATCH($R171,LE_Curves!$J$5:$J$205,1)+1)-INDEX(LE_Curves!$B$5:$B$205,MATCH($R171,LE_Curves!$J$5:$J$205,1)))/(INDEX(LE_Curves!$J$5:$J$205,MATCH($R171,LE_Curves!$J$5:$J$205,1)+1)-INDEX(LE_Curves!$J$5:$J$205,MATCH($R171,LE_Curves!$J$5:$J$205,1))))))</f>
        <v/>
      </c>
      <c r="AA171" s="11">
        <f>IF(Inputs!$D$31=0,0,IF($R171&lt;=Inputs!$C$31,0,IF($R171&gt;=INDEX(LE_Curves!$K$5:$K$205,201),INDEX(LE_Curves!$B$5:$B$205,201),INDEX(LE_Curves!$B$5:$B$205,MATCH($R171,LE_Curves!$K$5:$K$205,1))+($R171-INDEX(LE_Curves!$K$5:$K$205,MATCH($R171,LE_Curves!$K$5:$K$205,1)))*(INDEX(LE_Curves!$B$5:$B$205,MATCH($R171,LE_Curves!$K$5:$K$205,1)+1)-INDEX(LE_Curves!$B$5:$B$205,MATCH($R171,LE_Curves!$K$5:$K$205,1)))/(INDEX(LE_Curves!$K$5:$K$205,MATCH($R171,LE_Curves!$K$5:$K$205,1)+1)-INDEX(LE_Curves!$K$5:$K$205,MATCH($R171,LE_Curves!$K$5:$K$205,1))))))</f>
        <v/>
      </c>
      <c r="AB171" s="11">
        <f>IF(Inputs!$D$32=0,0,IF($R171&lt;=Inputs!$C$32,0,IF($R171&gt;=INDEX(LE_Curves!$L$5:$L$205,201),INDEX(LE_Curves!$B$5:$B$205,201),INDEX(LE_Curves!$B$5:$B$205,MATCH($R171,LE_Curves!$L$5:$L$205,1))+($R171-INDEX(LE_Curves!$L$5:$L$205,MATCH($R171,LE_Curves!$L$5:$L$205,1)))*(INDEX(LE_Curves!$B$5:$B$205,MATCH($R171,LE_Curves!$L$5:$L$205,1)+1)-INDEX(LE_Curves!$B$5:$B$205,MATCH($R171,LE_Curves!$L$5:$L$205,1)))/(INDEX(LE_Curves!$L$5:$L$205,MATCH($R171,LE_Curves!$L$5:$L$205,1)+1)-INDEX(LE_Curves!$L$5:$L$205,MATCH($R171,LE_Curves!$L$5:$L$205,1))))))</f>
        <v/>
      </c>
      <c r="AC171" s="11">
        <f>IF(Inputs!$D$33=0,0,IF($R171&lt;=Inputs!$C$33,0,IF($R171&gt;=INDEX(LE_Curves!$M$5:$M$205,201),INDEX(LE_Curves!$B$5:$B$205,201),INDEX(LE_Curves!$B$5:$B$205,MATCH($R171,LE_Curves!$M$5:$M$205,1))+($R171-INDEX(LE_Curves!$M$5:$M$205,MATCH($R171,LE_Curves!$M$5:$M$205,1)))*(INDEX(LE_Curves!$B$5:$B$205,MATCH($R171,LE_Curves!$M$5:$M$205,1)+1)-INDEX(LE_Curves!$B$5:$B$205,MATCH($R171,LE_Curves!$M$5:$M$205,1)))/(INDEX(LE_Curves!$M$5:$M$205,MATCH($R171,LE_Curves!$M$5:$M$205,1)+1)-INDEX(LE_Curves!$M$5:$M$205,MATCH($R171,LE_Curves!$M$5:$M$205,1))))))</f>
        <v/>
      </c>
      <c r="AD171" s="11">
        <f>IF(Inputs!$D$34=0,0,IF($R171&lt;=Inputs!$C$34,0,IF($R171&gt;=INDEX(LE_Curves!$N$5:$N$205,201),INDEX(LE_Curves!$B$5:$B$205,201),INDEX(LE_Curves!$B$5:$B$205,MATCH($R171,LE_Curves!$N$5:$N$205,1))+($R171-INDEX(LE_Curves!$N$5:$N$205,MATCH($R171,LE_Curves!$N$5:$N$205,1)))*(INDEX(LE_Curves!$B$5:$B$205,MATCH($R171,LE_Curves!$N$5:$N$205,1)+1)-INDEX(LE_Curves!$B$5:$B$205,MATCH($R171,LE_Curves!$N$5:$N$205,1)))/(INDEX(LE_Curves!$N$5:$N$205,MATCH($R171,LE_Curves!$N$5:$N$205,1)+1)-INDEX(LE_Curves!$N$5:$N$205,MATCH($R171,LE_Curves!$N$5:$N$205,1))))))</f>
        <v/>
      </c>
      <c r="AE171" s="37">
        <f>SUM(S171:AD171)</f>
        <v/>
      </c>
    </row>
    <row r="172">
      <c r="A172" s="7" t="n">
        <v>141</v>
      </c>
      <c r="B172" s="37">
        <f>$B$3+($B$4-$B$3)*A172/200</f>
        <v/>
      </c>
      <c r="C172" s="11">
        <f>IF(Inputs!$D$23=0,0,IF($B172&lt;=Inputs!$C$23,0,IF($B172&gt;=INDEX(LE_Curves!$C$5:$C$205,201),INDEX(LE_Curves!$B$5:$B$205,201),INDEX(LE_Curves!$B$5:$B$205,MATCH($B172,LE_Curves!$C$5:$C$205,1))+($B172-INDEX(LE_Curves!$C$5:$C$205,MATCH($B172,LE_Curves!$C$5:$C$205,1)))*(INDEX(LE_Curves!$B$5:$B$205,MATCH($B172,LE_Curves!$C$5:$C$205,1)+1)-INDEX(LE_Curves!$B$5:$B$205,MATCH($B172,LE_Curves!$C$5:$C$205,1)))/(INDEX(LE_Curves!$C$5:$C$205,MATCH($B172,LE_Curves!$C$5:$C$205,1)+1)-INDEX(LE_Curves!$C$5:$C$205,MATCH($B172,LE_Curves!$C$5:$C$205,1))))))</f>
        <v/>
      </c>
      <c r="D172" s="11">
        <f>IF(Inputs!$D$24=0,0,IF($B172&lt;=Inputs!$C$24,0,IF($B172&gt;=INDEX(LE_Curves!$D$5:$D$205,201),INDEX(LE_Curves!$B$5:$B$205,201),INDEX(LE_Curves!$B$5:$B$205,MATCH($B172,LE_Curves!$D$5:$D$205,1))+($B172-INDEX(LE_Curves!$D$5:$D$205,MATCH($B172,LE_Curves!$D$5:$D$205,1)))*(INDEX(LE_Curves!$B$5:$B$205,MATCH($B172,LE_Curves!$D$5:$D$205,1)+1)-INDEX(LE_Curves!$B$5:$B$205,MATCH($B172,LE_Curves!$D$5:$D$205,1)))/(INDEX(LE_Curves!$D$5:$D$205,MATCH($B172,LE_Curves!$D$5:$D$205,1)+1)-INDEX(LE_Curves!$D$5:$D$205,MATCH($B172,LE_Curves!$D$5:$D$205,1))))))</f>
        <v/>
      </c>
      <c r="E172" s="11">
        <f>IF(Inputs!$D$25=0,0,IF($B172&lt;=Inputs!$C$25,0,IF($B172&gt;=INDEX(LE_Curves!$E$5:$E$205,201),INDEX(LE_Curves!$B$5:$B$205,201),INDEX(LE_Curves!$B$5:$B$205,MATCH($B172,LE_Curves!$E$5:$E$205,1))+($B172-INDEX(LE_Curves!$E$5:$E$205,MATCH($B172,LE_Curves!$E$5:$E$205,1)))*(INDEX(LE_Curves!$B$5:$B$205,MATCH($B172,LE_Curves!$E$5:$E$205,1)+1)-INDEX(LE_Curves!$B$5:$B$205,MATCH($B172,LE_Curves!$E$5:$E$205,1)))/(INDEX(LE_Curves!$E$5:$E$205,MATCH($B172,LE_Curves!$E$5:$E$205,1)+1)-INDEX(LE_Curves!$E$5:$E$205,MATCH($B172,LE_Curves!$E$5:$E$205,1))))))</f>
        <v/>
      </c>
      <c r="F172" s="11">
        <f>IF(Inputs!$D$26=0,0,IF($B172&lt;=Inputs!$C$26,0,IF($B172&gt;=INDEX(LE_Curves!$F$5:$F$205,201),INDEX(LE_Curves!$B$5:$B$205,201),INDEX(LE_Curves!$B$5:$B$205,MATCH($B172,LE_Curves!$F$5:$F$205,1))+($B172-INDEX(LE_Curves!$F$5:$F$205,MATCH($B172,LE_Curves!$F$5:$F$205,1)))*(INDEX(LE_Curves!$B$5:$B$205,MATCH($B172,LE_Curves!$F$5:$F$205,1)+1)-INDEX(LE_Curves!$B$5:$B$205,MATCH($B172,LE_Curves!$F$5:$F$205,1)))/(INDEX(LE_Curves!$F$5:$F$205,MATCH($B172,LE_Curves!$F$5:$F$205,1)+1)-INDEX(LE_Curves!$F$5:$F$205,MATCH($B172,LE_Curves!$F$5:$F$205,1))))))</f>
        <v/>
      </c>
      <c r="G172" s="11">
        <f>IF(Inputs!$D$27=0,0,IF($B172&lt;=Inputs!$C$27,0,IF($B172&gt;=INDEX(LE_Curves!$G$5:$G$205,201),INDEX(LE_Curves!$B$5:$B$205,201),INDEX(LE_Curves!$B$5:$B$205,MATCH($B172,LE_Curves!$G$5:$G$205,1))+($B172-INDEX(LE_Curves!$G$5:$G$205,MATCH($B172,LE_Curves!$G$5:$G$205,1)))*(INDEX(LE_Curves!$B$5:$B$205,MATCH($B172,LE_Curves!$G$5:$G$205,1)+1)-INDEX(LE_Curves!$B$5:$B$205,MATCH($B172,LE_Curves!$G$5:$G$205,1)))/(INDEX(LE_Curves!$G$5:$G$205,MATCH($B172,LE_Curves!$G$5:$G$205,1)+1)-INDEX(LE_Curves!$G$5:$G$205,MATCH($B172,LE_Curves!$G$5:$G$205,1))))))</f>
        <v/>
      </c>
      <c r="H172" s="11">
        <f>IF(Inputs!$D$28=0,0,IF($B172&lt;=Inputs!$C$28,0,IF($B172&gt;=INDEX(LE_Curves!$H$5:$H$205,201),INDEX(LE_Curves!$B$5:$B$205,201),INDEX(LE_Curves!$B$5:$B$205,MATCH($B172,LE_Curves!$H$5:$H$205,1))+($B172-INDEX(LE_Curves!$H$5:$H$205,MATCH($B172,LE_Curves!$H$5:$H$205,1)))*(INDEX(LE_Curves!$B$5:$B$205,MATCH($B172,LE_Curves!$H$5:$H$205,1)+1)-INDEX(LE_Curves!$B$5:$B$205,MATCH($B172,LE_Curves!$H$5:$H$205,1)))/(INDEX(LE_Curves!$H$5:$H$205,MATCH($B172,LE_Curves!$H$5:$H$205,1)+1)-INDEX(LE_Curves!$H$5:$H$205,MATCH($B172,LE_Curves!$H$5:$H$205,1))))))</f>
        <v/>
      </c>
      <c r="I172" s="11">
        <f>IF(Inputs!$D$29=0,0,IF($B172&lt;=Inputs!$C$29,0,IF($B172&gt;=INDEX(LE_Curves!$I$5:$I$205,201),INDEX(LE_Curves!$B$5:$B$205,201),INDEX(LE_Curves!$B$5:$B$205,MATCH($B172,LE_Curves!$I$5:$I$205,1))+($B172-INDEX(LE_Curves!$I$5:$I$205,MATCH($B172,LE_Curves!$I$5:$I$205,1)))*(INDEX(LE_Curves!$B$5:$B$205,MATCH($B172,LE_Curves!$I$5:$I$205,1)+1)-INDEX(LE_Curves!$B$5:$B$205,MATCH($B172,LE_Curves!$I$5:$I$205,1)))/(INDEX(LE_Curves!$I$5:$I$205,MATCH($B172,LE_Curves!$I$5:$I$205,1)+1)-INDEX(LE_Curves!$I$5:$I$205,MATCH($B172,LE_Curves!$I$5:$I$205,1))))))</f>
        <v/>
      </c>
      <c r="J172" s="11">
        <f>IF(Inputs!$D$30=0,0,IF($B172&lt;=Inputs!$C$30,0,IF($B172&gt;=INDEX(LE_Curves!$J$5:$J$205,201),INDEX(LE_Curves!$B$5:$B$205,201),INDEX(LE_Curves!$B$5:$B$205,MATCH($B172,LE_Curves!$J$5:$J$205,1))+($B172-INDEX(LE_Curves!$J$5:$J$205,MATCH($B172,LE_Curves!$J$5:$J$205,1)))*(INDEX(LE_Curves!$B$5:$B$205,MATCH($B172,LE_Curves!$J$5:$J$205,1)+1)-INDEX(LE_Curves!$B$5:$B$205,MATCH($B172,LE_Curves!$J$5:$J$205,1)))/(INDEX(LE_Curves!$J$5:$J$205,MATCH($B172,LE_Curves!$J$5:$J$205,1)+1)-INDEX(LE_Curves!$J$5:$J$205,MATCH($B172,LE_Curves!$J$5:$J$205,1))))))</f>
        <v/>
      </c>
      <c r="K172" s="11">
        <f>IF(Inputs!$D$31=0,0,IF($B172&lt;=Inputs!$C$31,0,IF($B172&gt;=INDEX(LE_Curves!$K$5:$K$205,201),INDEX(LE_Curves!$B$5:$B$205,201),INDEX(LE_Curves!$B$5:$B$205,MATCH($B172,LE_Curves!$K$5:$K$205,1))+($B172-INDEX(LE_Curves!$K$5:$K$205,MATCH($B172,LE_Curves!$K$5:$K$205,1)))*(INDEX(LE_Curves!$B$5:$B$205,MATCH($B172,LE_Curves!$K$5:$K$205,1)+1)-INDEX(LE_Curves!$B$5:$B$205,MATCH($B172,LE_Curves!$K$5:$K$205,1)))/(INDEX(LE_Curves!$K$5:$K$205,MATCH($B172,LE_Curves!$K$5:$K$205,1)+1)-INDEX(LE_Curves!$K$5:$K$205,MATCH($B172,LE_Curves!$K$5:$K$205,1))))))</f>
        <v/>
      </c>
      <c r="L172" s="11">
        <f>IF(Inputs!$D$32=0,0,IF($B172&lt;=Inputs!$C$32,0,IF($B172&gt;=INDEX(LE_Curves!$L$5:$L$205,201),INDEX(LE_Curves!$B$5:$B$205,201),INDEX(LE_Curves!$B$5:$B$205,MATCH($B172,LE_Curves!$L$5:$L$205,1))+($B172-INDEX(LE_Curves!$L$5:$L$205,MATCH($B172,LE_Curves!$L$5:$L$205,1)))*(INDEX(LE_Curves!$B$5:$B$205,MATCH($B172,LE_Curves!$L$5:$L$205,1)+1)-INDEX(LE_Curves!$B$5:$B$205,MATCH($B172,LE_Curves!$L$5:$L$205,1)))/(INDEX(LE_Curves!$L$5:$L$205,MATCH($B172,LE_Curves!$L$5:$L$205,1)+1)-INDEX(LE_Curves!$L$5:$L$205,MATCH($B172,LE_Curves!$L$5:$L$205,1))))))</f>
        <v/>
      </c>
      <c r="M172" s="11">
        <f>IF(Inputs!$D$33=0,0,IF($B172&lt;=Inputs!$C$33,0,IF($B172&gt;=INDEX(LE_Curves!$M$5:$M$205,201),INDEX(LE_Curves!$B$5:$B$205,201),INDEX(LE_Curves!$B$5:$B$205,MATCH($B172,LE_Curves!$M$5:$M$205,1))+($B172-INDEX(LE_Curves!$M$5:$M$205,MATCH($B172,LE_Curves!$M$5:$M$205,1)))*(INDEX(LE_Curves!$B$5:$B$205,MATCH($B172,LE_Curves!$M$5:$M$205,1)+1)-INDEX(LE_Curves!$B$5:$B$205,MATCH($B172,LE_Curves!$M$5:$M$205,1)))/(INDEX(LE_Curves!$M$5:$M$205,MATCH($B172,LE_Curves!$M$5:$M$205,1)+1)-INDEX(LE_Curves!$M$5:$M$205,MATCH($B172,LE_Curves!$M$5:$M$205,1))))))</f>
        <v/>
      </c>
      <c r="N172" s="11">
        <f>IF(Inputs!$D$34=0,0,IF($B172&lt;=Inputs!$C$34,0,IF($B172&gt;=INDEX(LE_Curves!$N$5:$N$205,201),INDEX(LE_Curves!$B$5:$B$205,201),INDEX(LE_Curves!$B$5:$B$205,MATCH($B172,LE_Curves!$N$5:$N$205,1))+($B172-INDEX(LE_Curves!$N$5:$N$205,MATCH($B172,LE_Curves!$N$5:$N$205,1)))*(INDEX(LE_Curves!$B$5:$B$205,MATCH($B172,LE_Curves!$N$5:$N$205,1)+1)-INDEX(LE_Curves!$B$5:$B$205,MATCH($B172,LE_Curves!$N$5:$N$205,1)))/(INDEX(LE_Curves!$N$5:$N$205,MATCH($B172,LE_Curves!$N$5:$N$205,1)+1)-INDEX(LE_Curves!$N$5:$N$205,MATCH($B172,LE_Curves!$N$5:$N$205,1))))))</f>
        <v/>
      </c>
      <c r="O172" s="11">
        <f>SUM(C172:N172)</f>
        <v/>
      </c>
      <c r="Q172" s="7" t="n">
        <v>141</v>
      </c>
      <c r="R172" s="23">
        <f>$B$6+($B$7-$B$6)*Q172/200</f>
        <v/>
      </c>
      <c r="S172" s="11">
        <f>IF(Inputs!$D$23=0,0,IF($R172&lt;=Inputs!$C$23,0,IF($R172&gt;=INDEX(LE_Curves!$C$5:$C$205,201),INDEX(LE_Curves!$B$5:$B$205,201),INDEX(LE_Curves!$B$5:$B$205,MATCH($R172,LE_Curves!$C$5:$C$205,1))+($R172-INDEX(LE_Curves!$C$5:$C$205,MATCH($R172,LE_Curves!$C$5:$C$205,1)))*(INDEX(LE_Curves!$B$5:$B$205,MATCH($R172,LE_Curves!$C$5:$C$205,1)+1)-INDEX(LE_Curves!$B$5:$B$205,MATCH($R172,LE_Curves!$C$5:$C$205,1)))/(INDEX(LE_Curves!$C$5:$C$205,MATCH($R172,LE_Curves!$C$5:$C$205,1)+1)-INDEX(LE_Curves!$C$5:$C$205,MATCH($R172,LE_Curves!$C$5:$C$205,1))))))</f>
        <v/>
      </c>
      <c r="T172" s="11">
        <f>IF(Inputs!$D$24=0,0,IF($R172&lt;=Inputs!$C$24,0,IF($R172&gt;=INDEX(LE_Curves!$D$5:$D$205,201),INDEX(LE_Curves!$B$5:$B$205,201),INDEX(LE_Curves!$B$5:$B$205,MATCH($R172,LE_Curves!$D$5:$D$205,1))+($R172-INDEX(LE_Curves!$D$5:$D$205,MATCH($R172,LE_Curves!$D$5:$D$205,1)))*(INDEX(LE_Curves!$B$5:$B$205,MATCH($R172,LE_Curves!$D$5:$D$205,1)+1)-INDEX(LE_Curves!$B$5:$B$205,MATCH($R172,LE_Curves!$D$5:$D$205,1)))/(INDEX(LE_Curves!$D$5:$D$205,MATCH($R172,LE_Curves!$D$5:$D$205,1)+1)-INDEX(LE_Curves!$D$5:$D$205,MATCH($R172,LE_Curves!$D$5:$D$205,1))))))</f>
        <v/>
      </c>
      <c r="U172" s="11">
        <f>IF(Inputs!$D$25=0,0,IF($R172&lt;=Inputs!$C$25,0,IF($R172&gt;=INDEX(LE_Curves!$E$5:$E$205,201),INDEX(LE_Curves!$B$5:$B$205,201),INDEX(LE_Curves!$B$5:$B$205,MATCH($R172,LE_Curves!$E$5:$E$205,1))+($R172-INDEX(LE_Curves!$E$5:$E$205,MATCH($R172,LE_Curves!$E$5:$E$205,1)))*(INDEX(LE_Curves!$B$5:$B$205,MATCH($R172,LE_Curves!$E$5:$E$205,1)+1)-INDEX(LE_Curves!$B$5:$B$205,MATCH($R172,LE_Curves!$E$5:$E$205,1)))/(INDEX(LE_Curves!$E$5:$E$205,MATCH($R172,LE_Curves!$E$5:$E$205,1)+1)-INDEX(LE_Curves!$E$5:$E$205,MATCH($R172,LE_Curves!$E$5:$E$205,1))))))</f>
        <v/>
      </c>
      <c r="V172" s="11">
        <f>IF(Inputs!$D$26=0,0,IF($R172&lt;=Inputs!$C$26,0,IF($R172&gt;=INDEX(LE_Curves!$F$5:$F$205,201),INDEX(LE_Curves!$B$5:$B$205,201),INDEX(LE_Curves!$B$5:$B$205,MATCH($R172,LE_Curves!$F$5:$F$205,1))+($R172-INDEX(LE_Curves!$F$5:$F$205,MATCH($R172,LE_Curves!$F$5:$F$205,1)))*(INDEX(LE_Curves!$B$5:$B$205,MATCH($R172,LE_Curves!$F$5:$F$205,1)+1)-INDEX(LE_Curves!$B$5:$B$205,MATCH($R172,LE_Curves!$F$5:$F$205,1)))/(INDEX(LE_Curves!$F$5:$F$205,MATCH($R172,LE_Curves!$F$5:$F$205,1)+1)-INDEX(LE_Curves!$F$5:$F$205,MATCH($R172,LE_Curves!$F$5:$F$205,1))))))</f>
        <v/>
      </c>
      <c r="W172" s="11">
        <f>IF(Inputs!$D$27=0,0,IF($R172&lt;=Inputs!$C$27,0,IF($R172&gt;=INDEX(LE_Curves!$G$5:$G$205,201),INDEX(LE_Curves!$B$5:$B$205,201),INDEX(LE_Curves!$B$5:$B$205,MATCH($R172,LE_Curves!$G$5:$G$205,1))+($R172-INDEX(LE_Curves!$G$5:$G$205,MATCH($R172,LE_Curves!$G$5:$G$205,1)))*(INDEX(LE_Curves!$B$5:$B$205,MATCH($R172,LE_Curves!$G$5:$G$205,1)+1)-INDEX(LE_Curves!$B$5:$B$205,MATCH($R172,LE_Curves!$G$5:$G$205,1)))/(INDEX(LE_Curves!$G$5:$G$205,MATCH($R172,LE_Curves!$G$5:$G$205,1)+1)-INDEX(LE_Curves!$G$5:$G$205,MATCH($R172,LE_Curves!$G$5:$G$205,1))))))</f>
        <v/>
      </c>
      <c r="X172" s="11">
        <f>IF(Inputs!$D$28=0,0,IF($R172&lt;=Inputs!$C$28,0,IF($R172&gt;=INDEX(LE_Curves!$H$5:$H$205,201),INDEX(LE_Curves!$B$5:$B$205,201),INDEX(LE_Curves!$B$5:$B$205,MATCH($R172,LE_Curves!$H$5:$H$205,1))+($R172-INDEX(LE_Curves!$H$5:$H$205,MATCH($R172,LE_Curves!$H$5:$H$205,1)))*(INDEX(LE_Curves!$B$5:$B$205,MATCH($R172,LE_Curves!$H$5:$H$205,1)+1)-INDEX(LE_Curves!$B$5:$B$205,MATCH($R172,LE_Curves!$H$5:$H$205,1)))/(INDEX(LE_Curves!$H$5:$H$205,MATCH($R172,LE_Curves!$H$5:$H$205,1)+1)-INDEX(LE_Curves!$H$5:$H$205,MATCH($R172,LE_Curves!$H$5:$H$205,1))))))</f>
        <v/>
      </c>
      <c r="Y172" s="11">
        <f>IF(Inputs!$D$29=0,0,IF($R172&lt;=Inputs!$C$29,0,IF($R172&gt;=INDEX(LE_Curves!$I$5:$I$205,201),INDEX(LE_Curves!$B$5:$B$205,201),INDEX(LE_Curves!$B$5:$B$205,MATCH($R172,LE_Curves!$I$5:$I$205,1))+($R172-INDEX(LE_Curves!$I$5:$I$205,MATCH($R172,LE_Curves!$I$5:$I$205,1)))*(INDEX(LE_Curves!$B$5:$B$205,MATCH($R172,LE_Curves!$I$5:$I$205,1)+1)-INDEX(LE_Curves!$B$5:$B$205,MATCH($R172,LE_Curves!$I$5:$I$205,1)))/(INDEX(LE_Curves!$I$5:$I$205,MATCH($R172,LE_Curves!$I$5:$I$205,1)+1)-INDEX(LE_Curves!$I$5:$I$205,MATCH($R172,LE_Curves!$I$5:$I$205,1))))))</f>
        <v/>
      </c>
      <c r="Z172" s="11">
        <f>IF(Inputs!$D$30=0,0,IF($R172&lt;=Inputs!$C$30,0,IF($R172&gt;=INDEX(LE_Curves!$J$5:$J$205,201),INDEX(LE_Curves!$B$5:$B$205,201),INDEX(LE_Curves!$B$5:$B$205,MATCH($R172,LE_Curves!$J$5:$J$205,1))+($R172-INDEX(LE_Curves!$J$5:$J$205,MATCH($R172,LE_Curves!$J$5:$J$205,1)))*(INDEX(LE_Curves!$B$5:$B$205,MATCH($R172,LE_Curves!$J$5:$J$205,1)+1)-INDEX(LE_Curves!$B$5:$B$205,MATCH($R172,LE_Curves!$J$5:$J$205,1)))/(INDEX(LE_Curves!$J$5:$J$205,MATCH($R172,LE_Curves!$J$5:$J$205,1)+1)-INDEX(LE_Curves!$J$5:$J$205,MATCH($R172,LE_Curves!$J$5:$J$205,1))))))</f>
        <v/>
      </c>
      <c r="AA172" s="11">
        <f>IF(Inputs!$D$31=0,0,IF($R172&lt;=Inputs!$C$31,0,IF($R172&gt;=INDEX(LE_Curves!$K$5:$K$205,201),INDEX(LE_Curves!$B$5:$B$205,201),INDEX(LE_Curves!$B$5:$B$205,MATCH($R172,LE_Curves!$K$5:$K$205,1))+($R172-INDEX(LE_Curves!$K$5:$K$205,MATCH($R172,LE_Curves!$K$5:$K$205,1)))*(INDEX(LE_Curves!$B$5:$B$205,MATCH($R172,LE_Curves!$K$5:$K$205,1)+1)-INDEX(LE_Curves!$B$5:$B$205,MATCH($R172,LE_Curves!$K$5:$K$205,1)))/(INDEX(LE_Curves!$K$5:$K$205,MATCH($R172,LE_Curves!$K$5:$K$205,1)+1)-INDEX(LE_Curves!$K$5:$K$205,MATCH($R172,LE_Curves!$K$5:$K$205,1))))))</f>
        <v/>
      </c>
      <c r="AB172" s="11">
        <f>IF(Inputs!$D$32=0,0,IF($R172&lt;=Inputs!$C$32,0,IF($R172&gt;=INDEX(LE_Curves!$L$5:$L$205,201),INDEX(LE_Curves!$B$5:$B$205,201),INDEX(LE_Curves!$B$5:$B$205,MATCH($R172,LE_Curves!$L$5:$L$205,1))+($R172-INDEX(LE_Curves!$L$5:$L$205,MATCH($R172,LE_Curves!$L$5:$L$205,1)))*(INDEX(LE_Curves!$B$5:$B$205,MATCH($R172,LE_Curves!$L$5:$L$205,1)+1)-INDEX(LE_Curves!$B$5:$B$205,MATCH($R172,LE_Curves!$L$5:$L$205,1)))/(INDEX(LE_Curves!$L$5:$L$205,MATCH($R172,LE_Curves!$L$5:$L$205,1)+1)-INDEX(LE_Curves!$L$5:$L$205,MATCH($R172,LE_Curves!$L$5:$L$205,1))))))</f>
        <v/>
      </c>
      <c r="AC172" s="11">
        <f>IF(Inputs!$D$33=0,0,IF($R172&lt;=Inputs!$C$33,0,IF($R172&gt;=INDEX(LE_Curves!$M$5:$M$205,201),INDEX(LE_Curves!$B$5:$B$205,201),INDEX(LE_Curves!$B$5:$B$205,MATCH($R172,LE_Curves!$M$5:$M$205,1))+($R172-INDEX(LE_Curves!$M$5:$M$205,MATCH($R172,LE_Curves!$M$5:$M$205,1)))*(INDEX(LE_Curves!$B$5:$B$205,MATCH($R172,LE_Curves!$M$5:$M$205,1)+1)-INDEX(LE_Curves!$B$5:$B$205,MATCH($R172,LE_Curves!$M$5:$M$205,1)))/(INDEX(LE_Curves!$M$5:$M$205,MATCH($R172,LE_Curves!$M$5:$M$205,1)+1)-INDEX(LE_Curves!$M$5:$M$205,MATCH($R172,LE_Curves!$M$5:$M$205,1))))))</f>
        <v/>
      </c>
      <c r="AD172" s="11">
        <f>IF(Inputs!$D$34=0,0,IF($R172&lt;=Inputs!$C$34,0,IF($R172&gt;=INDEX(LE_Curves!$N$5:$N$205,201),INDEX(LE_Curves!$B$5:$B$205,201),INDEX(LE_Curves!$B$5:$B$205,MATCH($R172,LE_Curves!$N$5:$N$205,1))+($R172-INDEX(LE_Curves!$N$5:$N$205,MATCH($R172,LE_Curves!$N$5:$N$205,1)))*(INDEX(LE_Curves!$B$5:$B$205,MATCH($R172,LE_Curves!$N$5:$N$205,1)+1)-INDEX(LE_Curves!$B$5:$B$205,MATCH($R172,LE_Curves!$N$5:$N$205,1)))/(INDEX(LE_Curves!$N$5:$N$205,MATCH($R172,LE_Curves!$N$5:$N$205,1)+1)-INDEX(LE_Curves!$N$5:$N$205,MATCH($R172,LE_Curves!$N$5:$N$205,1))))))</f>
        <v/>
      </c>
      <c r="AE172" s="37">
        <f>SUM(S172:AD172)</f>
        <v/>
      </c>
    </row>
    <row r="173">
      <c r="A173" s="7" t="n">
        <v>142</v>
      </c>
      <c r="B173" s="37">
        <f>$B$3+($B$4-$B$3)*A173/200</f>
        <v/>
      </c>
      <c r="C173" s="11">
        <f>IF(Inputs!$D$23=0,0,IF($B173&lt;=Inputs!$C$23,0,IF($B173&gt;=INDEX(LE_Curves!$C$5:$C$205,201),INDEX(LE_Curves!$B$5:$B$205,201),INDEX(LE_Curves!$B$5:$B$205,MATCH($B173,LE_Curves!$C$5:$C$205,1))+($B173-INDEX(LE_Curves!$C$5:$C$205,MATCH($B173,LE_Curves!$C$5:$C$205,1)))*(INDEX(LE_Curves!$B$5:$B$205,MATCH($B173,LE_Curves!$C$5:$C$205,1)+1)-INDEX(LE_Curves!$B$5:$B$205,MATCH($B173,LE_Curves!$C$5:$C$205,1)))/(INDEX(LE_Curves!$C$5:$C$205,MATCH($B173,LE_Curves!$C$5:$C$205,1)+1)-INDEX(LE_Curves!$C$5:$C$205,MATCH($B173,LE_Curves!$C$5:$C$205,1))))))</f>
        <v/>
      </c>
      <c r="D173" s="11">
        <f>IF(Inputs!$D$24=0,0,IF($B173&lt;=Inputs!$C$24,0,IF($B173&gt;=INDEX(LE_Curves!$D$5:$D$205,201),INDEX(LE_Curves!$B$5:$B$205,201),INDEX(LE_Curves!$B$5:$B$205,MATCH($B173,LE_Curves!$D$5:$D$205,1))+($B173-INDEX(LE_Curves!$D$5:$D$205,MATCH($B173,LE_Curves!$D$5:$D$205,1)))*(INDEX(LE_Curves!$B$5:$B$205,MATCH($B173,LE_Curves!$D$5:$D$205,1)+1)-INDEX(LE_Curves!$B$5:$B$205,MATCH($B173,LE_Curves!$D$5:$D$205,1)))/(INDEX(LE_Curves!$D$5:$D$205,MATCH($B173,LE_Curves!$D$5:$D$205,1)+1)-INDEX(LE_Curves!$D$5:$D$205,MATCH($B173,LE_Curves!$D$5:$D$205,1))))))</f>
        <v/>
      </c>
      <c r="E173" s="11">
        <f>IF(Inputs!$D$25=0,0,IF($B173&lt;=Inputs!$C$25,0,IF($B173&gt;=INDEX(LE_Curves!$E$5:$E$205,201),INDEX(LE_Curves!$B$5:$B$205,201),INDEX(LE_Curves!$B$5:$B$205,MATCH($B173,LE_Curves!$E$5:$E$205,1))+($B173-INDEX(LE_Curves!$E$5:$E$205,MATCH($B173,LE_Curves!$E$5:$E$205,1)))*(INDEX(LE_Curves!$B$5:$B$205,MATCH($B173,LE_Curves!$E$5:$E$205,1)+1)-INDEX(LE_Curves!$B$5:$B$205,MATCH($B173,LE_Curves!$E$5:$E$205,1)))/(INDEX(LE_Curves!$E$5:$E$205,MATCH($B173,LE_Curves!$E$5:$E$205,1)+1)-INDEX(LE_Curves!$E$5:$E$205,MATCH($B173,LE_Curves!$E$5:$E$205,1))))))</f>
        <v/>
      </c>
      <c r="F173" s="11">
        <f>IF(Inputs!$D$26=0,0,IF($B173&lt;=Inputs!$C$26,0,IF($B173&gt;=INDEX(LE_Curves!$F$5:$F$205,201),INDEX(LE_Curves!$B$5:$B$205,201),INDEX(LE_Curves!$B$5:$B$205,MATCH($B173,LE_Curves!$F$5:$F$205,1))+($B173-INDEX(LE_Curves!$F$5:$F$205,MATCH($B173,LE_Curves!$F$5:$F$205,1)))*(INDEX(LE_Curves!$B$5:$B$205,MATCH($B173,LE_Curves!$F$5:$F$205,1)+1)-INDEX(LE_Curves!$B$5:$B$205,MATCH($B173,LE_Curves!$F$5:$F$205,1)))/(INDEX(LE_Curves!$F$5:$F$205,MATCH($B173,LE_Curves!$F$5:$F$205,1)+1)-INDEX(LE_Curves!$F$5:$F$205,MATCH($B173,LE_Curves!$F$5:$F$205,1))))))</f>
        <v/>
      </c>
      <c r="G173" s="11">
        <f>IF(Inputs!$D$27=0,0,IF($B173&lt;=Inputs!$C$27,0,IF($B173&gt;=INDEX(LE_Curves!$G$5:$G$205,201),INDEX(LE_Curves!$B$5:$B$205,201),INDEX(LE_Curves!$B$5:$B$205,MATCH($B173,LE_Curves!$G$5:$G$205,1))+($B173-INDEX(LE_Curves!$G$5:$G$205,MATCH($B173,LE_Curves!$G$5:$G$205,1)))*(INDEX(LE_Curves!$B$5:$B$205,MATCH($B173,LE_Curves!$G$5:$G$205,1)+1)-INDEX(LE_Curves!$B$5:$B$205,MATCH($B173,LE_Curves!$G$5:$G$205,1)))/(INDEX(LE_Curves!$G$5:$G$205,MATCH($B173,LE_Curves!$G$5:$G$205,1)+1)-INDEX(LE_Curves!$G$5:$G$205,MATCH($B173,LE_Curves!$G$5:$G$205,1))))))</f>
        <v/>
      </c>
      <c r="H173" s="11">
        <f>IF(Inputs!$D$28=0,0,IF($B173&lt;=Inputs!$C$28,0,IF($B173&gt;=INDEX(LE_Curves!$H$5:$H$205,201),INDEX(LE_Curves!$B$5:$B$205,201),INDEX(LE_Curves!$B$5:$B$205,MATCH($B173,LE_Curves!$H$5:$H$205,1))+($B173-INDEX(LE_Curves!$H$5:$H$205,MATCH($B173,LE_Curves!$H$5:$H$205,1)))*(INDEX(LE_Curves!$B$5:$B$205,MATCH($B173,LE_Curves!$H$5:$H$205,1)+1)-INDEX(LE_Curves!$B$5:$B$205,MATCH($B173,LE_Curves!$H$5:$H$205,1)))/(INDEX(LE_Curves!$H$5:$H$205,MATCH($B173,LE_Curves!$H$5:$H$205,1)+1)-INDEX(LE_Curves!$H$5:$H$205,MATCH($B173,LE_Curves!$H$5:$H$205,1))))))</f>
        <v/>
      </c>
      <c r="I173" s="11">
        <f>IF(Inputs!$D$29=0,0,IF($B173&lt;=Inputs!$C$29,0,IF($B173&gt;=INDEX(LE_Curves!$I$5:$I$205,201),INDEX(LE_Curves!$B$5:$B$205,201),INDEX(LE_Curves!$B$5:$B$205,MATCH($B173,LE_Curves!$I$5:$I$205,1))+($B173-INDEX(LE_Curves!$I$5:$I$205,MATCH($B173,LE_Curves!$I$5:$I$205,1)))*(INDEX(LE_Curves!$B$5:$B$205,MATCH($B173,LE_Curves!$I$5:$I$205,1)+1)-INDEX(LE_Curves!$B$5:$B$205,MATCH($B173,LE_Curves!$I$5:$I$205,1)))/(INDEX(LE_Curves!$I$5:$I$205,MATCH($B173,LE_Curves!$I$5:$I$205,1)+1)-INDEX(LE_Curves!$I$5:$I$205,MATCH($B173,LE_Curves!$I$5:$I$205,1))))))</f>
        <v/>
      </c>
      <c r="J173" s="11">
        <f>IF(Inputs!$D$30=0,0,IF($B173&lt;=Inputs!$C$30,0,IF($B173&gt;=INDEX(LE_Curves!$J$5:$J$205,201),INDEX(LE_Curves!$B$5:$B$205,201),INDEX(LE_Curves!$B$5:$B$205,MATCH($B173,LE_Curves!$J$5:$J$205,1))+($B173-INDEX(LE_Curves!$J$5:$J$205,MATCH($B173,LE_Curves!$J$5:$J$205,1)))*(INDEX(LE_Curves!$B$5:$B$205,MATCH($B173,LE_Curves!$J$5:$J$205,1)+1)-INDEX(LE_Curves!$B$5:$B$205,MATCH($B173,LE_Curves!$J$5:$J$205,1)))/(INDEX(LE_Curves!$J$5:$J$205,MATCH($B173,LE_Curves!$J$5:$J$205,1)+1)-INDEX(LE_Curves!$J$5:$J$205,MATCH($B173,LE_Curves!$J$5:$J$205,1))))))</f>
        <v/>
      </c>
      <c r="K173" s="11">
        <f>IF(Inputs!$D$31=0,0,IF($B173&lt;=Inputs!$C$31,0,IF($B173&gt;=INDEX(LE_Curves!$K$5:$K$205,201),INDEX(LE_Curves!$B$5:$B$205,201),INDEX(LE_Curves!$B$5:$B$205,MATCH($B173,LE_Curves!$K$5:$K$205,1))+($B173-INDEX(LE_Curves!$K$5:$K$205,MATCH($B173,LE_Curves!$K$5:$K$205,1)))*(INDEX(LE_Curves!$B$5:$B$205,MATCH($B173,LE_Curves!$K$5:$K$205,1)+1)-INDEX(LE_Curves!$B$5:$B$205,MATCH($B173,LE_Curves!$K$5:$K$205,1)))/(INDEX(LE_Curves!$K$5:$K$205,MATCH($B173,LE_Curves!$K$5:$K$205,1)+1)-INDEX(LE_Curves!$K$5:$K$205,MATCH($B173,LE_Curves!$K$5:$K$205,1))))))</f>
        <v/>
      </c>
      <c r="L173" s="11">
        <f>IF(Inputs!$D$32=0,0,IF($B173&lt;=Inputs!$C$32,0,IF($B173&gt;=INDEX(LE_Curves!$L$5:$L$205,201),INDEX(LE_Curves!$B$5:$B$205,201),INDEX(LE_Curves!$B$5:$B$205,MATCH($B173,LE_Curves!$L$5:$L$205,1))+($B173-INDEX(LE_Curves!$L$5:$L$205,MATCH($B173,LE_Curves!$L$5:$L$205,1)))*(INDEX(LE_Curves!$B$5:$B$205,MATCH($B173,LE_Curves!$L$5:$L$205,1)+1)-INDEX(LE_Curves!$B$5:$B$205,MATCH($B173,LE_Curves!$L$5:$L$205,1)))/(INDEX(LE_Curves!$L$5:$L$205,MATCH($B173,LE_Curves!$L$5:$L$205,1)+1)-INDEX(LE_Curves!$L$5:$L$205,MATCH($B173,LE_Curves!$L$5:$L$205,1))))))</f>
        <v/>
      </c>
      <c r="M173" s="11">
        <f>IF(Inputs!$D$33=0,0,IF($B173&lt;=Inputs!$C$33,0,IF($B173&gt;=INDEX(LE_Curves!$M$5:$M$205,201),INDEX(LE_Curves!$B$5:$B$205,201),INDEX(LE_Curves!$B$5:$B$205,MATCH($B173,LE_Curves!$M$5:$M$205,1))+($B173-INDEX(LE_Curves!$M$5:$M$205,MATCH($B173,LE_Curves!$M$5:$M$205,1)))*(INDEX(LE_Curves!$B$5:$B$205,MATCH($B173,LE_Curves!$M$5:$M$205,1)+1)-INDEX(LE_Curves!$B$5:$B$205,MATCH($B173,LE_Curves!$M$5:$M$205,1)))/(INDEX(LE_Curves!$M$5:$M$205,MATCH($B173,LE_Curves!$M$5:$M$205,1)+1)-INDEX(LE_Curves!$M$5:$M$205,MATCH($B173,LE_Curves!$M$5:$M$205,1))))))</f>
        <v/>
      </c>
      <c r="N173" s="11">
        <f>IF(Inputs!$D$34=0,0,IF($B173&lt;=Inputs!$C$34,0,IF($B173&gt;=INDEX(LE_Curves!$N$5:$N$205,201),INDEX(LE_Curves!$B$5:$B$205,201),INDEX(LE_Curves!$B$5:$B$205,MATCH($B173,LE_Curves!$N$5:$N$205,1))+($B173-INDEX(LE_Curves!$N$5:$N$205,MATCH($B173,LE_Curves!$N$5:$N$205,1)))*(INDEX(LE_Curves!$B$5:$B$205,MATCH($B173,LE_Curves!$N$5:$N$205,1)+1)-INDEX(LE_Curves!$B$5:$B$205,MATCH($B173,LE_Curves!$N$5:$N$205,1)))/(INDEX(LE_Curves!$N$5:$N$205,MATCH($B173,LE_Curves!$N$5:$N$205,1)+1)-INDEX(LE_Curves!$N$5:$N$205,MATCH($B173,LE_Curves!$N$5:$N$205,1))))))</f>
        <v/>
      </c>
      <c r="O173" s="11">
        <f>SUM(C173:N173)</f>
        <v/>
      </c>
      <c r="Q173" s="7" t="n">
        <v>142</v>
      </c>
      <c r="R173" s="23">
        <f>$B$6+($B$7-$B$6)*Q173/200</f>
        <v/>
      </c>
      <c r="S173" s="11">
        <f>IF(Inputs!$D$23=0,0,IF($R173&lt;=Inputs!$C$23,0,IF($R173&gt;=INDEX(LE_Curves!$C$5:$C$205,201),INDEX(LE_Curves!$B$5:$B$205,201),INDEX(LE_Curves!$B$5:$B$205,MATCH($R173,LE_Curves!$C$5:$C$205,1))+($R173-INDEX(LE_Curves!$C$5:$C$205,MATCH($R173,LE_Curves!$C$5:$C$205,1)))*(INDEX(LE_Curves!$B$5:$B$205,MATCH($R173,LE_Curves!$C$5:$C$205,1)+1)-INDEX(LE_Curves!$B$5:$B$205,MATCH($R173,LE_Curves!$C$5:$C$205,1)))/(INDEX(LE_Curves!$C$5:$C$205,MATCH($R173,LE_Curves!$C$5:$C$205,1)+1)-INDEX(LE_Curves!$C$5:$C$205,MATCH($R173,LE_Curves!$C$5:$C$205,1))))))</f>
        <v/>
      </c>
      <c r="T173" s="11">
        <f>IF(Inputs!$D$24=0,0,IF($R173&lt;=Inputs!$C$24,0,IF($R173&gt;=INDEX(LE_Curves!$D$5:$D$205,201),INDEX(LE_Curves!$B$5:$B$205,201),INDEX(LE_Curves!$B$5:$B$205,MATCH($R173,LE_Curves!$D$5:$D$205,1))+($R173-INDEX(LE_Curves!$D$5:$D$205,MATCH($R173,LE_Curves!$D$5:$D$205,1)))*(INDEX(LE_Curves!$B$5:$B$205,MATCH($R173,LE_Curves!$D$5:$D$205,1)+1)-INDEX(LE_Curves!$B$5:$B$205,MATCH($R173,LE_Curves!$D$5:$D$205,1)))/(INDEX(LE_Curves!$D$5:$D$205,MATCH($R173,LE_Curves!$D$5:$D$205,1)+1)-INDEX(LE_Curves!$D$5:$D$205,MATCH($R173,LE_Curves!$D$5:$D$205,1))))))</f>
        <v/>
      </c>
      <c r="U173" s="11">
        <f>IF(Inputs!$D$25=0,0,IF($R173&lt;=Inputs!$C$25,0,IF($R173&gt;=INDEX(LE_Curves!$E$5:$E$205,201),INDEX(LE_Curves!$B$5:$B$205,201),INDEX(LE_Curves!$B$5:$B$205,MATCH($R173,LE_Curves!$E$5:$E$205,1))+($R173-INDEX(LE_Curves!$E$5:$E$205,MATCH($R173,LE_Curves!$E$5:$E$205,1)))*(INDEX(LE_Curves!$B$5:$B$205,MATCH($R173,LE_Curves!$E$5:$E$205,1)+1)-INDEX(LE_Curves!$B$5:$B$205,MATCH($R173,LE_Curves!$E$5:$E$205,1)))/(INDEX(LE_Curves!$E$5:$E$205,MATCH($R173,LE_Curves!$E$5:$E$205,1)+1)-INDEX(LE_Curves!$E$5:$E$205,MATCH($R173,LE_Curves!$E$5:$E$205,1))))))</f>
        <v/>
      </c>
      <c r="V173" s="11">
        <f>IF(Inputs!$D$26=0,0,IF($R173&lt;=Inputs!$C$26,0,IF($R173&gt;=INDEX(LE_Curves!$F$5:$F$205,201),INDEX(LE_Curves!$B$5:$B$205,201),INDEX(LE_Curves!$B$5:$B$205,MATCH($R173,LE_Curves!$F$5:$F$205,1))+($R173-INDEX(LE_Curves!$F$5:$F$205,MATCH($R173,LE_Curves!$F$5:$F$205,1)))*(INDEX(LE_Curves!$B$5:$B$205,MATCH($R173,LE_Curves!$F$5:$F$205,1)+1)-INDEX(LE_Curves!$B$5:$B$205,MATCH($R173,LE_Curves!$F$5:$F$205,1)))/(INDEX(LE_Curves!$F$5:$F$205,MATCH($R173,LE_Curves!$F$5:$F$205,1)+1)-INDEX(LE_Curves!$F$5:$F$205,MATCH($R173,LE_Curves!$F$5:$F$205,1))))))</f>
        <v/>
      </c>
      <c r="W173" s="11">
        <f>IF(Inputs!$D$27=0,0,IF($R173&lt;=Inputs!$C$27,0,IF($R173&gt;=INDEX(LE_Curves!$G$5:$G$205,201),INDEX(LE_Curves!$B$5:$B$205,201),INDEX(LE_Curves!$B$5:$B$205,MATCH($R173,LE_Curves!$G$5:$G$205,1))+($R173-INDEX(LE_Curves!$G$5:$G$205,MATCH($R173,LE_Curves!$G$5:$G$205,1)))*(INDEX(LE_Curves!$B$5:$B$205,MATCH($R173,LE_Curves!$G$5:$G$205,1)+1)-INDEX(LE_Curves!$B$5:$B$205,MATCH($R173,LE_Curves!$G$5:$G$205,1)))/(INDEX(LE_Curves!$G$5:$G$205,MATCH($R173,LE_Curves!$G$5:$G$205,1)+1)-INDEX(LE_Curves!$G$5:$G$205,MATCH($R173,LE_Curves!$G$5:$G$205,1))))))</f>
        <v/>
      </c>
      <c r="X173" s="11">
        <f>IF(Inputs!$D$28=0,0,IF($R173&lt;=Inputs!$C$28,0,IF($R173&gt;=INDEX(LE_Curves!$H$5:$H$205,201),INDEX(LE_Curves!$B$5:$B$205,201),INDEX(LE_Curves!$B$5:$B$205,MATCH($R173,LE_Curves!$H$5:$H$205,1))+($R173-INDEX(LE_Curves!$H$5:$H$205,MATCH($R173,LE_Curves!$H$5:$H$205,1)))*(INDEX(LE_Curves!$B$5:$B$205,MATCH($R173,LE_Curves!$H$5:$H$205,1)+1)-INDEX(LE_Curves!$B$5:$B$205,MATCH($R173,LE_Curves!$H$5:$H$205,1)))/(INDEX(LE_Curves!$H$5:$H$205,MATCH($R173,LE_Curves!$H$5:$H$205,1)+1)-INDEX(LE_Curves!$H$5:$H$205,MATCH($R173,LE_Curves!$H$5:$H$205,1))))))</f>
        <v/>
      </c>
      <c r="Y173" s="11">
        <f>IF(Inputs!$D$29=0,0,IF($R173&lt;=Inputs!$C$29,0,IF($R173&gt;=INDEX(LE_Curves!$I$5:$I$205,201),INDEX(LE_Curves!$B$5:$B$205,201),INDEX(LE_Curves!$B$5:$B$205,MATCH($R173,LE_Curves!$I$5:$I$205,1))+($R173-INDEX(LE_Curves!$I$5:$I$205,MATCH($R173,LE_Curves!$I$5:$I$205,1)))*(INDEX(LE_Curves!$B$5:$B$205,MATCH($R173,LE_Curves!$I$5:$I$205,1)+1)-INDEX(LE_Curves!$B$5:$B$205,MATCH($R173,LE_Curves!$I$5:$I$205,1)))/(INDEX(LE_Curves!$I$5:$I$205,MATCH($R173,LE_Curves!$I$5:$I$205,1)+1)-INDEX(LE_Curves!$I$5:$I$205,MATCH($R173,LE_Curves!$I$5:$I$205,1))))))</f>
        <v/>
      </c>
      <c r="Z173" s="11">
        <f>IF(Inputs!$D$30=0,0,IF($R173&lt;=Inputs!$C$30,0,IF($R173&gt;=INDEX(LE_Curves!$J$5:$J$205,201),INDEX(LE_Curves!$B$5:$B$205,201),INDEX(LE_Curves!$B$5:$B$205,MATCH($R173,LE_Curves!$J$5:$J$205,1))+($R173-INDEX(LE_Curves!$J$5:$J$205,MATCH($R173,LE_Curves!$J$5:$J$205,1)))*(INDEX(LE_Curves!$B$5:$B$205,MATCH($R173,LE_Curves!$J$5:$J$205,1)+1)-INDEX(LE_Curves!$B$5:$B$205,MATCH($R173,LE_Curves!$J$5:$J$205,1)))/(INDEX(LE_Curves!$J$5:$J$205,MATCH($R173,LE_Curves!$J$5:$J$205,1)+1)-INDEX(LE_Curves!$J$5:$J$205,MATCH($R173,LE_Curves!$J$5:$J$205,1))))))</f>
        <v/>
      </c>
      <c r="AA173" s="11">
        <f>IF(Inputs!$D$31=0,0,IF($R173&lt;=Inputs!$C$31,0,IF($R173&gt;=INDEX(LE_Curves!$K$5:$K$205,201),INDEX(LE_Curves!$B$5:$B$205,201),INDEX(LE_Curves!$B$5:$B$205,MATCH($R173,LE_Curves!$K$5:$K$205,1))+($R173-INDEX(LE_Curves!$K$5:$K$205,MATCH($R173,LE_Curves!$K$5:$K$205,1)))*(INDEX(LE_Curves!$B$5:$B$205,MATCH($R173,LE_Curves!$K$5:$K$205,1)+1)-INDEX(LE_Curves!$B$5:$B$205,MATCH($R173,LE_Curves!$K$5:$K$205,1)))/(INDEX(LE_Curves!$K$5:$K$205,MATCH($R173,LE_Curves!$K$5:$K$205,1)+1)-INDEX(LE_Curves!$K$5:$K$205,MATCH($R173,LE_Curves!$K$5:$K$205,1))))))</f>
        <v/>
      </c>
      <c r="AB173" s="11">
        <f>IF(Inputs!$D$32=0,0,IF($R173&lt;=Inputs!$C$32,0,IF($R173&gt;=INDEX(LE_Curves!$L$5:$L$205,201),INDEX(LE_Curves!$B$5:$B$205,201),INDEX(LE_Curves!$B$5:$B$205,MATCH($R173,LE_Curves!$L$5:$L$205,1))+($R173-INDEX(LE_Curves!$L$5:$L$205,MATCH($R173,LE_Curves!$L$5:$L$205,1)))*(INDEX(LE_Curves!$B$5:$B$205,MATCH($R173,LE_Curves!$L$5:$L$205,1)+1)-INDEX(LE_Curves!$B$5:$B$205,MATCH($R173,LE_Curves!$L$5:$L$205,1)))/(INDEX(LE_Curves!$L$5:$L$205,MATCH($R173,LE_Curves!$L$5:$L$205,1)+1)-INDEX(LE_Curves!$L$5:$L$205,MATCH($R173,LE_Curves!$L$5:$L$205,1))))))</f>
        <v/>
      </c>
      <c r="AC173" s="11">
        <f>IF(Inputs!$D$33=0,0,IF($R173&lt;=Inputs!$C$33,0,IF($R173&gt;=INDEX(LE_Curves!$M$5:$M$205,201),INDEX(LE_Curves!$B$5:$B$205,201),INDEX(LE_Curves!$B$5:$B$205,MATCH($R173,LE_Curves!$M$5:$M$205,1))+($R173-INDEX(LE_Curves!$M$5:$M$205,MATCH($R173,LE_Curves!$M$5:$M$205,1)))*(INDEX(LE_Curves!$B$5:$B$205,MATCH($R173,LE_Curves!$M$5:$M$205,1)+1)-INDEX(LE_Curves!$B$5:$B$205,MATCH($R173,LE_Curves!$M$5:$M$205,1)))/(INDEX(LE_Curves!$M$5:$M$205,MATCH($R173,LE_Curves!$M$5:$M$205,1)+1)-INDEX(LE_Curves!$M$5:$M$205,MATCH($R173,LE_Curves!$M$5:$M$205,1))))))</f>
        <v/>
      </c>
      <c r="AD173" s="11">
        <f>IF(Inputs!$D$34=0,0,IF($R173&lt;=Inputs!$C$34,0,IF($R173&gt;=INDEX(LE_Curves!$N$5:$N$205,201),INDEX(LE_Curves!$B$5:$B$205,201),INDEX(LE_Curves!$B$5:$B$205,MATCH($R173,LE_Curves!$N$5:$N$205,1))+($R173-INDEX(LE_Curves!$N$5:$N$205,MATCH($R173,LE_Curves!$N$5:$N$205,1)))*(INDEX(LE_Curves!$B$5:$B$205,MATCH($R173,LE_Curves!$N$5:$N$205,1)+1)-INDEX(LE_Curves!$B$5:$B$205,MATCH($R173,LE_Curves!$N$5:$N$205,1)))/(INDEX(LE_Curves!$N$5:$N$205,MATCH($R173,LE_Curves!$N$5:$N$205,1)+1)-INDEX(LE_Curves!$N$5:$N$205,MATCH($R173,LE_Curves!$N$5:$N$205,1))))))</f>
        <v/>
      </c>
      <c r="AE173" s="37">
        <f>SUM(S173:AD173)</f>
        <v/>
      </c>
    </row>
    <row r="174">
      <c r="A174" s="7" t="n">
        <v>143</v>
      </c>
      <c r="B174" s="37">
        <f>$B$3+($B$4-$B$3)*A174/200</f>
        <v/>
      </c>
      <c r="C174" s="11">
        <f>IF(Inputs!$D$23=0,0,IF($B174&lt;=Inputs!$C$23,0,IF($B174&gt;=INDEX(LE_Curves!$C$5:$C$205,201),INDEX(LE_Curves!$B$5:$B$205,201),INDEX(LE_Curves!$B$5:$B$205,MATCH($B174,LE_Curves!$C$5:$C$205,1))+($B174-INDEX(LE_Curves!$C$5:$C$205,MATCH($B174,LE_Curves!$C$5:$C$205,1)))*(INDEX(LE_Curves!$B$5:$B$205,MATCH($B174,LE_Curves!$C$5:$C$205,1)+1)-INDEX(LE_Curves!$B$5:$B$205,MATCH($B174,LE_Curves!$C$5:$C$205,1)))/(INDEX(LE_Curves!$C$5:$C$205,MATCH($B174,LE_Curves!$C$5:$C$205,1)+1)-INDEX(LE_Curves!$C$5:$C$205,MATCH($B174,LE_Curves!$C$5:$C$205,1))))))</f>
        <v/>
      </c>
      <c r="D174" s="11">
        <f>IF(Inputs!$D$24=0,0,IF($B174&lt;=Inputs!$C$24,0,IF($B174&gt;=INDEX(LE_Curves!$D$5:$D$205,201),INDEX(LE_Curves!$B$5:$B$205,201),INDEX(LE_Curves!$B$5:$B$205,MATCH($B174,LE_Curves!$D$5:$D$205,1))+($B174-INDEX(LE_Curves!$D$5:$D$205,MATCH($B174,LE_Curves!$D$5:$D$205,1)))*(INDEX(LE_Curves!$B$5:$B$205,MATCH($B174,LE_Curves!$D$5:$D$205,1)+1)-INDEX(LE_Curves!$B$5:$B$205,MATCH($B174,LE_Curves!$D$5:$D$205,1)))/(INDEX(LE_Curves!$D$5:$D$205,MATCH($B174,LE_Curves!$D$5:$D$205,1)+1)-INDEX(LE_Curves!$D$5:$D$205,MATCH($B174,LE_Curves!$D$5:$D$205,1))))))</f>
        <v/>
      </c>
      <c r="E174" s="11">
        <f>IF(Inputs!$D$25=0,0,IF($B174&lt;=Inputs!$C$25,0,IF($B174&gt;=INDEX(LE_Curves!$E$5:$E$205,201),INDEX(LE_Curves!$B$5:$B$205,201),INDEX(LE_Curves!$B$5:$B$205,MATCH($B174,LE_Curves!$E$5:$E$205,1))+($B174-INDEX(LE_Curves!$E$5:$E$205,MATCH($B174,LE_Curves!$E$5:$E$205,1)))*(INDEX(LE_Curves!$B$5:$B$205,MATCH($B174,LE_Curves!$E$5:$E$205,1)+1)-INDEX(LE_Curves!$B$5:$B$205,MATCH($B174,LE_Curves!$E$5:$E$205,1)))/(INDEX(LE_Curves!$E$5:$E$205,MATCH($B174,LE_Curves!$E$5:$E$205,1)+1)-INDEX(LE_Curves!$E$5:$E$205,MATCH($B174,LE_Curves!$E$5:$E$205,1))))))</f>
        <v/>
      </c>
      <c r="F174" s="11">
        <f>IF(Inputs!$D$26=0,0,IF($B174&lt;=Inputs!$C$26,0,IF($B174&gt;=INDEX(LE_Curves!$F$5:$F$205,201),INDEX(LE_Curves!$B$5:$B$205,201),INDEX(LE_Curves!$B$5:$B$205,MATCH($B174,LE_Curves!$F$5:$F$205,1))+($B174-INDEX(LE_Curves!$F$5:$F$205,MATCH($B174,LE_Curves!$F$5:$F$205,1)))*(INDEX(LE_Curves!$B$5:$B$205,MATCH($B174,LE_Curves!$F$5:$F$205,1)+1)-INDEX(LE_Curves!$B$5:$B$205,MATCH($B174,LE_Curves!$F$5:$F$205,1)))/(INDEX(LE_Curves!$F$5:$F$205,MATCH($B174,LE_Curves!$F$5:$F$205,1)+1)-INDEX(LE_Curves!$F$5:$F$205,MATCH($B174,LE_Curves!$F$5:$F$205,1))))))</f>
        <v/>
      </c>
      <c r="G174" s="11">
        <f>IF(Inputs!$D$27=0,0,IF($B174&lt;=Inputs!$C$27,0,IF($B174&gt;=INDEX(LE_Curves!$G$5:$G$205,201),INDEX(LE_Curves!$B$5:$B$205,201),INDEX(LE_Curves!$B$5:$B$205,MATCH($B174,LE_Curves!$G$5:$G$205,1))+($B174-INDEX(LE_Curves!$G$5:$G$205,MATCH($B174,LE_Curves!$G$5:$G$205,1)))*(INDEX(LE_Curves!$B$5:$B$205,MATCH($B174,LE_Curves!$G$5:$G$205,1)+1)-INDEX(LE_Curves!$B$5:$B$205,MATCH($B174,LE_Curves!$G$5:$G$205,1)))/(INDEX(LE_Curves!$G$5:$G$205,MATCH($B174,LE_Curves!$G$5:$G$205,1)+1)-INDEX(LE_Curves!$G$5:$G$205,MATCH($B174,LE_Curves!$G$5:$G$205,1))))))</f>
        <v/>
      </c>
      <c r="H174" s="11">
        <f>IF(Inputs!$D$28=0,0,IF($B174&lt;=Inputs!$C$28,0,IF($B174&gt;=INDEX(LE_Curves!$H$5:$H$205,201),INDEX(LE_Curves!$B$5:$B$205,201),INDEX(LE_Curves!$B$5:$B$205,MATCH($B174,LE_Curves!$H$5:$H$205,1))+($B174-INDEX(LE_Curves!$H$5:$H$205,MATCH($B174,LE_Curves!$H$5:$H$205,1)))*(INDEX(LE_Curves!$B$5:$B$205,MATCH($B174,LE_Curves!$H$5:$H$205,1)+1)-INDEX(LE_Curves!$B$5:$B$205,MATCH($B174,LE_Curves!$H$5:$H$205,1)))/(INDEX(LE_Curves!$H$5:$H$205,MATCH($B174,LE_Curves!$H$5:$H$205,1)+1)-INDEX(LE_Curves!$H$5:$H$205,MATCH($B174,LE_Curves!$H$5:$H$205,1))))))</f>
        <v/>
      </c>
      <c r="I174" s="11">
        <f>IF(Inputs!$D$29=0,0,IF($B174&lt;=Inputs!$C$29,0,IF($B174&gt;=INDEX(LE_Curves!$I$5:$I$205,201),INDEX(LE_Curves!$B$5:$B$205,201),INDEX(LE_Curves!$B$5:$B$205,MATCH($B174,LE_Curves!$I$5:$I$205,1))+($B174-INDEX(LE_Curves!$I$5:$I$205,MATCH($B174,LE_Curves!$I$5:$I$205,1)))*(INDEX(LE_Curves!$B$5:$B$205,MATCH($B174,LE_Curves!$I$5:$I$205,1)+1)-INDEX(LE_Curves!$B$5:$B$205,MATCH($B174,LE_Curves!$I$5:$I$205,1)))/(INDEX(LE_Curves!$I$5:$I$205,MATCH($B174,LE_Curves!$I$5:$I$205,1)+1)-INDEX(LE_Curves!$I$5:$I$205,MATCH($B174,LE_Curves!$I$5:$I$205,1))))))</f>
        <v/>
      </c>
      <c r="J174" s="11">
        <f>IF(Inputs!$D$30=0,0,IF($B174&lt;=Inputs!$C$30,0,IF($B174&gt;=INDEX(LE_Curves!$J$5:$J$205,201),INDEX(LE_Curves!$B$5:$B$205,201),INDEX(LE_Curves!$B$5:$B$205,MATCH($B174,LE_Curves!$J$5:$J$205,1))+($B174-INDEX(LE_Curves!$J$5:$J$205,MATCH($B174,LE_Curves!$J$5:$J$205,1)))*(INDEX(LE_Curves!$B$5:$B$205,MATCH($B174,LE_Curves!$J$5:$J$205,1)+1)-INDEX(LE_Curves!$B$5:$B$205,MATCH($B174,LE_Curves!$J$5:$J$205,1)))/(INDEX(LE_Curves!$J$5:$J$205,MATCH($B174,LE_Curves!$J$5:$J$205,1)+1)-INDEX(LE_Curves!$J$5:$J$205,MATCH($B174,LE_Curves!$J$5:$J$205,1))))))</f>
        <v/>
      </c>
      <c r="K174" s="11">
        <f>IF(Inputs!$D$31=0,0,IF($B174&lt;=Inputs!$C$31,0,IF($B174&gt;=INDEX(LE_Curves!$K$5:$K$205,201),INDEX(LE_Curves!$B$5:$B$205,201),INDEX(LE_Curves!$B$5:$B$205,MATCH($B174,LE_Curves!$K$5:$K$205,1))+($B174-INDEX(LE_Curves!$K$5:$K$205,MATCH($B174,LE_Curves!$K$5:$K$205,1)))*(INDEX(LE_Curves!$B$5:$B$205,MATCH($B174,LE_Curves!$K$5:$K$205,1)+1)-INDEX(LE_Curves!$B$5:$B$205,MATCH($B174,LE_Curves!$K$5:$K$205,1)))/(INDEX(LE_Curves!$K$5:$K$205,MATCH($B174,LE_Curves!$K$5:$K$205,1)+1)-INDEX(LE_Curves!$K$5:$K$205,MATCH($B174,LE_Curves!$K$5:$K$205,1))))))</f>
        <v/>
      </c>
      <c r="L174" s="11">
        <f>IF(Inputs!$D$32=0,0,IF($B174&lt;=Inputs!$C$32,0,IF($B174&gt;=INDEX(LE_Curves!$L$5:$L$205,201),INDEX(LE_Curves!$B$5:$B$205,201),INDEX(LE_Curves!$B$5:$B$205,MATCH($B174,LE_Curves!$L$5:$L$205,1))+($B174-INDEX(LE_Curves!$L$5:$L$205,MATCH($B174,LE_Curves!$L$5:$L$205,1)))*(INDEX(LE_Curves!$B$5:$B$205,MATCH($B174,LE_Curves!$L$5:$L$205,1)+1)-INDEX(LE_Curves!$B$5:$B$205,MATCH($B174,LE_Curves!$L$5:$L$205,1)))/(INDEX(LE_Curves!$L$5:$L$205,MATCH($B174,LE_Curves!$L$5:$L$205,1)+1)-INDEX(LE_Curves!$L$5:$L$205,MATCH($B174,LE_Curves!$L$5:$L$205,1))))))</f>
        <v/>
      </c>
      <c r="M174" s="11">
        <f>IF(Inputs!$D$33=0,0,IF($B174&lt;=Inputs!$C$33,0,IF($B174&gt;=INDEX(LE_Curves!$M$5:$M$205,201),INDEX(LE_Curves!$B$5:$B$205,201),INDEX(LE_Curves!$B$5:$B$205,MATCH($B174,LE_Curves!$M$5:$M$205,1))+($B174-INDEX(LE_Curves!$M$5:$M$205,MATCH($B174,LE_Curves!$M$5:$M$205,1)))*(INDEX(LE_Curves!$B$5:$B$205,MATCH($B174,LE_Curves!$M$5:$M$205,1)+1)-INDEX(LE_Curves!$B$5:$B$205,MATCH($B174,LE_Curves!$M$5:$M$205,1)))/(INDEX(LE_Curves!$M$5:$M$205,MATCH($B174,LE_Curves!$M$5:$M$205,1)+1)-INDEX(LE_Curves!$M$5:$M$205,MATCH($B174,LE_Curves!$M$5:$M$205,1))))))</f>
        <v/>
      </c>
      <c r="N174" s="11">
        <f>IF(Inputs!$D$34=0,0,IF($B174&lt;=Inputs!$C$34,0,IF($B174&gt;=INDEX(LE_Curves!$N$5:$N$205,201),INDEX(LE_Curves!$B$5:$B$205,201),INDEX(LE_Curves!$B$5:$B$205,MATCH($B174,LE_Curves!$N$5:$N$205,1))+($B174-INDEX(LE_Curves!$N$5:$N$205,MATCH($B174,LE_Curves!$N$5:$N$205,1)))*(INDEX(LE_Curves!$B$5:$B$205,MATCH($B174,LE_Curves!$N$5:$N$205,1)+1)-INDEX(LE_Curves!$B$5:$B$205,MATCH($B174,LE_Curves!$N$5:$N$205,1)))/(INDEX(LE_Curves!$N$5:$N$205,MATCH($B174,LE_Curves!$N$5:$N$205,1)+1)-INDEX(LE_Curves!$N$5:$N$205,MATCH($B174,LE_Curves!$N$5:$N$205,1))))))</f>
        <v/>
      </c>
      <c r="O174" s="11">
        <f>SUM(C174:N174)</f>
        <v/>
      </c>
      <c r="Q174" s="7" t="n">
        <v>143</v>
      </c>
      <c r="R174" s="23">
        <f>$B$6+($B$7-$B$6)*Q174/200</f>
        <v/>
      </c>
      <c r="S174" s="11">
        <f>IF(Inputs!$D$23=0,0,IF($R174&lt;=Inputs!$C$23,0,IF($R174&gt;=INDEX(LE_Curves!$C$5:$C$205,201),INDEX(LE_Curves!$B$5:$B$205,201),INDEX(LE_Curves!$B$5:$B$205,MATCH($R174,LE_Curves!$C$5:$C$205,1))+($R174-INDEX(LE_Curves!$C$5:$C$205,MATCH($R174,LE_Curves!$C$5:$C$205,1)))*(INDEX(LE_Curves!$B$5:$B$205,MATCH($R174,LE_Curves!$C$5:$C$205,1)+1)-INDEX(LE_Curves!$B$5:$B$205,MATCH($R174,LE_Curves!$C$5:$C$205,1)))/(INDEX(LE_Curves!$C$5:$C$205,MATCH($R174,LE_Curves!$C$5:$C$205,1)+1)-INDEX(LE_Curves!$C$5:$C$205,MATCH($R174,LE_Curves!$C$5:$C$205,1))))))</f>
        <v/>
      </c>
      <c r="T174" s="11">
        <f>IF(Inputs!$D$24=0,0,IF($R174&lt;=Inputs!$C$24,0,IF($R174&gt;=INDEX(LE_Curves!$D$5:$D$205,201),INDEX(LE_Curves!$B$5:$B$205,201),INDEX(LE_Curves!$B$5:$B$205,MATCH($R174,LE_Curves!$D$5:$D$205,1))+($R174-INDEX(LE_Curves!$D$5:$D$205,MATCH($R174,LE_Curves!$D$5:$D$205,1)))*(INDEX(LE_Curves!$B$5:$B$205,MATCH($R174,LE_Curves!$D$5:$D$205,1)+1)-INDEX(LE_Curves!$B$5:$B$205,MATCH($R174,LE_Curves!$D$5:$D$205,1)))/(INDEX(LE_Curves!$D$5:$D$205,MATCH($R174,LE_Curves!$D$5:$D$205,1)+1)-INDEX(LE_Curves!$D$5:$D$205,MATCH($R174,LE_Curves!$D$5:$D$205,1))))))</f>
        <v/>
      </c>
      <c r="U174" s="11">
        <f>IF(Inputs!$D$25=0,0,IF($R174&lt;=Inputs!$C$25,0,IF($R174&gt;=INDEX(LE_Curves!$E$5:$E$205,201),INDEX(LE_Curves!$B$5:$B$205,201),INDEX(LE_Curves!$B$5:$B$205,MATCH($R174,LE_Curves!$E$5:$E$205,1))+($R174-INDEX(LE_Curves!$E$5:$E$205,MATCH($R174,LE_Curves!$E$5:$E$205,1)))*(INDEX(LE_Curves!$B$5:$B$205,MATCH($R174,LE_Curves!$E$5:$E$205,1)+1)-INDEX(LE_Curves!$B$5:$B$205,MATCH($R174,LE_Curves!$E$5:$E$205,1)))/(INDEX(LE_Curves!$E$5:$E$205,MATCH($R174,LE_Curves!$E$5:$E$205,1)+1)-INDEX(LE_Curves!$E$5:$E$205,MATCH($R174,LE_Curves!$E$5:$E$205,1))))))</f>
        <v/>
      </c>
      <c r="V174" s="11">
        <f>IF(Inputs!$D$26=0,0,IF($R174&lt;=Inputs!$C$26,0,IF($R174&gt;=INDEX(LE_Curves!$F$5:$F$205,201),INDEX(LE_Curves!$B$5:$B$205,201),INDEX(LE_Curves!$B$5:$B$205,MATCH($R174,LE_Curves!$F$5:$F$205,1))+($R174-INDEX(LE_Curves!$F$5:$F$205,MATCH($R174,LE_Curves!$F$5:$F$205,1)))*(INDEX(LE_Curves!$B$5:$B$205,MATCH($R174,LE_Curves!$F$5:$F$205,1)+1)-INDEX(LE_Curves!$B$5:$B$205,MATCH($R174,LE_Curves!$F$5:$F$205,1)))/(INDEX(LE_Curves!$F$5:$F$205,MATCH($R174,LE_Curves!$F$5:$F$205,1)+1)-INDEX(LE_Curves!$F$5:$F$205,MATCH($R174,LE_Curves!$F$5:$F$205,1))))))</f>
        <v/>
      </c>
      <c r="W174" s="11">
        <f>IF(Inputs!$D$27=0,0,IF($R174&lt;=Inputs!$C$27,0,IF($R174&gt;=INDEX(LE_Curves!$G$5:$G$205,201),INDEX(LE_Curves!$B$5:$B$205,201),INDEX(LE_Curves!$B$5:$B$205,MATCH($R174,LE_Curves!$G$5:$G$205,1))+($R174-INDEX(LE_Curves!$G$5:$G$205,MATCH($R174,LE_Curves!$G$5:$G$205,1)))*(INDEX(LE_Curves!$B$5:$B$205,MATCH($R174,LE_Curves!$G$5:$G$205,1)+1)-INDEX(LE_Curves!$B$5:$B$205,MATCH($R174,LE_Curves!$G$5:$G$205,1)))/(INDEX(LE_Curves!$G$5:$G$205,MATCH($R174,LE_Curves!$G$5:$G$205,1)+1)-INDEX(LE_Curves!$G$5:$G$205,MATCH($R174,LE_Curves!$G$5:$G$205,1))))))</f>
        <v/>
      </c>
      <c r="X174" s="11">
        <f>IF(Inputs!$D$28=0,0,IF($R174&lt;=Inputs!$C$28,0,IF($R174&gt;=INDEX(LE_Curves!$H$5:$H$205,201),INDEX(LE_Curves!$B$5:$B$205,201),INDEX(LE_Curves!$B$5:$B$205,MATCH($R174,LE_Curves!$H$5:$H$205,1))+($R174-INDEX(LE_Curves!$H$5:$H$205,MATCH($R174,LE_Curves!$H$5:$H$205,1)))*(INDEX(LE_Curves!$B$5:$B$205,MATCH($R174,LE_Curves!$H$5:$H$205,1)+1)-INDEX(LE_Curves!$B$5:$B$205,MATCH($R174,LE_Curves!$H$5:$H$205,1)))/(INDEX(LE_Curves!$H$5:$H$205,MATCH($R174,LE_Curves!$H$5:$H$205,1)+1)-INDEX(LE_Curves!$H$5:$H$205,MATCH($R174,LE_Curves!$H$5:$H$205,1))))))</f>
        <v/>
      </c>
      <c r="Y174" s="11">
        <f>IF(Inputs!$D$29=0,0,IF($R174&lt;=Inputs!$C$29,0,IF($R174&gt;=INDEX(LE_Curves!$I$5:$I$205,201),INDEX(LE_Curves!$B$5:$B$205,201),INDEX(LE_Curves!$B$5:$B$205,MATCH($R174,LE_Curves!$I$5:$I$205,1))+($R174-INDEX(LE_Curves!$I$5:$I$205,MATCH($R174,LE_Curves!$I$5:$I$205,1)))*(INDEX(LE_Curves!$B$5:$B$205,MATCH($R174,LE_Curves!$I$5:$I$205,1)+1)-INDEX(LE_Curves!$B$5:$B$205,MATCH($R174,LE_Curves!$I$5:$I$205,1)))/(INDEX(LE_Curves!$I$5:$I$205,MATCH($R174,LE_Curves!$I$5:$I$205,1)+1)-INDEX(LE_Curves!$I$5:$I$205,MATCH($R174,LE_Curves!$I$5:$I$205,1))))))</f>
        <v/>
      </c>
      <c r="Z174" s="11">
        <f>IF(Inputs!$D$30=0,0,IF($R174&lt;=Inputs!$C$30,0,IF($R174&gt;=INDEX(LE_Curves!$J$5:$J$205,201),INDEX(LE_Curves!$B$5:$B$205,201),INDEX(LE_Curves!$B$5:$B$205,MATCH($R174,LE_Curves!$J$5:$J$205,1))+($R174-INDEX(LE_Curves!$J$5:$J$205,MATCH($R174,LE_Curves!$J$5:$J$205,1)))*(INDEX(LE_Curves!$B$5:$B$205,MATCH($R174,LE_Curves!$J$5:$J$205,1)+1)-INDEX(LE_Curves!$B$5:$B$205,MATCH($R174,LE_Curves!$J$5:$J$205,1)))/(INDEX(LE_Curves!$J$5:$J$205,MATCH($R174,LE_Curves!$J$5:$J$205,1)+1)-INDEX(LE_Curves!$J$5:$J$205,MATCH($R174,LE_Curves!$J$5:$J$205,1))))))</f>
        <v/>
      </c>
      <c r="AA174" s="11">
        <f>IF(Inputs!$D$31=0,0,IF($R174&lt;=Inputs!$C$31,0,IF($R174&gt;=INDEX(LE_Curves!$K$5:$K$205,201),INDEX(LE_Curves!$B$5:$B$205,201),INDEX(LE_Curves!$B$5:$B$205,MATCH($R174,LE_Curves!$K$5:$K$205,1))+($R174-INDEX(LE_Curves!$K$5:$K$205,MATCH($R174,LE_Curves!$K$5:$K$205,1)))*(INDEX(LE_Curves!$B$5:$B$205,MATCH($R174,LE_Curves!$K$5:$K$205,1)+1)-INDEX(LE_Curves!$B$5:$B$205,MATCH($R174,LE_Curves!$K$5:$K$205,1)))/(INDEX(LE_Curves!$K$5:$K$205,MATCH($R174,LE_Curves!$K$5:$K$205,1)+1)-INDEX(LE_Curves!$K$5:$K$205,MATCH($R174,LE_Curves!$K$5:$K$205,1))))))</f>
        <v/>
      </c>
      <c r="AB174" s="11">
        <f>IF(Inputs!$D$32=0,0,IF($R174&lt;=Inputs!$C$32,0,IF($R174&gt;=INDEX(LE_Curves!$L$5:$L$205,201),INDEX(LE_Curves!$B$5:$B$205,201),INDEX(LE_Curves!$B$5:$B$205,MATCH($R174,LE_Curves!$L$5:$L$205,1))+($R174-INDEX(LE_Curves!$L$5:$L$205,MATCH($R174,LE_Curves!$L$5:$L$205,1)))*(INDEX(LE_Curves!$B$5:$B$205,MATCH($R174,LE_Curves!$L$5:$L$205,1)+1)-INDEX(LE_Curves!$B$5:$B$205,MATCH($R174,LE_Curves!$L$5:$L$205,1)))/(INDEX(LE_Curves!$L$5:$L$205,MATCH($R174,LE_Curves!$L$5:$L$205,1)+1)-INDEX(LE_Curves!$L$5:$L$205,MATCH($R174,LE_Curves!$L$5:$L$205,1))))))</f>
        <v/>
      </c>
      <c r="AC174" s="11">
        <f>IF(Inputs!$D$33=0,0,IF($R174&lt;=Inputs!$C$33,0,IF($R174&gt;=INDEX(LE_Curves!$M$5:$M$205,201),INDEX(LE_Curves!$B$5:$B$205,201),INDEX(LE_Curves!$B$5:$B$205,MATCH($R174,LE_Curves!$M$5:$M$205,1))+($R174-INDEX(LE_Curves!$M$5:$M$205,MATCH($R174,LE_Curves!$M$5:$M$205,1)))*(INDEX(LE_Curves!$B$5:$B$205,MATCH($R174,LE_Curves!$M$5:$M$205,1)+1)-INDEX(LE_Curves!$B$5:$B$205,MATCH($R174,LE_Curves!$M$5:$M$205,1)))/(INDEX(LE_Curves!$M$5:$M$205,MATCH($R174,LE_Curves!$M$5:$M$205,1)+1)-INDEX(LE_Curves!$M$5:$M$205,MATCH($R174,LE_Curves!$M$5:$M$205,1))))))</f>
        <v/>
      </c>
      <c r="AD174" s="11">
        <f>IF(Inputs!$D$34=0,0,IF($R174&lt;=Inputs!$C$34,0,IF($R174&gt;=INDEX(LE_Curves!$N$5:$N$205,201),INDEX(LE_Curves!$B$5:$B$205,201),INDEX(LE_Curves!$B$5:$B$205,MATCH($R174,LE_Curves!$N$5:$N$205,1))+($R174-INDEX(LE_Curves!$N$5:$N$205,MATCH($R174,LE_Curves!$N$5:$N$205,1)))*(INDEX(LE_Curves!$B$5:$B$205,MATCH($R174,LE_Curves!$N$5:$N$205,1)+1)-INDEX(LE_Curves!$B$5:$B$205,MATCH($R174,LE_Curves!$N$5:$N$205,1)))/(INDEX(LE_Curves!$N$5:$N$205,MATCH($R174,LE_Curves!$N$5:$N$205,1)+1)-INDEX(LE_Curves!$N$5:$N$205,MATCH($R174,LE_Curves!$N$5:$N$205,1))))))</f>
        <v/>
      </c>
      <c r="AE174" s="37">
        <f>SUM(S174:AD174)</f>
        <v/>
      </c>
    </row>
    <row r="175">
      <c r="A175" s="7" t="n">
        <v>144</v>
      </c>
      <c r="B175" s="37">
        <f>$B$3+($B$4-$B$3)*A175/200</f>
        <v/>
      </c>
      <c r="C175" s="11">
        <f>IF(Inputs!$D$23=0,0,IF($B175&lt;=Inputs!$C$23,0,IF($B175&gt;=INDEX(LE_Curves!$C$5:$C$205,201),INDEX(LE_Curves!$B$5:$B$205,201),INDEX(LE_Curves!$B$5:$B$205,MATCH($B175,LE_Curves!$C$5:$C$205,1))+($B175-INDEX(LE_Curves!$C$5:$C$205,MATCH($B175,LE_Curves!$C$5:$C$205,1)))*(INDEX(LE_Curves!$B$5:$B$205,MATCH($B175,LE_Curves!$C$5:$C$205,1)+1)-INDEX(LE_Curves!$B$5:$B$205,MATCH($B175,LE_Curves!$C$5:$C$205,1)))/(INDEX(LE_Curves!$C$5:$C$205,MATCH($B175,LE_Curves!$C$5:$C$205,1)+1)-INDEX(LE_Curves!$C$5:$C$205,MATCH($B175,LE_Curves!$C$5:$C$205,1))))))</f>
        <v/>
      </c>
      <c r="D175" s="11">
        <f>IF(Inputs!$D$24=0,0,IF($B175&lt;=Inputs!$C$24,0,IF($B175&gt;=INDEX(LE_Curves!$D$5:$D$205,201),INDEX(LE_Curves!$B$5:$B$205,201),INDEX(LE_Curves!$B$5:$B$205,MATCH($B175,LE_Curves!$D$5:$D$205,1))+($B175-INDEX(LE_Curves!$D$5:$D$205,MATCH($B175,LE_Curves!$D$5:$D$205,1)))*(INDEX(LE_Curves!$B$5:$B$205,MATCH($B175,LE_Curves!$D$5:$D$205,1)+1)-INDEX(LE_Curves!$B$5:$B$205,MATCH($B175,LE_Curves!$D$5:$D$205,1)))/(INDEX(LE_Curves!$D$5:$D$205,MATCH($B175,LE_Curves!$D$5:$D$205,1)+1)-INDEX(LE_Curves!$D$5:$D$205,MATCH($B175,LE_Curves!$D$5:$D$205,1))))))</f>
        <v/>
      </c>
      <c r="E175" s="11">
        <f>IF(Inputs!$D$25=0,0,IF($B175&lt;=Inputs!$C$25,0,IF($B175&gt;=INDEX(LE_Curves!$E$5:$E$205,201),INDEX(LE_Curves!$B$5:$B$205,201),INDEX(LE_Curves!$B$5:$B$205,MATCH($B175,LE_Curves!$E$5:$E$205,1))+($B175-INDEX(LE_Curves!$E$5:$E$205,MATCH($B175,LE_Curves!$E$5:$E$205,1)))*(INDEX(LE_Curves!$B$5:$B$205,MATCH($B175,LE_Curves!$E$5:$E$205,1)+1)-INDEX(LE_Curves!$B$5:$B$205,MATCH($B175,LE_Curves!$E$5:$E$205,1)))/(INDEX(LE_Curves!$E$5:$E$205,MATCH($B175,LE_Curves!$E$5:$E$205,1)+1)-INDEX(LE_Curves!$E$5:$E$205,MATCH($B175,LE_Curves!$E$5:$E$205,1))))))</f>
        <v/>
      </c>
      <c r="F175" s="11">
        <f>IF(Inputs!$D$26=0,0,IF($B175&lt;=Inputs!$C$26,0,IF($B175&gt;=INDEX(LE_Curves!$F$5:$F$205,201),INDEX(LE_Curves!$B$5:$B$205,201),INDEX(LE_Curves!$B$5:$B$205,MATCH($B175,LE_Curves!$F$5:$F$205,1))+($B175-INDEX(LE_Curves!$F$5:$F$205,MATCH($B175,LE_Curves!$F$5:$F$205,1)))*(INDEX(LE_Curves!$B$5:$B$205,MATCH($B175,LE_Curves!$F$5:$F$205,1)+1)-INDEX(LE_Curves!$B$5:$B$205,MATCH($B175,LE_Curves!$F$5:$F$205,1)))/(INDEX(LE_Curves!$F$5:$F$205,MATCH($B175,LE_Curves!$F$5:$F$205,1)+1)-INDEX(LE_Curves!$F$5:$F$205,MATCH($B175,LE_Curves!$F$5:$F$205,1))))))</f>
        <v/>
      </c>
      <c r="G175" s="11">
        <f>IF(Inputs!$D$27=0,0,IF($B175&lt;=Inputs!$C$27,0,IF($B175&gt;=INDEX(LE_Curves!$G$5:$G$205,201),INDEX(LE_Curves!$B$5:$B$205,201),INDEX(LE_Curves!$B$5:$B$205,MATCH($B175,LE_Curves!$G$5:$G$205,1))+($B175-INDEX(LE_Curves!$G$5:$G$205,MATCH($B175,LE_Curves!$G$5:$G$205,1)))*(INDEX(LE_Curves!$B$5:$B$205,MATCH($B175,LE_Curves!$G$5:$G$205,1)+1)-INDEX(LE_Curves!$B$5:$B$205,MATCH($B175,LE_Curves!$G$5:$G$205,1)))/(INDEX(LE_Curves!$G$5:$G$205,MATCH($B175,LE_Curves!$G$5:$G$205,1)+1)-INDEX(LE_Curves!$G$5:$G$205,MATCH($B175,LE_Curves!$G$5:$G$205,1))))))</f>
        <v/>
      </c>
      <c r="H175" s="11">
        <f>IF(Inputs!$D$28=0,0,IF($B175&lt;=Inputs!$C$28,0,IF($B175&gt;=INDEX(LE_Curves!$H$5:$H$205,201),INDEX(LE_Curves!$B$5:$B$205,201),INDEX(LE_Curves!$B$5:$B$205,MATCH($B175,LE_Curves!$H$5:$H$205,1))+($B175-INDEX(LE_Curves!$H$5:$H$205,MATCH($B175,LE_Curves!$H$5:$H$205,1)))*(INDEX(LE_Curves!$B$5:$B$205,MATCH($B175,LE_Curves!$H$5:$H$205,1)+1)-INDEX(LE_Curves!$B$5:$B$205,MATCH($B175,LE_Curves!$H$5:$H$205,1)))/(INDEX(LE_Curves!$H$5:$H$205,MATCH($B175,LE_Curves!$H$5:$H$205,1)+1)-INDEX(LE_Curves!$H$5:$H$205,MATCH($B175,LE_Curves!$H$5:$H$205,1))))))</f>
        <v/>
      </c>
      <c r="I175" s="11">
        <f>IF(Inputs!$D$29=0,0,IF($B175&lt;=Inputs!$C$29,0,IF($B175&gt;=INDEX(LE_Curves!$I$5:$I$205,201),INDEX(LE_Curves!$B$5:$B$205,201),INDEX(LE_Curves!$B$5:$B$205,MATCH($B175,LE_Curves!$I$5:$I$205,1))+($B175-INDEX(LE_Curves!$I$5:$I$205,MATCH($B175,LE_Curves!$I$5:$I$205,1)))*(INDEX(LE_Curves!$B$5:$B$205,MATCH($B175,LE_Curves!$I$5:$I$205,1)+1)-INDEX(LE_Curves!$B$5:$B$205,MATCH($B175,LE_Curves!$I$5:$I$205,1)))/(INDEX(LE_Curves!$I$5:$I$205,MATCH($B175,LE_Curves!$I$5:$I$205,1)+1)-INDEX(LE_Curves!$I$5:$I$205,MATCH($B175,LE_Curves!$I$5:$I$205,1))))))</f>
        <v/>
      </c>
      <c r="J175" s="11">
        <f>IF(Inputs!$D$30=0,0,IF($B175&lt;=Inputs!$C$30,0,IF($B175&gt;=INDEX(LE_Curves!$J$5:$J$205,201),INDEX(LE_Curves!$B$5:$B$205,201),INDEX(LE_Curves!$B$5:$B$205,MATCH($B175,LE_Curves!$J$5:$J$205,1))+($B175-INDEX(LE_Curves!$J$5:$J$205,MATCH($B175,LE_Curves!$J$5:$J$205,1)))*(INDEX(LE_Curves!$B$5:$B$205,MATCH($B175,LE_Curves!$J$5:$J$205,1)+1)-INDEX(LE_Curves!$B$5:$B$205,MATCH($B175,LE_Curves!$J$5:$J$205,1)))/(INDEX(LE_Curves!$J$5:$J$205,MATCH($B175,LE_Curves!$J$5:$J$205,1)+1)-INDEX(LE_Curves!$J$5:$J$205,MATCH($B175,LE_Curves!$J$5:$J$205,1))))))</f>
        <v/>
      </c>
      <c r="K175" s="11">
        <f>IF(Inputs!$D$31=0,0,IF($B175&lt;=Inputs!$C$31,0,IF($B175&gt;=INDEX(LE_Curves!$K$5:$K$205,201),INDEX(LE_Curves!$B$5:$B$205,201),INDEX(LE_Curves!$B$5:$B$205,MATCH($B175,LE_Curves!$K$5:$K$205,1))+($B175-INDEX(LE_Curves!$K$5:$K$205,MATCH($B175,LE_Curves!$K$5:$K$205,1)))*(INDEX(LE_Curves!$B$5:$B$205,MATCH($B175,LE_Curves!$K$5:$K$205,1)+1)-INDEX(LE_Curves!$B$5:$B$205,MATCH($B175,LE_Curves!$K$5:$K$205,1)))/(INDEX(LE_Curves!$K$5:$K$205,MATCH($B175,LE_Curves!$K$5:$K$205,1)+1)-INDEX(LE_Curves!$K$5:$K$205,MATCH($B175,LE_Curves!$K$5:$K$205,1))))))</f>
        <v/>
      </c>
      <c r="L175" s="11">
        <f>IF(Inputs!$D$32=0,0,IF($B175&lt;=Inputs!$C$32,0,IF($B175&gt;=INDEX(LE_Curves!$L$5:$L$205,201),INDEX(LE_Curves!$B$5:$B$205,201),INDEX(LE_Curves!$B$5:$B$205,MATCH($B175,LE_Curves!$L$5:$L$205,1))+($B175-INDEX(LE_Curves!$L$5:$L$205,MATCH($B175,LE_Curves!$L$5:$L$205,1)))*(INDEX(LE_Curves!$B$5:$B$205,MATCH($B175,LE_Curves!$L$5:$L$205,1)+1)-INDEX(LE_Curves!$B$5:$B$205,MATCH($B175,LE_Curves!$L$5:$L$205,1)))/(INDEX(LE_Curves!$L$5:$L$205,MATCH($B175,LE_Curves!$L$5:$L$205,1)+1)-INDEX(LE_Curves!$L$5:$L$205,MATCH($B175,LE_Curves!$L$5:$L$205,1))))))</f>
        <v/>
      </c>
      <c r="M175" s="11">
        <f>IF(Inputs!$D$33=0,0,IF($B175&lt;=Inputs!$C$33,0,IF($B175&gt;=INDEX(LE_Curves!$M$5:$M$205,201),INDEX(LE_Curves!$B$5:$B$205,201),INDEX(LE_Curves!$B$5:$B$205,MATCH($B175,LE_Curves!$M$5:$M$205,1))+($B175-INDEX(LE_Curves!$M$5:$M$205,MATCH($B175,LE_Curves!$M$5:$M$205,1)))*(INDEX(LE_Curves!$B$5:$B$205,MATCH($B175,LE_Curves!$M$5:$M$205,1)+1)-INDEX(LE_Curves!$B$5:$B$205,MATCH($B175,LE_Curves!$M$5:$M$205,1)))/(INDEX(LE_Curves!$M$5:$M$205,MATCH($B175,LE_Curves!$M$5:$M$205,1)+1)-INDEX(LE_Curves!$M$5:$M$205,MATCH($B175,LE_Curves!$M$5:$M$205,1))))))</f>
        <v/>
      </c>
      <c r="N175" s="11">
        <f>IF(Inputs!$D$34=0,0,IF($B175&lt;=Inputs!$C$34,0,IF($B175&gt;=INDEX(LE_Curves!$N$5:$N$205,201),INDEX(LE_Curves!$B$5:$B$205,201),INDEX(LE_Curves!$B$5:$B$205,MATCH($B175,LE_Curves!$N$5:$N$205,1))+($B175-INDEX(LE_Curves!$N$5:$N$205,MATCH($B175,LE_Curves!$N$5:$N$205,1)))*(INDEX(LE_Curves!$B$5:$B$205,MATCH($B175,LE_Curves!$N$5:$N$205,1)+1)-INDEX(LE_Curves!$B$5:$B$205,MATCH($B175,LE_Curves!$N$5:$N$205,1)))/(INDEX(LE_Curves!$N$5:$N$205,MATCH($B175,LE_Curves!$N$5:$N$205,1)+1)-INDEX(LE_Curves!$N$5:$N$205,MATCH($B175,LE_Curves!$N$5:$N$205,1))))))</f>
        <v/>
      </c>
      <c r="O175" s="11">
        <f>SUM(C175:N175)</f>
        <v/>
      </c>
      <c r="Q175" s="7" t="n">
        <v>144</v>
      </c>
      <c r="R175" s="23">
        <f>$B$6+($B$7-$B$6)*Q175/200</f>
        <v/>
      </c>
      <c r="S175" s="11">
        <f>IF(Inputs!$D$23=0,0,IF($R175&lt;=Inputs!$C$23,0,IF($R175&gt;=INDEX(LE_Curves!$C$5:$C$205,201),INDEX(LE_Curves!$B$5:$B$205,201),INDEX(LE_Curves!$B$5:$B$205,MATCH($R175,LE_Curves!$C$5:$C$205,1))+($R175-INDEX(LE_Curves!$C$5:$C$205,MATCH($R175,LE_Curves!$C$5:$C$205,1)))*(INDEX(LE_Curves!$B$5:$B$205,MATCH($R175,LE_Curves!$C$5:$C$205,1)+1)-INDEX(LE_Curves!$B$5:$B$205,MATCH($R175,LE_Curves!$C$5:$C$205,1)))/(INDEX(LE_Curves!$C$5:$C$205,MATCH($R175,LE_Curves!$C$5:$C$205,1)+1)-INDEX(LE_Curves!$C$5:$C$205,MATCH($R175,LE_Curves!$C$5:$C$205,1))))))</f>
        <v/>
      </c>
      <c r="T175" s="11">
        <f>IF(Inputs!$D$24=0,0,IF($R175&lt;=Inputs!$C$24,0,IF($R175&gt;=INDEX(LE_Curves!$D$5:$D$205,201),INDEX(LE_Curves!$B$5:$B$205,201),INDEX(LE_Curves!$B$5:$B$205,MATCH($R175,LE_Curves!$D$5:$D$205,1))+($R175-INDEX(LE_Curves!$D$5:$D$205,MATCH($R175,LE_Curves!$D$5:$D$205,1)))*(INDEX(LE_Curves!$B$5:$B$205,MATCH($R175,LE_Curves!$D$5:$D$205,1)+1)-INDEX(LE_Curves!$B$5:$B$205,MATCH($R175,LE_Curves!$D$5:$D$205,1)))/(INDEX(LE_Curves!$D$5:$D$205,MATCH($R175,LE_Curves!$D$5:$D$205,1)+1)-INDEX(LE_Curves!$D$5:$D$205,MATCH($R175,LE_Curves!$D$5:$D$205,1))))))</f>
        <v/>
      </c>
      <c r="U175" s="11">
        <f>IF(Inputs!$D$25=0,0,IF($R175&lt;=Inputs!$C$25,0,IF($R175&gt;=INDEX(LE_Curves!$E$5:$E$205,201),INDEX(LE_Curves!$B$5:$B$205,201),INDEX(LE_Curves!$B$5:$B$205,MATCH($R175,LE_Curves!$E$5:$E$205,1))+($R175-INDEX(LE_Curves!$E$5:$E$205,MATCH($R175,LE_Curves!$E$5:$E$205,1)))*(INDEX(LE_Curves!$B$5:$B$205,MATCH($R175,LE_Curves!$E$5:$E$205,1)+1)-INDEX(LE_Curves!$B$5:$B$205,MATCH($R175,LE_Curves!$E$5:$E$205,1)))/(INDEX(LE_Curves!$E$5:$E$205,MATCH($R175,LE_Curves!$E$5:$E$205,1)+1)-INDEX(LE_Curves!$E$5:$E$205,MATCH($R175,LE_Curves!$E$5:$E$205,1))))))</f>
        <v/>
      </c>
      <c r="V175" s="11">
        <f>IF(Inputs!$D$26=0,0,IF($R175&lt;=Inputs!$C$26,0,IF($R175&gt;=INDEX(LE_Curves!$F$5:$F$205,201),INDEX(LE_Curves!$B$5:$B$205,201),INDEX(LE_Curves!$B$5:$B$205,MATCH($R175,LE_Curves!$F$5:$F$205,1))+($R175-INDEX(LE_Curves!$F$5:$F$205,MATCH($R175,LE_Curves!$F$5:$F$205,1)))*(INDEX(LE_Curves!$B$5:$B$205,MATCH($R175,LE_Curves!$F$5:$F$205,1)+1)-INDEX(LE_Curves!$B$5:$B$205,MATCH($R175,LE_Curves!$F$5:$F$205,1)))/(INDEX(LE_Curves!$F$5:$F$205,MATCH($R175,LE_Curves!$F$5:$F$205,1)+1)-INDEX(LE_Curves!$F$5:$F$205,MATCH($R175,LE_Curves!$F$5:$F$205,1))))))</f>
        <v/>
      </c>
      <c r="W175" s="11">
        <f>IF(Inputs!$D$27=0,0,IF($R175&lt;=Inputs!$C$27,0,IF($R175&gt;=INDEX(LE_Curves!$G$5:$G$205,201),INDEX(LE_Curves!$B$5:$B$205,201),INDEX(LE_Curves!$B$5:$B$205,MATCH($R175,LE_Curves!$G$5:$G$205,1))+($R175-INDEX(LE_Curves!$G$5:$G$205,MATCH($R175,LE_Curves!$G$5:$G$205,1)))*(INDEX(LE_Curves!$B$5:$B$205,MATCH($R175,LE_Curves!$G$5:$G$205,1)+1)-INDEX(LE_Curves!$B$5:$B$205,MATCH($R175,LE_Curves!$G$5:$G$205,1)))/(INDEX(LE_Curves!$G$5:$G$205,MATCH($R175,LE_Curves!$G$5:$G$205,1)+1)-INDEX(LE_Curves!$G$5:$G$205,MATCH($R175,LE_Curves!$G$5:$G$205,1))))))</f>
        <v/>
      </c>
      <c r="X175" s="11">
        <f>IF(Inputs!$D$28=0,0,IF($R175&lt;=Inputs!$C$28,0,IF($R175&gt;=INDEX(LE_Curves!$H$5:$H$205,201),INDEX(LE_Curves!$B$5:$B$205,201),INDEX(LE_Curves!$B$5:$B$205,MATCH($R175,LE_Curves!$H$5:$H$205,1))+($R175-INDEX(LE_Curves!$H$5:$H$205,MATCH($R175,LE_Curves!$H$5:$H$205,1)))*(INDEX(LE_Curves!$B$5:$B$205,MATCH($R175,LE_Curves!$H$5:$H$205,1)+1)-INDEX(LE_Curves!$B$5:$B$205,MATCH($R175,LE_Curves!$H$5:$H$205,1)))/(INDEX(LE_Curves!$H$5:$H$205,MATCH($R175,LE_Curves!$H$5:$H$205,1)+1)-INDEX(LE_Curves!$H$5:$H$205,MATCH($R175,LE_Curves!$H$5:$H$205,1))))))</f>
        <v/>
      </c>
      <c r="Y175" s="11">
        <f>IF(Inputs!$D$29=0,0,IF($R175&lt;=Inputs!$C$29,0,IF($R175&gt;=INDEX(LE_Curves!$I$5:$I$205,201),INDEX(LE_Curves!$B$5:$B$205,201),INDEX(LE_Curves!$B$5:$B$205,MATCH($R175,LE_Curves!$I$5:$I$205,1))+($R175-INDEX(LE_Curves!$I$5:$I$205,MATCH($R175,LE_Curves!$I$5:$I$205,1)))*(INDEX(LE_Curves!$B$5:$B$205,MATCH($R175,LE_Curves!$I$5:$I$205,1)+1)-INDEX(LE_Curves!$B$5:$B$205,MATCH($R175,LE_Curves!$I$5:$I$205,1)))/(INDEX(LE_Curves!$I$5:$I$205,MATCH($R175,LE_Curves!$I$5:$I$205,1)+1)-INDEX(LE_Curves!$I$5:$I$205,MATCH($R175,LE_Curves!$I$5:$I$205,1))))))</f>
        <v/>
      </c>
      <c r="Z175" s="11">
        <f>IF(Inputs!$D$30=0,0,IF($R175&lt;=Inputs!$C$30,0,IF($R175&gt;=INDEX(LE_Curves!$J$5:$J$205,201),INDEX(LE_Curves!$B$5:$B$205,201),INDEX(LE_Curves!$B$5:$B$205,MATCH($R175,LE_Curves!$J$5:$J$205,1))+($R175-INDEX(LE_Curves!$J$5:$J$205,MATCH($R175,LE_Curves!$J$5:$J$205,1)))*(INDEX(LE_Curves!$B$5:$B$205,MATCH($R175,LE_Curves!$J$5:$J$205,1)+1)-INDEX(LE_Curves!$B$5:$B$205,MATCH($R175,LE_Curves!$J$5:$J$205,1)))/(INDEX(LE_Curves!$J$5:$J$205,MATCH($R175,LE_Curves!$J$5:$J$205,1)+1)-INDEX(LE_Curves!$J$5:$J$205,MATCH($R175,LE_Curves!$J$5:$J$205,1))))))</f>
        <v/>
      </c>
      <c r="AA175" s="11">
        <f>IF(Inputs!$D$31=0,0,IF($R175&lt;=Inputs!$C$31,0,IF($R175&gt;=INDEX(LE_Curves!$K$5:$K$205,201),INDEX(LE_Curves!$B$5:$B$205,201),INDEX(LE_Curves!$B$5:$B$205,MATCH($R175,LE_Curves!$K$5:$K$205,1))+($R175-INDEX(LE_Curves!$K$5:$K$205,MATCH($R175,LE_Curves!$K$5:$K$205,1)))*(INDEX(LE_Curves!$B$5:$B$205,MATCH($R175,LE_Curves!$K$5:$K$205,1)+1)-INDEX(LE_Curves!$B$5:$B$205,MATCH($R175,LE_Curves!$K$5:$K$205,1)))/(INDEX(LE_Curves!$K$5:$K$205,MATCH($R175,LE_Curves!$K$5:$K$205,1)+1)-INDEX(LE_Curves!$K$5:$K$205,MATCH($R175,LE_Curves!$K$5:$K$205,1))))))</f>
        <v/>
      </c>
      <c r="AB175" s="11">
        <f>IF(Inputs!$D$32=0,0,IF($R175&lt;=Inputs!$C$32,0,IF($R175&gt;=INDEX(LE_Curves!$L$5:$L$205,201),INDEX(LE_Curves!$B$5:$B$205,201),INDEX(LE_Curves!$B$5:$B$205,MATCH($R175,LE_Curves!$L$5:$L$205,1))+($R175-INDEX(LE_Curves!$L$5:$L$205,MATCH($R175,LE_Curves!$L$5:$L$205,1)))*(INDEX(LE_Curves!$B$5:$B$205,MATCH($R175,LE_Curves!$L$5:$L$205,1)+1)-INDEX(LE_Curves!$B$5:$B$205,MATCH($R175,LE_Curves!$L$5:$L$205,1)))/(INDEX(LE_Curves!$L$5:$L$205,MATCH($R175,LE_Curves!$L$5:$L$205,1)+1)-INDEX(LE_Curves!$L$5:$L$205,MATCH($R175,LE_Curves!$L$5:$L$205,1))))))</f>
        <v/>
      </c>
      <c r="AC175" s="11">
        <f>IF(Inputs!$D$33=0,0,IF($R175&lt;=Inputs!$C$33,0,IF($R175&gt;=INDEX(LE_Curves!$M$5:$M$205,201),INDEX(LE_Curves!$B$5:$B$205,201),INDEX(LE_Curves!$B$5:$B$205,MATCH($R175,LE_Curves!$M$5:$M$205,1))+($R175-INDEX(LE_Curves!$M$5:$M$205,MATCH($R175,LE_Curves!$M$5:$M$205,1)))*(INDEX(LE_Curves!$B$5:$B$205,MATCH($R175,LE_Curves!$M$5:$M$205,1)+1)-INDEX(LE_Curves!$B$5:$B$205,MATCH($R175,LE_Curves!$M$5:$M$205,1)))/(INDEX(LE_Curves!$M$5:$M$205,MATCH($R175,LE_Curves!$M$5:$M$205,1)+1)-INDEX(LE_Curves!$M$5:$M$205,MATCH($R175,LE_Curves!$M$5:$M$205,1))))))</f>
        <v/>
      </c>
      <c r="AD175" s="11">
        <f>IF(Inputs!$D$34=0,0,IF($R175&lt;=Inputs!$C$34,0,IF($R175&gt;=INDEX(LE_Curves!$N$5:$N$205,201),INDEX(LE_Curves!$B$5:$B$205,201),INDEX(LE_Curves!$B$5:$B$205,MATCH($R175,LE_Curves!$N$5:$N$205,1))+($R175-INDEX(LE_Curves!$N$5:$N$205,MATCH($R175,LE_Curves!$N$5:$N$205,1)))*(INDEX(LE_Curves!$B$5:$B$205,MATCH($R175,LE_Curves!$N$5:$N$205,1)+1)-INDEX(LE_Curves!$B$5:$B$205,MATCH($R175,LE_Curves!$N$5:$N$205,1)))/(INDEX(LE_Curves!$N$5:$N$205,MATCH($R175,LE_Curves!$N$5:$N$205,1)+1)-INDEX(LE_Curves!$N$5:$N$205,MATCH($R175,LE_Curves!$N$5:$N$205,1))))))</f>
        <v/>
      </c>
      <c r="AE175" s="37">
        <f>SUM(S175:AD175)</f>
        <v/>
      </c>
    </row>
    <row r="176">
      <c r="A176" s="7" t="n">
        <v>145</v>
      </c>
      <c r="B176" s="37">
        <f>$B$3+($B$4-$B$3)*A176/200</f>
        <v/>
      </c>
      <c r="C176" s="11">
        <f>IF(Inputs!$D$23=0,0,IF($B176&lt;=Inputs!$C$23,0,IF($B176&gt;=INDEX(LE_Curves!$C$5:$C$205,201),INDEX(LE_Curves!$B$5:$B$205,201),INDEX(LE_Curves!$B$5:$B$205,MATCH($B176,LE_Curves!$C$5:$C$205,1))+($B176-INDEX(LE_Curves!$C$5:$C$205,MATCH($B176,LE_Curves!$C$5:$C$205,1)))*(INDEX(LE_Curves!$B$5:$B$205,MATCH($B176,LE_Curves!$C$5:$C$205,1)+1)-INDEX(LE_Curves!$B$5:$B$205,MATCH($B176,LE_Curves!$C$5:$C$205,1)))/(INDEX(LE_Curves!$C$5:$C$205,MATCH($B176,LE_Curves!$C$5:$C$205,1)+1)-INDEX(LE_Curves!$C$5:$C$205,MATCH($B176,LE_Curves!$C$5:$C$205,1))))))</f>
        <v/>
      </c>
      <c r="D176" s="11">
        <f>IF(Inputs!$D$24=0,0,IF($B176&lt;=Inputs!$C$24,0,IF($B176&gt;=INDEX(LE_Curves!$D$5:$D$205,201),INDEX(LE_Curves!$B$5:$B$205,201),INDEX(LE_Curves!$B$5:$B$205,MATCH($B176,LE_Curves!$D$5:$D$205,1))+($B176-INDEX(LE_Curves!$D$5:$D$205,MATCH($B176,LE_Curves!$D$5:$D$205,1)))*(INDEX(LE_Curves!$B$5:$B$205,MATCH($B176,LE_Curves!$D$5:$D$205,1)+1)-INDEX(LE_Curves!$B$5:$B$205,MATCH($B176,LE_Curves!$D$5:$D$205,1)))/(INDEX(LE_Curves!$D$5:$D$205,MATCH($B176,LE_Curves!$D$5:$D$205,1)+1)-INDEX(LE_Curves!$D$5:$D$205,MATCH($B176,LE_Curves!$D$5:$D$205,1))))))</f>
        <v/>
      </c>
      <c r="E176" s="11">
        <f>IF(Inputs!$D$25=0,0,IF($B176&lt;=Inputs!$C$25,0,IF($B176&gt;=INDEX(LE_Curves!$E$5:$E$205,201),INDEX(LE_Curves!$B$5:$B$205,201),INDEX(LE_Curves!$B$5:$B$205,MATCH($B176,LE_Curves!$E$5:$E$205,1))+($B176-INDEX(LE_Curves!$E$5:$E$205,MATCH($B176,LE_Curves!$E$5:$E$205,1)))*(INDEX(LE_Curves!$B$5:$B$205,MATCH($B176,LE_Curves!$E$5:$E$205,1)+1)-INDEX(LE_Curves!$B$5:$B$205,MATCH($B176,LE_Curves!$E$5:$E$205,1)))/(INDEX(LE_Curves!$E$5:$E$205,MATCH($B176,LE_Curves!$E$5:$E$205,1)+1)-INDEX(LE_Curves!$E$5:$E$205,MATCH($B176,LE_Curves!$E$5:$E$205,1))))))</f>
        <v/>
      </c>
      <c r="F176" s="11">
        <f>IF(Inputs!$D$26=0,0,IF($B176&lt;=Inputs!$C$26,0,IF($B176&gt;=INDEX(LE_Curves!$F$5:$F$205,201),INDEX(LE_Curves!$B$5:$B$205,201),INDEX(LE_Curves!$B$5:$B$205,MATCH($B176,LE_Curves!$F$5:$F$205,1))+($B176-INDEX(LE_Curves!$F$5:$F$205,MATCH($B176,LE_Curves!$F$5:$F$205,1)))*(INDEX(LE_Curves!$B$5:$B$205,MATCH($B176,LE_Curves!$F$5:$F$205,1)+1)-INDEX(LE_Curves!$B$5:$B$205,MATCH($B176,LE_Curves!$F$5:$F$205,1)))/(INDEX(LE_Curves!$F$5:$F$205,MATCH($B176,LE_Curves!$F$5:$F$205,1)+1)-INDEX(LE_Curves!$F$5:$F$205,MATCH($B176,LE_Curves!$F$5:$F$205,1))))))</f>
        <v/>
      </c>
      <c r="G176" s="11">
        <f>IF(Inputs!$D$27=0,0,IF($B176&lt;=Inputs!$C$27,0,IF($B176&gt;=INDEX(LE_Curves!$G$5:$G$205,201),INDEX(LE_Curves!$B$5:$B$205,201),INDEX(LE_Curves!$B$5:$B$205,MATCH($B176,LE_Curves!$G$5:$G$205,1))+($B176-INDEX(LE_Curves!$G$5:$G$205,MATCH($B176,LE_Curves!$G$5:$G$205,1)))*(INDEX(LE_Curves!$B$5:$B$205,MATCH($B176,LE_Curves!$G$5:$G$205,1)+1)-INDEX(LE_Curves!$B$5:$B$205,MATCH($B176,LE_Curves!$G$5:$G$205,1)))/(INDEX(LE_Curves!$G$5:$G$205,MATCH($B176,LE_Curves!$G$5:$G$205,1)+1)-INDEX(LE_Curves!$G$5:$G$205,MATCH($B176,LE_Curves!$G$5:$G$205,1))))))</f>
        <v/>
      </c>
      <c r="H176" s="11">
        <f>IF(Inputs!$D$28=0,0,IF($B176&lt;=Inputs!$C$28,0,IF($B176&gt;=INDEX(LE_Curves!$H$5:$H$205,201),INDEX(LE_Curves!$B$5:$B$205,201),INDEX(LE_Curves!$B$5:$B$205,MATCH($B176,LE_Curves!$H$5:$H$205,1))+($B176-INDEX(LE_Curves!$H$5:$H$205,MATCH($B176,LE_Curves!$H$5:$H$205,1)))*(INDEX(LE_Curves!$B$5:$B$205,MATCH($B176,LE_Curves!$H$5:$H$205,1)+1)-INDEX(LE_Curves!$B$5:$B$205,MATCH($B176,LE_Curves!$H$5:$H$205,1)))/(INDEX(LE_Curves!$H$5:$H$205,MATCH($B176,LE_Curves!$H$5:$H$205,1)+1)-INDEX(LE_Curves!$H$5:$H$205,MATCH($B176,LE_Curves!$H$5:$H$205,1))))))</f>
        <v/>
      </c>
      <c r="I176" s="11">
        <f>IF(Inputs!$D$29=0,0,IF($B176&lt;=Inputs!$C$29,0,IF($B176&gt;=INDEX(LE_Curves!$I$5:$I$205,201),INDEX(LE_Curves!$B$5:$B$205,201),INDEX(LE_Curves!$B$5:$B$205,MATCH($B176,LE_Curves!$I$5:$I$205,1))+($B176-INDEX(LE_Curves!$I$5:$I$205,MATCH($B176,LE_Curves!$I$5:$I$205,1)))*(INDEX(LE_Curves!$B$5:$B$205,MATCH($B176,LE_Curves!$I$5:$I$205,1)+1)-INDEX(LE_Curves!$B$5:$B$205,MATCH($B176,LE_Curves!$I$5:$I$205,1)))/(INDEX(LE_Curves!$I$5:$I$205,MATCH($B176,LE_Curves!$I$5:$I$205,1)+1)-INDEX(LE_Curves!$I$5:$I$205,MATCH($B176,LE_Curves!$I$5:$I$205,1))))))</f>
        <v/>
      </c>
      <c r="J176" s="11">
        <f>IF(Inputs!$D$30=0,0,IF($B176&lt;=Inputs!$C$30,0,IF($B176&gt;=INDEX(LE_Curves!$J$5:$J$205,201),INDEX(LE_Curves!$B$5:$B$205,201),INDEX(LE_Curves!$B$5:$B$205,MATCH($B176,LE_Curves!$J$5:$J$205,1))+($B176-INDEX(LE_Curves!$J$5:$J$205,MATCH($B176,LE_Curves!$J$5:$J$205,1)))*(INDEX(LE_Curves!$B$5:$B$205,MATCH($B176,LE_Curves!$J$5:$J$205,1)+1)-INDEX(LE_Curves!$B$5:$B$205,MATCH($B176,LE_Curves!$J$5:$J$205,1)))/(INDEX(LE_Curves!$J$5:$J$205,MATCH($B176,LE_Curves!$J$5:$J$205,1)+1)-INDEX(LE_Curves!$J$5:$J$205,MATCH($B176,LE_Curves!$J$5:$J$205,1))))))</f>
        <v/>
      </c>
      <c r="K176" s="11">
        <f>IF(Inputs!$D$31=0,0,IF($B176&lt;=Inputs!$C$31,0,IF($B176&gt;=INDEX(LE_Curves!$K$5:$K$205,201),INDEX(LE_Curves!$B$5:$B$205,201),INDEX(LE_Curves!$B$5:$B$205,MATCH($B176,LE_Curves!$K$5:$K$205,1))+($B176-INDEX(LE_Curves!$K$5:$K$205,MATCH($B176,LE_Curves!$K$5:$K$205,1)))*(INDEX(LE_Curves!$B$5:$B$205,MATCH($B176,LE_Curves!$K$5:$K$205,1)+1)-INDEX(LE_Curves!$B$5:$B$205,MATCH($B176,LE_Curves!$K$5:$K$205,1)))/(INDEX(LE_Curves!$K$5:$K$205,MATCH($B176,LE_Curves!$K$5:$K$205,1)+1)-INDEX(LE_Curves!$K$5:$K$205,MATCH($B176,LE_Curves!$K$5:$K$205,1))))))</f>
        <v/>
      </c>
      <c r="L176" s="11">
        <f>IF(Inputs!$D$32=0,0,IF($B176&lt;=Inputs!$C$32,0,IF($B176&gt;=INDEX(LE_Curves!$L$5:$L$205,201),INDEX(LE_Curves!$B$5:$B$205,201),INDEX(LE_Curves!$B$5:$B$205,MATCH($B176,LE_Curves!$L$5:$L$205,1))+($B176-INDEX(LE_Curves!$L$5:$L$205,MATCH($B176,LE_Curves!$L$5:$L$205,1)))*(INDEX(LE_Curves!$B$5:$B$205,MATCH($B176,LE_Curves!$L$5:$L$205,1)+1)-INDEX(LE_Curves!$B$5:$B$205,MATCH($B176,LE_Curves!$L$5:$L$205,1)))/(INDEX(LE_Curves!$L$5:$L$205,MATCH($B176,LE_Curves!$L$5:$L$205,1)+1)-INDEX(LE_Curves!$L$5:$L$205,MATCH($B176,LE_Curves!$L$5:$L$205,1))))))</f>
        <v/>
      </c>
      <c r="M176" s="11">
        <f>IF(Inputs!$D$33=0,0,IF($B176&lt;=Inputs!$C$33,0,IF($B176&gt;=INDEX(LE_Curves!$M$5:$M$205,201),INDEX(LE_Curves!$B$5:$B$205,201),INDEX(LE_Curves!$B$5:$B$205,MATCH($B176,LE_Curves!$M$5:$M$205,1))+($B176-INDEX(LE_Curves!$M$5:$M$205,MATCH($B176,LE_Curves!$M$5:$M$205,1)))*(INDEX(LE_Curves!$B$5:$B$205,MATCH($B176,LE_Curves!$M$5:$M$205,1)+1)-INDEX(LE_Curves!$B$5:$B$205,MATCH($B176,LE_Curves!$M$5:$M$205,1)))/(INDEX(LE_Curves!$M$5:$M$205,MATCH($B176,LE_Curves!$M$5:$M$205,1)+1)-INDEX(LE_Curves!$M$5:$M$205,MATCH($B176,LE_Curves!$M$5:$M$205,1))))))</f>
        <v/>
      </c>
      <c r="N176" s="11">
        <f>IF(Inputs!$D$34=0,0,IF($B176&lt;=Inputs!$C$34,0,IF($B176&gt;=INDEX(LE_Curves!$N$5:$N$205,201),INDEX(LE_Curves!$B$5:$B$205,201),INDEX(LE_Curves!$B$5:$B$205,MATCH($B176,LE_Curves!$N$5:$N$205,1))+($B176-INDEX(LE_Curves!$N$5:$N$205,MATCH($B176,LE_Curves!$N$5:$N$205,1)))*(INDEX(LE_Curves!$B$5:$B$205,MATCH($B176,LE_Curves!$N$5:$N$205,1)+1)-INDEX(LE_Curves!$B$5:$B$205,MATCH($B176,LE_Curves!$N$5:$N$205,1)))/(INDEX(LE_Curves!$N$5:$N$205,MATCH($B176,LE_Curves!$N$5:$N$205,1)+1)-INDEX(LE_Curves!$N$5:$N$205,MATCH($B176,LE_Curves!$N$5:$N$205,1))))))</f>
        <v/>
      </c>
      <c r="O176" s="11">
        <f>SUM(C176:N176)</f>
        <v/>
      </c>
      <c r="Q176" s="7" t="n">
        <v>145</v>
      </c>
      <c r="R176" s="23">
        <f>$B$6+($B$7-$B$6)*Q176/200</f>
        <v/>
      </c>
      <c r="S176" s="11">
        <f>IF(Inputs!$D$23=0,0,IF($R176&lt;=Inputs!$C$23,0,IF($R176&gt;=INDEX(LE_Curves!$C$5:$C$205,201),INDEX(LE_Curves!$B$5:$B$205,201),INDEX(LE_Curves!$B$5:$B$205,MATCH($R176,LE_Curves!$C$5:$C$205,1))+($R176-INDEX(LE_Curves!$C$5:$C$205,MATCH($R176,LE_Curves!$C$5:$C$205,1)))*(INDEX(LE_Curves!$B$5:$B$205,MATCH($R176,LE_Curves!$C$5:$C$205,1)+1)-INDEX(LE_Curves!$B$5:$B$205,MATCH($R176,LE_Curves!$C$5:$C$205,1)))/(INDEX(LE_Curves!$C$5:$C$205,MATCH($R176,LE_Curves!$C$5:$C$205,1)+1)-INDEX(LE_Curves!$C$5:$C$205,MATCH($R176,LE_Curves!$C$5:$C$205,1))))))</f>
        <v/>
      </c>
      <c r="T176" s="11">
        <f>IF(Inputs!$D$24=0,0,IF($R176&lt;=Inputs!$C$24,0,IF($R176&gt;=INDEX(LE_Curves!$D$5:$D$205,201),INDEX(LE_Curves!$B$5:$B$205,201),INDEX(LE_Curves!$B$5:$B$205,MATCH($R176,LE_Curves!$D$5:$D$205,1))+($R176-INDEX(LE_Curves!$D$5:$D$205,MATCH($R176,LE_Curves!$D$5:$D$205,1)))*(INDEX(LE_Curves!$B$5:$B$205,MATCH($R176,LE_Curves!$D$5:$D$205,1)+1)-INDEX(LE_Curves!$B$5:$B$205,MATCH($R176,LE_Curves!$D$5:$D$205,1)))/(INDEX(LE_Curves!$D$5:$D$205,MATCH($R176,LE_Curves!$D$5:$D$205,1)+1)-INDEX(LE_Curves!$D$5:$D$205,MATCH($R176,LE_Curves!$D$5:$D$205,1))))))</f>
        <v/>
      </c>
      <c r="U176" s="11">
        <f>IF(Inputs!$D$25=0,0,IF($R176&lt;=Inputs!$C$25,0,IF($R176&gt;=INDEX(LE_Curves!$E$5:$E$205,201),INDEX(LE_Curves!$B$5:$B$205,201),INDEX(LE_Curves!$B$5:$B$205,MATCH($R176,LE_Curves!$E$5:$E$205,1))+($R176-INDEX(LE_Curves!$E$5:$E$205,MATCH($R176,LE_Curves!$E$5:$E$205,1)))*(INDEX(LE_Curves!$B$5:$B$205,MATCH($R176,LE_Curves!$E$5:$E$205,1)+1)-INDEX(LE_Curves!$B$5:$B$205,MATCH($R176,LE_Curves!$E$5:$E$205,1)))/(INDEX(LE_Curves!$E$5:$E$205,MATCH($R176,LE_Curves!$E$5:$E$205,1)+1)-INDEX(LE_Curves!$E$5:$E$205,MATCH($R176,LE_Curves!$E$5:$E$205,1))))))</f>
        <v/>
      </c>
      <c r="V176" s="11">
        <f>IF(Inputs!$D$26=0,0,IF($R176&lt;=Inputs!$C$26,0,IF($R176&gt;=INDEX(LE_Curves!$F$5:$F$205,201),INDEX(LE_Curves!$B$5:$B$205,201),INDEX(LE_Curves!$B$5:$B$205,MATCH($R176,LE_Curves!$F$5:$F$205,1))+($R176-INDEX(LE_Curves!$F$5:$F$205,MATCH($R176,LE_Curves!$F$5:$F$205,1)))*(INDEX(LE_Curves!$B$5:$B$205,MATCH($R176,LE_Curves!$F$5:$F$205,1)+1)-INDEX(LE_Curves!$B$5:$B$205,MATCH($R176,LE_Curves!$F$5:$F$205,1)))/(INDEX(LE_Curves!$F$5:$F$205,MATCH($R176,LE_Curves!$F$5:$F$205,1)+1)-INDEX(LE_Curves!$F$5:$F$205,MATCH($R176,LE_Curves!$F$5:$F$205,1))))))</f>
        <v/>
      </c>
      <c r="W176" s="11">
        <f>IF(Inputs!$D$27=0,0,IF($R176&lt;=Inputs!$C$27,0,IF($R176&gt;=INDEX(LE_Curves!$G$5:$G$205,201),INDEX(LE_Curves!$B$5:$B$205,201),INDEX(LE_Curves!$B$5:$B$205,MATCH($R176,LE_Curves!$G$5:$G$205,1))+($R176-INDEX(LE_Curves!$G$5:$G$205,MATCH($R176,LE_Curves!$G$5:$G$205,1)))*(INDEX(LE_Curves!$B$5:$B$205,MATCH($R176,LE_Curves!$G$5:$G$205,1)+1)-INDEX(LE_Curves!$B$5:$B$205,MATCH($R176,LE_Curves!$G$5:$G$205,1)))/(INDEX(LE_Curves!$G$5:$G$205,MATCH($R176,LE_Curves!$G$5:$G$205,1)+1)-INDEX(LE_Curves!$G$5:$G$205,MATCH($R176,LE_Curves!$G$5:$G$205,1))))))</f>
        <v/>
      </c>
      <c r="X176" s="11">
        <f>IF(Inputs!$D$28=0,0,IF($R176&lt;=Inputs!$C$28,0,IF($R176&gt;=INDEX(LE_Curves!$H$5:$H$205,201),INDEX(LE_Curves!$B$5:$B$205,201),INDEX(LE_Curves!$B$5:$B$205,MATCH($R176,LE_Curves!$H$5:$H$205,1))+($R176-INDEX(LE_Curves!$H$5:$H$205,MATCH($R176,LE_Curves!$H$5:$H$205,1)))*(INDEX(LE_Curves!$B$5:$B$205,MATCH($R176,LE_Curves!$H$5:$H$205,1)+1)-INDEX(LE_Curves!$B$5:$B$205,MATCH($R176,LE_Curves!$H$5:$H$205,1)))/(INDEX(LE_Curves!$H$5:$H$205,MATCH($R176,LE_Curves!$H$5:$H$205,1)+1)-INDEX(LE_Curves!$H$5:$H$205,MATCH($R176,LE_Curves!$H$5:$H$205,1))))))</f>
        <v/>
      </c>
      <c r="Y176" s="11">
        <f>IF(Inputs!$D$29=0,0,IF($R176&lt;=Inputs!$C$29,0,IF($R176&gt;=INDEX(LE_Curves!$I$5:$I$205,201),INDEX(LE_Curves!$B$5:$B$205,201),INDEX(LE_Curves!$B$5:$B$205,MATCH($R176,LE_Curves!$I$5:$I$205,1))+($R176-INDEX(LE_Curves!$I$5:$I$205,MATCH($R176,LE_Curves!$I$5:$I$205,1)))*(INDEX(LE_Curves!$B$5:$B$205,MATCH($R176,LE_Curves!$I$5:$I$205,1)+1)-INDEX(LE_Curves!$B$5:$B$205,MATCH($R176,LE_Curves!$I$5:$I$205,1)))/(INDEX(LE_Curves!$I$5:$I$205,MATCH($R176,LE_Curves!$I$5:$I$205,1)+1)-INDEX(LE_Curves!$I$5:$I$205,MATCH($R176,LE_Curves!$I$5:$I$205,1))))))</f>
        <v/>
      </c>
      <c r="Z176" s="11">
        <f>IF(Inputs!$D$30=0,0,IF($R176&lt;=Inputs!$C$30,0,IF($R176&gt;=INDEX(LE_Curves!$J$5:$J$205,201),INDEX(LE_Curves!$B$5:$B$205,201),INDEX(LE_Curves!$B$5:$B$205,MATCH($R176,LE_Curves!$J$5:$J$205,1))+($R176-INDEX(LE_Curves!$J$5:$J$205,MATCH($R176,LE_Curves!$J$5:$J$205,1)))*(INDEX(LE_Curves!$B$5:$B$205,MATCH($R176,LE_Curves!$J$5:$J$205,1)+1)-INDEX(LE_Curves!$B$5:$B$205,MATCH($R176,LE_Curves!$J$5:$J$205,1)))/(INDEX(LE_Curves!$J$5:$J$205,MATCH($R176,LE_Curves!$J$5:$J$205,1)+1)-INDEX(LE_Curves!$J$5:$J$205,MATCH($R176,LE_Curves!$J$5:$J$205,1))))))</f>
        <v/>
      </c>
      <c r="AA176" s="11">
        <f>IF(Inputs!$D$31=0,0,IF($R176&lt;=Inputs!$C$31,0,IF($R176&gt;=INDEX(LE_Curves!$K$5:$K$205,201),INDEX(LE_Curves!$B$5:$B$205,201),INDEX(LE_Curves!$B$5:$B$205,MATCH($R176,LE_Curves!$K$5:$K$205,1))+($R176-INDEX(LE_Curves!$K$5:$K$205,MATCH($R176,LE_Curves!$K$5:$K$205,1)))*(INDEX(LE_Curves!$B$5:$B$205,MATCH($R176,LE_Curves!$K$5:$K$205,1)+1)-INDEX(LE_Curves!$B$5:$B$205,MATCH($R176,LE_Curves!$K$5:$K$205,1)))/(INDEX(LE_Curves!$K$5:$K$205,MATCH($R176,LE_Curves!$K$5:$K$205,1)+1)-INDEX(LE_Curves!$K$5:$K$205,MATCH($R176,LE_Curves!$K$5:$K$205,1))))))</f>
        <v/>
      </c>
      <c r="AB176" s="11">
        <f>IF(Inputs!$D$32=0,0,IF($R176&lt;=Inputs!$C$32,0,IF($R176&gt;=INDEX(LE_Curves!$L$5:$L$205,201),INDEX(LE_Curves!$B$5:$B$205,201),INDEX(LE_Curves!$B$5:$B$205,MATCH($R176,LE_Curves!$L$5:$L$205,1))+($R176-INDEX(LE_Curves!$L$5:$L$205,MATCH($R176,LE_Curves!$L$5:$L$205,1)))*(INDEX(LE_Curves!$B$5:$B$205,MATCH($R176,LE_Curves!$L$5:$L$205,1)+1)-INDEX(LE_Curves!$B$5:$B$205,MATCH($R176,LE_Curves!$L$5:$L$205,1)))/(INDEX(LE_Curves!$L$5:$L$205,MATCH($R176,LE_Curves!$L$5:$L$205,1)+1)-INDEX(LE_Curves!$L$5:$L$205,MATCH($R176,LE_Curves!$L$5:$L$205,1))))))</f>
        <v/>
      </c>
      <c r="AC176" s="11">
        <f>IF(Inputs!$D$33=0,0,IF($R176&lt;=Inputs!$C$33,0,IF($R176&gt;=INDEX(LE_Curves!$M$5:$M$205,201),INDEX(LE_Curves!$B$5:$B$205,201),INDEX(LE_Curves!$B$5:$B$205,MATCH($R176,LE_Curves!$M$5:$M$205,1))+($R176-INDEX(LE_Curves!$M$5:$M$205,MATCH($R176,LE_Curves!$M$5:$M$205,1)))*(INDEX(LE_Curves!$B$5:$B$205,MATCH($R176,LE_Curves!$M$5:$M$205,1)+1)-INDEX(LE_Curves!$B$5:$B$205,MATCH($R176,LE_Curves!$M$5:$M$205,1)))/(INDEX(LE_Curves!$M$5:$M$205,MATCH($R176,LE_Curves!$M$5:$M$205,1)+1)-INDEX(LE_Curves!$M$5:$M$205,MATCH($R176,LE_Curves!$M$5:$M$205,1))))))</f>
        <v/>
      </c>
      <c r="AD176" s="11">
        <f>IF(Inputs!$D$34=0,0,IF($R176&lt;=Inputs!$C$34,0,IF($R176&gt;=INDEX(LE_Curves!$N$5:$N$205,201),INDEX(LE_Curves!$B$5:$B$205,201),INDEX(LE_Curves!$B$5:$B$205,MATCH($R176,LE_Curves!$N$5:$N$205,1))+($R176-INDEX(LE_Curves!$N$5:$N$205,MATCH($R176,LE_Curves!$N$5:$N$205,1)))*(INDEX(LE_Curves!$B$5:$B$205,MATCH($R176,LE_Curves!$N$5:$N$205,1)+1)-INDEX(LE_Curves!$B$5:$B$205,MATCH($R176,LE_Curves!$N$5:$N$205,1)))/(INDEX(LE_Curves!$N$5:$N$205,MATCH($R176,LE_Curves!$N$5:$N$205,1)+1)-INDEX(LE_Curves!$N$5:$N$205,MATCH($R176,LE_Curves!$N$5:$N$205,1))))))</f>
        <v/>
      </c>
      <c r="AE176" s="37">
        <f>SUM(S176:AD176)</f>
        <v/>
      </c>
    </row>
    <row r="177">
      <c r="A177" s="7" t="n">
        <v>146</v>
      </c>
      <c r="B177" s="37">
        <f>$B$3+($B$4-$B$3)*A177/200</f>
        <v/>
      </c>
      <c r="C177" s="11">
        <f>IF(Inputs!$D$23=0,0,IF($B177&lt;=Inputs!$C$23,0,IF($B177&gt;=INDEX(LE_Curves!$C$5:$C$205,201),INDEX(LE_Curves!$B$5:$B$205,201),INDEX(LE_Curves!$B$5:$B$205,MATCH($B177,LE_Curves!$C$5:$C$205,1))+($B177-INDEX(LE_Curves!$C$5:$C$205,MATCH($B177,LE_Curves!$C$5:$C$205,1)))*(INDEX(LE_Curves!$B$5:$B$205,MATCH($B177,LE_Curves!$C$5:$C$205,1)+1)-INDEX(LE_Curves!$B$5:$B$205,MATCH($B177,LE_Curves!$C$5:$C$205,1)))/(INDEX(LE_Curves!$C$5:$C$205,MATCH($B177,LE_Curves!$C$5:$C$205,1)+1)-INDEX(LE_Curves!$C$5:$C$205,MATCH($B177,LE_Curves!$C$5:$C$205,1))))))</f>
        <v/>
      </c>
      <c r="D177" s="11">
        <f>IF(Inputs!$D$24=0,0,IF($B177&lt;=Inputs!$C$24,0,IF($B177&gt;=INDEX(LE_Curves!$D$5:$D$205,201),INDEX(LE_Curves!$B$5:$B$205,201),INDEX(LE_Curves!$B$5:$B$205,MATCH($B177,LE_Curves!$D$5:$D$205,1))+($B177-INDEX(LE_Curves!$D$5:$D$205,MATCH($B177,LE_Curves!$D$5:$D$205,1)))*(INDEX(LE_Curves!$B$5:$B$205,MATCH($B177,LE_Curves!$D$5:$D$205,1)+1)-INDEX(LE_Curves!$B$5:$B$205,MATCH($B177,LE_Curves!$D$5:$D$205,1)))/(INDEX(LE_Curves!$D$5:$D$205,MATCH($B177,LE_Curves!$D$5:$D$205,1)+1)-INDEX(LE_Curves!$D$5:$D$205,MATCH($B177,LE_Curves!$D$5:$D$205,1))))))</f>
        <v/>
      </c>
      <c r="E177" s="11">
        <f>IF(Inputs!$D$25=0,0,IF($B177&lt;=Inputs!$C$25,0,IF($B177&gt;=INDEX(LE_Curves!$E$5:$E$205,201),INDEX(LE_Curves!$B$5:$B$205,201),INDEX(LE_Curves!$B$5:$B$205,MATCH($B177,LE_Curves!$E$5:$E$205,1))+($B177-INDEX(LE_Curves!$E$5:$E$205,MATCH($B177,LE_Curves!$E$5:$E$205,1)))*(INDEX(LE_Curves!$B$5:$B$205,MATCH($B177,LE_Curves!$E$5:$E$205,1)+1)-INDEX(LE_Curves!$B$5:$B$205,MATCH($B177,LE_Curves!$E$5:$E$205,1)))/(INDEX(LE_Curves!$E$5:$E$205,MATCH($B177,LE_Curves!$E$5:$E$205,1)+1)-INDEX(LE_Curves!$E$5:$E$205,MATCH($B177,LE_Curves!$E$5:$E$205,1))))))</f>
        <v/>
      </c>
      <c r="F177" s="11">
        <f>IF(Inputs!$D$26=0,0,IF($B177&lt;=Inputs!$C$26,0,IF($B177&gt;=INDEX(LE_Curves!$F$5:$F$205,201),INDEX(LE_Curves!$B$5:$B$205,201),INDEX(LE_Curves!$B$5:$B$205,MATCH($B177,LE_Curves!$F$5:$F$205,1))+($B177-INDEX(LE_Curves!$F$5:$F$205,MATCH($B177,LE_Curves!$F$5:$F$205,1)))*(INDEX(LE_Curves!$B$5:$B$205,MATCH($B177,LE_Curves!$F$5:$F$205,1)+1)-INDEX(LE_Curves!$B$5:$B$205,MATCH($B177,LE_Curves!$F$5:$F$205,1)))/(INDEX(LE_Curves!$F$5:$F$205,MATCH($B177,LE_Curves!$F$5:$F$205,1)+1)-INDEX(LE_Curves!$F$5:$F$205,MATCH($B177,LE_Curves!$F$5:$F$205,1))))))</f>
        <v/>
      </c>
      <c r="G177" s="11">
        <f>IF(Inputs!$D$27=0,0,IF($B177&lt;=Inputs!$C$27,0,IF($B177&gt;=INDEX(LE_Curves!$G$5:$G$205,201),INDEX(LE_Curves!$B$5:$B$205,201),INDEX(LE_Curves!$B$5:$B$205,MATCH($B177,LE_Curves!$G$5:$G$205,1))+($B177-INDEX(LE_Curves!$G$5:$G$205,MATCH($B177,LE_Curves!$G$5:$G$205,1)))*(INDEX(LE_Curves!$B$5:$B$205,MATCH($B177,LE_Curves!$G$5:$G$205,1)+1)-INDEX(LE_Curves!$B$5:$B$205,MATCH($B177,LE_Curves!$G$5:$G$205,1)))/(INDEX(LE_Curves!$G$5:$G$205,MATCH($B177,LE_Curves!$G$5:$G$205,1)+1)-INDEX(LE_Curves!$G$5:$G$205,MATCH($B177,LE_Curves!$G$5:$G$205,1))))))</f>
        <v/>
      </c>
      <c r="H177" s="11">
        <f>IF(Inputs!$D$28=0,0,IF($B177&lt;=Inputs!$C$28,0,IF($B177&gt;=INDEX(LE_Curves!$H$5:$H$205,201),INDEX(LE_Curves!$B$5:$B$205,201),INDEX(LE_Curves!$B$5:$B$205,MATCH($B177,LE_Curves!$H$5:$H$205,1))+($B177-INDEX(LE_Curves!$H$5:$H$205,MATCH($B177,LE_Curves!$H$5:$H$205,1)))*(INDEX(LE_Curves!$B$5:$B$205,MATCH($B177,LE_Curves!$H$5:$H$205,1)+1)-INDEX(LE_Curves!$B$5:$B$205,MATCH($B177,LE_Curves!$H$5:$H$205,1)))/(INDEX(LE_Curves!$H$5:$H$205,MATCH($B177,LE_Curves!$H$5:$H$205,1)+1)-INDEX(LE_Curves!$H$5:$H$205,MATCH($B177,LE_Curves!$H$5:$H$205,1))))))</f>
        <v/>
      </c>
      <c r="I177" s="11">
        <f>IF(Inputs!$D$29=0,0,IF($B177&lt;=Inputs!$C$29,0,IF($B177&gt;=INDEX(LE_Curves!$I$5:$I$205,201),INDEX(LE_Curves!$B$5:$B$205,201),INDEX(LE_Curves!$B$5:$B$205,MATCH($B177,LE_Curves!$I$5:$I$205,1))+($B177-INDEX(LE_Curves!$I$5:$I$205,MATCH($B177,LE_Curves!$I$5:$I$205,1)))*(INDEX(LE_Curves!$B$5:$B$205,MATCH($B177,LE_Curves!$I$5:$I$205,1)+1)-INDEX(LE_Curves!$B$5:$B$205,MATCH($B177,LE_Curves!$I$5:$I$205,1)))/(INDEX(LE_Curves!$I$5:$I$205,MATCH($B177,LE_Curves!$I$5:$I$205,1)+1)-INDEX(LE_Curves!$I$5:$I$205,MATCH($B177,LE_Curves!$I$5:$I$205,1))))))</f>
        <v/>
      </c>
      <c r="J177" s="11">
        <f>IF(Inputs!$D$30=0,0,IF($B177&lt;=Inputs!$C$30,0,IF($B177&gt;=INDEX(LE_Curves!$J$5:$J$205,201),INDEX(LE_Curves!$B$5:$B$205,201),INDEX(LE_Curves!$B$5:$B$205,MATCH($B177,LE_Curves!$J$5:$J$205,1))+($B177-INDEX(LE_Curves!$J$5:$J$205,MATCH($B177,LE_Curves!$J$5:$J$205,1)))*(INDEX(LE_Curves!$B$5:$B$205,MATCH($B177,LE_Curves!$J$5:$J$205,1)+1)-INDEX(LE_Curves!$B$5:$B$205,MATCH($B177,LE_Curves!$J$5:$J$205,1)))/(INDEX(LE_Curves!$J$5:$J$205,MATCH($B177,LE_Curves!$J$5:$J$205,1)+1)-INDEX(LE_Curves!$J$5:$J$205,MATCH($B177,LE_Curves!$J$5:$J$205,1))))))</f>
        <v/>
      </c>
      <c r="K177" s="11">
        <f>IF(Inputs!$D$31=0,0,IF($B177&lt;=Inputs!$C$31,0,IF($B177&gt;=INDEX(LE_Curves!$K$5:$K$205,201),INDEX(LE_Curves!$B$5:$B$205,201),INDEX(LE_Curves!$B$5:$B$205,MATCH($B177,LE_Curves!$K$5:$K$205,1))+($B177-INDEX(LE_Curves!$K$5:$K$205,MATCH($B177,LE_Curves!$K$5:$K$205,1)))*(INDEX(LE_Curves!$B$5:$B$205,MATCH($B177,LE_Curves!$K$5:$K$205,1)+1)-INDEX(LE_Curves!$B$5:$B$205,MATCH($B177,LE_Curves!$K$5:$K$205,1)))/(INDEX(LE_Curves!$K$5:$K$205,MATCH($B177,LE_Curves!$K$5:$K$205,1)+1)-INDEX(LE_Curves!$K$5:$K$205,MATCH($B177,LE_Curves!$K$5:$K$205,1))))))</f>
        <v/>
      </c>
      <c r="L177" s="11">
        <f>IF(Inputs!$D$32=0,0,IF($B177&lt;=Inputs!$C$32,0,IF($B177&gt;=INDEX(LE_Curves!$L$5:$L$205,201),INDEX(LE_Curves!$B$5:$B$205,201),INDEX(LE_Curves!$B$5:$B$205,MATCH($B177,LE_Curves!$L$5:$L$205,1))+($B177-INDEX(LE_Curves!$L$5:$L$205,MATCH($B177,LE_Curves!$L$5:$L$205,1)))*(INDEX(LE_Curves!$B$5:$B$205,MATCH($B177,LE_Curves!$L$5:$L$205,1)+1)-INDEX(LE_Curves!$B$5:$B$205,MATCH($B177,LE_Curves!$L$5:$L$205,1)))/(INDEX(LE_Curves!$L$5:$L$205,MATCH($B177,LE_Curves!$L$5:$L$205,1)+1)-INDEX(LE_Curves!$L$5:$L$205,MATCH($B177,LE_Curves!$L$5:$L$205,1))))))</f>
        <v/>
      </c>
      <c r="M177" s="11">
        <f>IF(Inputs!$D$33=0,0,IF($B177&lt;=Inputs!$C$33,0,IF($B177&gt;=INDEX(LE_Curves!$M$5:$M$205,201),INDEX(LE_Curves!$B$5:$B$205,201),INDEX(LE_Curves!$B$5:$B$205,MATCH($B177,LE_Curves!$M$5:$M$205,1))+($B177-INDEX(LE_Curves!$M$5:$M$205,MATCH($B177,LE_Curves!$M$5:$M$205,1)))*(INDEX(LE_Curves!$B$5:$B$205,MATCH($B177,LE_Curves!$M$5:$M$205,1)+1)-INDEX(LE_Curves!$B$5:$B$205,MATCH($B177,LE_Curves!$M$5:$M$205,1)))/(INDEX(LE_Curves!$M$5:$M$205,MATCH($B177,LE_Curves!$M$5:$M$205,1)+1)-INDEX(LE_Curves!$M$5:$M$205,MATCH($B177,LE_Curves!$M$5:$M$205,1))))))</f>
        <v/>
      </c>
      <c r="N177" s="11">
        <f>IF(Inputs!$D$34=0,0,IF($B177&lt;=Inputs!$C$34,0,IF($B177&gt;=INDEX(LE_Curves!$N$5:$N$205,201),INDEX(LE_Curves!$B$5:$B$205,201),INDEX(LE_Curves!$B$5:$B$205,MATCH($B177,LE_Curves!$N$5:$N$205,1))+($B177-INDEX(LE_Curves!$N$5:$N$205,MATCH($B177,LE_Curves!$N$5:$N$205,1)))*(INDEX(LE_Curves!$B$5:$B$205,MATCH($B177,LE_Curves!$N$5:$N$205,1)+1)-INDEX(LE_Curves!$B$5:$B$205,MATCH($B177,LE_Curves!$N$5:$N$205,1)))/(INDEX(LE_Curves!$N$5:$N$205,MATCH($B177,LE_Curves!$N$5:$N$205,1)+1)-INDEX(LE_Curves!$N$5:$N$205,MATCH($B177,LE_Curves!$N$5:$N$205,1))))))</f>
        <v/>
      </c>
      <c r="O177" s="11">
        <f>SUM(C177:N177)</f>
        <v/>
      </c>
      <c r="Q177" s="7" t="n">
        <v>146</v>
      </c>
      <c r="R177" s="23">
        <f>$B$6+($B$7-$B$6)*Q177/200</f>
        <v/>
      </c>
      <c r="S177" s="11">
        <f>IF(Inputs!$D$23=0,0,IF($R177&lt;=Inputs!$C$23,0,IF($R177&gt;=INDEX(LE_Curves!$C$5:$C$205,201),INDEX(LE_Curves!$B$5:$B$205,201),INDEX(LE_Curves!$B$5:$B$205,MATCH($R177,LE_Curves!$C$5:$C$205,1))+($R177-INDEX(LE_Curves!$C$5:$C$205,MATCH($R177,LE_Curves!$C$5:$C$205,1)))*(INDEX(LE_Curves!$B$5:$B$205,MATCH($R177,LE_Curves!$C$5:$C$205,1)+1)-INDEX(LE_Curves!$B$5:$B$205,MATCH($R177,LE_Curves!$C$5:$C$205,1)))/(INDEX(LE_Curves!$C$5:$C$205,MATCH($R177,LE_Curves!$C$5:$C$205,1)+1)-INDEX(LE_Curves!$C$5:$C$205,MATCH($R177,LE_Curves!$C$5:$C$205,1))))))</f>
        <v/>
      </c>
      <c r="T177" s="11">
        <f>IF(Inputs!$D$24=0,0,IF($R177&lt;=Inputs!$C$24,0,IF($R177&gt;=INDEX(LE_Curves!$D$5:$D$205,201),INDEX(LE_Curves!$B$5:$B$205,201),INDEX(LE_Curves!$B$5:$B$205,MATCH($R177,LE_Curves!$D$5:$D$205,1))+($R177-INDEX(LE_Curves!$D$5:$D$205,MATCH($R177,LE_Curves!$D$5:$D$205,1)))*(INDEX(LE_Curves!$B$5:$B$205,MATCH($R177,LE_Curves!$D$5:$D$205,1)+1)-INDEX(LE_Curves!$B$5:$B$205,MATCH($R177,LE_Curves!$D$5:$D$205,1)))/(INDEX(LE_Curves!$D$5:$D$205,MATCH($R177,LE_Curves!$D$5:$D$205,1)+1)-INDEX(LE_Curves!$D$5:$D$205,MATCH($R177,LE_Curves!$D$5:$D$205,1))))))</f>
        <v/>
      </c>
      <c r="U177" s="11">
        <f>IF(Inputs!$D$25=0,0,IF($R177&lt;=Inputs!$C$25,0,IF($R177&gt;=INDEX(LE_Curves!$E$5:$E$205,201),INDEX(LE_Curves!$B$5:$B$205,201),INDEX(LE_Curves!$B$5:$B$205,MATCH($R177,LE_Curves!$E$5:$E$205,1))+($R177-INDEX(LE_Curves!$E$5:$E$205,MATCH($R177,LE_Curves!$E$5:$E$205,1)))*(INDEX(LE_Curves!$B$5:$B$205,MATCH($R177,LE_Curves!$E$5:$E$205,1)+1)-INDEX(LE_Curves!$B$5:$B$205,MATCH($R177,LE_Curves!$E$5:$E$205,1)))/(INDEX(LE_Curves!$E$5:$E$205,MATCH($R177,LE_Curves!$E$5:$E$205,1)+1)-INDEX(LE_Curves!$E$5:$E$205,MATCH($R177,LE_Curves!$E$5:$E$205,1))))))</f>
        <v/>
      </c>
      <c r="V177" s="11">
        <f>IF(Inputs!$D$26=0,0,IF($R177&lt;=Inputs!$C$26,0,IF($R177&gt;=INDEX(LE_Curves!$F$5:$F$205,201),INDEX(LE_Curves!$B$5:$B$205,201),INDEX(LE_Curves!$B$5:$B$205,MATCH($R177,LE_Curves!$F$5:$F$205,1))+($R177-INDEX(LE_Curves!$F$5:$F$205,MATCH($R177,LE_Curves!$F$5:$F$205,1)))*(INDEX(LE_Curves!$B$5:$B$205,MATCH($R177,LE_Curves!$F$5:$F$205,1)+1)-INDEX(LE_Curves!$B$5:$B$205,MATCH($R177,LE_Curves!$F$5:$F$205,1)))/(INDEX(LE_Curves!$F$5:$F$205,MATCH($R177,LE_Curves!$F$5:$F$205,1)+1)-INDEX(LE_Curves!$F$5:$F$205,MATCH($R177,LE_Curves!$F$5:$F$205,1))))))</f>
        <v/>
      </c>
      <c r="W177" s="11">
        <f>IF(Inputs!$D$27=0,0,IF($R177&lt;=Inputs!$C$27,0,IF($R177&gt;=INDEX(LE_Curves!$G$5:$G$205,201),INDEX(LE_Curves!$B$5:$B$205,201),INDEX(LE_Curves!$B$5:$B$205,MATCH($R177,LE_Curves!$G$5:$G$205,1))+($R177-INDEX(LE_Curves!$G$5:$G$205,MATCH($R177,LE_Curves!$G$5:$G$205,1)))*(INDEX(LE_Curves!$B$5:$B$205,MATCH($R177,LE_Curves!$G$5:$G$205,1)+1)-INDEX(LE_Curves!$B$5:$B$205,MATCH($R177,LE_Curves!$G$5:$G$205,1)))/(INDEX(LE_Curves!$G$5:$G$205,MATCH($R177,LE_Curves!$G$5:$G$205,1)+1)-INDEX(LE_Curves!$G$5:$G$205,MATCH($R177,LE_Curves!$G$5:$G$205,1))))))</f>
        <v/>
      </c>
      <c r="X177" s="11">
        <f>IF(Inputs!$D$28=0,0,IF($R177&lt;=Inputs!$C$28,0,IF($R177&gt;=INDEX(LE_Curves!$H$5:$H$205,201),INDEX(LE_Curves!$B$5:$B$205,201),INDEX(LE_Curves!$B$5:$B$205,MATCH($R177,LE_Curves!$H$5:$H$205,1))+($R177-INDEX(LE_Curves!$H$5:$H$205,MATCH($R177,LE_Curves!$H$5:$H$205,1)))*(INDEX(LE_Curves!$B$5:$B$205,MATCH($R177,LE_Curves!$H$5:$H$205,1)+1)-INDEX(LE_Curves!$B$5:$B$205,MATCH($R177,LE_Curves!$H$5:$H$205,1)))/(INDEX(LE_Curves!$H$5:$H$205,MATCH($R177,LE_Curves!$H$5:$H$205,1)+1)-INDEX(LE_Curves!$H$5:$H$205,MATCH($R177,LE_Curves!$H$5:$H$205,1))))))</f>
        <v/>
      </c>
      <c r="Y177" s="11">
        <f>IF(Inputs!$D$29=0,0,IF($R177&lt;=Inputs!$C$29,0,IF($R177&gt;=INDEX(LE_Curves!$I$5:$I$205,201),INDEX(LE_Curves!$B$5:$B$205,201),INDEX(LE_Curves!$B$5:$B$205,MATCH($R177,LE_Curves!$I$5:$I$205,1))+($R177-INDEX(LE_Curves!$I$5:$I$205,MATCH($R177,LE_Curves!$I$5:$I$205,1)))*(INDEX(LE_Curves!$B$5:$B$205,MATCH($R177,LE_Curves!$I$5:$I$205,1)+1)-INDEX(LE_Curves!$B$5:$B$205,MATCH($R177,LE_Curves!$I$5:$I$205,1)))/(INDEX(LE_Curves!$I$5:$I$205,MATCH($R177,LE_Curves!$I$5:$I$205,1)+1)-INDEX(LE_Curves!$I$5:$I$205,MATCH($R177,LE_Curves!$I$5:$I$205,1))))))</f>
        <v/>
      </c>
      <c r="Z177" s="11">
        <f>IF(Inputs!$D$30=0,0,IF($R177&lt;=Inputs!$C$30,0,IF($R177&gt;=INDEX(LE_Curves!$J$5:$J$205,201),INDEX(LE_Curves!$B$5:$B$205,201),INDEX(LE_Curves!$B$5:$B$205,MATCH($R177,LE_Curves!$J$5:$J$205,1))+($R177-INDEX(LE_Curves!$J$5:$J$205,MATCH($R177,LE_Curves!$J$5:$J$205,1)))*(INDEX(LE_Curves!$B$5:$B$205,MATCH($R177,LE_Curves!$J$5:$J$205,1)+1)-INDEX(LE_Curves!$B$5:$B$205,MATCH($R177,LE_Curves!$J$5:$J$205,1)))/(INDEX(LE_Curves!$J$5:$J$205,MATCH($R177,LE_Curves!$J$5:$J$205,1)+1)-INDEX(LE_Curves!$J$5:$J$205,MATCH($R177,LE_Curves!$J$5:$J$205,1))))))</f>
        <v/>
      </c>
      <c r="AA177" s="11">
        <f>IF(Inputs!$D$31=0,0,IF($R177&lt;=Inputs!$C$31,0,IF($R177&gt;=INDEX(LE_Curves!$K$5:$K$205,201),INDEX(LE_Curves!$B$5:$B$205,201),INDEX(LE_Curves!$B$5:$B$205,MATCH($R177,LE_Curves!$K$5:$K$205,1))+($R177-INDEX(LE_Curves!$K$5:$K$205,MATCH($R177,LE_Curves!$K$5:$K$205,1)))*(INDEX(LE_Curves!$B$5:$B$205,MATCH($R177,LE_Curves!$K$5:$K$205,1)+1)-INDEX(LE_Curves!$B$5:$B$205,MATCH($R177,LE_Curves!$K$5:$K$205,1)))/(INDEX(LE_Curves!$K$5:$K$205,MATCH($R177,LE_Curves!$K$5:$K$205,1)+1)-INDEX(LE_Curves!$K$5:$K$205,MATCH($R177,LE_Curves!$K$5:$K$205,1))))))</f>
        <v/>
      </c>
      <c r="AB177" s="11">
        <f>IF(Inputs!$D$32=0,0,IF($R177&lt;=Inputs!$C$32,0,IF($R177&gt;=INDEX(LE_Curves!$L$5:$L$205,201),INDEX(LE_Curves!$B$5:$B$205,201),INDEX(LE_Curves!$B$5:$B$205,MATCH($R177,LE_Curves!$L$5:$L$205,1))+($R177-INDEX(LE_Curves!$L$5:$L$205,MATCH($R177,LE_Curves!$L$5:$L$205,1)))*(INDEX(LE_Curves!$B$5:$B$205,MATCH($R177,LE_Curves!$L$5:$L$205,1)+1)-INDEX(LE_Curves!$B$5:$B$205,MATCH($R177,LE_Curves!$L$5:$L$205,1)))/(INDEX(LE_Curves!$L$5:$L$205,MATCH($R177,LE_Curves!$L$5:$L$205,1)+1)-INDEX(LE_Curves!$L$5:$L$205,MATCH($R177,LE_Curves!$L$5:$L$205,1))))))</f>
        <v/>
      </c>
      <c r="AC177" s="11">
        <f>IF(Inputs!$D$33=0,0,IF($R177&lt;=Inputs!$C$33,0,IF($R177&gt;=INDEX(LE_Curves!$M$5:$M$205,201),INDEX(LE_Curves!$B$5:$B$205,201),INDEX(LE_Curves!$B$5:$B$205,MATCH($R177,LE_Curves!$M$5:$M$205,1))+($R177-INDEX(LE_Curves!$M$5:$M$205,MATCH($R177,LE_Curves!$M$5:$M$205,1)))*(INDEX(LE_Curves!$B$5:$B$205,MATCH($R177,LE_Curves!$M$5:$M$205,1)+1)-INDEX(LE_Curves!$B$5:$B$205,MATCH($R177,LE_Curves!$M$5:$M$205,1)))/(INDEX(LE_Curves!$M$5:$M$205,MATCH($R177,LE_Curves!$M$5:$M$205,1)+1)-INDEX(LE_Curves!$M$5:$M$205,MATCH($R177,LE_Curves!$M$5:$M$205,1))))))</f>
        <v/>
      </c>
      <c r="AD177" s="11">
        <f>IF(Inputs!$D$34=0,0,IF($R177&lt;=Inputs!$C$34,0,IF($R177&gt;=INDEX(LE_Curves!$N$5:$N$205,201),INDEX(LE_Curves!$B$5:$B$205,201),INDEX(LE_Curves!$B$5:$B$205,MATCH($R177,LE_Curves!$N$5:$N$205,1))+($R177-INDEX(LE_Curves!$N$5:$N$205,MATCH($R177,LE_Curves!$N$5:$N$205,1)))*(INDEX(LE_Curves!$B$5:$B$205,MATCH($R177,LE_Curves!$N$5:$N$205,1)+1)-INDEX(LE_Curves!$B$5:$B$205,MATCH($R177,LE_Curves!$N$5:$N$205,1)))/(INDEX(LE_Curves!$N$5:$N$205,MATCH($R177,LE_Curves!$N$5:$N$205,1)+1)-INDEX(LE_Curves!$N$5:$N$205,MATCH($R177,LE_Curves!$N$5:$N$205,1))))))</f>
        <v/>
      </c>
      <c r="AE177" s="37">
        <f>SUM(S177:AD177)</f>
        <v/>
      </c>
    </row>
    <row r="178">
      <c r="A178" s="7" t="n">
        <v>147</v>
      </c>
      <c r="B178" s="37">
        <f>$B$3+($B$4-$B$3)*A178/200</f>
        <v/>
      </c>
      <c r="C178" s="11">
        <f>IF(Inputs!$D$23=0,0,IF($B178&lt;=Inputs!$C$23,0,IF($B178&gt;=INDEX(LE_Curves!$C$5:$C$205,201),INDEX(LE_Curves!$B$5:$B$205,201),INDEX(LE_Curves!$B$5:$B$205,MATCH($B178,LE_Curves!$C$5:$C$205,1))+($B178-INDEX(LE_Curves!$C$5:$C$205,MATCH($B178,LE_Curves!$C$5:$C$205,1)))*(INDEX(LE_Curves!$B$5:$B$205,MATCH($B178,LE_Curves!$C$5:$C$205,1)+1)-INDEX(LE_Curves!$B$5:$B$205,MATCH($B178,LE_Curves!$C$5:$C$205,1)))/(INDEX(LE_Curves!$C$5:$C$205,MATCH($B178,LE_Curves!$C$5:$C$205,1)+1)-INDEX(LE_Curves!$C$5:$C$205,MATCH($B178,LE_Curves!$C$5:$C$205,1))))))</f>
        <v/>
      </c>
      <c r="D178" s="11">
        <f>IF(Inputs!$D$24=0,0,IF($B178&lt;=Inputs!$C$24,0,IF($B178&gt;=INDEX(LE_Curves!$D$5:$D$205,201),INDEX(LE_Curves!$B$5:$B$205,201),INDEX(LE_Curves!$B$5:$B$205,MATCH($B178,LE_Curves!$D$5:$D$205,1))+($B178-INDEX(LE_Curves!$D$5:$D$205,MATCH($B178,LE_Curves!$D$5:$D$205,1)))*(INDEX(LE_Curves!$B$5:$B$205,MATCH($B178,LE_Curves!$D$5:$D$205,1)+1)-INDEX(LE_Curves!$B$5:$B$205,MATCH($B178,LE_Curves!$D$5:$D$205,1)))/(INDEX(LE_Curves!$D$5:$D$205,MATCH($B178,LE_Curves!$D$5:$D$205,1)+1)-INDEX(LE_Curves!$D$5:$D$205,MATCH($B178,LE_Curves!$D$5:$D$205,1))))))</f>
        <v/>
      </c>
      <c r="E178" s="11">
        <f>IF(Inputs!$D$25=0,0,IF($B178&lt;=Inputs!$C$25,0,IF($B178&gt;=INDEX(LE_Curves!$E$5:$E$205,201),INDEX(LE_Curves!$B$5:$B$205,201),INDEX(LE_Curves!$B$5:$B$205,MATCH($B178,LE_Curves!$E$5:$E$205,1))+($B178-INDEX(LE_Curves!$E$5:$E$205,MATCH($B178,LE_Curves!$E$5:$E$205,1)))*(INDEX(LE_Curves!$B$5:$B$205,MATCH($B178,LE_Curves!$E$5:$E$205,1)+1)-INDEX(LE_Curves!$B$5:$B$205,MATCH($B178,LE_Curves!$E$5:$E$205,1)))/(INDEX(LE_Curves!$E$5:$E$205,MATCH($B178,LE_Curves!$E$5:$E$205,1)+1)-INDEX(LE_Curves!$E$5:$E$205,MATCH($B178,LE_Curves!$E$5:$E$205,1))))))</f>
        <v/>
      </c>
      <c r="F178" s="11">
        <f>IF(Inputs!$D$26=0,0,IF($B178&lt;=Inputs!$C$26,0,IF($B178&gt;=INDEX(LE_Curves!$F$5:$F$205,201),INDEX(LE_Curves!$B$5:$B$205,201),INDEX(LE_Curves!$B$5:$B$205,MATCH($B178,LE_Curves!$F$5:$F$205,1))+($B178-INDEX(LE_Curves!$F$5:$F$205,MATCH($B178,LE_Curves!$F$5:$F$205,1)))*(INDEX(LE_Curves!$B$5:$B$205,MATCH($B178,LE_Curves!$F$5:$F$205,1)+1)-INDEX(LE_Curves!$B$5:$B$205,MATCH($B178,LE_Curves!$F$5:$F$205,1)))/(INDEX(LE_Curves!$F$5:$F$205,MATCH($B178,LE_Curves!$F$5:$F$205,1)+1)-INDEX(LE_Curves!$F$5:$F$205,MATCH($B178,LE_Curves!$F$5:$F$205,1))))))</f>
        <v/>
      </c>
      <c r="G178" s="11">
        <f>IF(Inputs!$D$27=0,0,IF($B178&lt;=Inputs!$C$27,0,IF($B178&gt;=INDEX(LE_Curves!$G$5:$G$205,201),INDEX(LE_Curves!$B$5:$B$205,201),INDEX(LE_Curves!$B$5:$B$205,MATCH($B178,LE_Curves!$G$5:$G$205,1))+($B178-INDEX(LE_Curves!$G$5:$G$205,MATCH($B178,LE_Curves!$G$5:$G$205,1)))*(INDEX(LE_Curves!$B$5:$B$205,MATCH($B178,LE_Curves!$G$5:$G$205,1)+1)-INDEX(LE_Curves!$B$5:$B$205,MATCH($B178,LE_Curves!$G$5:$G$205,1)))/(INDEX(LE_Curves!$G$5:$G$205,MATCH($B178,LE_Curves!$G$5:$G$205,1)+1)-INDEX(LE_Curves!$G$5:$G$205,MATCH($B178,LE_Curves!$G$5:$G$205,1))))))</f>
        <v/>
      </c>
      <c r="H178" s="11">
        <f>IF(Inputs!$D$28=0,0,IF($B178&lt;=Inputs!$C$28,0,IF($B178&gt;=INDEX(LE_Curves!$H$5:$H$205,201),INDEX(LE_Curves!$B$5:$B$205,201),INDEX(LE_Curves!$B$5:$B$205,MATCH($B178,LE_Curves!$H$5:$H$205,1))+($B178-INDEX(LE_Curves!$H$5:$H$205,MATCH($B178,LE_Curves!$H$5:$H$205,1)))*(INDEX(LE_Curves!$B$5:$B$205,MATCH($B178,LE_Curves!$H$5:$H$205,1)+1)-INDEX(LE_Curves!$B$5:$B$205,MATCH($B178,LE_Curves!$H$5:$H$205,1)))/(INDEX(LE_Curves!$H$5:$H$205,MATCH($B178,LE_Curves!$H$5:$H$205,1)+1)-INDEX(LE_Curves!$H$5:$H$205,MATCH($B178,LE_Curves!$H$5:$H$205,1))))))</f>
        <v/>
      </c>
      <c r="I178" s="11">
        <f>IF(Inputs!$D$29=0,0,IF($B178&lt;=Inputs!$C$29,0,IF($B178&gt;=INDEX(LE_Curves!$I$5:$I$205,201),INDEX(LE_Curves!$B$5:$B$205,201),INDEX(LE_Curves!$B$5:$B$205,MATCH($B178,LE_Curves!$I$5:$I$205,1))+($B178-INDEX(LE_Curves!$I$5:$I$205,MATCH($B178,LE_Curves!$I$5:$I$205,1)))*(INDEX(LE_Curves!$B$5:$B$205,MATCH($B178,LE_Curves!$I$5:$I$205,1)+1)-INDEX(LE_Curves!$B$5:$B$205,MATCH($B178,LE_Curves!$I$5:$I$205,1)))/(INDEX(LE_Curves!$I$5:$I$205,MATCH($B178,LE_Curves!$I$5:$I$205,1)+1)-INDEX(LE_Curves!$I$5:$I$205,MATCH($B178,LE_Curves!$I$5:$I$205,1))))))</f>
        <v/>
      </c>
      <c r="J178" s="11">
        <f>IF(Inputs!$D$30=0,0,IF($B178&lt;=Inputs!$C$30,0,IF($B178&gt;=INDEX(LE_Curves!$J$5:$J$205,201),INDEX(LE_Curves!$B$5:$B$205,201),INDEX(LE_Curves!$B$5:$B$205,MATCH($B178,LE_Curves!$J$5:$J$205,1))+($B178-INDEX(LE_Curves!$J$5:$J$205,MATCH($B178,LE_Curves!$J$5:$J$205,1)))*(INDEX(LE_Curves!$B$5:$B$205,MATCH($B178,LE_Curves!$J$5:$J$205,1)+1)-INDEX(LE_Curves!$B$5:$B$205,MATCH($B178,LE_Curves!$J$5:$J$205,1)))/(INDEX(LE_Curves!$J$5:$J$205,MATCH($B178,LE_Curves!$J$5:$J$205,1)+1)-INDEX(LE_Curves!$J$5:$J$205,MATCH($B178,LE_Curves!$J$5:$J$205,1))))))</f>
        <v/>
      </c>
      <c r="K178" s="11">
        <f>IF(Inputs!$D$31=0,0,IF($B178&lt;=Inputs!$C$31,0,IF($B178&gt;=INDEX(LE_Curves!$K$5:$K$205,201),INDEX(LE_Curves!$B$5:$B$205,201),INDEX(LE_Curves!$B$5:$B$205,MATCH($B178,LE_Curves!$K$5:$K$205,1))+($B178-INDEX(LE_Curves!$K$5:$K$205,MATCH($B178,LE_Curves!$K$5:$K$205,1)))*(INDEX(LE_Curves!$B$5:$B$205,MATCH($B178,LE_Curves!$K$5:$K$205,1)+1)-INDEX(LE_Curves!$B$5:$B$205,MATCH($B178,LE_Curves!$K$5:$K$205,1)))/(INDEX(LE_Curves!$K$5:$K$205,MATCH($B178,LE_Curves!$K$5:$K$205,1)+1)-INDEX(LE_Curves!$K$5:$K$205,MATCH($B178,LE_Curves!$K$5:$K$205,1))))))</f>
        <v/>
      </c>
      <c r="L178" s="11">
        <f>IF(Inputs!$D$32=0,0,IF($B178&lt;=Inputs!$C$32,0,IF($B178&gt;=INDEX(LE_Curves!$L$5:$L$205,201),INDEX(LE_Curves!$B$5:$B$205,201),INDEX(LE_Curves!$B$5:$B$205,MATCH($B178,LE_Curves!$L$5:$L$205,1))+($B178-INDEX(LE_Curves!$L$5:$L$205,MATCH($B178,LE_Curves!$L$5:$L$205,1)))*(INDEX(LE_Curves!$B$5:$B$205,MATCH($B178,LE_Curves!$L$5:$L$205,1)+1)-INDEX(LE_Curves!$B$5:$B$205,MATCH($B178,LE_Curves!$L$5:$L$205,1)))/(INDEX(LE_Curves!$L$5:$L$205,MATCH($B178,LE_Curves!$L$5:$L$205,1)+1)-INDEX(LE_Curves!$L$5:$L$205,MATCH($B178,LE_Curves!$L$5:$L$205,1))))))</f>
        <v/>
      </c>
      <c r="M178" s="11">
        <f>IF(Inputs!$D$33=0,0,IF($B178&lt;=Inputs!$C$33,0,IF($B178&gt;=INDEX(LE_Curves!$M$5:$M$205,201),INDEX(LE_Curves!$B$5:$B$205,201),INDEX(LE_Curves!$B$5:$B$205,MATCH($B178,LE_Curves!$M$5:$M$205,1))+($B178-INDEX(LE_Curves!$M$5:$M$205,MATCH($B178,LE_Curves!$M$5:$M$205,1)))*(INDEX(LE_Curves!$B$5:$B$205,MATCH($B178,LE_Curves!$M$5:$M$205,1)+1)-INDEX(LE_Curves!$B$5:$B$205,MATCH($B178,LE_Curves!$M$5:$M$205,1)))/(INDEX(LE_Curves!$M$5:$M$205,MATCH($B178,LE_Curves!$M$5:$M$205,1)+1)-INDEX(LE_Curves!$M$5:$M$205,MATCH($B178,LE_Curves!$M$5:$M$205,1))))))</f>
        <v/>
      </c>
      <c r="N178" s="11">
        <f>IF(Inputs!$D$34=0,0,IF($B178&lt;=Inputs!$C$34,0,IF($B178&gt;=INDEX(LE_Curves!$N$5:$N$205,201),INDEX(LE_Curves!$B$5:$B$205,201),INDEX(LE_Curves!$B$5:$B$205,MATCH($B178,LE_Curves!$N$5:$N$205,1))+($B178-INDEX(LE_Curves!$N$5:$N$205,MATCH($B178,LE_Curves!$N$5:$N$205,1)))*(INDEX(LE_Curves!$B$5:$B$205,MATCH($B178,LE_Curves!$N$5:$N$205,1)+1)-INDEX(LE_Curves!$B$5:$B$205,MATCH($B178,LE_Curves!$N$5:$N$205,1)))/(INDEX(LE_Curves!$N$5:$N$205,MATCH($B178,LE_Curves!$N$5:$N$205,1)+1)-INDEX(LE_Curves!$N$5:$N$205,MATCH($B178,LE_Curves!$N$5:$N$205,1))))))</f>
        <v/>
      </c>
      <c r="O178" s="11">
        <f>SUM(C178:N178)</f>
        <v/>
      </c>
      <c r="Q178" s="7" t="n">
        <v>147</v>
      </c>
      <c r="R178" s="23">
        <f>$B$6+($B$7-$B$6)*Q178/200</f>
        <v/>
      </c>
      <c r="S178" s="11">
        <f>IF(Inputs!$D$23=0,0,IF($R178&lt;=Inputs!$C$23,0,IF($R178&gt;=INDEX(LE_Curves!$C$5:$C$205,201),INDEX(LE_Curves!$B$5:$B$205,201),INDEX(LE_Curves!$B$5:$B$205,MATCH($R178,LE_Curves!$C$5:$C$205,1))+($R178-INDEX(LE_Curves!$C$5:$C$205,MATCH($R178,LE_Curves!$C$5:$C$205,1)))*(INDEX(LE_Curves!$B$5:$B$205,MATCH($R178,LE_Curves!$C$5:$C$205,1)+1)-INDEX(LE_Curves!$B$5:$B$205,MATCH($R178,LE_Curves!$C$5:$C$205,1)))/(INDEX(LE_Curves!$C$5:$C$205,MATCH($R178,LE_Curves!$C$5:$C$205,1)+1)-INDEX(LE_Curves!$C$5:$C$205,MATCH($R178,LE_Curves!$C$5:$C$205,1))))))</f>
        <v/>
      </c>
      <c r="T178" s="11">
        <f>IF(Inputs!$D$24=0,0,IF($R178&lt;=Inputs!$C$24,0,IF($R178&gt;=INDEX(LE_Curves!$D$5:$D$205,201),INDEX(LE_Curves!$B$5:$B$205,201),INDEX(LE_Curves!$B$5:$B$205,MATCH($R178,LE_Curves!$D$5:$D$205,1))+($R178-INDEX(LE_Curves!$D$5:$D$205,MATCH($R178,LE_Curves!$D$5:$D$205,1)))*(INDEX(LE_Curves!$B$5:$B$205,MATCH($R178,LE_Curves!$D$5:$D$205,1)+1)-INDEX(LE_Curves!$B$5:$B$205,MATCH($R178,LE_Curves!$D$5:$D$205,1)))/(INDEX(LE_Curves!$D$5:$D$205,MATCH($R178,LE_Curves!$D$5:$D$205,1)+1)-INDEX(LE_Curves!$D$5:$D$205,MATCH($R178,LE_Curves!$D$5:$D$205,1))))))</f>
        <v/>
      </c>
      <c r="U178" s="11">
        <f>IF(Inputs!$D$25=0,0,IF($R178&lt;=Inputs!$C$25,0,IF($R178&gt;=INDEX(LE_Curves!$E$5:$E$205,201),INDEX(LE_Curves!$B$5:$B$205,201),INDEX(LE_Curves!$B$5:$B$205,MATCH($R178,LE_Curves!$E$5:$E$205,1))+($R178-INDEX(LE_Curves!$E$5:$E$205,MATCH($R178,LE_Curves!$E$5:$E$205,1)))*(INDEX(LE_Curves!$B$5:$B$205,MATCH($R178,LE_Curves!$E$5:$E$205,1)+1)-INDEX(LE_Curves!$B$5:$B$205,MATCH($R178,LE_Curves!$E$5:$E$205,1)))/(INDEX(LE_Curves!$E$5:$E$205,MATCH($R178,LE_Curves!$E$5:$E$205,1)+1)-INDEX(LE_Curves!$E$5:$E$205,MATCH($R178,LE_Curves!$E$5:$E$205,1))))))</f>
        <v/>
      </c>
      <c r="V178" s="11">
        <f>IF(Inputs!$D$26=0,0,IF($R178&lt;=Inputs!$C$26,0,IF($R178&gt;=INDEX(LE_Curves!$F$5:$F$205,201),INDEX(LE_Curves!$B$5:$B$205,201),INDEX(LE_Curves!$B$5:$B$205,MATCH($R178,LE_Curves!$F$5:$F$205,1))+($R178-INDEX(LE_Curves!$F$5:$F$205,MATCH($R178,LE_Curves!$F$5:$F$205,1)))*(INDEX(LE_Curves!$B$5:$B$205,MATCH($R178,LE_Curves!$F$5:$F$205,1)+1)-INDEX(LE_Curves!$B$5:$B$205,MATCH($R178,LE_Curves!$F$5:$F$205,1)))/(INDEX(LE_Curves!$F$5:$F$205,MATCH($R178,LE_Curves!$F$5:$F$205,1)+1)-INDEX(LE_Curves!$F$5:$F$205,MATCH($R178,LE_Curves!$F$5:$F$205,1))))))</f>
        <v/>
      </c>
      <c r="W178" s="11">
        <f>IF(Inputs!$D$27=0,0,IF($R178&lt;=Inputs!$C$27,0,IF($R178&gt;=INDEX(LE_Curves!$G$5:$G$205,201),INDEX(LE_Curves!$B$5:$B$205,201),INDEX(LE_Curves!$B$5:$B$205,MATCH($R178,LE_Curves!$G$5:$G$205,1))+($R178-INDEX(LE_Curves!$G$5:$G$205,MATCH($R178,LE_Curves!$G$5:$G$205,1)))*(INDEX(LE_Curves!$B$5:$B$205,MATCH($R178,LE_Curves!$G$5:$G$205,1)+1)-INDEX(LE_Curves!$B$5:$B$205,MATCH($R178,LE_Curves!$G$5:$G$205,1)))/(INDEX(LE_Curves!$G$5:$G$205,MATCH($R178,LE_Curves!$G$5:$G$205,1)+1)-INDEX(LE_Curves!$G$5:$G$205,MATCH($R178,LE_Curves!$G$5:$G$205,1))))))</f>
        <v/>
      </c>
      <c r="X178" s="11">
        <f>IF(Inputs!$D$28=0,0,IF($R178&lt;=Inputs!$C$28,0,IF($R178&gt;=INDEX(LE_Curves!$H$5:$H$205,201),INDEX(LE_Curves!$B$5:$B$205,201),INDEX(LE_Curves!$B$5:$B$205,MATCH($R178,LE_Curves!$H$5:$H$205,1))+($R178-INDEX(LE_Curves!$H$5:$H$205,MATCH($R178,LE_Curves!$H$5:$H$205,1)))*(INDEX(LE_Curves!$B$5:$B$205,MATCH($R178,LE_Curves!$H$5:$H$205,1)+1)-INDEX(LE_Curves!$B$5:$B$205,MATCH($R178,LE_Curves!$H$5:$H$205,1)))/(INDEX(LE_Curves!$H$5:$H$205,MATCH($R178,LE_Curves!$H$5:$H$205,1)+1)-INDEX(LE_Curves!$H$5:$H$205,MATCH($R178,LE_Curves!$H$5:$H$205,1))))))</f>
        <v/>
      </c>
      <c r="Y178" s="11">
        <f>IF(Inputs!$D$29=0,0,IF($R178&lt;=Inputs!$C$29,0,IF($R178&gt;=INDEX(LE_Curves!$I$5:$I$205,201),INDEX(LE_Curves!$B$5:$B$205,201),INDEX(LE_Curves!$B$5:$B$205,MATCH($R178,LE_Curves!$I$5:$I$205,1))+($R178-INDEX(LE_Curves!$I$5:$I$205,MATCH($R178,LE_Curves!$I$5:$I$205,1)))*(INDEX(LE_Curves!$B$5:$B$205,MATCH($R178,LE_Curves!$I$5:$I$205,1)+1)-INDEX(LE_Curves!$B$5:$B$205,MATCH($R178,LE_Curves!$I$5:$I$205,1)))/(INDEX(LE_Curves!$I$5:$I$205,MATCH($R178,LE_Curves!$I$5:$I$205,1)+1)-INDEX(LE_Curves!$I$5:$I$205,MATCH($R178,LE_Curves!$I$5:$I$205,1))))))</f>
        <v/>
      </c>
      <c r="Z178" s="11">
        <f>IF(Inputs!$D$30=0,0,IF($R178&lt;=Inputs!$C$30,0,IF($R178&gt;=INDEX(LE_Curves!$J$5:$J$205,201),INDEX(LE_Curves!$B$5:$B$205,201),INDEX(LE_Curves!$B$5:$B$205,MATCH($R178,LE_Curves!$J$5:$J$205,1))+($R178-INDEX(LE_Curves!$J$5:$J$205,MATCH($R178,LE_Curves!$J$5:$J$205,1)))*(INDEX(LE_Curves!$B$5:$B$205,MATCH($R178,LE_Curves!$J$5:$J$205,1)+1)-INDEX(LE_Curves!$B$5:$B$205,MATCH($R178,LE_Curves!$J$5:$J$205,1)))/(INDEX(LE_Curves!$J$5:$J$205,MATCH($R178,LE_Curves!$J$5:$J$205,1)+1)-INDEX(LE_Curves!$J$5:$J$205,MATCH($R178,LE_Curves!$J$5:$J$205,1))))))</f>
        <v/>
      </c>
      <c r="AA178" s="11">
        <f>IF(Inputs!$D$31=0,0,IF($R178&lt;=Inputs!$C$31,0,IF($R178&gt;=INDEX(LE_Curves!$K$5:$K$205,201),INDEX(LE_Curves!$B$5:$B$205,201),INDEX(LE_Curves!$B$5:$B$205,MATCH($R178,LE_Curves!$K$5:$K$205,1))+($R178-INDEX(LE_Curves!$K$5:$K$205,MATCH($R178,LE_Curves!$K$5:$K$205,1)))*(INDEX(LE_Curves!$B$5:$B$205,MATCH($R178,LE_Curves!$K$5:$K$205,1)+1)-INDEX(LE_Curves!$B$5:$B$205,MATCH($R178,LE_Curves!$K$5:$K$205,1)))/(INDEX(LE_Curves!$K$5:$K$205,MATCH($R178,LE_Curves!$K$5:$K$205,1)+1)-INDEX(LE_Curves!$K$5:$K$205,MATCH($R178,LE_Curves!$K$5:$K$205,1))))))</f>
        <v/>
      </c>
      <c r="AB178" s="11">
        <f>IF(Inputs!$D$32=0,0,IF($R178&lt;=Inputs!$C$32,0,IF($R178&gt;=INDEX(LE_Curves!$L$5:$L$205,201),INDEX(LE_Curves!$B$5:$B$205,201),INDEX(LE_Curves!$B$5:$B$205,MATCH($R178,LE_Curves!$L$5:$L$205,1))+($R178-INDEX(LE_Curves!$L$5:$L$205,MATCH($R178,LE_Curves!$L$5:$L$205,1)))*(INDEX(LE_Curves!$B$5:$B$205,MATCH($R178,LE_Curves!$L$5:$L$205,1)+1)-INDEX(LE_Curves!$B$5:$B$205,MATCH($R178,LE_Curves!$L$5:$L$205,1)))/(INDEX(LE_Curves!$L$5:$L$205,MATCH($R178,LE_Curves!$L$5:$L$205,1)+1)-INDEX(LE_Curves!$L$5:$L$205,MATCH($R178,LE_Curves!$L$5:$L$205,1))))))</f>
        <v/>
      </c>
      <c r="AC178" s="11">
        <f>IF(Inputs!$D$33=0,0,IF($R178&lt;=Inputs!$C$33,0,IF($R178&gt;=INDEX(LE_Curves!$M$5:$M$205,201),INDEX(LE_Curves!$B$5:$B$205,201),INDEX(LE_Curves!$B$5:$B$205,MATCH($R178,LE_Curves!$M$5:$M$205,1))+($R178-INDEX(LE_Curves!$M$5:$M$205,MATCH($R178,LE_Curves!$M$5:$M$205,1)))*(INDEX(LE_Curves!$B$5:$B$205,MATCH($R178,LE_Curves!$M$5:$M$205,1)+1)-INDEX(LE_Curves!$B$5:$B$205,MATCH($R178,LE_Curves!$M$5:$M$205,1)))/(INDEX(LE_Curves!$M$5:$M$205,MATCH($R178,LE_Curves!$M$5:$M$205,1)+1)-INDEX(LE_Curves!$M$5:$M$205,MATCH($R178,LE_Curves!$M$5:$M$205,1))))))</f>
        <v/>
      </c>
      <c r="AD178" s="11">
        <f>IF(Inputs!$D$34=0,0,IF($R178&lt;=Inputs!$C$34,0,IF($R178&gt;=INDEX(LE_Curves!$N$5:$N$205,201),INDEX(LE_Curves!$B$5:$B$205,201),INDEX(LE_Curves!$B$5:$B$205,MATCH($R178,LE_Curves!$N$5:$N$205,1))+($R178-INDEX(LE_Curves!$N$5:$N$205,MATCH($R178,LE_Curves!$N$5:$N$205,1)))*(INDEX(LE_Curves!$B$5:$B$205,MATCH($R178,LE_Curves!$N$5:$N$205,1)+1)-INDEX(LE_Curves!$B$5:$B$205,MATCH($R178,LE_Curves!$N$5:$N$205,1)))/(INDEX(LE_Curves!$N$5:$N$205,MATCH($R178,LE_Curves!$N$5:$N$205,1)+1)-INDEX(LE_Curves!$N$5:$N$205,MATCH($R178,LE_Curves!$N$5:$N$205,1))))))</f>
        <v/>
      </c>
      <c r="AE178" s="37">
        <f>SUM(S178:AD178)</f>
        <v/>
      </c>
    </row>
    <row r="179">
      <c r="A179" s="7" t="n">
        <v>148</v>
      </c>
      <c r="B179" s="37">
        <f>$B$3+($B$4-$B$3)*A179/200</f>
        <v/>
      </c>
      <c r="C179" s="11">
        <f>IF(Inputs!$D$23=0,0,IF($B179&lt;=Inputs!$C$23,0,IF($B179&gt;=INDEX(LE_Curves!$C$5:$C$205,201),INDEX(LE_Curves!$B$5:$B$205,201),INDEX(LE_Curves!$B$5:$B$205,MATCH($B179,LE_Curves!$C$5:$C$205,1))+($B179-INDEX(LE_Curves!$C$5:$C$205,MATCH($B179,LE_Curves!$C$5:$C$205,1)))*(INDEX(LE_Curves!$B$5:$B$205,MATCH($B179,LE_Curves!$C$5:$C$205,1)+1)-INDEX(LE_Curves!$B$5:$B$205,MATCH($B179,LE_Curves!$C$5:$C$205,1)))/(INDEX(LE_Curves!$C$5:$C$205,MATCH($B179,LE_Curves!$C$5:$C$205,1)+1)-INDEX(LE_Curves!$C$5:$C$205,MATCH($B179,LE_Curves!$C$5:$C$205,1))))))</f>
        <v/>
      </c>
      <c r="D179" s="11">
        <f>IF(Inputs!$D$24=0,0,IF($B179&lt;=Inputs!$C$24,0,IF($B179&gt;=INDEX(LE_Curves!$D$5:$D$205,201),INDEX(LE_Curves!$B$5:$B$205,201),INDEX(LE_Curves!$B$5:$B$205,MATCH($B179,LE_Curves!$D$5:$D$205,1))+($B179-INDEX(LE_Curves!$D$5:$D$205,MATCH($B179,LE_Curves!$D$5:$D$205,1)))*(INDEX(LE_Curves!$B$5:$B$205,MATCH($B179,LE_Curves!$D$5:$D$205,1)+1)-INDEX(LE_Curves!$B$5:$B$205,MATCH($B179,LE_Curves!$D$5:$D$205,1)))/(INDEX(LE_Curves!$D$5:$D$205,MATCH($B179,LE_Curves!$D$5:$D$205,1)+1)-INDEX(LE_Curves!$D$5:$D$205,MATCH($B179,LE_Curves!$D$5:$D$205,1))))))</f>
        <v/>
      </c>
      <c r="E179" s="11">
        <f>IF(Inputs!$D$25=0,0,IF($B179&lt;=Inputs!$C$25,0,IF($B179&gt;=INDEX(LE_Curves!$E$5:$E$205,201),INDEX(LE_Curves!$B$5:$B$205,201),INDEX(LE_Curves!$B$5:$B$205,MATCH($B179,LE_Curves!$E$5:$E$205,1))+($B179-INDEX(LE_Curves!$E$5:$E$205,MATCH($B179,LE_Curves!$E$5:$E$205,1)))*(INDEX(LE_Curves!$B$5:$B$205,MATCH($B179,LE_Curves!$E$5:$E$205,1)+1)-INDEX(LE_Curves!$B$5:$B$205,MATCH($B179,LE_Curves!$E$5:$E$205,1)))/(INDEX(LE_Curves!$E$5:$E$205,MATCH($B179,LE_Curves!$E$5:$E$205,1)+1)-INDEX(LE_Curves!$E$5:$E$205,MATCH($B179,LE_Curves!$E$5:$E$205,1))))))</f>
        <v/>
      </c>
      <c r="F179" s="11">
        <f>IF(Inputs!$D$26=0,0,IF($B179&lt;=Inputs!$C$26,0,IF($B179&gt;=INDEX(LE_Curves!$F$5:$F$205,201),INDEX(LE_Curves!$B$5:$B$205,201),INDEX(LE_Curves!$B$5:$B$205,MATCH($B179,LE_Curves!$F$5:$F$205,1))+($B179-INDEX(LE_Curves!$F$5:$F$205,MATCH($B179,LE_Curves!$F$5:$F$205,1)))*(INDEX(LE_Curves!$B$5:$B$205,MATCH($B179,LE_Curves!$F$5:$F$205,1)+1)-INDEX(LE_Curves!$B$5:$B$205,MATCH($B179,LE_Curves!$F$5:$F$205,1)))/(INDEX(LE_Curves!$F$5:$F$205,MATCH($B179,LE_Curves!$F$5:$F$205,1)+1)-INDEX(LE_Curves!$F$5:$F$205,MATCH($B179,LE_Curves!$F$5:$F$205,1))))))</f>
        <v/>
      </c>
      <c r="G179" s="11">
        <f>IF(Inputs!$D$27=0,0,IF($B179&lt;=Inputs!$C$27,0,IF($B179&gt;=INDEX(LE_Curves!$G$5:$G$205,201),INDEX(LE_Curves!$B$5:$B$205,201),INDEX(LE_Curves!$B$5:$B$205,MATCH($B179,LE_Curves!$G$5:$G$205,1))+($B179-INDEX(LE_Curves!$G$5:$G$205,MATCH($B179,LE_Curves!$G$5:$G$205,1)))*(INDEX(LE_Curves!$B$5:$B$205,MATCH($B179,LE_Curves!$G$5:$G$205,1)+1)-INDEX(LE_Curves!$B$5:$B$205,MATCH($B179,LE_Curves!$G$5:$G$205,1)))/(INDEX(LE_Curves!$G$5:$G$205,MATCH($B179,LE_Curves!$G$5:$G$205,1)+1)-INDEX(LE_Curves!$G$5:$G$205,MATCH($B179,LE_Curves!$G$5:$G$205,1))))))</f>
        <v/>
      </c>
      <c r="H179" s="11">
        <f>IF(Inputs!$D$28=0,0,IF($B179&lt;=Inputs!$C$28,0,IF($B179&gt;=INDEX(LE_Curves!$H$5:$H$205,201),INDEX(LE_Curves!$B$5:$B$205,201),INDEX(LE_Curves!$B$5:$B$205,MATCH($B179,LE_Curves!$H$5:$H$205,1))+($B179-INDEX(LE_Curves!$H$5:$H$205,MATCH($B179,LE_Curves!$H$5:$H$205,1)))*(INDEX(LE_Curves!$B$5:$B$205,MATCH($B179,LE_Curves!$H$5:$H$205,1)+1)-INDEX(LE_Curves!$B$5:$B$205,MATCH($B179,LE_Curves!$H$5:$H$205,1)))/(INDEX(LE_Curves!$H$5:$H$205,MATCH($B179,LE_Curves!$H$5:$H$205,1)+1)-INDEX(LE_Curves!$H$5:$H$205,MATCH($B179,LE_Curves!$H$5:$H$205,1))))))</f>
        <v/>
      </c>
      <c r="I179" s="11">
        <f>IF(Inputs!$D$29=0,0,IF($B179&lt;=Inputs!$C$29,0,IF($B179&gt;=INDEX(LE_Curves!$I$5:$I$205,201),INDEX(LE_Curves!$B$5:$B$205,201),INDEX(LE_Curves!$B$5:$B$205,MATCH($B179,LE_Curves!$I$5:$I$205,1))+($B179-INDEX(LE_Curves!$I$5:$I$205,MATCH($B179,LE_Curves!$I$5:$I$205,1)))*(INDEX(LE_Curves!$B$5:$B$205,MATCH($B179,LE_Curves!$I$5:$I$205,1)+1)-INDEX(LE_Curves!$B$5:$B$205,MATCH($B179,LE_Curves!$I$5:$I$205,1)))/(INDEX(LE_Curves!$I$5:$I$205,MATCH($B179,LE_Curves!$I$5:$I$205,1)+1)-INDEX(LE_Curves!$I$5:$I$205,MATCH($B179,LE_Curves!$I$5:$I$205,1))))))</f>
        <v/>
      </c>
      <c r="J179" s="11">
        <f>IF(Inputs!$D$30=0,0,IF($B179&lt;=Inputs!$C$30,0,IF($B179&gt;=INDEX(LE_Curves!$J$5:$J$205,201),INDEX(LE_Curves!$B$5:$B$205,201),INDEX(LE_Curves!$B$5:$B$205,MATCH($B179,LE_Curves!$J$5:$J$205,1))+($B179-INDEX(LE_Curves!$J$5:$J$205,MATCH($B179,LE_Curves!$J$5:$J$205,1)))*(INDEX(LE_Curves!$B$5:$B$205,MATCH($B179,LE_Curves!$J$5:$J$205,1)+1)-INDEX(LE_Curves!$B$5:$B$205,MATCH($B179,LE_Curves!$J$5:$J$205,1)))/(INDEX(LE_Curves!$J$5:$J$205,MATCH($B179,LE_Curves!$J$5:$J$205,1)+1)-INDEX(LE_Curves!$J$5:$J$205,MATCH($B179,LE_Curves!$J$5:$J$205,1))))))</f>
        <v/>
      </c>
      <c r="K179" s="11">
        <f>IF(Inputs!$D$31=0,0,IF($B179&lt;=Inputs!$C$31,0,IF($B179&gt;=INDEX(LE_Curves!$K$5:$K$205,201),INDEX(LE_Curves!$B$5:$B$205,201),INDEX(LE_Curves!$B$5:$B$205,MATCH($B179,LE_Curves!$K$5:$K$205,1))+($B179-INDEX(LE_Curves!$K$5:$K$205,MATCH($B179,LE_Curves!$K$5:$K$205,1)))*(INDEX(LE_Curves!$B$5:$B$205,MATCH($B179,LE_Curves!$K$5:$K$205,1)+1)-INDEX(LE_Curves!$B$5:$B$205,MATCH($B179,LE_Curves!$K$5:$K$205,1)))/(INDEX(LE_Curves!$K$5:$K$205,MATCH($B179,LE_Curves!$K$5:$K$205,1)+1)-INDEX(LE_Curves!$K$5:$K$205,MATCH($B179,LE_Curves!$K$5:$K$205,1))))))</f>
        <v/>
      </c>
      <c r="L179" s="11">
        <f>IF(Inputs!$D$32=0,0,IF($B179&lt;=Inputs!$C$32,0,IF($B179&gt;=INDEX(LE_Curves!$L$5:$L$205,201),INDEX(LE_Curves!$B$5:$B$205,201),INDEX(LE_Curves!$B$5:$B$205,MATCH($B179,LE_Curves!$L$5:$L$205,1))+($B179-INDEX(LE_Curves!$L$5:$L$205,MATCH($B179,LE_Curves!$L$5:$L$205,1)))*(INDEX(LE_Curves!$B$5:$B$205,MATCH($B179,LE_Curves!$L$5:$L$205,1)+1)-INDEX(LE_Curves!$B$5:$B$205,MATCH($B179,LE_Curves!$L$5:$L$205,1)))/(INDEX(LE_Curves!$L$5:$L$205,MATCH($B179,LE_Curves!$L$5:$L$205,1)+1)-INDEX(LE_Curves!$L$5:$L$205,MATCH($B179,LE_Curves!$L$5:$L$205,1))))))</f>
        <v/>
      </c>
      <c r="M179" s="11">
        <f>IF(Inputs!$D$33=0,0,IF($B179&lt;=Inputs!$C$33,0,IF($B179&gt;=INDEX(LE_Curves!$M$5:$M$205,201),INDEX(LE_Curves!$B$5:$B$205,201),INDEX(LE_Curves!$B$5:$B$205,MATCH($B179,LE_Curves!$M$5:$M$205,1))+($B179-INDEX(LE_Curves!$M$5:$M$205,MATCH($B179,LE_Curves!$M$5:$M$205,1)))*(INDEX(LE_Curves!$B$5:$B$205,MATCH($B179,LE_Curves!$M$5:$M$205,1)+1)-INDEX(LE_Curves!$B$5:$B$205,MATCH($B179,LE_Curves!$M$5:$M$205,1)))/(INDEX(LE_Curves!$M$5:$M$205,MATCH($B179,LE_Curves!$M$5:$M$205,1)+1)-INDEX(LE_Curves!$M$5:$M$205,MATCH($B179,LE_Curves!$M$5:$M$205,1))))))</f>
        <v/>
      </c>
      <c r="N179" s="11">
        <f>IF(Inputs!$D$34=0,0,IF($B179&lt;=Inputs!$C$34,0,IF($B179&gt;=INDEX(LE_Curves!$N$5:$N$205,201),INDEX(LE_Curves!$B$5:$B$205,201),INDEX(LE_Curves!$B$5:$B$205,MATCH($B179,LE_Curves!$N$5:$N$205,1))+($B179-INDEX(LE_Curves!$N$5:$N$205,MATCH($B179,LE_Curves!$N$5:$N$205,1)))*(INDEX(LE_Curves!$B$5:$B$205,MATCH($B179,LE_Curves!$N$5:$N$205,1)+1)-INDEX(LE_Curves!$B$5:$B$205,MATCH($B179,LE_Curves!$N$5:$N$205,1)))/(INDEX(LE_Curves!$N$5:$N$205,MATCH($B179,LE_Curves!$N$5:$N$205,1)+1)-INDEX(LE_Curves!$N$5:$N$205,MATCH($B179,LE_Curves!$N$5:$N$205,1))))))</f>
        <v/>
      </c>
      <c r="O179" s="11">
        <f>SUM(C179:N179)</f>
        <v/>
      </c>
      <c r="Q179" s="7" t="n">
        <v>148</v>
      </c>
      <c r="R179" s="23">
        <f>$B$6+($B$7-$B$6)*Q179/200</f>
        <v/>
      </c>
      <c r="S179" s="11">
        <f>IF(Inputs!$D$23=0,0,IF($R179&lt;=Inputs!$C$23,0,IF($R179&gt;=INDEX(LE_Curves!$C$5:$C$205,201),INDEX(LE_Curves!$B$5:$B$205,201),INDEX(LE_Curves!$B$5:$B$205,MATCH($R179,LE_Curves!$C$5:$C$205,1))+($R179-INDEX(LE_Curves!$C$5:$C$205,MATCH($R179,LE_Curves!$C$5:$C$205,1)))*(INDEX(LE_Curves!$B$5:$B$205,MATCH($R179,LE_Curves!$C$5:$C$205,1)+1)-INDEX(LE_Curves!$B$5:$B$205,MATCH($R179,LE_Curves!$C$5:$C$205,1)))/(INDEX(LE_Curves!$C$5:$C$205,MATCH($R179,LE_Curves!$C$5:$C$205,1)+1)-INDEX(LE_Curves!$C$5:$C$205,MATCH($R179,LE_Curves!$C$5:$C$205,1))))))</f>
        <v/>
      </c>
      <c r="T179" s="11">
        <f>IF(Inputs!$D$24=0,0,IF($R179&lt;=Inputs!$C$24,0,IF($R179&gt;=INDEX(LE_Curves!$D$5:$D$205,201),INDEX(LE_Curves!$B$5:$B$205,201),INDEX(LE_Curves!$B$5:$B$205,MATCH($R179,LE_Curves!$D$5:$D$205,1))+($R179-INDEX(LE_Curves!$D$5:$D$205,MATCH($R179,LE_Curves!$D$5:$D$205,1)))*(INDEX(LE_Curves!$B$5:$B$205,MATCH($R179,LE_Curves!$D$5:$D$205,1)+1)-INDEX(LE_Curves!$B$5:$B$205,MATCH($R179,LE_Curves!$D$5:$D$205,1)))/(INDEX(LE_Curves!$D$5:$D$205,MATCH($R179,LE_Curves!$D$5:$D$205,1)+1)-INDEX(LE_Curves!$D$5:$D$205,MATCH($R179,LE_Curves!$D$5:$D$205,1))))))</f>
        <v/>
      </c>
      <c r="U179" s="11">
        <f>IF(Inputs!$D$25=0,0,IF($R179&lt;=Inputs!$C$25,0,IF($R179&gt;=INDEX(LE_Curves!$E$5:$E$205,201),INDEX(LE_Curves!$B$5:$B$205,201),INDEX(LE_Curves!$B$5:$B$205,MATCH($R179,LE_Curves!$E$5:$E$205,1))+($R179-INDEX(LE_Curves!$E$5:$E$205,MATCH($R179,LE_Curves!$E$5:$E$205,1)))*(INDEX(LE_Curves!$B$5:$B$205,MATCH($R179,LE_Curves!$E$5:$E$205,1)+1)-INDEX(LE_Curves!$B$5:$B$205,MATCH($R179,LE_Curves!$E$5:$E$205,1)))/(INDEX(LE_Curves!$E$5:$E$205,MATCH($R179,LE_Curves!$E$5:$E$205,1)+1)-INDEX(LE_Curves!$E$5:$E$205,MATCH($R179,LE_Curves!$E$5:$E$205,1))))))</f>
        <v/>
      </c>
      <c r="V179" s="11">
        <f>IF(Inputs!$D$26=0,0,IF($R179&lt;=Inputs!$C$26,0,IF($R179&gt;=INDEX(LE_Curves!$F$5:$F$205,201),INDEX(LE_Curves!$B$5:$B$205,201),INDEX(LE_Curves!$B$5:$B$205,MATCH($R179,LE_Curves!$F$5:$F$205,1))+($R179-INDEX(LE_Curves!$F$5:$F$205,MATCH($R179,LE_Curves!$F$5:$F$205,1)))*(INDEX(LE_Curves!$B$5:$B$205,MATCH($R179,LE_Curves!$F$5:$F$205,1)+1)-INDEX(LE_Curves!$B$5:$B$205,MATCH($R179,LE_Curves!$F$5:$F$205,1)))/(INDEX(LE_Curves!$F$5:$F$205,MATCH($R179,LE_Curves!$F$5:$F$205,1)+1)-INDEX(LE_Curves!$F$5:$F$205,MATCH($R179,LE_Curves!$F$5:$F$205,1))))))</f>
        <v/>
      </c>
      <c r="W179" s="11">
        <f>IF(Inputs!$D$27=0,0,IF($R179&lt;=Inputs!$C$27,0,IF($R179&gt;=INDEX(LE_Curves!$G$5:$G$205,201),INDEX(LE_Curves!$B$5:$B$205,201),INDEX(LE_Curves!$B$5:$B$205,MATCH($R179,LE_Curves!$G$5:$G$205,1))+($R179-INDEX(LE_Curves!$G$5:$G$205,MATCH($R179,LE_Curves!$G$5:$G$205,1)))*(INDEX(LE_Curves!$B$5:$B$205,MATCH($R179,LE_Curves!$G$5:$G$205,1)+1)-INDEX(LE_Curves!$B$5:$B$205,MATCH($R179,LE_Curves!$G$5:$G$205,1)))/(INDEX(LE_Curves!$G$5:$G$205,MATCH($R179,LE_Curves!$G$5:$G$205,1)+1)-INDEX(LE_Curves!$G$5:$G$205,MATCH($R179,LE_Curves!$G$5:$G$205,1))))))</f>
        <v/>
      </c>
      <c r="X179" s="11">
        <f>IF(Inputs!$D$28=0,0,IF($R179&lt;=Inputs!$C$28,0,IF($R179&gt;=INDEX(LE_Curves!$H$5:$H$205,201),INDEX(LE_Curves!$B$5:$B$205,201),INDEX(LE_Curves!$B$5:$B$205,MATCH($R179,LE_Curves!$H$5:$H$205,1))+($R179-INDEX(LE_Curves!$H$5:$H$205,MATCH($R179,LE_Curves!$H$5:$H$205,1)))*(INDEX(LE_Curves!$B$5:$B$205,MATCH($R179,LE_Curves!$H$5:$H$205,1)+1)-INDEX(LE_Curves!$B$5:$B$205,MATCH($R179,LE_Curves!$H$5:$H$205,1)))/(INDEX(LE_Curves!$H$5:$H$205,MATCH($R179,LE_Curves!$H$5:$H$205,1)+1)-INDEX(LE_Curves!$H$5:$H$205,MATCH($R179,LE_Curves!$H$5:$H$205,1))))))</f>
        <v/>
      </c>
      <c r="Y179" s="11">
        <f>IF(Inputs!$D$29=0,0,IF($R179&lt;=Inputs!$C$29,0,IF($R179&gt;=INDEX(LE_Curves!$I$5:$I$205,201),INDEX(LE_Curves!$B$5:$B$205,201),INDEX(LE_Curves!$B$5:$B$205,MATCH($R179,LE_Curves!$I$5:$I$205,1))+($R179-INDEX(LE_Curves!$I$5:$I$205,MATCH($R179,LE_Curves!$I$5:$I$205,1)))*(INDEX(LE_Curves!$B$5:$B$205,MATCH($R179,LE_Curves!$I$5:$I$205,1)+1)-INDEX(LE_Curves!$B$5:$B$205,MATCH($R179,LE_Curves!$I$5:$I$205,1)))/(INDEX(LE_Curves!$I$5:$I$205,MATCH($R179,LE_Curves!$I$5:$I$205,1)+1)-INDEX(LE_Curves!$I$5:$I$205,MATCH($R179,LE_Curves!$I$5:$I$205,1))))))</f>
        <v/>
      </c>
      <c r="Z179" s="11">
        <f>IF(Inputs!$D$30=0,0,IF($R179&lt;=Inputs!$C$30,0,IF($R179&gt;=INDEX(LE_Curves!$J$5:$J$205,201),INDEX(LE_Curves!$B$5:$B$205,201),INDEX(LE_Curves!$B$5:$B$205,MATCH($R179,LE_Curves!$J$5:$J$205,1))+($R179-INDEX(LE_Curves!$J$5:$J$205,MATCH($R179,LE_Curves!$J$5:$J$205,1)))*(INDEX(LE_Curves!$B$5:$B$205,MATCH($R179,LE_Curves!$J$5:$J$205,1)+1)-INDEX(LE_Curves!$B$5:$B$205,MATCH($R179,LE_Curves!$J$5:$J$205,1)))/(INDEX(LE_Curves!$J$5:$J$205,MATCH($R179,LE_Curves!$J$5:$J$205,1)+1)-INDEX(LE_Curves!$J$5:$J$205,MATCH($R179,LE_Curves!$J$5:$J$205,1))))))</f>
        <v/>
      </c>
      <c r="AA179" s="11">
        <f>IF(Inputs!$D$31=0,0,IF($R179&lt;=Inputs!$C$31,0,IF($R179&gt;=INDEX(LE_Curves!$K$5:$K$205,201),INDEX(LE_Curves!$B$5:$B$205,201),INDEX(LE_Curves!$B$5:$B$205,MATCH($R179,LE_Curves!$K$5:$K$205,1))+($R179-INDEX(LE_Curves!$K$5:$K$205,MATCH($R179,LE_Curves!$K$5:$K$205,1)))*(INDEX(LE_Curves!$B$5:$B$205,MATCH($R179,LE_Curves!$K$5:$K$205,1)+1)-INDEX(LE_Curves!$B$5:$B$205,MATCH($R179,LE_Curves!$K$5:$K$205,1)))/(INDEX(LE_Curves!$K$5:$K$205,MATCH($R179,LE_Curves!$K$5:$K$205,1)+1)-INDEX(LE_Curves!$K$5:$K$205,MATCH($R179,LE_Curves!$K$5:$K$205,1))))))</f>
        <v/>
      </c>
      <c r="AB179" s="11">
        <f>IF(Inputs!$D$32=0,0,IF($R179&lt;=Inputs!$C$32,0,IF($R179&gt;=INDEX(LE_Curves!$L$5:$L$205,201),INDEX(LE_Curves!$B$5:$B$205,201),INDEX(LE_Curves!$B$5:$B$205,MATCH($R179,LE_Curves!$L$5:$L$205,1))+($R179-INDEX(LE_Curves!$L$5:$L$205,MATCH($R179,LE_Curves!$L$5:$L$205,1)))*(INDEX(LE_Curves!$B$5:$B$205,MATCH($R179,LE_Curves!$L$5:$L$205,1)+1)-INDEX(LE_Curves!$B$5:$B$205,MATCH($R179,LE_Curves!$L$5:$L$205,1)))/(INDEX(LE_Curves!$L$5:$L$205,MATCH($R179,LE_Curves!$L$5:$L$205,1)+1)-INDEX(LE_Curves!$L$5:$L$205,MATCH($R179,LE_Curves!$L$5:$L$205,1))))))</f>
        <v/>
      </c>
      <c r="AC179" s="11">
        <f>IF(Inputs!$D$33=0,0,IF($R179&lt;=Inputs!$C$33,0,IF($R179&gt;=INDEX(LE_Curves!$M$5:$M$205,201),INDEX(LE_Curves!$B$5:$B$205,201),INDEX(LE_Curves!$B$5:$B$205,MATCH($R179,LE_Curves!$M$5:$M$205,1))+($R179-INDEX(LE_Curves!$M$5:$M$205,MATCH($R179,LE_Curves!$M$5:$M$205,1)))*(INDEX(LE_Curves!$B$5:$B$205,MATCH($R179,LE_Curves!$M$5:$M$205,1)+1)-INDEX(LE_Curves!$B$5:$B$205,MATCH($R179,LE_Curves!$M$5:$M$205,1)))/(INDEX(LE_Curves!$M$5:$M$205,MATCH($R179,LE_Curves!$M$5:$M$205,1)+1)-INDEX(LE_Curves!$M$5:$M$205,MATCH($R179,LE_Curves!$M$5:$M$205,1))))))</f>
        <v/>
      </c>
      <c r="AD179" s="11">
        <f>IF(Inputs!$D$34=0,0,IF($R179&lt;=Inputs!$C$34,0,IF($R179&gt;=INDEX(LE_Curves!$N$5:$N$205,201),INDEX(LE_Curves!$B$5:$B$205,201),INDEX(LE_Curves!$B$5:$B$205,MATCH($R179,LE_Curves!$N$5:$N$205,1))+($R179-INDEX(LE_Curves!$N$5:$N$205,MATCH($R179,LE_Curves!$N$5:$N$205,1)))*(INDEX(LE_Curves!$B$5:$B$205,MATCH($R179,LE_Curves!$N$5:$N$205,1)+1)-INDEX(LE_Curves!$B$5:$B$205,MATCH($R179,LE_Curves!$N$5:$N$205,1)))/(INDEX(LE_Curves!$N$5:$N$205,MATCH($R179,LE_Curves!$N$5:$N$205,1)+1)-INDEX(LE_Curves!$N$5:$N$205,MATCH($R179,LE_Curves!$N$5:$N$205,1))))))</f>
        <v/>
      </c>
      <c r="AE179" s="37">
        <f>SUM(S179:AD179)</f>
        <v/>
      </c>
    </row>
    <row r="180">
      <c r="A180" s="7" t="n">
        <v>149</v>
      </c>
      <c r="B180" s="37">
        <f>$B$3+($B$4-$B$3)*A180/200</f>
        <v/>
      </c>
      <c r="C180" s="11">
        <f>IF(Inputs!$D$23=0,0,IF($B180&lt;=Inputs!$C$23,0,IF($B180&gt;=INDEX(LE_Curves!$C$5:$C$205,201),INDEX(LE_Curves!$B$5:$B$205,201),INDEX(LE_Curves!$B$5:$B$205,MATCH($B180,LE_Curves!$C$5:$C$205,1))+($B180-INDEX(LE_Curves!$C$5:$C$205,MATCH($B180,LE_Curves!$C$5:$C$205,1)))*(INDEX(LE_Curves!$B$5:$B$205,MATCH($B180,LE_Curves!$C$5:$C$205,1)+1)-INDEX(LE_Curves!$B$5:$B$205,MATCH($B180,LE_Curves!$C$5:$C$205,1)))/(INDEX(LE_Curves!$C$5:$C$205,MATCH($B180,LE_Curves!$C$5:$C$205,1)+1)-INDEX(LE_Curves!$C$5:$C$205,MATCH($B180,LE_Curves!$C$5:$C$205,1))))))</f>
        <v/>
      </c>
      <c r="D180" s="11">
        <f>IF(Inputs!$D$24=0,0,IF($B180&lt;=Inputs!$C$24,0,IF($B180&gt;=INDEX(LE_Curves!$D$5:$D$205,201),INDEX(LE_Curves!$B$5:$B$205,201),INDEX(LE_Curves!$B$5:$B$205,MATCH($B180,LE_Curves!$D$5:$D$205,1))+($B180-INDEX(LE_Curves!$D$5:$D$205,MATCH($B180,LE_Curves!$D$5:$D$205,1)))*(INDEX(LE_Curves!$B$5:$B$205,MATCH($B180,LE_Curves!$D$5:$D$205,1)+1)-INDEX(LE_Curves!$B$5:$B$205,MATCH($B180,LE_Curves!$D$5:$D$205,1)))/(INDEX(LE_Curves!$D$5:$D$205,MATCH($B180,LE_Curves!$D$5:$D$205,1)+1)-INDEX(LE_Curves!$D$5:$D$205,MATCH($B180,LE_Curves!$D$5:$D$205,1))))))</f>
        <v/>
      </c>
      <c r="E180" s="11">
        <f>IF(Inputs!$D$25=0,0,IF($B180&lt;=Inputs!$C$25,0,IF($B180&gt;=INDEX(LE_Curves!$E$5:$E$205,201),INDEX(LE_Curves!$B$5:$B$205,201),INDEX(LE_Curves!$B$5:$B$205,MATCH($B180,LE_Curves!$E$5:$E$205,1))+($B180-INDEX(LE_Curves!$E$5:$E$205,MATCH($B180,LE_Curves!$E$5:$E$205,1)))*(INDEX(LE_Curves!$B$5:$B$205,MATCH($B180,LE_Curves!$E$5:$E$205,1)+1)-INDEX(LE_Curves!$B$5:$B$205,MATCH($B180,LE_Curves!$E$5:$E$205,1)))/(INDEX(LE_Curves!$E$5:$E$205,MATCH($B180,LE_Curves!$E$5:$E$205,1)+1)-INDEX(LE_Curves!$E$5:$E$205,MATCH($B180,LE_Curves!$E$5:$E$205,1))))))</f>
        <v/>
      </c>
      <c r="F180" s="11">
        <f>IF(Inputs!$D$26=0,0,IF($B180&lt;=Inputs!$C$26,0,IF($B180&gt;=INDEX(LE_Curves!$F$5:$F$205,201),INDEX(LE_Curves!$B$5:$B$205,201),INDEX(LE_Curves!$B$5:$B$205,MATCH($B180,LE_Curves!$F$5:$F$205,1))+($B180-INDEX(LE_Curves!$F$5:$F$205,MATCH($B180,LE_Curves!$F$5:$F$205,1)))*(INDEX(LE_Curves!$B$5:$B$205,MATCH($B180,LE_Curves!$F$5:$F$205,1)+1)-INDEX(LE_Curves!$B$5:$B$205,MATCH($B180,LE_Curves!$F$5:$F$205,1)))/(INDEX(LE_Curves!$F$5:$F$205,MATCH($B180,LE_Curves!$F$5:$F$205,1)+1)-INDEX(LE_Curves!$F$5:$F$205,MATCH($B180,LE_Curves!$F$5:$F$205,1))))))</f>
        <v/>
      </c>
      <c r="G180" s="11">
        <f>IF(Inputs!$D$27=0,0,IF($B180&lt;=Inputs!$C$27,0,IF($B180&gt;=INDEX(LE_Curves!$G$5:$G$205,201),INDEX(LE_Curves!$B$5:$B$205,201),INDEX(LE_Curves!$B$5:$B$205,MATCH($B180,LE_Curves!$G$5:$G$205,1))+($B180-INDEX(LE_Curves!$G$5:$G$205,MATCH($B180,LE_Curves!$G$5:$G$205,1)))*(INDEX(LE_Curves!$B$5:$B$205,MATCH($B180,LE_Curves!$G$5:$G$205,1)+1)-INDEX(LE_Curves!$B$5:$B$205,MATCH($B180,LE_Curves!$G$5:$G$205,1)))/(INDEX(LE_Curves!$G$5:$G$205,MATCH($B180,LE_Curves!$G$5:$G$205,1)+1)-INDEX(LE_Curves!$G$5:$G$205,MATCH($B180,LE_Curves!$G$5:$G$205,1))))))</f>
        <v/>
      </c>
      <c r="H180" s="11">
        <f>IF(Inputs!$D$28=0,0,IF($B180&lt;=Inputs!$C$28,0,IF($B180&gt;=INDEX(LE_Curves!$H$5:$H$205,201),INDEX(LE_Curves!$B$5:$B$205,201),INDEX(LE_Curves!$B$5:$B$205,MATCH($B180,LE_Curves!$H$5:$H$205,1))+($B180-INDEX(LE_Curves!$H$5:$H$205,MATCH($B180,LE_Curves!$H$5:$H$205,1)))*(INDEX(LE_Curves!$B$5:$B$205,MATCH($B180,LE_Curves!$H$5:$H$205,1)+1)-INDEX(LE_Curves!$B$5:$B$205,MATCH($B180,LE_Curves!$H$5:$H$205,1)))/(INDEX(LE_Curves!$H$5:$H$205,MATCH($B180,LE_Curves!$H$5:$H$205,1)+1)-INDEX(LE_Curves!$H$5:$H$205,MATCH($B180,LE_Curves!$H$5:$H$205,1))))))</f>
        <v/>
      </c>
      <c r="I180" s="11">
        <f>IF(Inputs!$D$29=0,0,IF($B180&lt;=Inputs!$C$29,0,IF($B180&gt;=INDEX(LE_Curves!$I$5:$I$205,201),INDEX(LE_Curves!$B$5:$B$205,201),INDEX(LE_Curves!$B$5:$B$205,MATCH($B180,LE_Curves!$I$5:$I$205,1))+($B180-INDEX(LE_Curves!$I$5:$I$205,MATCH($B180,LE_Curves!$I$5:$I$205,1)))*(INDEX(LE_Curves!$B$5:$B$205,MATCH($B180,LE_Curves!$I$5:$I$205,1)+1)-INDEX(LE_Curves!$B$5:$B$205,MATCH($B180,LE_Curves!$I$5:$I$205,1)))/(INDEX(LE_Curves!$I$5:$I$205,MATCH($B180,LE_Curves!$I$5:$I$205,1)+1)-INDEX(LE_Curves!$I$5:$I$205,MATCH($B180,LE_Curves!$I$5:$I$205,1))))))</f>
        <v/>
      </c>
      <c r="J180" s="11">
        <f>IF(Inputs!$D$30=0,0,IF($B180&lt;=Inputs!$C$30,0,IF($B180&gt;=INDEX(LE_Curves!$J$5:$J$205,201),INDEX(LE_Curves!$B$5:$B$205,201),INDEX(LE_Curves!$B$5:$B$205,MATCH($B180,LE_Curves!$J$5:$J$205,1))+($B180-INDEX(LE_Curves!$J$5:$J$205,MATCH($B180,LE_Curves!$J$5:$J$205,1)))*(INDEX(LE_Curves!$B$5:$B$205,MATCH($B180,LE_Curves!$J$5:$J$205,1)+1)-INDEX(LE_Curves!$B$5:$B$205,MATCH($B180,LE_Curves!$J$5:$J$205,1)))/(INDEX(LE_Curves!$J$5:$J$205,MATCH($B180,LE_Curves!$J$5:$J$205,1)+1)-INDEX(LE_Curves!$J$5:$J$205,MATCH($B180,LE_Curves!$J$5:$J$205,1))))))</f>
        <v/>
      </c>
      <c r="K180" s="11">
        <f>IF(Inputs!$D$31=0,0,IF($B180&lt;=Inputs!$C$31,0,IF($B180&gt;=INDEX(LE_Curves!$K$5:$K$205,201),INDEX(LE_Curves!$B$5:$B$205,201),INDEX(LE_Curves!$B$5:$B$205,MATCH($B180,LE_Curves!$K$5:$K$205,1))+($B180-INDEX(LE_Curves!$K$5:$K$205,MATCH($B180,LE_Curves!$K$5:$K$205,1)))*(INDEX(LE_Curves!$B$5:$B$205,MATCH($B180,LE_Curves!$K$5:$K$205,1)+1)-INDEX(LE_Curves!$B$5:$B$205,MATCH($B180,LE_Curves!$K$5:$K$205,1)))/(INDEX(LE_Curves!$K$5:$K$205,MATCH($B180,LE_Curves!$K$5:$K$205,1)+1)-INDEX(LE_Curves!$K$5:$K$205,MATCH($B180,LE_Curves!$K$5:$K$205,1))))))</f>
        <v/>
      </c>
      <c r="L180" s="11">
        <f>IF(Inputs!$D$32=0,0,IF($B180&lt;=Inputs!$C$32,0,IF($B180&gt;=INDEX(LE_Curves!$L$5:$L$205,201),INDEX(LE_Curves!$B$5:$B$205,201),INDEX(LE_Curves!$B$5:$B$205,MATCH($B180,LE_Curves!$L$5:$L$205,1))+($B180-INDEX(LE_Curves!$L$5:$L$205,MATCH($B180,LE_Curves!$L$5:$L$205,1)))*(INDEX(LE_Curves!$B$5:$B$205,MATCH($B180,LE_Curves!$L$5:$L$205,1)+1)-INDEX(LE_Curves!$B$5:$B$205,MATCH($B180,LE_Curves!$L$5:$L$205,1)))/(INDEX(LE_Curves!$L$5:$L$205,MATCH($B180,LE_Curves!$L$5:$L$205,1)+1)-INDEX(LE_Curves!$L$5:$L$205,MATCH($B180,LE_Curves!$L$5:$L$205,1))))))</f>
        <v/>
      </c>
      <c r="M180" s="11">
        <f>IF(Inputs!$D$33=0,0,IF($B180&lt;=Inputs!$C$33,0,IF($B180&gt;=INDEX(LE_Curves!$M$5:$M$205,201),INDEX(LE_Curves!$B$5:$B$205,201),INDEX(LE_Curves!$B$5:$B$205,MATCH($B180,LE_Curves!$M$5:$M$205,1))+($B180-INDEX(LE_Curves!$M$5:$M$205,MATCH($B180,LE_Curves!$M$5:$M$205,1)))*(INDEX(LE_Curves!$B$5:$B$205,MATCH($B180,LE_Curves!$M$5:$M$205,1)+1)-INDEX(LE_Curves!$B$5:$B$205,MATCH($B180,LE_Curves!$M$5:$M$205,1)))/(INDEX(LE_Curves!$M$5:$M$205,MATCH($B180,LE_Curves!$M$5:$M$205,1)+1)-INDEX(LE_Curves!$M$5:$M$205,MATCH($B180,LE_Curves!$M$5:$M$205,1))))))</f>
        <v/>
      </c>
      <c r="N180" s="11">
        <f>IF(Inputs!$D$34=0,0,IF($B180&lt;=Inputs!$C$34,0,IF($B180&gt;=INDEX(LE_Curves!$N$5:$N$205,201),INDEX(LE_Curves!$B$5:$B$205,201),INDEX(LE_Curves!$B$5:$B$205,MATCH($B180,LE_Curves!$N$5:$N$205,1))+($B180-INDEX(LE_Curves!$N$5:$N$205,MATCH($B180,LE_Curves!$N$5:$N$205,1)))*(INDEX(LE_Curves!$B$5:$B$205,MATCH($B180,LE_Curves!$N$5:$N$205,1)+1)-INDEX(LE_Curves!$B$5:$B$205,MATCH($B180,LE_Curves!$N$5:$N$205,1)))/(INDEX(LE_Curves!$N$5:$N$205,MATCH($B180,LE_Curves!$N$5:$N$205,1)+1)-INDEX(LE_Curves!$N$5:$N$205,MATCH($B180,LE_Curves!$N$5:$N$205,1))))))</f>
        <v/>
      </c>
      <c r="O180" s="11">
        <f>SUM(C180:N180)</f>
        <v/>
      </c>
      <c r="Q180" s="7" t="n">
        <v>149</v>
      </c>
      <c r="R180" s="23">
        <f>$B$6+($B$7-$B$6)*Q180/200</f>
        <v/>
      </c>
      <c r="S180" s="11">
        <f>IF(Inputs!$D$23=0,0,IF($R180&lt;=Inputs!$C$23,0,IF($R180&gt;=INDEX(LE_Curves!$C$5:$C$205,201),INDEX(LE_Curves!$B$5:$B$205,201),INDEX(LE_Curves!$B$5:$B$205,MATCH($R180,LE_Curves!$C$5:$C$205,1))+($R180-INDEX(LE_Curves!$C$5:$C$205,MATCH($R180,LE_Curves!$C$5:$C$205,1)))*(INDEX(LE_Curves!$B$5:$B$205,MATCH($R180,LE_Curves!$C$5:$C$205,1)+1)-INDEX(LE_Curves!$B$5:$B$205,MATCH($R180,LE_Curves!$C$5:$C$205,1)))/(INDEX(LE_Curves!$C$5:$C$205,MATCH($R180,LE_Curves!$C$5:$C$205,1)+1)-INDEX(LE_Curves!$C$5:$C$205,MATCH($R180,LE_Curves!$C$5:$C$205,1))))))</f>
        <v/>
      </c>
      <c r="T180" s="11">
        <f>IF(Inputs!$D$24=0,0,IF($R180&lt;=Inputs!$C$24,0,IF($R180&gt;=INDEX(LE_Curves!$D$5:$D$205,201),INDEX(LE_Curves!$B$5:$B$205,201),INDEX(LE_Curves!$B$5:$B$205,MATCH($R180,LE_Curves!$D$5:$D$205,1))+($R180-INDEX(LE_Curves!$D$5:$D$205,MATCH($R180,LE_Curves!$D$5:$D$205,1)))*(INDEX(LE_Curves!$B$5:$B$205,MATCH($R180,LE_Curves!$D$5:$D$205,1)+1)-INDEX(LE_Curves!$B$5:$B$205,MATCH($R180,LE_Curves!$D$5:$D$205,1)))/(INDEX(LE_Curves!$D$5:$D$205,MATCH($R180,LE_Curves!$D$5:$D$205,1)+1)-INDEX(LE_Curves!$D$5:$D$205,MATCH($R180,LE_Curves!$D$5:$D$205,1))))))</f>
        <v/>
      </c>
      <c r="U180" s="11">
        <f>IF(Inputs!$D$25=0,0,IF($R180&lt;=Inputs!$C$25,0,IF($R180&gt;=INDEX(LE_Curves!$E$5:$E$205,201),INDEX(LE_Curves!$B$5:$B$205,201),INDEX(LE_Curves!$B$5:$B$205,MATCH($R180,LE_Curves!$E$5:$E$205,1))+($R180-INDEX(LE_Curves!$E$5:$E$205,MATCH($R180,LE_Curves!$E$5:$E$205,1)))*(INDEX(LE_Curves!$B$5:$B$205,MATCH($R180,LE_Curves!$E$5:$E$205,1)+1)-INDEX(LE_Curves!$B$5:$B$205,MATCH($R180,LE_Curves!$E$5:$E$205,1)))/(INDEX(LE_Curves!$E$5:$E$205,MATCH($R180,LE_Curves!$E$5:$E$205,1)+1)-INDEX(LE_Curves!$E$5:$E$205,MATCH($R180,LE_Curves!$E$5:$E$205,1))))))</f>
        <v/>
      </c>
      <c r="V180" s="11">
        <f>IF(Inputs!$D$26=0,0,IF($R180&lt;=Inputs!$C$26,0,IF($R180&gt;=INDEX(LE_Curves!$F$5:$F$205,201),INDEX(LE_Curves!$B$5:$B$205,201),INDEX(LE_Curves!$B$5:$B$205,MATCH($R180,LE_Curves!$F$5:$F$205,1))+($R180-INDEX(LE_Curves!$F$5:$F$205,MATCH($R180,LE_Curves!$F$5:$F$205,1)))*(INDEX(LE_Curves!$B$5:$B$205,MATCH($R180,LE_Curves!$F$5:$F$205,1)+1)-INDEX(LE_Curves!$B$5:$B$205,MATCH($R180,LE_Curves!$F$5:$F$205,1)))/(INDEX(LE_Curves!$F$5:$F$205,MATCH($R180,LE_Curves!$F$5:$F$205,1)+1)-INDEX(LE_Curves!$F$5:$F$205,MATCH($R180,LE_Curves!$F$5:$F$205,1))))))</f>
        <v/>
      </c>
      <c r="W180" s="11">
        <f>IF(Inputs!$D$27=0,0,IF($R180&lt;=Inputs!$C$27,0,IF($R180&gt;=INDEX(LE_Curves!$G$5:$G$205,201),INDEX(LE_Curves!$B$5:$B$205,201),INDEX(LE_Curves!$B$5:$B$205,MATCH($R180,LE_Curves!$G$5:$G$205,1))+($R180-INDEX(LE_Curves!$G$5:$G$205,MATCH($R180,LE_Curves!$G$5:$G$205,1)))*(INDEX(LE_Curves!$B$5:$B$205,MATCH($R180,LE_Curves!$G$5:$G$205,1)+1)-INDEX(LE_Curves!$B$5:$B$205,MATCH($R180,LE_Curves!$G$5:$G$205,1)))/(INDEX(LE_Curves!$G$5:$G$205,MATCH($R180,LE_Curves!$G$5:$G$205,1)+1)-INDEX(LE_Curves!$G$5:$G$205,MATCH($R180,LE_Curves!$G$5:$G$205,1))))))</f>
        <v/>
      </c>
      <c r="X180" s="11">
        <f>IF(Inputs!$D$28=0,0,IF($R180&lt;=Inputs!$C$28,0,IF($R180&gt;=INDEX(LE_Curves!$H$5:$H$205,201),INDEX(LE_Curves!$B$5:$B$205,201),INDEX(LE_Curves!$B$5:$B$205,MATCH($R180,LE_Curves!$H$5:$H$205,1))+($R180-INDEX(LE_Curves!$H$5:$H$205,MATCH($R180,LE_Curves!$H$5:$H$205,1)))*(INDEX(LE_Curves!$B$5:$B$205,MATCH($R180,LE_Curves!$H$5:$H$205,1)+1)-INDEX(LE_Curves!$B$5:$B$205,MATCH($R180,LE_Curves!$H$5:$H$205,1)))/(INDEX(LE_Curves!$H$5:$H$205,MATCH($R180,LE_Curves!$H$5:$H$205,1)+1)-INDEX(LE_Curves!$H$5:$H$205,MATCH($R180,LE_Curves!$H$5:$H$205,1))))))</f>
        <v/>
      </c>
      <c r="Y180" s="11">
        <f>IF(Inputs!$D$29=0,0,IF($R180&lt;=Inputs!$C$29,0,IF($R180&gt;=INDEX(LE_Curves!$I$5:$I$205,201),INDEX(LE_Curves!$B$5:$B$205,201),INDEX(LE_Curves!$B$5:$B$205,MATCH($R180,LE_Curves!$I$5:$I$205,1))+($R180-INDEX(LE_Curves!$I$5:$I$205,MATCH($R180,LE_Curves!$I$5:$I$205,1)))*(INDEX(LE_Curves!$B$5:$B$205,MATCH($R180,LE_Curves!$I$5:$I$205,1)+1)-INDEX(LE_Curves!$B$5:$B$205,MATCH($R180,LE_Curves!$I$5:$I$205,1)))/(INDEX(LE_Curves!$I$5:$I$205,MATCH($R180,LE_Curves!$I$5:$I$205,1)+1)-INDEX(LE_Curves!$I$5:$I$205,MATCH($R180,LE_Curves!$I$5:$I$205,1))))))</f>
        <v/>
      </c>
      <c r="Z180" s="11">
        <f>IF(Inputs!$D$30=0,0,IF($R180&lt;=Inputs!$C$30,0,IF($R180&gt;=INDEX(LE_Curves!$J$5:$J$205,201),INDEX(LE_Curves!$B$5:$B$205,201),INDEX(LE_Curves!$B$5:$B$205,MATCH($R180,LE_Curves!$J$5:$J$205,1))+($R180-INDEX(LE_Curves!$J$5:$J$205,MATCH($R180,LE_Curves!$J$5:$J$205,1)))*(INDEX(LE_Curves!$B$5:$B$205,MATCH($R180,LE_Curves!$J$5:$J$205,1)+1)-INDEX(LE_Curves!$B$5:$B$205,MATCH($R180,LE_Curves!$J$5:$J$205,1)))/(INDEX(LE_Curves!$J$5:$J$205,MATCH($R180,LE_Curves!$J$5:$J$205,1)+1)-INDEX(LE_Curves!$J$5:$J$205,MATCH($R180,LE_Curves!$J$5:$J$205,1))))))</f>
        <v/>
      </c>
      <c r="AA180" s="11">
        <f>IF(Inputs!$D$31=0,0,IF($R180&lt;=Inputs!$C$31,0,IF($R180&gt;=INDEX(LE_Curves!$K$5:$K$205,201),INDEX(LE_Curves!$B$5:$B$205,201),INDEX(LE_Curves!$B$5:$B$205,MATCH($R180,LE_Curves!$K$5:$K$205,1))+($R180-INDEX(LE_Curves!$K$5:$K$205,MATCH($R180,LE_Curves!$K$5:$K$205,1)))*(INDEX(LE_Curves!$B$5:$B$205,MATCH($R180,LE_Curves!$K$5:$K$205,1)+1)-INDEX(LE_Curves!$B$5:$B$205,MATCH($R180,LE_Curves!$K$5:$K$205,1)))/(INDEX(LE_Curves!$K$5:$K$205,MATCH($R180,LE_Curves!$K$5:$K$205,1)+1)-INDEX(LE_Curves!$K$5:$K$205,MATCH($R180,LE_Curves!$K$5:$K$205,1))))))</f>
        <v/>
      </c>
      <c r="AB180" s="11">
        <f>IF(Inputs!$D$32=0,0,IF($R180&lt;=Inputs!$C$32,0,IF($R180&gt;=INDEX(LE_Curves!$L$5:$L$205,201),INDEX(LE_Curves!$B$5:$B$205,201),INDEX(LE_Curves!$B$5:$B$205,MATCH($R180,LE_Curves!$L$5:$L$205,1))+($R180-INDEX(LE_Curves!$L$5:$L$205,MATCH($R180,LE_Curves!$L$5:$L$205,1)))*(INDEX(LE_Curves!$B$5:$B$205,MATCH($R180,LE_Curves!$L$5:$L$205,1)+1)-INDEX(LE_Curves!$B$5:$B$205,MATCH($R180,LE_Curves!$L$5:$L$205,1)))/(INDEX(LE_Curves!$L$5:$L$205,MATCH($R180,LE_Curves!$L$5:$L$205,1)+1)-INDEX(LE_Curves!$L$5:$L$205,MATCH($R180,LE_Curves!$L$5:$L$205,1))))))</f>
        <v/>
      </c>
      <c r="AC180" s="11">
        <f>IF(Inputs!$D$33=0,0,IF($R180&lt;=Inputs!$C$33,0,IF($R180&gt;=INDEX(LE_Curves!$M$5:$M$205,201),INDEX(LE_Curves!$B$5:$B$205,201),INDEX(LE_Curves!$B$5:$B$205,MATCH($R180,LE_Curves!$M$5:$M$205,1))+($R180-INDEX(LE_Curves!$M$5:$M$205,MATCH($R180,LE_Curves!$M$5:$M$205,1)))*(INDEX(LE_Curves!$B$5:$B$205,MATCH($R180,LE_Curves!$M$5:$M$205,1)+1)-INDEX(LE_Curves!$B$5:$B$205,MATCH($R180,LE_Curves!$M$5:$M$205,1)))/(INDEX(LE_Curves!$M$5:$M$205,MATCH($R180,LE_Curves!$M$5:$M$205,1)+1)-INDEX(LE_Curves!$M$5:$M$205,MATCH($R180,LE_Curves!$M$5:$M$205,1))))))</f>
        <v/>
      </c>
      <c r="AD180" s="11">
        <f>IF(Inputs!$D$34=0,0,IF($R180&lt;=Inputs!$C$34,0,IF($R180&gt;=INDEX(LE_Curves!$N$5:$N$205,201),INDEX(LE_Curves!$B$5:$B$205,201),INDEX(LE_Curves!$B$5:$B$205,MATCH($R180,LE_Curves!$N$5:$N$205,1))+($R180-INDEX(LE_Curves!$N$5:$N$205,MATCH($R180,LE_Curves!$N$5:$N$205,1)))*(INDEX(LE_Curves!$B$5:$B$205,MATCH($R180,LE_Curves!$N$5:$N$205,1)+1)-INDEX(LE_Curves!$B$5:$B$205,MATCH($R180,LE_Curves!$N$5:$N$205,1)))/(INDEX(LE_Curves!$N$5:$N$205,MATCH($R180,LE_Curves!$N$5:$N$205,1)+1)-INDEX(LE_Curves!$N$5:$N$205,MATCH($R180,LE_Curves!$N$5:$N$205,1))))))</f>
        <v/>
      </c>
      <c r="AE180" s="37">
        <f>SUM(S180:AD180)</f>
        <v/>
      </c>
    </row>
    <row r="181">
      <c r="A181" s="7" t="n">
        <v>150</v>
      </c>
      <c r="B181" s="37">
        <f>$B$3+($B$4-$B$3)*A181/200</f>
        <v/>
      </c>
      <c r="C181" s="11">
        <f>IF(Inputs!$D$23=0,0,IF($B181&lt;=Inputs!$C$23,0,IF($B181&gt;=INDEX(LE_Curves!$C$5:$C$205,201),INDEX(LE_Curves!$B$5:$B$205,201),INDEX(LE_Curves!$B$5:$B$205,MATCH($B181,LE_Curves!$C$5:$C$205,1))+($B181-INDEX(LE_Curves!$C$5:$C$205,MATCH($B181,LE_Curves!$C$5:$C$205,1)))*(INDEX(LE_Curves!$B$5:$B$205,MATCH($B181,LE_Curves!$C$5:$C$205,1)+1)-INDEX(LE_Curves!$B$5:$B$205,MATCH($B181,LE_Curves!$C$5:$C$205,1)))/(INDEX(LE_Curves!$C$5:$C$205,MATCH($B181,LE_Curves!$C$5:$C$205,1)+1)-INDEX(LE_Curves!$C$5:$C$205,MATCH($B181,LE_Curves!$C$5:$C$205,1))))))</f>
        <v/>
      </c>
      <c r="D181" s="11">
        <f>IF(Inputs!$D$24=0,0,IF($B181&lt;=Inputs!$C$24,0,IF($B181&gt;=INDEX(LE_Curves!$D$5:$D$205,201),INDEX(LE_Curves!$B$5:$B$205,201),INDEX(LE_Curves!$B$5:$B$205,MATCH($B181,LE_Curves!$D$5:$D$205,1))+($B181-INDEX(LE_Curves!$D$5:$D$205,MATCH($B181,LE_Curves!$D$5:$D$205,1)))*(INDEX(LE_Curves!$B$5:$B$205,MATCH($B181,LE_Curves!$D$5:$D$205,1)+1)-INDEX(LE_Curves!$B$5:$B$205,MATCH($B181,LE_Curves!$D$5:$D$205,1)))/(INDEX(LE_Curves!$D$5:$D$205,MATCH($B181,LE_Curves!$D$5:$D$205,1)+1)-INDEX(LE_Curves!$D$5:$D$205,MATCH($B181,LE_Curves!$D$5:$D$205,1))))))</f>
        <v/>
      </c>
      <c r="E181" s="11">
        <f>IF(Inputs!$D$25=0,0,IF($B181&lt;=Inputs!$C$25,0,IF($B181&gt;=INDEX(LE_Curves!$E$5:$E$205,201),INDEX(LE_Curves!$B$5:$B$205,201),INDEX(LE_Curves!$B$5:$B$205,MATCH($B181,LE_Curves!$E$5:$E$205,1))+($B181-INDEX(LE_Curves!$E$5:$E$205,MATCH($B181,LE_Curves!$E$5:$E$205,1)))*(INDEX(LE_Curves!$B$5:$B$205,MATCH($B181,LE_Curves!$E$5:$E$205,1)+1)-INDEX(LE_Curves!$B$5:$B$205,MATCH($B181,LE_Curves!$E$5:$E$205,1)))/(INDEX(LE_Curves!$E$5:$E$205,MATCH($B181,LE_Curves!$E$5:$E$205,1)+1)-INDEX(LE_Curves!$E$5:$E$205,MATCH($B181,LE_Curves!$E$5:$E$205,1))))))</f>
        <v/>
      </c>
      <c r="F181" s="11">
        <f>IF(Inputs!$D$26=0,0,IF($B181&lt;=Inputs!$C$26,0,IF($B181&gt;=INDEX(LE_Curves!$F$5:$F$205,201),INDEX(LE_Curves!$B$5:$B$205,201),INDEX(LE_Curves!$B$5:$B$205,MATCH($B181,LE_Curves!$F$5:$F$205,1))+($B181-INDEX(LE_Curves!$F$5:$F$205,MATCH($B181,LE_Curves!$F$5:$F$205,1)))*(INDEX(LE_Curves!$B$5:$B$205,MATCH($B181,LE_Curves!$F$5:$F$205,1)+1)-INDEX(LE_Curves!$B$5:$B$205,MATCH($B181,LE_Curves!$F$5:$F$205,1)))/(INDEX(LE_Curves!$F$5:$F$205,MATCH($B181,LE_Curves!$F$5:$F$205,1)+1)-INDEX(LE_Curves!$F$5:$F$205,MATCH($B181,LE_Curves!$F$5:$F$205,1))))))</f>
        <v/>
      </c>
      <c r="G181" s="11">
        <f>IF(Inputs!$D$27=0,0,IF($B181&lt;=Inputs!$C$27,0,IF($B181&gt;=INDEX(LE_Curves!$G$5:$G$205,201),INDEX(LE_Curves!$B$5:$B$205,201),INDEX(LE_Curves!$B$5:$B$205,MATCH($B181,LE_Curves!$G$5:$G$205,1))+($B181-INDEX(LE_Curves!$G$5:$G$205,MATCH($B181,LE_Curves!$G$5:$G$205,1)))*(INDEX(LE_Curves!$B$5:$B$205,MATCH($B181,LE_Curves!$G$5:$G$205,1)+1)-INDEX(LE_Curves!$B$5:$B$205,MATCH($B181,LE_Curves!$G$5:$G$205,1)))/(INDEX(LE_Curves!$G$5:$G$205,MATCH($B181,LE_Curves!$G$5:$G$205,1)+1)-INDEX(LE_Curves!$G$5:$G$205,MATCH($B181,LE_Curves!$G$5:$G$205,1))))))</f>
        <v/>
      </c>
      <c r="H181" s="11">
        <f>IF(Inputs!$D$28=0,0,IF($B181&lt;=Inputs!$C$28,0,IF($B181&gt;=INDEX(LE_Curves!$H$5:$H$205,201),INDEX(LE_Curves!$B$5:$B$205,201),INDEX(LE_Curves!$B$5:$B$205,MATCH($B181,LE_Curves!$H$5:$H$205,1))+($B181-INDEX(LE_Curves!$H$5:$H$205,MATCH($B181,LE_Curves!$H$5:$H$205,1)))*(INDEX(LE_Curves!$B$5:$B$205,MATCH($B181,LE_Curves!$H$5:$H$205,1)+1)-INDEX(LE_Curves!$B$5:$B$205,MATCH($B181,LE_Curves!$H$5:$H$205,1)))/(INDEX(LE_Curves!$H$5:$H$205,MATCH($B181,LE_Curves!$H$5:$H$205,1)+1)-INDEX(LE_Curves!$H$5:$H$205,MATCH($B181,LE_Curves!$H$5:$H$205,1))))))</f>
        <v/>
      </c>
      <c r="I181" s="11">
        <f>IF(Inputs!$D$29=0,0,IF($B181&lt;=Inputs!$C$29,0,IF($B181&gt;=INDEX(LE_Curves!$I$5:$I$205,201),INDEX(LE_Curves!$B$5:$B$205,201),INDEX(LE_Curves!$B$5:$B$205,MATCH($B181,LE_Curves!$I$5:$I$205,1))+($B181-INDEX(LE_Curves!$I$5:$I$205,MATCH($B181,LE_Curves!$I$5:$I$205,1)))*(INDEX(LE_Curves!$B$5:$B$205,MATCH($B181,LE_Curves!$I$5:$I$205,1)+1)-INDEX(LE_Curves!$B$5:$B$205,MATCH($B181,LE_Curves!$I$5:$I$205,1)))/(INDEX(LE_Curves!$I$5:$I$205,MATCH($B181,LE_Curves!$I$5:$I$205,1)+1)-INDEX(LE_Curves!$I$5:$I$205,MATCH($B181,LE_Curves!$I$5:$I$205,1))))))</f>
        <v/>
      </c>
      <c r="J181" s="11">
        <f>IF(Inputs!$D$30=0,0,IF($B181&lt;=Inputs!$C$30,0,IF($B181&gt;=INDEX(LE_Curves!$J$5:$J$205,201),INDEX(LE_Curves!$B$5:$B$205,201),INDEX(LE_Curves!$B$5:$B$205,MATCH($B181,LE_Curves!$J$5:$J$205,1))+($B181-INDEX(LE_Curves!$J$5:$J$205,MATCH($B181,LE_Curves!$J$5:$J$205,1)))*(INDEX(LE_Curves!$B$5:$B$205,MATCH($B181,LE_Curves!$J$5:$J$205,1)+1)-INDEX(LE_Curves!$B$5:$B$205,MATCH($B181,LE_Curves!$J$5:$J$205,1)))/(INDEX(LE_Curves!$J$5:$J$205,MATCH($B181,LE_Curves!$J$5:$J$205,1)+1)-INDEX(LE_Curves!$J$5:$J$205,MATCH($B181,LE_Curves!$J$5:$J$205,1))))))</f>
        <v/>
      </c>
      <c r="K181" s="11">
        <f>IF(Inputs!$D$31=0,0,IF($B181&lt;=Inputs!$C$31,0,IF($B181&gt;=INDEX(LE_Curves!$K$5:$K$205,201),INDEX(LE_Curves!$B$5:$B$205,201),INDEX(LE_Curves!$B$5:$B$205,MATCH($B181,LE_Curves!$K$5:$K$205,1))+($B181-INDEX(LE_Curves!$K$5:$K$205,MATCH($B181,LE_Curves!$K$5:$K$205,1)))*(INDEX(LE_Curves!$B$5:$B$205,MATCH($B181,LE_Curves!$K$5:$K$205,1)+1)-INDEX(LE_Curves!$B$5:$B$205,MATCH($B181,LE_Curves!$K$5:$K$205,1)))/(INDEX(LE_Curves!$K$5:$K$205,MATCH($B181,LE_Curves!$K$5:$K$205,1)+1)-INDEX(LE_Curves!$K$5:$K$205,MATCH($B181,LE_Curves!$K$5:$K$205,1))))))</f>
        <v/>
      </c>
      <c r="L181" s="11">
        <f>IF(Inputs!$D$32=0,0,IF($B181&lt;=Inputs!$C$32,0,IF($B181&gt;=INDEX(LE_Curves!$L$5:$L$205,201),INDEX(LE_Curves!$B$5:$B$205,201),INDEX(LE_Curves!$B$5:$B$205,MATCH($B181,LE_Curves!$L$5:$L$205,1))+($B181-INDEX(LE_Curves!$L$5:$L$205,MATCH($B181,LE_Curves!$L$5:$L$205,1)))*(INDEX(LE_Curves!$B$5:$B$205,MATCH($B181,LE_Curves!$L$5:$L$205,1)+1)-INDEX(LE_Curves!$B$5:$B$205,MATCH($B181,LE_Curves!$L$5:$L$205,1)))/(INDEX(LE_Curves!$L$5:$L$205,MATCH($B181,LE_Curves!$L$5:$L$205,1)+1)-INDEX(LE_Curves!$L$5:$L$205,MATCH($B181,LE_Curves!$L$5:$L$205,1))))))</f>
        <v/>
      </c>
      <c r="M181" s="11">
        <f>IF(Inputs!$D$33=0,0,IF($B181&lt;=Inputs!$C$33,0,IF($B181&gt;=INDEX(LE_Curves!$M$5:$M$205,201),INDEX(LE_Curves!$B$5:$B$205,201),INDEX(LE_Curves!$B$5:$B$205,MATCH($B181,LE_Curves!$M$5:$M$205,1))+($B181-INDEX(LE_Curves!$M$5:$M$205,MATCH($B181,LE_Curves!$M$5:$M$205,1)))*(INDEX(LE_Curves!$B$5:$B$205,MATCH($B181,LE_Curves!$M$5:$M$205,1)+1)-INDEX(LE_Curves!$B$5:$B$205,MATCH($B181,LE_Curves!$M$5:$M$205,1)))/(INDEX(LE_Curves!$M$5:$M$205,MATCH($B181,LE_Curves!$M$5:$M$205,1)+1)-INDEX(LE_Curves!$M$5:$M$205,MATCH($B181,LE_Curves!$M$5:$M$205,1))))))</f>
        <v/>
      </c>
      <c r="N181" s="11">
        <f>IF(Inputs!$D$34=0,0,IF($B181&lt;=Inputs!$C$34,0,IF($B181&gt;=INDEX(LE_Curves!$N$5:$N$205,201),INDEX(LE_Curves!$B$5:$B$205,201),INDEX(LE_Curves!$B$5:$B$205,MATCH($B181,LE_Curves!$N$5:$N$205,1))+($B181-INDEX(LE_Curves!$N$5:$N$205,MATCH($B181,LE_Curves!$N$5:$N$205,1)))*(INDEX(LE_Curves!$B$5:$B$205,MATCH($B181,LE_Curves!$N$5:$N$205,1)+1)-INDEX(LE_Curves!$B$5:$B$205,MATCH($B181,LE_Curves!$N$5:$N$205,1)))/(INDEX(LE_Curves!$N$5:$N$205,MATCH($B181,LE_Curves!$N$5:$N$205,1)+1)-INDEX(LE_Curves!$N$5:$N$205,MATCH($B181,LE_Curves!$N$5:$N$205,1))))))</f>
        <v/>
      </c>
      <c r="O181" s="11">
        <f>SUM(C181:N181)</f>
        <v/>
      </c>
      <c r="Q181" s="7" t="n">
        <v>150</v>
      </c>
      <c r="R181" s="23">
        <f>$B$6+($B$7-$B$6)*Q181/200</f>
        <v/>
      </c>
      <c r="S181" s="11">
        <f>IF(Inputs!$D$23=0,0,IF($R181&lt;=Inputs!$C$23,0,IF($R181&gt;=INDEX(LE_Curves!$C$5:$C$205,201),INDEX(LE_Curves!$B$5:$B$205,201),INDEX(LE_Curves!$B$5:$B$205,MATCH($R181,LE_Curves!$C$5:$C$205,1))+($R181-INDEX(LE_Curves!$C$5:$C$205,MATCH($R181,LE_Curves!$C$5:$C$205,1)))*(INDEX(LE_Curves!$B$5:$B$205,MATCH($R181,LE_Curves!$C$5:$C$205,1)+1)-INDEX(LE_Curves!$B$5:$B$205,MATCH($R181,LE_Curves!$C$5:$C$205,1)))/(INDEX(LE_Curves!$C$5:$C$205,MATCH($R181,LE_Curves!$C$5:$C$205,1)+1)-INDEX(LE_Curves!$C$5:$C$205,MATCH($R181,LE_Curves!$C$5:$C$205,1))))))</f>
        <v/>
      </c>
      <c r="T181" s="11">
        <f>IF(Inputs!$D$24=0,0,IF($R181&lt;=Inputs!$C$24,0,IF($R181&gt;=INDEX(LE_Curves!$D$5:$D$205,201),INDEX(LE_Curves!$B$5:$B$205,201),INDEX(LE_Curves!$B$5:$B$205,MATCH($R181,LE_Curves!$D$5:$D$205,1))+($R181-INDEX(LE_Curves!$D$5:$D$205,MATCH($R181,LE_Curves!$D$5:$D$205,1)))*(INDEX(LE_Curves!$B$5:$B$205,MATCH($R181,LE_Curves!$D$5:$D$205,1)+1)-INDEX(LE_Curves!$B$5:$B$205,MATCH($R181,LE_Curves!$D$5:$D$205,1)))/(INDEX(LE_Curves!$D$5:$D$205,MATCH($R181,LE_Curves!$D$5:$D$205,1)+1)-INDEX(LE_Curves!$D$5:$D$205,MATCH($R181,LE_Curves!$D$5:$D$205,1))))))</f>
        <v/>
      </c>
      <c r="U181" s="11">
        <f>IF(Inputs!$D$25=0,0,IF($R181&lt;=Inputs!$C$25,0,IF($R181&gt;=INDEX(LE_Curves!$E$5:$E$205,201),INDEX(LE_Curves!$B$5:$B$205,201),INDEX(LE_Curves!$B$5:$B$205,MATCH($R181,LE_Curves!$E$5:$E$205,1))+($R181-INDEX(LE_Curves!$E$5:$E$205,MATCH($R181,LE_Curves!$E$5:$E$205,1)))*(INDEX(LE_Curves!$B$5:$B$205,MATCH($R181,LE_Curves!$E$5:$E$205,1)+1)-INDEX(LE_Curves!$B$5:$B$205,MATCH($R181,LE_Curves!$E$5:$E$205,1)))/(INDEX(LE_Curves!$E$5:$E$205,MATCH($R181,LE_Curves!$E$5:$E$205,1)+1)-INDEX(LE_Curves!$E$5:$E$205,MATCH($R181,LE_Curves!$E$5:$E$205,1))))))</f>
        <v/>
      </c>
      <c r="V181" s="11">
        <f>IF(Inputs!$D$26=0,0,IF($R181&lt;=Inputs!$C$26,0,IF($R181&gt;=INDEX(LE_Curves!$F$5:$F$205,201),INDEX(LE_Curves!$B$5:$B$205,201),INDEX(LE_Curves!$B$5:$B$205,MATCH($R181,LE_Curves!$F$5:$F$205,1))+($R181-INDEX(LE_Curves!$F$5:$F$205,MATCH($R181,LE_Curves!$F$5:$F$205,1)))*(INDEX(LE_Curves!$B$5:$B$205,MATCH($R181,LE_Curves!$F$5:$F$205,1)+1)-INDEX(LE_Curves!$B$5:$B$205,MATCH($R181,LE_Curves!$F$5:$F$205,1)))/(INDEX(LE_Curves!$F$5:$F$205,MATCH($R181,LE_Curves!$F$5:$F$205,1)+1)-INDEX(LE_Curves!$F$5:$F$205,MATCH($R181,LE_Curves!$F$5:$F$205,1))))))</f>
        <v/>
      </c>
      <c r="W181" s="11">
        <f>IF(Inputs!$D$27=0,0,IF($R181&lt;=Inputs!$C$27,0,IF($R181&gt;=INDEX(LE_Curves!$G$5:$G$205,201),INDEX(LE_Curves!$B$5:$B$205,201),INDEX(LE_Curves!$B$5:$B$205,MATCH($R181,LE_Curves!$G$5:$G$205,1))+($R181-INDEX(LE_Curves!$G$5:$G$205,MATCH($R181,LE_Curves!$G$5:$G$205,1)))*(INDEX(LE_Curves!$B$5:$B$205,MATCH($R181,LE_Curves!$G$5:$G$205,1)+1)-INDEX(LE_Curves!$B$5:$B$205,MATCH($R181,LE_Curves!$G$5:$G$205,1)))/(INDEX(LE_Curves!$G$5:$G$205,MATCH($R181,LE_Curves!$G$5:$G$205,1)+1)-INDEX(LE_Curves!$G$5:$G$205,MATCH($R181,LE_Curves!$G$5:$G$205,1))))))</f>
        <v/>
      </c>
      <c r="X181" s="11">
        <f>IF(Inputs!$D$28=0,0,IF($R181&lt;=Inputs!$C$28,0,IF($R181&gt;=INDEX(LE_Curves!$H$5:$H$205,201),INDEX(LE_Curves!$B$5:$B$205,201),INDEX(LE_Curves!$B$5:$B$205,MATCH($R181,LE_Curves!$H$5:$H$205,1))+($R181-INDEX(LE_Curves!$H$5:$H$205,MATCH($R181,LE_Curves!$H$5:$H$205,1)))*(INDEX(LE_Curves!$B$5:$B$205,MATCH($R181,LE_Curves!$H$5:$H$205,1)+1)-INDEX(LE_Curves!$B$5:$B$205,MATCH($R181,LE_Curves!$H$5:$H$205,1)))/(INDEX(LE_Curves!$H$5:$H$205,MATCH($R181,LE_Curves!$H$5:$H$205,1)+1)-INDEX(LE_Curves!$H$5:$H$205,MATCH($R181,LE_Curves!$H$5:$H$205,1))))))</f>
        <v/>
      </c>
      <c r="Y181" s="11">
        <f>IF(Inputs!$D$29=0,0,IF($R181&lt;=Inputs!$C$29,0,IF($R181&gt;=INDEX(LE_Curves!$I$5:$I$205,201),INDEX(LE_Curves!$B$5:$B$205,201),INDEX(LE_Curves!$B$5:$B$205,MATCH($R181,LE_Curves!$I$5:$I$205,1))+($R181-INDEX(LE_Curves!$I$5:$I$205,MATCH($R181,LE_Curves!$I$5:$I$205,1)))*(INDEX(LE_Curves!$B$5:$B$205,MATCH($R181,LE_Curves!$I$5:$I$205,1)+1)-INDEX(LE_Curves!$B$5:$B$205,MATCH($R181,LE_Curves!$I$5:$I$205,1)))/(INDEX(LE_Curves!$I$5:$I$205,MATCH($R181,LE_Curves!$I$5:$I$205,1)+1)-INDEX(LE_Curves!$I$5:$I$205,MATCH($R181,LE_Curves!$I$5:$I$205,1))))))</f>
        <v/>
      </c>
      <c r="Z181" s="11">
        <f>IF(Inputs!$D$30=0,0,IF($R181&lt;=Inputs!$C$30,0,IF($R181&gt;=INDEX(LE_Curves!$J$5:$J$205,201),INDEX(LE_Curves!$B$5:$B$205,201),INDEX(LE_Curves!$B$5:$B$205,MATCH($R181,LE_Curves!$J$5:$J$205,1))+($R181-INDEX(LE_Curves!$J$5:$J$205,MATCH($R181,LE_Curves!$J$5:$J$205,1)))*(INDEX(LE_Curves!$B$5:$B$205,MATCH($R181,LE_Curves!$J$5:$J$205,1)+1)-INDEX(LE_Curves!$B$5:$B$205,MATCH($R181,LE_Curves!$J$5:$J$205,1)))/(INDEX(LE_Curves!$J$5:$J$205,MATCH($R181,LE_Curves!$J$5:$J$205,1)+1)-INDEX(LE_Curves!$J$5:$J$205,MATCH($R181,LE_Curves!$J$5:$J$205,1))))))</f>
        <v/>
      </c>
      <c r="AA181" s="11">
        <f>IF(Inputs!$D$31=0,0,IF($R181&lt;=Inputs!$C$31,0,IF($R181&gt;=INDEX(LE_Curves!$K$5:$K$205,201),INDEX(LE_Curves!$B$5:$B$205,201),INDEX(LE_Curves!$B$5:$B$205,MATCH($R181,LE_Curves!$K$5:$K$205,1))+($R181-INDEX(LE_Curves!$K$5:$K$205,MATCH($R181,LE_Curves!$K$5:$K$205,1)))*(INDEX(LE_Curves!$B$5:$B$205,MATCH($R181,LE_Curves!$K$5:$K$205,1)+1)-INDEX(LE_Curves!$B$5:$B$205,MATCH($R181,LE_Curves!$K$5:$K$205,1)))/(INDEX(LE_Curves!$K$5:$K$205,MATCH($R181,LE_Curves!$K$5:$K$205,1)+1)-INDEX(LE_Curves!$K$5:$K$205,MATCH($R181,LE_Curves!$K$5:$K$205,1))))))</f>
        <v/>
      </c>
      <c r="AB181" s="11">
        <f>IF(Inputs!$D$32=0,0,IF($R181&lt;=Inputs!$C$32,0,IF($R181&gt;=INDEX(LE_Curves!$L$5:$L$205,201),INDEX(LE_Curves!$B$5:$B$205,201),INDEX(LE_Curves!$B$5:$B$205,MATCH($R181,LE_Curves!$L$5:$L$205,1))+($R181-INDEX(LE_Curves!$L$5:$L$205,MATCH($R181,LE_Curves!$L$5:$L$205,1)))*(INDEX(LE_Curves!$B$5:$B$205,MATCH($R181,LE_Curves!$L$5:$L$205,1)+1)-INDEX(LE_Curves!$B$5:$B$205,MATCH($R181,LE_Curves!$L$5:$L$205,1)))/(INDEX(LE_Curves!$L$5:$L$205,MATCH($R181,LE_Curves!$L$5:$L$205,1)+1)-INDEX(LE_Curves!$L$5:$L$205,MATCH($R181,LE_Curves!$L$5:$L$205,1))))))</f>
        <v/>
      </c>
      <c r="AC181" s="11">
        <f>IF(Inputs!$D$33=0,0,IF($R181&lt;=Inputs!$C$33,0,IF($R181&gt;=INDEX(LE_Curves!$M$5:$M$205,201),INDEX(LE_Curves!$B$5:$B$205,201),INDEX(LE_Curves!$B$5:$B$205,MATCH($R181,LE_Curves!$M$5:$M$205,1))+($R181-INDEX(LE_Curves!$M$5:$M$205,MATCH($R181,LE_Curves!$M$5:$M$205,1)))*(INDEX(LE_Curves!$B$5:$B$205,MATCH($R181,LE_Curves!$M$5:$M$205,1)+1)-INDEX(LE_Curves!$B$5:$B$205,MATCH($R181,LE_Curves!$M$5:$M$205,1)))/(INDEX(LE_Curves!$M$5:$M$205,MATCH($R181,LE_Curves!$M$5:$M$205,1)+1)-INDEX(LE_Curves!$M$5:$M$205,MATCH($R181,LE_Curves!$M$5:$M$205,1))))))</f>
        <v/>
      </c>
      <c r="AD181" s="11">
        <f>IF(Inputs!$D$34=0,0,IF($R181&lt;=Inputs!$C$34,0,IF($R181&gt;=INDEX(LE_Curves!$N$5:$N$205,201),INDEX(LE_Curves!$B$5:$B$205,201),INDEX(LE_Curves!$B$5:$B$205,MATCH($R181,LE_Curves!$N$5:$N$205,1))+($R181-INDEX(LE_Curves!$N$5:$N$205,MATCH($R181,LE_Curves!$N$5:$N$205,1)))*(INDEX(LE_Curves!$B$5:$B$205,MATCH($R181,LE_Curves!$N$5:$N$205,1)+1)-INDEX(LE_Curves!$B$5:$B$205,MATCH($R181,LE_Curves!$N$5:$N$205,1)))/(INDEX(LE_Curves!$N$5:$N$205,MATCH($R181,LE_Curves!$N$5:$N$205,1)+1)-INDEX(LE_Curves!$N$5:$N$205,MATCH($R181,LE_Curves!$N$5:$N$205,1))))))</f>
        <v/>
      </c>
      <c r="AE181" s="37">
        <f>SUM(S181:AD181)</f>
        <v/>
      </c>
    </row>
    <row r="182">
      <c r="A182" s="7" t="n">
        <v>151</v>
      </c>
      <c r="B182" s="37">
        <f>$B$3+($B$4-$B$3)*A182/200</f>
        <v/>
      </c>
      <c r="C182" s="11">
        <f>IF(Inputs!$D$23=0,0,IF($B182&lt;=Inputs!$C$23,0,IF($B182&gt;=INDEX(LE_Curves!$C$5:$C$205,201),INDEX(LE_Curves!$B$5:$B$205,201),INDEX(LE_Curves!$B$5:$B$205,MATCH($B182,LE_Curves!$C$5:$C$205,1))+($B182-INDEX(LE_Curves!$C$5:$C$205,MATCH($B182,LE_Curves!$C$5:$C$205,1)))*(INDEX(LE_Curves!$B$5:$B$205,MATCH($B182,LE_Curves!$C$5:$C$205,1)+1)-INDEX(LE_Curves!$B$5:$B$205,MATCH($B182,LE_Curves!$C$5:$C$205,1)))/(INDEX(LE_Curves!$C$5:$C$205,MATCH($B182,LE_Curves!$C$5:$C$205,1)+1)-INDEX(LE_Curves!$C$5:$C$205,MATCH($B182,LE_Curves!$C$5:$C$205,1))))))</f>
        <v/>
      </c>
      <c r="D182" s="11">
        <f>IF(Inputs!$D$24=0,0,IF($B182&lt;=Inputs!$C$24,0,IF($B182&gt;=INDEX(LE_Curves!$D$5:$D$205,201),INDEX(LE_Curves!$B$5:$B$205,201),INDEX(LE_Curves!$B$5:$B$205,MATCH($B182,LE_Curves!$D$5:$D$205,1))+($B182-INDEX(LE_Curves!$D$5:$D$205,MATCH($B182,LE_Curves!$D$5:$D$205,1)))*(INDEX(LE_Curves!$B$5:$B$205,MATCH($B182,LE_Curves!$D$5:$D$205,1)+1)-INDEX(LE_Curves!$B$5:$B$205,MATCH($B182,LE_Curves!$D$5:$D$205,1)))/(INDEX(LE_Curves!$D$5:$D$205,MATCH($B182,LE_Curves!$D$5:$D$205,1)+1)-INDEX(LE_Curves!$D$5:$D$205,MATCH($B182,LE_Curves!$D$5:$D$205,1))))))</f>
        <v/>
      </c>
      <c r="E182" s="11">
        <f>IF(Inputs!$D$25=0,0,IF($B182&lt;=Inputs!$C$25,0,IF($B182&gt;=INDEX(LE_Curves!$E$5:$E$205,201),INDEX(LE_Curves!$B$5:$B$205,201),INDEX(LE_Curves!$B$5:$B$205,MATCH($B182,LE_Curves!$E$5:$E$205,1))+($B182-INDEX(LE_Curves!$E$5:$E$205,MATCH($B182,LE_Curves!$E$5:$E$205,1)))*(INDEX(LE_Curves!$B$5:$B$205,MATCH($B182,LE_Curves!$E$5:$E$205,1)+1)-INDEX(LE_Curves!$B$5:$B$205,MATCH($B182,LE_Curves!$E$5:$E$205,1)))/(INDEX(LE_Curves!$E$5:$E$205,MATCH($B182,LE_Curves!$E$5:$E$205,1)+1)-INDEX(LE_Curves!$E$5:$E$205,MATCH($B182,LE_Curves!$E$5:$E$205,1))))))</f>
        <v/>
      </c>
      <c r="F182" s="11">
        <f>IF(Inputs!$D$26=0,0,IF($B182&lt;=Inputs!$C$26,0,IF($B182&gt;=INDEX(LE_Curves!$F$5:$F$205,201),INDEX(LE_Curves!$B$5:$B$205,201),INDEX(LE_Curves!$B$5:$B$205,MATCH($B182,LE_Curves!$F$5:$F$205,1))+($B182-INDEX(LE_Curves!$F$5:$F$205,MATCH($B182,LE_Curves!$F$5:$F$205,1)))*(INDEX(LE_Curves!$B$5:$B$205,MATCH($B182,LE_Curves!$F$5:$F$205,1)+1)-INDEX(LE_Curves!$B$5:$B$205,MATCH($B182,LE_Curves!$F$5:$F$205,1)))/(INDEX(LE_Curves!$F$5:$F$205,MATCH($B182,LE_Curves!$F$5:$F$205,1)+1)-INDEX(LE_Curves!$F$5:$F$205,MATCH($B182,LE_Curves!$F$5:$F$205,1))))))</f>
        <v/>
      </c>
      <c r="G182" s="11">
        <f>IF(Inputs!$D$27=0,0,IF($B182&lt;=Inputs!$C$27,0,IF($B182&gt;=INDEX(LE_Curves!$G$5:$G$205,201),INDEX(LE_Curves!$B$5:$B$205,201),INDEX(LE_Curves!$B$5:$B$205,MATCH($B182,LE_Curves!$G$5:$G$205,1))+($B182-INDEX(LE_Curves!$G$5:$G$205,MATCH($B182,LE_Curves!$G$5:$G$205,1)))*(INDEX(LE_Curves!$B$5:$B$205,MATCH($B182,LE_Curves!$G$5:$G$205,1)+1)-INDEX(LE_Curves!$B$5:$B$205,MATCH($B182,LE_Curves!$G$5:$G$205,1)))/(INDEX(LE_Curves!$G$5:$G$205,MATCH($B182,LE_Curves!$G$5:$G$205,1)+1)-INDEX(LE_Curves!$G$5:$G$205,MATCH($B182,LE_Curves!$G$5:$G$205,1))))))</f>
        <v/>
      </c>
      <c r="H182" s="11">
        <f>IF(Inputs!$D$28=0,0,IF($B182&lt;=Inputs!$C$28,0,IF($B182&gt;=INDEX(LE_Curves!$H$5:$H$205,201),INDEX(LE_Curves!$B$5:$B$205,201),INDEX(LE_Curves!$B$5:$B$205,MATCH($B182,LE_Curves!$H$5:$H$205,1))+($B182-INDEX(LE_Curves!$H$5:$H$205,MATCH($B182,LE_Curves!$H$5:$H$205,1)))*(INDEX(LE_Curves!$B$5:$B$205,MATCH($B182,LE_Curves!$H$5:$H$205,1)+1)-INDEX(LE_Curves!$B$5:$B$205,MATCH($B182,LE_Curves!$H$5:$H$205,1)))/(INDEX(LE_Curves!$H$5:$H$205,MATCH($B182,LE_Curves!$H$5:$H$205,1)+1)-INDEX(LE_Curves!$H$5:$H$205,MATCH($B182,LE_Curves!$H$5:$H$205,1))))))</f>
        <v/>
      </c>
      <c r="I182" s="11">
        <f>IF(Inputs!$D$29=0,0,IF($B182&lt;=Inputs!$C$29,0,IF($B182&gt;=INDEX(LE_Curves!$I$5:$I$205,201),INDEX(LE_Curves!$B$5:$B$205,201),INDEX(LE_Curves!$B$5:$B$205,MATCH($B182,LE_Curves!$I$5:$I$205,1))+($B182-INDEX(LE_Curves!$I$5:$I$205,MATCH($B182,LE_Curves!$I$5:$I$205,1)))*(INDEX(LE_Curves!$B$5:$B$205,MATCH($B182,LE_Curves!$I$5:$I$205,1)+1)-INDEX(LE_Curves!$B$5:$B$205,MATCH($B182,LE_Curves!$I$5:$I$205,1)))/(INDEX(LE_Curves!$I$5:$I$205,MATCH($B182,LE_Curves!$I$5:$I$205,1)+1)-INDEX(LE_Curves!$I$5:$I$205,MATCH($B182,LE_Curves!$I$5:$I$205,1))))))</f>
        <v/>
      </c>
      <c r="J182" s="11">
        <f>IF(Inputs!$D$30=0,0,IF($B182&lt;=Inputs!$C$30,0,IF($B182&gt;=INDEX(LE_Curves!$J$5:$J$205,201),INDEX(LE_Curves!$B$5:$B$205,201),INDEX(LE_Curves!$B$5:$B$205,MATCH($B182,LE_Curves!$J$5:$J$205,1))+($B182-INDEX(LE_Curves!$J$5:$J$205,MATCH($B182,LE_Curves!$J$5:$J$205,1)))*(INDEX(LE_Curves!$B$5:$B$205,MATCH($B182,LE_Curves!$J$5:$J$205,1)+1)-INDEX(LE_Curves!$B$5:$B$205,MATCH($B182,LE_Curves!$J$5:$J$205,1)))/(INDEX(LE_Curves!$J$5:$J$205,MATCH($B182,LE_Curves!$J$5:$J$205,1)+1)-INDEX(LE_Curves!$J$5:$J$205,MATCH($B182,LE_Curves!$J$5:$J$205,1))))))</f>
        <v/>
      </c>
      <c r="K182" s="11">
        <f>IF(Inputs!$D$31=0,0,IF($B182&lt;=Inputs!$C$31,0,IF($B182&gt;=INDEX(LE_Curves!$K$5:$K$205,201),INDEX(LE_Curves!$B$5:$B$205,201),INDEX(LE_Curves!$B$5:$B$205,MATCH($B182,LE_Curves!$K$5:$K$205,1))+($B182-INDEX(LE_Curves!$K$5:$K$205,MATCH($B182,LE_Curves!$K$5:$K$205,1)))*(INDEX(LE_Curves!$B$5:$B$205,MATCH($B182,LE_Curves!$K$5:$K$205,1)+1)-INDEX(LE_Curves!$B$5:$B$205,MATCH($B182,LE_Curves!$K$5:$K$205,1)))/(INDEX(LE_Curves!$K$5:$K$205,MATCH($B182,LE_Curves!$K$5:$K$205,1)+1)-INDEX(LE_Curves!$K$5:$K$205,MATCH($B182,LE_Curves!$K$5:$K$205,1))))))</f>
        <v/>
      </c>
      <c r="L182" s="11">
        <f>IF(Inputs!$D$32=0,0,IF($B182&lt;=Inputs!$C$32,0,IF($B182&gt;=INDEX(LE_Curves!$L$5:$L$205,201),INDEX(LE_Curves!$B$5:$B$205,201),INDEX(LE_Curves!$B$5:$B$205,MATCH($B182,LE_Curves!$L$5:$L$205,1))+($B182-INDEX(LE_Curves!$L$5:$L$205,MATCH($B182,LE_Curves!$L$5:$L$205,1)))*(INDEX(LE_Curves!$B$5:$B$205,MATCH($B182,LE_Curves!$L$5:$L$205,1)+1)-INDEX(LE_Curves!$B$5:$B$205,MATCH($B182,LE_Curves!$L$5:$L$205,1)))/(INDEX(LE_Curves!$L$5:$L$205,MATCH($B182,LE_Curves!$L$5:$L$205,1)+1)-INDEX(LE_Curves!$L$5:$L$205,MATCH($B182,LE_Curves!$L$5:$L$205,1))))))</f>
        <v/>
      </c>
      <c r="M182" s="11">
        <f>IF(Inputs!$D$33=0,0,IF($B182&lt;=Inputs!$C$33,0,IF($B182&gt;=INDEX(LE_Curves!$M$5:$M$205,201),INDEX(LE_Curves!$B$5:$B$205,201),INDEX(LE_Curves!$B$5:$B$205,MATCH($B182,LE_Curves!$M$5:$M$205,1))+($B182-INDEX(LE_Curves!$M$5:$M$205,MATCH($B182,LE_Curves!$M$5:$M$205,1)))*(INDEX(LE_Curves!$B$5:$B$205,MATCH($B182,LE_Curves!$M$5:$M$205,1)+1)-INDEX(LE_Curves!$B$5:$B$205,MATCH($B182,LE_Curves!$M$5:$M$205,1)))/(INDEX(LE_Curves!$M$5:$M$205,MATCH($B182,LE_Curves!$M$5:$M$205,1)+1)-INDEX(LE_Curves!$M$5:$M$205,MATCH($B182,LE_Curves!$M$5:$M$205,1))))))</f>
        <v/>
      </c>
      <c r="N182" s="11">
        <f>IF(Inputs!$D$34=0,0,IF($B182&lt;=Inputs!$C$34,0,IF($B182&gt;=INDEX(LE_Curves!$N$5:$N$205,201),INDEX(LE_Curves!$B$5:$B$205,201),INDEX(LE_Curves!$B$5:$B$205,MATCH($B182,LE_Curves!$N$5:$N$205,1))+($B182-INDEX(LE_Curves!$N$5:$N$205,MATCH($B182,LE_Curves!$N$5:$N$205,1)))*(INDEX(LE_Curves!$B$5:$B$205,MATCH($B182,LE_Curves!$N$5:$N$205,1)+1)-INDEX(LE_Curves!$B$5:$B$205,MATCH($B182,LE_Curves!$N$5:$N$205,1)))/(INDEX(LE_Curves!$N$5:$N$205,MATCH($B182,LE_Curves!$N$5:$N$205,1)+1)-INDEX(LE_Curves!$N$5:$N$205,MATCH($B182,LE_Curves!$N$5:$N$205,1))))))</f>
        <v/>
      </c>
      <c r="O182" s="11">
        <f>SUM(C182:N182)</f>
        <v/>
      </c>
      <c r="Q182" s="7" t="n">
        <v>151</v>
      </c>
      <c r="R182" s="23">
        <f>$B$6+($B$7-$B$6)*Q182/200</f>
        <v/>
      </c>
      <c r="S182" s="11">
        <f>IF(Inputs!$D$23=0,0,IF($R182&lt;=Inputs!$C$23,0,IF($R182&gt;=INDEX(LE_Curves!$C$5:$C$205,201),INDEX(LE_Curves!$B$5:$B$205,201),INDEX(LE_Curves!$B$5:$B$205,MATCH($R182,LE_Curves!$C$5:$C$205,1))+($R182-INDEX(LE_Curves!$C$5:$C$205,MATCH($R182,LE_Curves!$C$5:$C$205,1)))*(INDEX(LE_Curves!$B$5:$B$205,MATCH($R182,LE_Curves!$C$5:$C$205,1)+1)-INDEX(LE_Curves!$B$5:$B$205,MATCH($R182,LE_Curves!$C$5:$C$205,1)))/(INDEX(LE_Curves!$C$5:$C$205,MATCH($R182,LE_Curves!$C$5:$C$205,1)+1)-INDEX(LE_Curves!$C$5:$C$205,MATCH($R182,LE_Curves!$C$5:$C$205,1))))))</f>
        <v/>
      </c>
      <c r="T182" s="11">
        <f>IF(Inputs!$D$24=0,0,IF($R182&lt;=Inputs!$C$24,0,IF($R182&gt;=INDEX(LE_Curves!$D$5:$D$205,201),INDEX(LE_Curves!$B$5:$B$205,201),INDEX(LE_Curves!$B$5:$B$205,MATCH($R182,LE_Curves!$D$5:$D$205,1))+($R182-INDEX(LE_Curves!$D$5:$D$205,MATCH($R182,LE_Curves!$D$5:$D$205,1)))*(INDEX(LE_Curves!$B$5:$B$205,MATCH($R182,LE_Curves!$D$5:$D$205,1)+1)-INDEX(LE_Curves!$B$5:$B$205,MATCH($R182,LE_Curves!$D$5:$D$205,1)))/(INDEX(LE_Curves!$D$5:$D$205,MATCH($R182,LE_Curves!$D$5:$D$205,1)+1)-INDEX(LE_Curves!$D$5:$D$205,MATCH($R182,LE_Curves!$D$5:$D$205,1))))))</f>
        <v/>
      </c>
      <c r="U182" s="11">
        <f>IF(Inputs!$D$25=0,0,IF($R182&lt;=Inputs!$C$25,0,IF($R182&gt;=INDEX(LE_Curves!$E$5:$E$205,201),INDEX(LE_Curves!$B$5:$B$205,201),INDEX(LE_Curves!$B$5:$B$205,MATCH($R182,LE_Curves!$E$5:$E$205,1))+($R182-INDEX(LE_Curves!$E$5:$E$205,MATCH($R182,LE_Curves!$E$5:$E$205,1)))*(INDEX(LE_Curves!$B$5:$B$205,MATCH($R182,LE_Curves!$E$5:$E$205,1)+1)-INDEX(LE_Curves!$B$5:$B$205,MATCH($R182,LE_Curves!$E$5:$E$205,1)))/(INDEX(LE_Curves!$E$5:$E$205,MATCH($R182,LE_Curves!$E$5:$E$205,1)+1)-INDEX(LE_Curves!$E$5:$E$205,MATCH($R182,LE_Curves!$E$5:$E$205,1))))))</f>
        <v/>
      </c>
      <c r="V182" s="11">
        <f>IF(Inputs!$D$26=0,0,IF($R182&lt;=Inputs!$C$26,0,IF($R182&gt;=INDEX(LE_Curves!$F$5:$F$205,201),INDEX(LE_Curves!$B$5:$B$205,201),INDEX(LE_Curves!$B$5:$B$205,MATCH($R182,LE_Curves!$F$5:$F$205,1))+($R182-INDEX(LE_Curves!$F$5:$F$205,MATCH($R182,LE_Curves!$F$5:$F$205,1)))*(INDEX(LE_Curves!$B$5:$B$205,MATCH($R182,LE_Curves!$F$5:$F$205,1)+1)-INDEX(LE_Curves!$B$5:$B$205,MATCH($R182,LE_Curves!$F$5:$F$205,1)))/(INDEX(LE_Curves!$F$5:$F$205,MATCH($R182,LE_Curves!$F$5:$F$205,1)+1)-INDEX(LE_Curves!$F$5:$F$205,MATCH($R182,LE_Curves!$F$5:$F$205,1))))))</f>
        <v/>
      </c>
      <c r="W182" s="11">
        <f>IF(Inputs!$D$27=0,0,IF($R182&lt;=Inputs!$C$27,0,IF($R182&gt;=INDEX(LE_Curves!$G$5:$G$205,201),INDEX(LE_Curves!$B$5:$B$205,201),INDEX(LE_Curves!$B$5:$B$205,MATCH($R182,LE_Curves!$G$5:$G$205,1))+($R182-INDEX(LE_Curves!$G$5:$G$205,MATCH($R182,LE_Curves!$G$5:$G$205,1)))*(INDEX(LE_Curves!$B$5:$B$205,MATCH($R182,LE_Curves!$G$5:$G$205,1)+1)-INDEX(LE_Curves!$B$5:$B$205,MATCH($R182,LE_Curves!$G$5:$G$205,1)))/(INDEX(LE_Curves!$G$5:$G$205,MATCH($R182,LE_Curves!$G$5:$G$205,1)+1)-INDEX(LE_Curves!$G$5:$G$205,MATCH($R182,LE_Curves!$G$5:$G$205,1))))))</f>
        <v/>
      </c>
      <c r="X182" s="11">
        <f>IF(Inputs!$D$28=0,0,IF($R182&lt;=Inputs!$C$28,0,IF($R182&gt;=INDEX(LE_Curves!$H$5:$H$205,201),INDEX(LE_Curves!$B$5:$B$205,201),INDEX(LE_Curves!$B$5:$B$205,MATCH($R182,LE_Curves!$H$5:$H$205,1))+($R182-INDEX(LE_Curves!$H$5:$H$205,MATCH($R182,LE_Curves!$H$5:$H$205,1)))*(INDEX(LE_Curves!$B$5:$B$205,MATCH($R182,LE_Curves!$H$5:$H$205,1)+1)-INDEX(LE_Curves!$B$5:$B$205,MATCH($R182,LE_Curves!$H$5:$H$205,1)))/(INDEX(LE_Curves!$H$5:$H$205,MATCH($R182,LE_Curves!$H$5:$H$205,1)+1)-INDEX(LE_Curves!$H$5:$H$205,MATCH($R182,LE_Curves!$H$5:$H$205,1))))))</f>
        <v/>
      </c>
      <c r="Y182" s="11">
        <f>IF(Inputs!$D$29=0,0,IF($R182&lt;=Inputs!$C$29,0,IF($R182&gt;=INDEX(LE_Curves!$I$5:$I$205,201),INDEX(LE_Curves!$B$5:$B$205,201),INDEX(LE_Curves!$B$5:$B$205,MATCH($R182,LE_Curves!$I$5:$I$205,1))+($R182-INDEX(LE_Curves!$I$5:$I$205,MATCH($R182,LE_Curves!$I$5:$I$205,1)))*(INDEX(LE_Curves!$B$5:$B$205,MATCH($R182,LE_Curves!$I$5:$I$205,1)+1)-INDEX(LE_Curves!$B$5:$B$205,MATCH($R182,LE_Curves!$I$5:$I$205,1)))/(INDEX(LE_Curves!$I$5:$I$205,MATCH($R182,LE_Curves!$I$5:$I$205,1)+1)-INDEX(LE_Curves!$I$5:$I$205,MATCH($R182,LE_Curves!$I$5:$I$205,1))))))</f>
        <v/>
      </c>
      <c r="Z182" s="11">
        <f>IF(Inputs!$D$30=0,0,IF($R182&lt;=Inputs!$C$30,0,IF($R182&gt;=INDEX(LE_Curves!$J$5:$J$205,201),INDEX(LE_Curves!$B$5:$B$205,201),INDEX(LE_Curves!$B$5:$B$205,MATCH($R182,LE_Curves!$J$5:$J$205,1))+($R182-INDEX(LE_Curves!$J$5:$J$205,MATCH($R182,LE_Curves!$J$5:$J$205,1)))*(INDEX(LE_Curves!$B$5:$B$205,MATCH($R182,LE_Curves!$J$5:$J$205,1)+1)-INDEX(LE_Curves!$B$5:$B$205,MATCH($R182,LE_Curves!$J$5:$J$205,1)))/(INDEX(LE_Curves!$J$5:$J$205,MATCH($R182,LE_Curves!$J$5:$J$205,1)+1)-INDEX(LE_Curves!$J$5:$J$205,MATCH($R182,LE_Curves!$J$5:$J$205,1))))))</f>
        <v/>
      </c>
      <c r="AA182" s="11">
        <f>IF(Inputs!$D$31=0,0,IF($R182&lt;=Inputs!$C$31,0,IF($R182&gt;=INDEX(LE_Curves!$K$5:$K$205,201),INDEX(LE_Curves!$B$5:$B$205,201),INDEX(LE_Curves!$B$5:$B$205,MATCH($R182,LE_Curves!$K$5:$K$205,1))+($R182-INDEX(LE_Curves!$K$5:$K$205,MATCH($R182,LE_Curves!$K$5:$K$205,1)))*(INDEX(LE_Curves!$B$5:$B$205,MATCH($R182,LE_Curves!$K$5:$K$205,1)+1)-INDEX(LE_Curves!$B$5:$B$205,MATCH($R182,LE_Curves!$K$5:$K$205,1)))/(INDEX(LE_Curves!$K$5:$K$205,MATCH($R182,LE_Curves!$K$5:$K$205,1)+1)-INDEX(LE_Curves!$K$5:$K$205,MATCH($R182,LE_Curves!$K$5:$K$205,1))))))</f>
        <v/>
      </c>
      <c r="AB182" s="11">
        <f>IF(Inputs!$D$32=0,0,IF($R182&lt;=Inputs!$C$32,0,IF($R182&gt;=INDEX(LE_Curves!$L$5:$L$205,201),INDEX(LE_Curves!$B$5:$B$205,201),INDEX(LE_Curves!$B$5:$B$205,MATCH($R182,LE_Curves!$L$5:$L$205,1))+($R182-INDEX(LE_Curves!$L$5:$L$205,MATCH($R182,LE_Curves!$L$5:$L$205,1)))*(INDEX(LE_Curves!$B$5:$B$205,MATCH($R182,LE_Curves!$L$5:$L$205,1)+1)-INDEX(LE_Curves!$B$5:$B$205,MATCH($R182,LE_Curves!$L$5:$L$205,1)))/(INDEX(LE_Curves!$L$5:$L$205,MATCH($R182,LE_Curves!$L$5:$L$205,1)+1)-INDEX(LE_Curves!$L$5:$L$205,MATCH($R182,LE_Curves!$L$5:$L$205,1))))))</f>
        <v/>
      </c>
      <c r="AC182" s="11">
        <f>IF(Inputs!$D$33=0,0,IF($R182&lt;=Inputs!$C$33,0,IF($R182&gt;=INDEX(LE_Curves!$M$5:$M$205,201),INDEX(LE_Curves!$B$5:$B$205,201),INDEX(LE_Curves!$B$5:$B$205,MATCH($R182,LE_Curves!$M$5:$M$205,1))+($R182-INDEX(LE_Curves!$M$5:$M$205,MATCH($R182,LE_Curves!$M$5:$M$205,1)))*(INDEX(LE_Curves!$B$5:$B$205,MATCH($R182,LE_Curves!$M$5:$M$205,1)+1)-INDEX(LE_Curves!$B$5:$B$205,MATCH($R182,LE_Curves!$M$5:$M$205,1)))/(INDEX(LE_Curves!$M$5:$M$205,MATCH($R182,LE_Curves!$M$5:$M$205,1)+1)-INDEX(LE_Curves!$M$5:$M$205,MATCH($R182,LE_Curves!$M$5:$M$205,1))))))</f>
        <v/>
      </c>
      <c r="AD182" s="11">
        <f>IF(Inputs!$D$34=0,0,IF($R182&lt;=Inputs!$C$34,0,IF($R182&gt;=INDEX(LE_Curves!$N$5:$N$205,201),INDEX(LE_Curves!$B$5:$B$205,201),INDEX(LE_Curves!$B$5:$B$205,MATCH($R182,LE_Curves!$N$5:$N$205,1))+($R182-INDEX(LE_Curves!$N$5:$N$205,MATCH($R182,LE_Curves!$N$5:$N$205,1)))*(INDEX(LE_Curves!$B$5:$B$205,MATCH($R182,LE_Curves!$N$5:$N$205,1)+1)-INDEX(LE_Curves!$B$5:$B$205,MATCH($R182,LE_Curves!$N$5:$N$205,1)))/(INDEX(LE_Curves!$N$5:$N$205,MATCH($R182,LE_Curves!$N$5:$N$205,1)+1)-INDEX(LE_Curves!$N$5:$N$205,MATCH($R182,LE_Curves!$N$5:$N$205,1))))))</f>
        <v/>
      </c>
      <c r="AE182" s="37">
        <f>SUM(S182:AD182)</f>
        <v/>
      </c>
    </row>
    <row r="183">
      <c r="A183" s="7" t="n">
        <v>152</v>
      </c>
      <c r="B183" s="37">
        <f>$B$3+($B$4-$B$3)*A183/200</f>
        <v/>
      </c>
      <c r="C183" s="11">
        <f>IF(Inputs!$D$23=0,0,IF($B183&lt;=Inputs!$C$23,0,IF($B183&gt;=INDEX(LE_Curves!$C$5:$C$205,201),INDEX(LE_Curves!$B$5:$B$205,201),INDEX(LE_Curves!$B$5:$B$205,MATCH($B183,LE_Curves!$C$5:$C$205,1))+($B183-INDEX(LE_Curves!$C$5:$C$205,MATCH($B183,LE_Curves!$C$5:$C$205,1)))*(INDEX(LE_Curves!$B$5:$B$205,MATCH($B183,LE_Curves!$C$5:$C$205,1)+1)-INDEX(LE_Curves!$B$5:$B$205,MATCH($B183,LE_Curves!$C$5:$C$205,1)))/(INDEX(LE_Curves!$C$5:$C$205,MATCH($B183,LE_Curves!$C$5:$C$205,1)+1)-INDEX(LE_Curves!$C$5:$C$205,MATCH($B183,LE_Curves!$C$5:$C$205,1))))))</f>
        <v/>
      </c>
      <c r="D183" s="11">
        <f>IF(Inputs!$D$24=0,0,IF($B183&lt;=Inputs!$C$24,0,IF($B183&gt;=INDEX(LE_Curves!$D$5:$D$205,201),INDEX(LE_Curves!$B$5:$B$205,201),INDEX(LE_Curves!$B$5:$B$205,MATCH($B183,LE_Curves!$D$5:$D$205,1))+($B183-INDEX(LE_Curves!$D$5:$D$205,MATCH($B183,LE_Curves!$D$5:$D$205,1)))*(INDEX(LE_Curves!$B$5:$B$205,MATCH($B183,LE_Curves!$D$5:$D$205,1)+1)-INDEX(LE_Curves!$B$5:$B$205,MATCH($B183,LE_Curves!$D$5:$D$205,1)))/(INDEX(LE_Curves!$D$5:$D$205,MATCH($B183,LE_Curves!$D$5:$D$205,1)+1)-INDEX(LE_Curves!$D$5:$D$205,MATCH($B183,LE_Curves!$D$5:$D$205,1))))))</f>
        <v/>
      </c>
      <c r="E183" s="11">
        <f>IF(Inputs!$D$25=0,0,IF($B183&lt;=Inputs!$C$25,0,IF($B183&gt;=INDEX(LE_Curves!$E$5:$E$205,201),INDEX(LE_Curves!$B$5:$B$205,201),INDEX(LE_Curves!$B$5:$B$205,MATCH($B183,LE_Curves!$E$5:$E$205,1))+($B183-INDEX(LE_Curves!$E$5:$E$205,MATCH($B183,LE_Curves!$E$5:$E$205,1)))*(INDEX(LE_Curves!$B$5:$B$205,MATCH($B183,LE_Curves!$E$5:$E$205,1)+1)-INDEX(LE_Curves!$B$5:$B$205,MATCH($B183,LE_Curves!$E$5:$E$205,1)))/(INDEX(LE_Curves!$E$5:$E$205,MATCH($B183,LE_Curves!$E$5:$E$205,1)+1)-INDEX(LE_Curves!$E$5:$E$205,MATCH($B183,LE_Curves!$E$5:$E$205,1))))))</f>
        <v/>
      </c>
      <c r="F183" s="11">
        <f>IF(Inputs!$D$26=0,0,IF($B183&lt;=Inputs!$C$26,0,IF($B183&gt;=INDEX(LE_Curves!$F$5:$F$205,201),INDEX(LE_Curves!$B$5:$B$205,201),INDEX(LE_Curves!$B$5:$B$205,MATCH($B183,LE_Curves!$F$5:$F$205,1))+($B183-INDEX(LE_Curves!$F$5:$F$205,MATCH($B183,LE_Curves!$F$5:$F$205,1)))*(INDEX(LE_Curves!$B$5:$B$205,MATCH($B183,LE_Curves!$F$5:$F$205,1)+1)-INDEX(LE_Curves!$B$5:$B$205,MATCH($B183,LE_Curves!$F$5:$F$205,1)))/(INDEX(LE_Curves!$F$5:$F$205,MATCH($B183,LE_Curves!$F$5:$F$205,1)+1)-INDEX(LE_Curves!$F$5:$F$205,MATCH($B183,LE_Curves!$F$5:$F$205,1))))))</f>
        <v/>
      </c>
      <c r="G183" s="11">
        <f>IF(Inputs!$D$27=0,0,IF($B183&lt;=Inputs!$C$27,0,IF($B183&gt;=INDEX(LE_Curves!$G$5:$G$205,201),INDEX(LE_Curves!$B$5:$B$205,201),INDEX(LE_Curves!$B$5:$B$205,MATCH($B183,LE_Curves!$G$5:$G$205,1))+($B183-INDEX(LE_Curves!$G$5:$G$205,MATCH($B183,LE_Curves!$G$5:$G$205,1)))*(INDEX(LE_Curves!$B$5:$B$205,MATCH($B183,LE_Curves!$G$5:$G$205,1)+1)-INDEX(LE_Curves!$B$5:$B$205,MATCH($B183,LE_Curves!$G$5:$G$205,1)))/(INDEX(LE_Curves!$G$5:$G$205,MATCH($B183,LE_Curves!$G$5:$G$205,1)+1)-INDEX(LE_Curves!$G$5:$G$205,MATCH($B183,LE_Curves!$G$5:$G$205,1))))))</f>
        <v/>
      </c>
      <c r="H183" s="11">
        <f>IF(Inputs!$D$28=0,0,IF($B183&lt;=Inputs!$C$28,0,IF($B183&gt;=INDEX(LE_Curves!$H$5:$H$205,201),INDEX(LE_Curves!$B$5:$B$205,201),INDEX(LE_Curves!$B$5:$B$205,MATCH($B183,LE_Curves!$H$5:$H$205,1))+($B183-INDEX(LE_Curves!$H$5:$H$205,MATCH($B183,LE_Curves!$H$5:$H$205,1)))*(INDEX(LE_Curves!$B$5:$B$205,MATCH($B183,LE_Curves!$H$5:$H$205,1)+1)-INDEX(LE_Curves!$B$5:$B$205,MATCH($B183,LE_Curves!$H$5:$H$205,1)))/(INDEX(LE_Curves!$H$5:$H$205,MATCH($B183,LE_Curves!$H$5:$H$205,1)+1)-INDEX(LE_Curves!$H$5:$H$205,MATCH($B183,LE_Curves!$H$5:$H$205,1))))))</f>
        <v/>
      </c>
      <c r="I183" s="11">
        <f>IF(Inputs!$D$29=0,0,IF($B183&lt;=Inputs!$C$29,0,IF($B183&gt;=INDEX(LE_Curves!$I$5:$I$205,201),INDEX(LE_Curves!$B$5:$B$205,201),INDEX(LE_Curves!$B$5:$B$205,MATCH($B183,LE_Curves!$I$5:$I$205,1))+($B183-INDEX(LE_Curves!$I$5:$I$205,MATCH($B183,LE_Curves!$I$5:$I$205,1)))*(INDEX(LE_Curves!$B$5:$B$205,MATCH($B183,LE_Curves!$I$5:$I$205,1)+1)-INDEX(LE_Curves!$B$5:$B$205,MATCH($B183,LE_Curves!$I$5:$I$205,1)))/(INDEX(LE_Curves!$I$5:$I$205,MATCH($B183,LE_Curves!$I$5:$I$205,1)+1)-INDEX(LE_Curves!$I$5:$I$205,MATCH($B183,LE_Curves!$I$5:$I$205,1))))))</f>
        <v/>
      </c>
      <c r="J183" s="11">
        <f>IF(Inputs!$D$30=0,0,IF($B183&lt;=Inputs!$C$30,0,IF($B183&gt;=INDEX(LE_Curves!$J$5:$J$205,201),INDEX(LE_Curves!$B$5:$B$205,201),INDEX(LE_Curves!$B$5:$B$205,MATCH($B183,LE_Curves!$J$5:$J$205,1))+($B183-INDEX(LE_Curves!$J$5:$J$205,MATCH($B183,LE_Curves!$J$5:$J$205,1)))*(INDEX(LE_Curves!$B$5:$B$205,MATCH($B183,LE_Curves!$J$5:$J$205,1)+1)-INDEX(LE_Curves!$B$5:$B$205,MATCH($B183,LE_Curves!$J$5:$J$205,1)))/(INDEX(LE_Curves!$J$5:$J$205,MATCH($B183,LE_Curves!$J$5:$J$205,1)+1)-INDEX(LE_Curves!$J$5:$J$205,MATCH($B183,LE_Curves!$J$5:$J$205,1))))))</f>
        <v/>
      </c>
      <c r="K183" s="11">
        <f>IF(Inputs!$D$31=0,0,IF($B183&lt;=Inputs!$C$31,0,IF($B183&gt;=INDEX(LE_Curves!$K$5:$K$205,201),INDEX(LE_Curves!$B$5:$B$205,201),INDEX(LE_Curves!$B$5:$B$205,MATCH($B183,LE_Curves!$K$5:$K$205,1))+($B183-INDEX(LE_Curves!$K$5:$K$205,MATCH($B183,LE_Curves!$K$5:$K$205,1)))*(INDEX(LE_Curves!$B$5:$B$205,MATCH($B183,LE_Curves!$K$5:$K$205,1)+1)-INDEX(LE_Curves!$B$5:$B$205,MATCH($B183,LE_Curves!$K$5:$K$205,1)))/(INDEX(LE_Curves!$K$5:$K$205,MATCH($B183,LE_Curves!$K$5:$K$205,1)+1)-INDEX(LE_Curves!$K$5:$K$205,MATCH($B183,LE_Curves!$K$5:$K$205,1))))))</f>
        <v/>
      </c>
      <c r="L183" s="11">
        <f>IF(Inputs!$D$32=0,0,IF($B183&lt;=Inputs!$C$32,0,IF($B183&gt;=INDEX(LE_Curves!$L$5:$L$205,201),INDEX(LE_Curves!$B$5:$B$205,201),INDEX(LE_Curves!$B$5:$B$205,MATCH($B183,LE_Curves!$L$5:$L$205,1))+($B183-INDEX(LE_Curves!$L$5:$L$205,MATCH($B183,LE_Curves!$L$5:$L$205,1)))*(INDEX(LE_Curves!$B$5:$B$205,MATCH($B183,LE_Curves!$L$5:$L$205,1)+1)-INDEX(LE_Curves!$B$5:$B$205,MATCH($B183,LE_Curves!$L$5:$L$205,1)))/(INDEX(LE_Curves!$L$5:$L$205,MATCH($B183,LE_Curves!$L$5:$L$205,1)+1)-INDEX(LE_Curves!$L$5:$L$205,MATCH($B183,LE_Curves!$L$5:$L$205,1))))))</f>
        <v/>
      </c>
      <c r="M183" s="11">
        <f>IF(Inputs!$D$33=0,0,IF($B183&lt;=Inputs!$C$33,0,IF($B183&gt;=INDEX(LE_Curves!$M$5:$M$205,201),INDEX(LE_Curves!$B$5:$B$205,201),INDEX(LE_Curves!$B$5:$B$205,MATCH($B183,LE_Curves!$M$5:$M$205,1))+($B183-INDEX(LE_Curves!$M$5:$M$205,MATCH($B183,LE_Curves!$M$5:$M$205,1)))*(INDEX(LE_Curves!$B$5:$B$205,MATCH($B183,LE_Curves!$M$5:$M$205,1)+1)-INDEX(LE_Curves!$B$5:$B$205,MATCH($B183,LE_Curves!$M$5:$M$205,1)))/(INDEX(LE_Curves!$M$5:$M$205,MATCH($B183,LE_Curves!$M$5:$M$205,1)+1)-INDEX(LE_Curves!$M$5:$M$205,MATCH($B183,LE_Curves!$M$5:$M$205,1))))))</f>
        <v/>
      </c>
      <c r="N183" s="11">
        <f>IF(Inputs!$D$34=0,0,IF($B183&lt;=Inputs!$C$34,0,IF($B183&gt;=INDEX(LE_Curves!$N$5:$N$205,201),INDEX(LE_Curves!$B$5:$B$205,201),INDEX(LE_Curves!$B$5:$B$205,MATCH($B183,LE_Curves!$N$5:$N$205,1))+($B183-INDEX(LE_Curves!$N$5:$N$205,MATCH($B183,LE_Curves!$N$5:$N$205,1)))*(INDEX(LE_Curves!$B$5:$B$205,MATCH($B183,LE_Curves!$N$5:$N$205,1)+1)-INDEX(LE_Curves!$B$5:$B$205,MATCH($B183,LE_Curves!$N$5:$N$205,1)))/(INDEX(LE_Curves!$N$5:$N$205,MATCH($B183,LE_Curves!$N$5:$N$205,1)+1)-INDEX(LE_Curves!$N$5:$N$205,MATCH($B183,LE_Curves!$N$5:$N$205,1))))))</f>
        <v/>
      </c>
      <c r="O183" s="11">
        <f>SUM(C183:N183)</f>
        <v/>
      </c>
      <c r="Q183" s="7" t="n">
        <v>152</v>
      </c>
      <c r="R183" s="23">
        <f>$B$6+($B$7-$B$6)*Q183/200</f>
        <v/>
      </c>
      <c r="S183" s="11">
        <f>IF(Inputs!$D$23=0,0,IF($R183&lt;=Inputs!$C$23,0,IF($R183&gt;=INDEX(LE_Curves!$C$5:$C$205,201),INDEX(LE_Curves!$B$5:$B$205,201),INDEX(LE_Curves!$B$5:$B$205,MATCH($R183,LE_Curves!$C$5:$C$205,1))+($R183-INDEX(LE_Curves!$C$5:$C$205,MATCH($R183,LE_Curves!$C$5:$C$205,1)))*(INDEX(LE_Curves!$B$5:$B$205,MATCH($R183,LE_Curves!$C$5:$C$205,1)+1)-INDEX(LE_Curves!$B$5:$B$205,MATCH($R183,LE_Curves!$C$5:$C$205,1)))/(INDEX(LE_Curves!$C$5:$C$205,MATCH($R183,LE_Curves!$C$5:$C$205,1)+1)-INDEX(LE_Curves!$C$5:$C$205,MATCH($R183,LE_Curves!$C$5:$C$205,1))))))</f>
        <v/>
      </c>
      <c r="T183" s="11">
        <f>IF(Inputs!$D$24=0,0,IF($R183&lt;=Inputs!$C$24,0,IF($R183&gt;=INDEX(LE_Curves!$D$5:$D$205,201),INDEX(LE_Curves!$B$5:$B$205,201),INDEX(LE_Curves!$B$5:$B$205,MATCH($R183,LE_Curves!$D$5:$D$205,1))+($R183-INDEX(LE_Curves!$D$5:$D$205,MATCH($R183,LE_Curves!$D$5:$D$205,1)))*(INDEX(LE_Curves!$B$5:$B$205,MATCH($R183,LE_Curves!$D$5:$D$205,1)+1)-INDEX(LE_Curves!$B$5:$B$205,MATCH($R183,LE_Curves!$D$5:$D$205,1)))/(INDEX(LE_Curves!$D$5:$D$205,MATCH($R183,LE_Curves!$D$5:$D$205,1)+1)-INDEX(LE_Curves!$D$5:$D$205,MATCH($R183,LE_Curves!$D$5:$D$205,1))))))</f>
        <v/>
      </c>
      <c r="U183" s="11">
        <f>IF(Inputs!$D$25=0,0,IF($R183&lt;=Inputs!$C$25,0,IF($R183&gt;=INDEX(LE_Curves!$E$5:$E$205,201),INDEX(LE_Curves!$B$5:$B$205,201),INDEX(LE_Curves!$B$5:$B$205,MATCH($R183,LE_Curves!$E$5:$E$205,1))+($R183-INDEX(LE_Curves!$E$5:$E$205,MATCH($R183,LE_Curves!$E$5:$E$205,1)))*(INDEX(LE_Curves!$B$5:$B$205,MATCH($R183,LE_Curves!$E$5:$E$205,1)+1)-INDEX(LE_Curves!$B$5:$B$205,MATCH($R183,LE_Curves!$E$5:$E$205,1)))/(INDEX(LE_Curves!$E$5:$E$205,MATCH($R183,LE_Curves!$E$5:$E$205,1)+1)-INDEX(LE_Curves!$E$5:$E$205,MATCH($R183,LE_Curves!$E$5:$E$205,1))))))</f>
        <v/>
      </c>
      <c r="V183" s="11">
        <f>IF(Inputs!$D$26=0,0,IF($R183&lt;=Inputs!$C$26,0,IF($R183&gt;=INDEX(LE_Curves!$F$5:$F$205,201),INDEX(LE_Curves!$B$5:$B$205,201),INDEX(LE_Curves!$B$5:$B$205,MATCH($R183,LE_Curves!$F$5:$F$205,1))+($R183-INDEX(LE_Curves!$F$5:$F$205,MATCH($R183,LE_Curves!$F$5:$F$205,1)))*(INDEX(LE_Curves!$B$5:$B$205,MATCH($R183,LE_Curves!$F$5:$F$205,1)+1)-INDEX(LE_Curves!$B$5:$B$205,MATCH($R183,LE_Curves!$F$5:$F$205,1)))/(INDEX(LE_Curves!$F$5:$F$205,MATCH($R183,LE_Curves!$F$5:$F$205,1)+1)-INDEX(LE_Curves!$F$5:$F$205,MATCH($R183,LE_Curves!$F$5:$F$205,1))))))</f>
        <v/>
      </c>
      <c r="W183" s="11">
        <f>IF(Inputs!$D$27=0,0,IF($R183&lt;=Inputs!$C$27,0,IF($R183&gt;=INDEX(LE_Curves!$G$5:$G$205,201),INDEX(LE_Curves!$B$5:$B$205,201),INDEX(LE_Curves!$B$5:$B$205,MATCH($R183,LE_Curves!$G$5:$G$205,1))+($R183-INDEX(LE_Curves!$G$5:$G$205,MATCH($R183,LE_Curves!$G$5:$G$205,1)))*(INDEX(LE_Curves!$B$5:$B$205,MATCH($R183,LE_Curves!$G$5:$G$205,1)+1)-INDEX(LE_Curves!$B$5:$B$205,MATCH($R183,LE_Curves!$G$5:$G$205,1)))/(INDEX(LE_Curves!$G$5:$G$205,MATCH($R183,LE_Curves!$G$5:$G$205,1)+1)-INDEX(LE_Curves!$G$5:$G$205,MATCH($R183,LE_Curves!$G$5:$G$205,1))))))</f>
        <v/>
      </c>
      <c r="X183" s="11">
        <f>IF(Inputs!$D$28=0,0,IF($R183&lt;=Inputs!$C$28,0,IF($R183&gt;=INDEX(LE_Curves!$H$5:$H$205,201),INDEX(LE_Curves!$B$5:$B$205,201),INDEX(LE_Curves!$B$5:$B$205,MATCH($R183,LE_Curves!$H$5:$H$205,1))+($R183-INDEX(LE_Curves!$H$5:$H$205,MATCH($R183,LE_Curves!$H$5:$H$205,1)))*(INDEX(LE_Curves!$B$5:$B$205,MATCH($R183,LE_Curves!$H$5:$H$205,1)+1)-INDEX(LE_Curves!$B$5:$B$205,MATCH($R183,LE_Curves!$H$5:$H$205,1)))/(INDEX(LE_Curves!$H$5:$H$205,MATCH($R183,LE_Curves!$H$5:$H$205,1)+1)-INDEX(LE_Curves!$H$5:$H$205,MATCH($R183,LE_Curves!$H$5:$H$205,1))))))</f>
        <v/>
      </c>
      <c r="Y183" s="11">
        <f>IF(Inputs!$D$29=0,0,IF($R183&lt;=Inputs!$C$29,0,IF($R183&gt;=INDEX(LE_Curves!$I$5:$I$205,201),INDEX(LE_Curves!$B$5:$B$205,201),INDEX(LE_Curves!$B$5:$B$205,MATCH($R183,LE_Curves!$I$5:$I$205,1))+($R183-INDEX(LE_Curves!$I$5:$I$205,MATCH($R183,LE_Curves!$I$5:$I$205,1)))*(INDEX(LE_Curves!$B$5:$B$205,MATCH($R183,LE_Curves!$I$5:$I$205,1)+1)-INDEX(LE_Curves!$B$5:$B$205,MATCH($R183,LE_Curves!$I$5:$I$205,1)))/(INDEX(LE_Curves!$I$5:$I$205,MATCH($R183,LE_Curves!$I$5:$I$205,1)+1)-INDEX(LE_Curves!$I$5:$I$205,MATCH($R183,LE_Curves!$I$5:$I$205,1))))))</f>
        <v/>
      </c>
      <c r="Z183" s="11">
        <f>IF(Inputs!$D$30=0,0,IF($R183&lt;=Inputs!$C$30,0,IF($R183&gt;=INDEX(LE_Curves!$J$5:$J$205,201),INDEX(LE_Curves!$B$5:$B$205,201),INDEX(LE_Curves!$B$5:$B$205,MATCH($R183,LE_Curves!$J$5:$J$205,1))+($R183-INDEX(LE_Curves!$J$5:$J$205,MATCH($R183,LE_Curves!$J$5:$J$205,1)))*(INDEX(LE_Curves!$B$5:$B$205,MATCH($R183,LE_Curves!$J$5:$J$205,1)+1)-INDEX(LE_Curves!$B$5:$B$205,MATCH($R183,LE_Curves!$J$5:$J$205,1)))/(INDEX(LE_Curves!$J$5:$J$205,MATCH($R183,LE_Curves!$J$5:$J$205,1)+1)-INDEX(LE_Curves!$J$5:$J$205,MATCH($R183,LE_Curves!$J$5:$J$205,1))))))</f>
        <v/>
      </c>
      <c r="AA183" s="11">
        <f>IF(Inputs!$D$31=0,0,IF($R183&lt;=Inputs!$C$31,0,IF($R183&gt;=INDEX(LE_Curves!$K$5:$K$205,201),INDEX(LE_Curves!$B$5:$B$205,201),INDEX(LE_Curves!$B$5:$B$205,MATCH($R183,LE_Curves!$K$5:$K$205,1))+($R183-INDEX(LE_Curves!$K$5:$K$205,MATCH($R183,LE_Curves!$K$5:$K$205,1)))*(INDEX(LE_Curves!$B$5:$B$205,MATCH($R183,LE_Curves!$K$5:$K$205,1)+1)-INDEX(LE_Curves!$B$5:$B$205,MATCH($R183,LE_Curves!$K$5:$K$205,1)))/(INDEX(LE_Curves!$K$5:$K$205,MATCH($R183,LE_Curves!$K$5:$K$205,1)+1)-INDEX(LE_Curves!$K$5:$K$205,MATCH($R183,LE_Curves!$K$5:$K$205,1))))))</f>
        <v/>
      </c>
      <c r="AB183" s="11">
        <f>IF(Inputs!$D$32=0,0,IF($R183&lt;=Inputs!$C$32,0,IF($R183&gt;=INDEX(LE_Curves!$L$5:$L$205,201),INDEX(LE_Curves!$B$5:$B$205,201),INDEX(LE_Curves!$B$5:$B$205,MATCH($R183,LE_Curves!$L$5:$L$205,1))+($R183-INDEX(LE_Curves!$L$5:$L$205,MATCH($R183,LE_Curves!$L$5:$L$205,1)))*(INDEX(LE_Curves!$B$5:$B$205,MATCH($R183,LE_Curves!$L$5:$L$205,1)+1)-INDEX(LE_Curves!$B$5:$B$205,MATCH($R183,LE_Curves!$L$5:$L$205,1)))/(INDEX(LE_Curves!$L$5:$L$205,MATCH($R183,LE_Curves!$L$5:$L$205,1)+1)-INDEX(LE_Curves!$L$5:$L$205,MATCH($R183,LE_Curves!$L$5:$L$205,1))))))</f>
        <v/>
      </c>
      <c r="AC183" s="11">
        <f>IF(Inputs!$D$33=0,0,IF($R183&lt;=Inputs!$C$33,0,IF($R183&gt;=INDEX(LE_Curves!$M$5:$M$205,201),INDEX(LE_Curves!$B$5:$B$205,201),INDEX(LE_Curves!$B$5:$B$205,MATCH($R183,LE_Curves!$M$5:$M$205,1))+($R183-INDEX(LE_Curves!$M$5:$M$205,MATCH($R183,LE_Curves!$M$5:$M$205,1)))*(INDEX(LE_Curves!$B$5:$B$205,MATCH($R183,LE_Curves!$M$5:$M$205,1)+1)-INDEX(LE_Curves!$B$5:$B$205,MATCH($R183,LE_Curves!$M$5:$M$205,1)))/(INDEX(LE_Curves!$M$5:$M$205,MATCH($R183,LE_Curves!$M$5:$M$205,1)+1)-INDEX(LE_Curves!$M$5:$M$205,MATCH($R183,LE_Curves!$M$5:$M$205,1))))))</f>
        <v/>
      </c>
      <c r="AD183" s="11">
        <f>IF(Inputs!$D$34=0,0,IF($R183&lt;=Inputs!$C$34,0,IF($R183&gt;=INDEX(LE_Curves!$N$5:$N$205,201),INDEX(LE_Curves!$B$5:$B$205,201),INDEX(LE_Curves!$B$5:$B$205,MATCH($R183,LE_Curves!$N$5:$N$205,1))+($R183-INDEX(LE_Curves!$N$5:$N$205,MATCH($R183,LE_Curves!$N$5:$N$205,1)))*(INDEX(LE_Curves!$B$5:$B$205,MATCH($R183,LE_Curves!$N$5:$N$205,1)+1)-INDEX(LE_Curves!$B$5:$B$205,MATCH($R183,LE_Curves!$N$5:$N$205,1)))/(INDEX(LE_Curves!$N$5:$N$205,MATCH($R183,LE_Curves!$N$5:$N$205,1)+1)-INDEX(LE_Curves!$N$5:$N$205,MATCH($R183,LE_Curves!$N$5:$N$205,1))))))</f>
        <v/>
      </c>
      <c r="AE183" s="37">
        <f>SUM(S183:AD183)</f>
        <v/>
      </c>
    </row>
    <row r="184">
      <c r="A184" s="7" t="n">
        <v>153</v>
      </c>
      <c r="B184" s="37">
        <f>$B$3+($B$4-$B$3)*A184/200</f>
        <v/>
      </c>
      <c r="C184" s="11">
        <f>IF(Inputs!$D$23=0,0,IF($B184&lt;=Inputs!$C$23,0,IF($B184&gt;=INDEX(LE_Curves!$C$5:$C$205,201),INDEX(LE_Curves!$B$5:$B$205,201),INDEX(LE_Curves!$B$5:$B$205,MATCH($B184,LE_Curves!$C$5:$C$205,1))+($B184-INDEX(LE_Curves!$C$5:$C$205,MATCH($B184,LE_Curves!$C$5:$C$205,1)))*(INDEX(LE_Curves!$B$5:$B$205,MATCH($B184,LE_Curves!$C$5:$C$205,1)+1)-INDEX(LE_Curves!$B$5:$B$205,MATCH($B184,LE_Curves!$C$5:$C$205,1)))/(INDEX(LE_Curves!$C$5:$C$205,MATCH($B184,LE_Curves!$C$5:$C$205,1)+1)-INDEX(LE_Curves!$C$5:$C$205,MATCH($B184,LE_Curves!$C$5:$C$205,1))))))</f>
        <v/>
      </c>
      <c r="D184" s="11">
        <f>IF(Inputs!$D$24=0,0,IF($B184&lt;=Inputs!$C$24,0,IF($B184&gt;=INDEX(LE_Curves!$D$5:$D$205,201),INDEX(LE_Curves!$B$5:$B$205,201),INDEX(LE_Curves!$B$5:$B$205,MATCH($B184,LE_Curves!$D$5:$D$205,1))+($B184-INDEX(LE_Curves!$D$5:$D$205,MATCH($B184,LE_Curves!$D$5:$D$205,1)))*(INDEX(LE_Curves!$B$5:$B$205,MATCH($B184,LE_Curves!$D$5:$D$205,1)+1)-INDEX(LE_Curves!$B$5:$B$205,MATCH($B184,LE_Curves!$D$5:$D$205,1)))/(INDEX(LE_Curves!$D$5:$D$205,MATCH($B184,LE_Curves!$D$5:$D$205,1)+1)-INDEX(LE_Curves!$D$5:$D$205,MATCH($B184,LE_Curves!$D$5:$D$205,1))))))</f>
        <v/>
      </c>
      <c r="E184" s="11">
        <f>IF(Inputs!$D$25=0,0,IF($B184&lt;=Inputs!$C$25,0,IF($B184&gt;=INDEX(LE_Curves!$E$5:$E$205,201),INDEX(LE_Curves!$B$5:$B$205,201),INDEX(LE_Curves!$B$5:$B$205,MATCH($B184,LE_Curves!$E$5:$E$205,1))+($B184-INDEX(LE_Curves!$E$5:$E$205,MATCH($B184,LE_Curves!$E$5:$E$205,1)))*(INDEX(LE_Curves!$B$5:$B$205,MATCH($B184,LE_Curves!$E$5:$E$205,1)+1)-INDEX(LE_Curves!$B$5:$B$205,MATCH($B184,LE_Curves!$E$5:$E$205,1)))/(INDEX(LE_Curves!$E$5:$E$205,MATCH($B184,LE_Curves!$E$5:$E$205,1)+1)-INDEX(LE_Curves!$E$5:$E$205,MATCH($B184,LE_Curves!$E$5:$E$205,1))))))</f>
        <v/>
      </c>
      <c r="F184" s="11">
        <f>IF(Inputs!$D$26=0,0,IF($B184&lt;=Inputs!$C$26,0,IF($B184&gt;=INDEX(LE_Curves!$F$5:$F$205,201),INDEX(LE_Curves!$B$5:$B$205,201),INDEX(LE_Curves!$B$5:$B$205,MATCH($B184,LE_Curves!$F$5:$F$205,1))+($B184-INDEX(LE_Curves!$F$5:$F$205,MATCH($B184,LE_Curves!$F$5:$F$205,1)))*(INDEX(LE_Curves!$B$5:$B$205,MATCH($B184,LE_Curves!$F$5:$F$205,1)+1)-INDEX(LE_Curves!$B$5:$B$205,MATCH($B184,LE_Curves!$F$5:$F$205,1)))/(INDEX(LE_Curves!$F$5:$F$205,MATCH($B184,LE_Curves!$F$5:$F$205,1)+1)-INDEX(LE_Curves!$F$5:$F$205,MATCH($B184,LE_Curves!$F$5:$F$205,1))))))</f>
        <v/>
      </c>
      <c r="G184" s="11">
        <f>IF(Inputs!$D$27=0,0,IF($B184&lt;=Inputs!$C$27,0,IF($B184&gt;=INDEX(LE_Curves!$G$5:$G$205,201),INDEX(LE_Curves!$B$5:$B$205,201),INDEX(LE_Curves!$B$5:$B$205,MATCH($B184,LE_Curves!$G$5:$G$205,1))+($B184-INDEX(LE_Curves!$G$5:$G$205,MATCH($B184,LE_Curves!$G$5:$G$205,1)))*(INDEX(LE_Curves!$B$5:$B$205,MATCH($B184,LE_Curves!$G$5:$G$205,1)+1)-INDEX(LE_Curves!$B$5:$B$205,MATCH($B184,LE_Curves!$G$5:$G$205,1)))/(INDEX(LE_Curves!$G$5:$G$205,MATCH($B184,LE_Curves!$G$5:$G$205,1)+1)-INDEX(LE_Curves!$G$5:$G$205,MATCH($B184,LE_Curves!$G$5:$G$205,1))))))</f>
        <v/>
      </c>
      <c r="H184" s="11">
        <f>IF(Inputs!$D$28=0,0,IF($B184&lt;=Inputs!$C$28,0,IF($B184&gt;=INDEX(LE_Curves!$H$5:$H$205,201),INDEX(LE_Curves!$B$5:$B$205,201),INDEX(LE_Curves!$B$5:$B$205,MATCH($B184,LE_Curves!$H$5:$H$205,1))+($B184-INDEX(LE_Curves!$H$5:$H$205,MATCH($B184,LE_Curves!$H$5:$H$205,1)))*(INDEX(LE_Curves!$B$5:$B$205,MATCH($B184,LE_Curves!$H$5:$H$205,1)+1)-INDEX(LE_Curves!$B$5:$B$205,MATCH($B184,LE_Curves!$H$5:$H$205,1)))/(INDEX(LE_Curves!$H$5:$H$205,MATCH($B184,LE_Curves!$H$5:$H$205,1)+1)-INDEX(LE_Curves!$H$5:$H$205,MATCH($B184,LE_Curves!$H$5:$H$205,1))))))</f>
        <v/>
      </c>
      <c r="I184" s="11">
        <f>IF(Inputs!$D$29=0,0,IF($B184&lt;=Inputs!$C$29,0,IF($B184&gt;=INDEX(LE_Curves!$I$5:$I$205,201),INDEX(LE_Curves!$B$5:$B$205,201),INDEX(LE_Curves!$B$5:$B$205,MATCH($B184,LE_Curves!$I$5:$I$205,1))+($B184-INDEX(LE_Curves!$I$5:$I$205,MATCH($B184,LE_Curves!$I$5:$I$205,1)))*(INDEX(LE_Curves!$B$5:$B$205,MATCH($B184,LE_Curves!$I$5:$I$205,1)+1)-INDEX(LE_Curves!$B$5:$B$205,MATCH($B184,LE_Curves!$I$5:$I$205,1)))/(INDEX(LE_Curves!$I$5:$I$205,MATCH($B184,LE_Curves!$I$5:$I$205,1)+1)-INDEX(LE_Curves!$I$5:$I$205,MATCH($B184,LE_Curves!$I$5:$I$205,1))))))</f>
        <v/>
      </c>
      <c r="J184" s="11">
        <f>IF(Inputs!$D$30=0,0,IF($B184&lt;=Inputs!$C$30,0,IF($B184&gt;=INDEX(LE_Curves!$J$5:$J$205,201),INDEX(LE_Curves!$B$5:$B$205,201),INDEX(LE_Curves!$B$5:$B$205,MATCH($B184,LE_Curves!$J$5:$J$205,1))+($B184-INDEX(LE_Curves!$J$5:$J$205,MATCH($B184,LE_Curves!$J$5:$J$205,1)))*(INDEX(LE_Curves!$B$5:$B$205,MATCH($B184,LE_Curves!$J$5:$J$205,1)+1)-INDEX(LE_Curves!$B$5:$B$205,MATCH($B184,LE_Curves!$J$5:$J$205,1)))/(INDEX(LE_Curves!$J$5:$J$205,MATCH($B184,LE_Curves!$J$5:$J$205,1)+1)-INDEX(LE_Curves!$J$5:$J$205,MATCH($B184,LE_Curves!$J$5:$J$205,1))))))</f>
        <v/>
      </c>
      <c r="K184" s="11">
        <f>IF(Inputs!$D$31=0,0,IF($B184&lt;=Inputs!$C$31,0,IF($B184&gt;=INDEX(LE_Curves!$K$5:$K$205,201),INDEX(LE_Curves!$B$5:$B$205,201),INDEX(LE_Curves!$B$5:$B$205,MATCH($B184,LE_Curves!$K$5:$K$205,1))+($B184-INDEX(LE_Curves!$K$5:$K$205,MATCH($B184,LE_Curves!$K$5:$K$205,1)))*(INDEX(LE_Curves!$B$5:$B$205,MATCH($B184,LE_Curves!$K$5:$K$205,1)+1)-INDEX(LE_Curves!$B$5:$B$205,MATCH($B184,LE_Curves!$K$5:$K$205,1)))/(INDEX(LE_Curves!$K$5:$K$205,MATCH($B184,LE_Curves!$K$5:$K$205,1)+1)-INDEX(LE_Curves!$K$5:$K$205,MATCH($B184,LE_Curves!$K$5:$K$205,1))))))</f>
        <v/>
      </c>
      <c r="L184" s="11">
        <f>IF(Inputs!$D$32=0,0,IF($B184&lt;=Inputs!$C$32,0,IF($B184&gt;=INDEX(LE_Curves!$L$5:$L$205,201),INDEX(LE_Curves!$B$5:$B$205,201),INDEX(LE_Curves!$B$5:$B$205,MATCH($B184,LE_Curves!$L$5:$L$205,1))+($B184-INDEX(LE_Curves!$L$5:$L$205,MATCH($B184,LE_Curves!$L$5:$L$205,1)))*(INDEX(LE_Curves!$B$5:$B$205,MATCH($B184,LE_Curves!$L$5:$L$205,1)+1)-INDEX(LE_Curves!$B$5:$B$205,MATCH($B184,LE_Curves!$L$5:$L$205,1)))/(INDEX(LE_Curves!$L$5:$L$205,MATCH($B184,LE_Curves!$L$5:$L$205,1)+1)-INDEX(LE_Curves!$L$5:$L$205,MATCH($B184,LE_Curves!$L$5:$L$205,1))))))</f>
        <v/>
      </c>
      <c r="M184" s="11">
        <f>IF(Inputs!$D$33=0,0,IF($B184&lt;=Inputs!$C$33,0,IF($B184&gt;=INDEX(LE_Curves!$M$5:$M$205,201),INDEX(LE_Curves!$B$5:$B$205,201),INDEX(LE_Curves!$B$5:$B$205,MATCH($B184,LE_Curves!$M$5:$M$205,1))+($B184-INDEX(LE_Curves!$M$5:$M$205,MATCH($B184,LE_Curves!$M$5:$M$205,1)))*(INDEX(LE_Curves!$B$5:$B$205,MATCH($B184,LE_Curves!$M$5:$M$205,1)+1)-INDEX(LE_Curves!$B$5:$B$205,MATCH($B184,LE_Curves!$M$5:$M$205,1)))/(INDEX(LE_Curves!$M$5:$M$205,MATCH($B184,LE_Curves!$M$5:$M$205,1)+1)-INDEX(LE_Curves!$M$5:$M$205,MATCH($B184,LE_Curves!$M$5:$M$205,1))))))</f>
        <v/>
      </c>
      <c r="N184" s="11">
        <f>IF(Inputs!$D$34=0,0,IF($B184&lt;=Inputs!$C$34,0,IF($B184&gt;=INDEX(LE_Curves!$N$5:$N$205,201),INDEX(LE_Curves!$B$5:$B$205,201),INDEX(LE_Curves!$B$5:$B$205,MATCH($B184,LE_Curves!$N$5:$N$205,1))+($B184-INDEX(LE_Curves!$N$5:$N$205,MATCH($B184,LE_Curves!$N$5:$N$205,1)))*(INDEX(LE_Curves!$B$5:$B$205,MATCH($B184,LE_Curves!$N$5:$N$205,1)+1)-INDEX(LE_Curves!$B$5:$B$205,MATCH($B184,LE_Curves!$N$5:$N$205,1)))/(INDEX(LE_Curves!$N$5:$N$205,MATCH($B184,LE_Curves!$N$5:$N$205,1)+1)-INDEX(LE_Curves!$N$5:$N$205,MATCH($B184,LE_Curves!$N$5:$N$205,1))))))</f>
        <v/>
      </c>
      <c r="O184" s="11">
        <f>SUM(C184:N184)</f>
        <v/>
      </c>
      <c r="Q184" s="7" t="n">
        <v>153</v>
      </c>
      <c r="R184" s="23">
        <f>$B$6+($B$7-$B$6)*Q184/200</f>
        <v/>
      </c>
      <c r="S184" s="11">
        <f>IF(Inputs!$D$23=0,0,IF($R184&lt;=Inputs!$C$23,0,IF($R184&gt;=INDEX(LE_Curves!$C$5:$C$205,201),INDEX(LE_Curves!$B$5:$B$205,201),INDEX(LE_Curves!$B$5:$B$205,MATCH($R184,LE_Curves!$C$5:$C$205,1))+($R184-INDEX(LE_Curves!$C$5:$C$205,MATCH($R184,LE_Curves!$C$5:$C$205,1)))*(INDEX(LE_Curves!$B$5:$B$205,MATCH($R184,LE_Curves!$C$5:$C$205,1)+1)-INDEX(LE_Curves!$B$5:$B$205,MATCH($R184,LE_Curves!$C$5:$C$205,1)))/(INDEX(LE_Curves!$C$5:$C$205,MATCH($R184,LE_Curves!$C$5:$C$205,1)+1)-INDEX(LE_Curves!$C$5:$C$205,MATCH($R184,LE_Curves!$C$5:$C$205,1))))))</f>
        <v/>
      </c>
      <c r="T184" s="11">
        <f>IF(Inputs!$D$24=0,0,IF($R184&lt;=Inputs!$C$24,0,IF($R184&gt;=INDEX(LE_Curves!$D$5:$D$205,201),INDEX(LE_Curves!$B$5:$B$205,201),INDEX(LE_Curves!$B$5:$B$205,MATCH($R184,LE_Curves!$D$5:$D$205,1))+($R184-INDEX(LE_Curves!$D$5:$D$205,MATCH($R184,LE_Curves!$D$5:$D$205,1)))*(INDEX(LE_Curves!$B$5:$B$205,MATCH($R184,LE_Curves!$D$5:$D$205,1)+1)-INDEX(LE_Curves!$B$5:$B$205,MATCH($R184,LE_Curves!$D$5:$D$205,1)))/(INDEX(LE_Curves!$D$5:$D$205,MATCH($R184,LE_Curves!$D$5:$D$205,1)+1)-INDEX(LE_Curves!$D$5:$D$205,MATCH($R184,LE_Curves!$D$5:$D$205,1))))))</f>
        <v/>
      </c>
      <c r="U184" s="11">
        <f>IF(Inputs!$D$25=0,0,IF($R184&lt;=Inputs!$C$25,0,IF($R184&gt;=INDEX(LE_Curves!$E$5:$E$205,201),INDEX(LE_Curves!$B$5:$B$205,201),INDEX(LE_Curves!$B$5:$B$205,MATCH($R184,LE_Curves!$E$5:$E$205,1))+($R184-INDEX(LE_Curves!$E$5:$E$205,MATCH($R184,LE_Curves!$E$5:$E$205,1)))*(INDEX(LE_Curves!$B$5:$B$205,MATCH($R184,LE_Curves!$E$5:$E$205,1)+1)-INDEX(LE_Curves!$B$5:$B$205,MATCH($R184,LE_Curves!$E$5:$E$205,1)))/(INDEX(LE_Curves!$E$5:$E$205,MATCH($R184,LE_Curves!$E$5:$E$205,1)+1)-INDEX(LE_Curves!$E$5:$E$205,MATCH($R184,LE_Curves!$E$5:$E$205,1))))))</f>
        <v/>
      </c>
      <c r="V184" s="11">
        <f>IF(Inputs!$D$26=0,0,IF($R184&lt;=Inputs!$C$26,0,IF($R184&gt;=INDEX(LE_Curves!$F$5:$F$205,201),INDEX(LE_Curves!$B$5:$B$205,201),INDEX(LE_Curves!$B$5:$B$205,MATCH($R184,LE_Curves!$F$5:$F$205,1))+($R184-INDEX(LE_Curves!$F$5:$F$205,MATCH($R184,LE_Curves!$F$5:$F$205,1)))*(INDEX(LE_Curves!$B$5:$B$205,MATCH($R184,LE_Curves!$F$5:$F$205,1)+1)-INDEX(LE_Curves!$B$5:$B$205,MATCH($R184,LE_Curves!$F$5:$F$205,1)))/(INDEX(LE_Curves!$F$5:$F$205,MATCH($R184,LE_Curves!$F$5:$F$205,1)+1)-INDEX(LE_Curves!$F$5:$F$205,MATCH($R184,LE_Curves!$F$5:$F$205,1))))))</f>
        <v/>
      </c>
      <c r="W184" s="11">
        <f>IF(Inputs!$D$27=0,0,IF($R184&lt;=Inputs!$C$27,0,IF($R184&gt;=INDEX(LE_Curves!$G$5:$G$205,201),INDEX(LE_Curves!$B$5:$B$205,201),INDEX(LE_Curves!$B$5:$B$205,MATCH($R184,LE_Curves!$G$5:$G$205,1))+($R184-INDEX(LE_Curves!$G$5:$G$205,MATCH($R184,LE_Curves!$G$5:$G$205,1)))*(INDEX(LE_Curves!$B$5:$B$205,MATCH($R184,LE_Curves!$G$5:$G$205,1)+1)-INDEX(LE_Curves!$B$5:$B$205,MATCH($R184,LE_Curves!$G$5:$G$205,1)))/(INDEX(LE_Curves!$G$5:$G$205,MATCH($R184,LE_Curves!$G$5:$G$205,1)+1)-INDEX(LE_Curves!$G$5:$G$205,MATCH($R184,LE_Curves!$G$5:$G$205,1))))))</f>
        <v/>
      </c>
      <c r="X184" s="11">
        <f>IF(Inputs!$D$28=0,0,IF($R184&lt;=Inputs!$C$28,0,IF($R184&gt;=INDEX(LE_Curves!$H$5:$H$205,201),INDEX(LE_Curves!$B$5:$B$205,201),INDEX(LE_Curves!$B$5:$B$205,MATCH($R184,LE_Curves!$H$5:$H$205,1))+($R184-INDEX(LE_Curves!$H$5:$H$205,MATCH($R184,LE_Curves!$H$5:$H$205,1)))*(INDEX(LE_Curves!$B$5:$B$205,MATCH($R184,LE_Curves!$H$5:$H$205,1)+1)-INDEX(LE_Curves!$B$5:$B$205,MATCH($R184,LE_Curves!$H$5:$H$205,1)))/(INDEX(LE_Curves!$H$5:$H$205,MATCH($R184,LE_Curves!$H$5:$H$205,1)+1)-INDEX(LE_Curves!$H$5:$H$205,MATCH($R184,LE_Curves!$H$5:$H$205,1))))))</f>
        <v/>
      </c>
      <c r="Y184" s="11">
        <f>IF(Inputs!$D$29=0,0,IF($R184&lt;=Inputs!$C$29,0,IF($R184&gt;=INDEX(LE_Curves!$I$5:$I$205,201),INDEX(LE_Curves!$B$5:$B$205,201),INDEX(LE_Curves!$B$5:$B$205,MATCH($R184,LE_Curves!$I$5:$I$205,1))+($R184-INDEX(LE_Curves!$I$5:$I$205,MATCH($R184,LE_Curves!$I$5:$I$205,1)))*(INDEX(LE_Curves!$B$5:$B$205,MATCH($R184,LE_Curves!$I$5:$I$205,1)+1)-INDEX(LE_Curves!$B$5:$B$205,MATCH($R184,LE_Curves!$I$5:$I$205,1)))/(INDEX(LE_Curves!$I$5:$I$205,MATCH($R184,LE_Curves!$I$5:$I$205,1)+1)-INDEX(LE_Curves!$I$5:$I$205,MATCH($R184,LE_Curves!$I$5:$I$205,1))))))</f>
        <v/>
      </c>
      <c r="Z184" s="11">
        <f>IF(Inputs!$D$30=0,0,IF($R184&lt;=Inputs!$C$30,0,IF($R184&gt;=INDEX(LE_Curves!$J$5:$J$205,201),INDEX(LE_Curves!$B$5:$B$205,201),INDEX(LE_Curves!$B$5:$B$205,MATCH($R184,LE_Curves!$J$5:$J$205,1))+($R184-INDEX(LE_Curves!$J$5:$J$205,MATCH($R184,LE_Curves!$J$5:$J$205,1)))*(INDEX(LE_Curves!$B$5:$B$205,MATCH($R184,LE_Curves!$J$5:$J$205,1)+1)-INDEX(LE_Curves!$B$5:$B$205,MATCH($R184,LE_Curves!$J$5:$J$205,1)))/(INDEX(LE_Curves!$J$5:$J$205,MATCH($R184,LE_Curves!$J$5:$J$205,1)+1)-INDEX(LE_Curves!$J$5:$J$205,MATCH($R184,LE_Curves!$J$5:$J$205,1))))))</f>
        <v/>
      </c>
      <c r="AA184" s="11">
        <f>IF(Inputs!$D$31=0,0,IF($R184&lt;=Inputs!$C$31,0,IF($R184&gt;=INDEX(LE_Curves!$K$5:$K$205,201),INDEX(LE_Curves!$B$5:$B$205,201),INDEX(LE_Curves!$B$5:$B$205,MATCH($R184,LE_Curves!$K$5:$K$205,1))+($R184-INDEX(LE_Curves!$K$5:$K$205,MATCH($R184,LE_Curves!$K$5:$K$205,1)))*(INDEX(LE_Curves!$B$5:$B$205,MATCH($R184,LE_Curves!$K$5:$K$205,1)+1)-INDEX(LE_Curves!$B$5:$B$205,MATCH($R184,LE_Curves!$K$5:$K$205,1)))/(INDEX(LE_Curves!$K$5:$K$205,MATCH($R184,LE_Curves!$K$5:$K$205,1)+1)-INDEX(LE_Curves!$K$5:$K$205,MATCH($R184,LE_Curves!$K$5:$K$205,1))))))</f>
        <v/>
      </c>
      <c r="AB184" s="11">
        <f>IF(Inputs!$D$32=0,0,IF($R184&lt;=Inputs!$C$32,0,IF($R184&gt;=INDEX(LE_Curves!$L$5:$L$205,201),INDEX(LE_Curves!$B$5:$B$205,201),INDEX(LE_Curves!$B$5:$B$205,MATCH($R184,LE_Curves!$L$5:$L$205,1))+($R184-INDEX(LE_Curves!$L$5:$L$205,MATCH($R184,LE_Curves!$L$5:$L$205,1)))*(INDEX(LE_Curves!$B$5:$B$205,MATCH($R184,LE_Curves!$L$5:$L$205,1)+1)-INDEX(LE_Curves!$B$5:$B$205,MATCH($R184,LE_Curves!$L$5:$L$205,1)))/(INDEX(LE_Curves!$L$5:$L$205,MATCH($R184,LE_Curves!$L$5:$L$205,1)+1)-INDEX(LE_Curves!$L$5:$L$205,MATCH($R184,LE_Curves!$L$5:$L$205,1))))))</f>
        <v/>
      </c>
      <c r="AC184" s="11">
        <f>IF(Inputs!$D$33=0,0,IF($R184&lt;=Inputs!$C$33,0,IF($R184&gt;=INDEX(LE_Curves!$M$5:$M$205,201),INDEX(LE_Curves!$B$5:$B$205,201),INDEX(LE_Curves!$B$5:$B$205,MATCH($R184,LE_Curves!$M$5:$M$205,1))+($R184-INDEX(LE_Curves!$M$5:$M$205,MATCH($R184,LE_Curves!$M$5:$M$205,1)))*(INDEX(LE_Curves!$B$5:$B$205,MATCH($R184,LE_Curves!$M$5:$M$205,1)+1)-INDEX(LE_Curves!$B$5:$B$205,MATCH($R184,LE_Curves!$M$5:$M$205,1)))/(INDEX(LE_Curves!$M$5:$M$205,MATCH($R184,LE_Curves!$M$5:$M$205,1)+1)-INDEX(LE_Curves!$M$5:$M$205,MATCH($R184,LE_Curves!$M$5:$M$205,1))))))</f>
        <v/>
      </c>
      <c r="AD184" s="11">
        <f>IF(Inputs!$D$34=0,0,IF($R184&lt;=Inputs!$C$34,0,IF($R184&gt;=INDEX(LE_Curves!$N$5:$N$205,201),INDEX(LE_Curves!$B$5:$B$205,201),INDEX(LE_Curves!$B$5:$B$205,MATCH($R184,LE_Curves!$N$5:$N$205,1))+($R184-INDEX(LE_Curves!$N$5:$N$205,MATCH($R184,LE_Curves!$N$5:$N$205,1)))*(INDEX(LE_Curves!$B$5:$B$205,MATCH($R184,LE_Curves!$N$5:$N$205,1)+1)-INDEX(LE_Curves!$B$5:$B$205,MATCH($R184,LE_Curves!$N$5:$N$205,1)))/(INDEX(LE_Curves!$N$5:$N$205,MATCH($R184,LE_Curves!$N$5:$N$205,1)+1)-INDEX(LE_Curves!$N$5:$N$205,MATCH($R184,LE_Curves!$N$5:$N$205,1))))))</f>
        <v/>
      </c>
      <c r="AE184" s="37">
        <f>SUM(S184:AD184)</f>
        <v/>
      </c>
    </row>
    <row r="185">
      <c r="A185" s="7" t="n">
        <v>154</v>
      </c>
      <c r="B185" s="37">
        <f>$B$3+($B$4-$B$3)*A185/200</f>
        <v/>
      </c>
      <c r="C185" s="11">
        <f>IF(Inputs!$D$23=0,0,IF($B185&lt;=Inputs!$C$23,0,IF($B185&gt;=INDEX(LE_Curves!$C$5:$C$205,201),INDEX(LE_Curves!$B$5:$B$205,201),INDEX(LE_Curves!$B$5:$B$205,MATCH($B185,LE_Curves!$C$5:$C$205,1))+($B185-INDEX(LE_Curves!$C$5:$C$205,MATCH($B185,LE_Curves!$C$5:$C$205,1)))*(INDEX(LE_Curves!$B$5:$B$205,MATCH($B185,LE_Curves!$C$5:$C$205,1)+1)-INDEX(LE_Curves!$B$5:$B$205,MATCH($B185,LE_Curves!$C$5:$C$205,1)))/(INDEX(LE_Curves!$C$5:$C$205,MATCH($B185,LE_Curves!$C$5:$C$205,1)+1)-INDEX(LE_Curves!$C$5:$C$205,MATCH($B185,LE_Curves!$C$5:$C$205,1))))))</f>
        <v/>
      </c>
      <c r="D185" s="11">
        <f>IF(Inputs!$D$24=0,0,IF($B185&lt;=Inputs!$C$24,0,IF($B185&gt;=INDEX(LE_Curves!$D$5:$D$205,201),INDEX(LE_Curves!$B$5:$B$205,201),INDEX(LE_Curves!$B$5:$B$205,MATCH($B185,LE_Curves!$D$5:$D$205,1))+($B185-INDEX(LE_Curves!$D$5:$D$205,MATCH($B185,LE_Curves!$D$5:$D$205,1)))*(INDEX(LE_Curves!$B$5:$B$205,MATCH($B185,LE_Curves!$D$5:$D$205,1)+1)-INDEX(LE_Curves!$B$5:$B$205,MATCH($B185,LE_Curves!$D$5:$D$205,1)))/(INDEX(LE_Curves!$D$5:$D$205,MATCH($B185,LE_Curves!$D$5:$D$205,1)+1)-INDEX(LE_Curves!$D$5:$D$205,MATCH($B185,LE_Curves!$D$5:$D$205,1))))))</f>
        <v/>
      </c>
      <c r="E185" s="11">
        <f>IF(Inputs!$D$25=0,0,IF($B185&lt;=Inputs!$C$25,0,IF($B185&gt;=INDEX(LE_Curves!$E$5:$E$205,201),INDEX(LE_Curves!$B$5:$B$205,201),INDEX(LE_Curves!$B$5:$B$205,MATCH($B185,LE_Curves!$E$5:$E$205,1))+($B185-INDEX(LE_Curves!$E$5:$E$205,MATCH($B185,LE_Curves!$E$5:$E$205,1)))*(INDEX(LE_Curves!$B$5:$B$205,MATCH($B185,LE_Curves!$E$5:$E$205,1)+1)-INDEX(LE_Curves!$B$5:$B$205,MATCH($B185,LE_Curves!$E$5:$E$205,1)))/(INDEX(LE_Curves!$E$5:$E$205,MATCH($B185,LE_Curves!$E$5:$E$205,1)+1)-INDEX(LE_Curves!$E$5:$E$205,MATCH($B185,LE_Curves!$E$5:$E$205,1))))))</f>
        <v/>
      </c>
      <c r="F185" s="11">
        <f>IF(Inputs!$D$26=0,0,IF($B185&lt;=Inputs!$C$26,0,IF($B185&gt;=INDEX(LE_Curves!$F$5:$F$205,201),INDEX(LE_Curves!$B$5:$B$205,201),INDEX(LE_Curves!$B$5:$B$205,MATCH($B185,LE_Curves!$F$5:$F$205,1))+($B185-INDEX(LE_Curves!$F$5:$F$205,MATCH($B185,LE_Curves!$F$5:$F$205,1)))*(INDEX(LE_Curves!$B$5:$B$205,MATCH($B185,LE_Curves!$F$5:$F$205,1)+1)-INDEX(LE_Curves!$B$5:$B$205,MATCH($B185,LE_Curves!$F$5:$F$205,1)))/(INDEX(LE_Curves!$F$5:$F$205,MATCH($B185,LE_Curves!$F$5:$F$205,1)+1)-INDEX(LE_Curves!$F$5:$F$205,MATCH($B185,LE_Curves!$F$5:$F$205,1))))))</f>
        <v/>
      </c>
      <c r="G185" s="11">
        <f>IF(Inputs!$D$27=0,0,IF($B185&lt;=Inputs!$C$27,0,IF($B185&gt;=INDEX(LE_Curves!$G$5:$G$205,201),INDEX(LE_Curves!$B$5:$B$205,201),INDEX(LE_Curves!$B$5:$B$205,MATCH($B185,LE_Curves!$G$5:$G$205,1))+($B185-INDEX(LE_Curves!$G$5:$G$205,MATCH($B185,LE_Curves!$G$5:$G$205,1)))*(INDEX(LE_Curves!$B$5:$B$205,MATCH($B185,LE_Curves!$G$5:$G$205,1)+1)-INDEX(LE_Curves!$B$5:$B$205,MATCH($B185,LE_Curves!$G$5:$G$205,1)))/(INDEX(LE_Curves!$G$5:$G$205,MATCH($B185,LE_Curves!$G$5:$G$205,1)+1)-INDEX(LE_Curves!$G$5:$G$205,MATCH($B185,LE_Curves!$G$5:$G$205,1))))))</f>
        <v/>
      </c>
      <c r="H185" s="11">
        <f>IF(Inputs!$D$28=0,0,IF($B185&lt;=Inputs!$C$28,0,IF($B185&gt;=INDEX(LE_Curves!$H$5:$H$205,201),INDEX(LE_Curves!$B$5:$B$205,201),INDEX(LE_Curves!$B$5:$B$205,MATCH($B185,LE_Curves!$H$5:$H$205,1))+($B185-INDEX(LE_Curves!$H$5:$H$205,MATCH($B185,LE_Curves!$H$5:$H$205,1)))*(INDEX(LE_Curves!$B$5:$B$205,MATCH($B185,LE_Curves!$H$5:$H$205,1)+1)-INDEX(LE_Curves!$B$5:$B$205,MATCH($B185,LE_Curves!$H$5:$H$205,1)))/(INDEX(LE_Curves!$H$5:$H$205,MATCH($B185,LE_Curves!$H$5:$H$205,1)+1)-INDEX(LE_Curves!$H$5:$H$205,MATCH($B185,LE_Curves!$H$5:$H$205,1))))))</f>
        <v/>
      </c>
      <c r="I185" s="11">
        <f>IF(Inputs!$D$29=0,0,IF($B185&lt;=Inputs!$C$29,0,IF($B185&gt;=INDEX(LE_Curves!$I$5:$I$205,201),INDEX(LE_Curves!$B$5:$B$205,201),INDEX(LE_Curves!$B$5:$B$205,MATCH($B185,LE_Curves!$I$5:$I$205,1))+($B185-INDEX(LE_Curves!$I$5:$I$205,MATCH($B185,LE_Curves!$I$5:$I$205,1)))*(INDEX(LE_Curves!$B$5:$B$205,MATCH($B185,LE_Curves!$I$5:$I$205,1)+1)-INDEX(LE_Curves!$B$5:$B$205,MATCH($B185,LE_Curves!$I$5:$I$205,1)))/(INDEX(LE_Curves!$I$5:$I$205,MATCH($B185,LE_Curves!$I$5:$I$205,1)+1)-INDEX(LE_Curves!$I$5:$I$205,MATCH($B185,LE_Curves!$I$5:$I$205,1))))))</f>
        <v/>
      </c>
      <c r="J185" s="11">
        <f>IF(Inputs!$D$30=0,0,IF($B185&lt;=Inputs!$C$30,0,IF($B185&gt;=INDEX(LE_Curves!$J$5:$J$205,201),INDEX(LE_Curves!$B$5:$B$205,201),INDEX(LE_Curves!$B$5:$B$205,MATCH($B185,LE_Curves!$J$5:$J$205,1))+($B185-INDEX(LE_Curves!$J$5:$J$205,MATCH($B185,LE_Curves!$J$5:$J$205,1)))*(INDEX(LE_Curves!$B$5:$B$205,MATCH($B185,LE_Curves!$J$5:$J$205,1)+1)-INDEX(LE_Curves!$B$5:$B$205,MATCH($B185,LE_Curves!$J$5:$J$205,1)))/(INDEX(LE_Curves!$J$5:$J$205,MATCH($B185,LE_Curves!$J$5:$J$205,1)+1)-INDEX(LE_Curves!$J$5:$J$205,MATCH($B185,LE_Curves!$J$5:$J$205,1))))))</f>
        <v/>
      </c>
      <c r="K185" s="11">
        <f>IF(Inputs!$D$31=0,0,IF($B185&lt;=Inputs!$C$31,0,IF($B185&gt;=INDEX(LE_Curves!$K$5:$K$205,201),INDEX(LE_Curves!$B$5:$B$205,201),INDEX(LE_Curves!$B$5:$B$205,MATCH($B185,LE_Curves!$K$5:$K$205,1))+($B185-INDEX(LE_Curves!$K$5:$K$205,MATCH($B185,LE_Curves!$K$5:$K$205,1)))*(INDEX(LE_Curves!$B$5:$B$205,MATCH($B185,LE_Curves!$K$5:$K$205,1)+1)-INDEX(LE_Curves!$B$5:$B$205,MATCH($B185,LE_Curves!$K$5:$K$205,1)))/(INDEX(LE_Curves!$K$5:$K$205,MATCH($B185,LE_Curves!$K$5:$K$205,1)+1)-INDEX(LE_Curves!$K$5:$K$205,MATCH($B185,LE_Curves!$K$5:$K$205,1))))))</f>
        <v/>
      </c>
      <c r="L185" s="11">
        <f>IF(Inputs!$D$32=0,0,IF($B185&lt;=Inputs!$C$32,0,IF($B185&gt;=INDEX(LE_Curves!$L$5:$L$205,201),INDEX(LE_Curves!$B$5:$B$205,201),INDEX(LE_Curves!$B$5:$B$205,MATCH($B185,LE_Curves!$L$5:$L$205,1))+($B185-INDEX(LE_Curves!$L$5:$L$205,MATCH($B185,LE_Curves!$L$5:$L$205,1)))*(INDEX(LE_Curves!$B$5:$B$205,MATCH($B185,LE_Curves!$L$5:$L$205,1)+1)-INDEX(LE_Curves!$B$5:$B$205,MATCH($B185,LE_Curves!$L$5:$L$205,1)))/(INDEX(LE_Curves!$L$5:$L$205,MATCH($B185,LE_Curves!$L$5:$L$205,1)+1)-INDEX(LE_Curves!$L$5:$L$205,MATCH($B185,LE_Curves!$L$5:$L$205,1))))))</f>
        <v/>
      </c>
      <c r="M185" s="11">
        <f>IF(Inputs!$D$33=0,0,IF($B185&lt;=Inputs!$C$33,0,IF($B185&gt;=INDEX(LE_Curves!$M$5:$M$205,201),INDEX(LE_Curves!$B$5:$B$205,201),INDEX(LE_Curves!$B$5:$B$205,MATCH($B185,LE_Curves!$M$5:$M$205,1))+($B185-INDEX(LE_Curves!$M$5:$M$205,MATCH($B185,LE_Curves!$M$5:$M$205,1)))*(INDEX(LE_Curves!$B$5:$B$205,MATCH($B185,LE_Curves!$M$5:$M$205,1)+1)-INDEX(LE_Curves!$B$5:$B$205,MATCH($B185,LE_Curves!$M$5:$M$205,1)))/(INDEX(LE_Curves!$M$5:$M$205,MATCH($B185,LE_Curves!$M$5:$M$205,1)+1)-INDEX(LE_Curves!$M$5:$M$205,MATCH($B185,LE_Curves!$M$5:$M$205,1))))))</f>
        <v/>
      </c>
      <c r="N185" s="11">
        <f>IF(Inputs!$D$34=0,0,IF($B185&lt;=Inputs!$C$34,0,IF($B185&gt;=INDEX(LE_Curves!$N$5:$N$205,201),INDEX(LE_Curves!$B$5:$B$205,201),INDEX(LE_Curves!$B$5:$B$205,MATCH($B185,LE_Curves!$N$5:$N$205,1))+($B185-INDEX(LE_Curves!$N$5:$N$205,MATCH($B185,LE_Curves!$N$5:$N$205,1)))*(INDEX(LE_Curves!$B$5:$B$205,MATCH($B185,LE_Curves!$N$5:$N$205,1)+1)-INDEX(LE_Curves!$B$5:$B$205,MATCH($B185,LE_Curves!$N$5:$N$205,1)))/(INDEX(LE_Curves!$N$5:$N$205,MATCH($B185,LE_Curves!$N$5:$N$205,1)+1)-INDEX(LE_Curves!$N$5:$N$205,MATCH($B185,LE_Curves!$N$5:$N$205,1))))))</f>
        <v/>
      </c>
      <c r="O185" s="11">
        <f>SUM(C185:N185)</f>
        <v/>
      </c>
      <c r="Q185" s="7" t="n">
        <v>154</v>
      </c>
      <c r="R185" s="23">
        <f>$B$6+($B$7-$B$6)*Q185/200</f>
        <v/>
      </c>
      <c r="S185" s="11">
        <f>IF(Inputs!$D$23=0,0,IF($R185&lt;=Inputs!$C$23,0,IF($R185&gt;=INDEX(LE_Curves!$C$5:$C$205,201),INDEX(LE_Curves!$B$5:$B$205,201),INDEX(LE_Curves!$B$5:$B$205,MATCH($R185,LE_Curves!$C$5:$C$205,1))+($R185-INDEX(LE_Curves!$C$5:$C$205,MATCH($R185,LE_Curves!$C$5:$C$205,1)))*(INDEX(LE_Curves!$B$5:$B$205,MATCH($R185,LE_Curves!$C$5:$C$205,1)+1)-INDEX(LE_Curves!$B$5:$B$205,MATCH($R185,LE_Curves!$C$5:$C$205,1)))/(INDEX(LE_Curves!$C$5:$C$205,MATCH($R185,LE_Curves!$C$5:$C$205,1)+1)-INDEX(LE_Curves!$C$5:$C$205,MATCH($R185,LE_Curves!$C$5:$C$205,1))))))</f>
        <v/>
      </c>
      <c r="T185" s="11">
        <f>IF(Inputs!$D$24=0,0,IF($R185&lt;=Inputs!$C$24,0,IF($R185&gt;=INDEX(LE_Curves!$D$5:$D$205,201),INDEX(LE_Curves!$B$5:$B$205,201),INDEX(LE_Curves!$B$5:$B$205,MATCH($R185,LE_Curves!$D$5:$D$205,1))+($R185-INDEX(LE_Curves!$D$5:$D$205,MATCH($R185,LE_Curves!$D$5:$D$205,1)))*(INDEX(LE_Curves!$B$5:$B$205,MATCH($R185,LE_Curves!$D$5:$D$205,1)+1)-INDEX(LE_Curves!$B$5:$B$205,MATCH($R185,LE_Curves!$D$5:$D$205,1)))/(INDEX(LE_Curves!$D$5:$D$205,MATCH($R185,LE_Curves!$D$5:$D$205,1)+1)-INDEX(LE_Curves!$D$5:$D$205,MATCH($R185,LE_Curves!$D$5:$D$205,1))))))</f>
        <v/>
      </c>
      <c r="U185" s="11">
        <f>IF(Inputs!$D$25=0,0,IF($R185&lt;=Inputs!$C$25,0,IF($R185&gt;=INDEX(LE_Curves!$E$5:$E$205,201),INDEX(LE_Curves!$B$5:$B$205,201),INDEX(LE_Curves!$B$5:$B$205,MATCH($R185,LE_Curves!$E$5:$E$205,1))+($R185-INDEX(LE_Curves!$E$5:$E$205,MATCH($R185,LE_Curves!$E$5:$E$205,1)))*(INDEX(LE_Curves!$B$5:$B$205,MATCH($R185,LE_Curves!$E$5:$E$205,1)+1)-INDEX(LE_Curves!$B$5:$B$205,MATCH($R185,LE_Curves!$E$5:$E$205,1)))/(INDEX(LE_Curves!$E$5:$E$205,MATCH($R185,LE_Curves!$E$5:$E$205,1)+1)-INDEX(LE_Curves!$E$5:$E$205,MATCH($R185,LE_Curves!$E$5:$E$205,1))))))</f>
        <v/>
      </c>
      <c r="V185" s="11">
        <f>IF(Inputs!$D$26=0,0,IF($R185&lt;=Inputs!$C$26,0,IF($R185&gt;=INDEX(LE_Curves!$F$5:$F$205,201),INDEX(LE_Curves!$B$5:$B$205,201),INDEX(LE_Curves!$B$5:$B$205,MATCH($R185,LE_Curves!$F$5:$F$205,1))+($R185-INDEX(LE_Curves!$F$5:$F$205,MATCH($R185,LE_Curves!$F$5:$F$205,1)))*(INDEX(LE_Curves!$B$5:$B$205,MATCH($R185,LE_Curves!$F$5:$F$205,1)+1)-INDEX(LE_Curves!$B$5:$B$205,MATCH($R185,LE_Curves!$F$5:$F$205,1)))/(INDEX(LE_Curves!$F$5:$F$205,MATCH($R185,LE_Curves!$F$5:$F$205,1)+1)-INDEX(LE_Curves!$F$5:$F$205,MATCH($R185,LE_Curves!$F$5:$F$205,1))))))</f>
        <v/>
      </c>
      <c r="W185" s="11">
        <f>IF(Inputs!$D$27=0,0,IF($R185&lt;=Inputs!$C$27,0,IF($R185&gt;=INDEX(LE_Curves!$G$5:$G$205,201),INDEX(LE_Curves!$B$5:$B$205,201),INDEX(LE_Curves!$B$5:$B$205,MATCH($R185,LE_Curves!$G$5:$G$205,1))+($R185-INDEX(LE_Curves!$G$5:$G$205,MATCH($R185,LE_Curves!$G$5:$G$205,1)))*(INDEX(LE_Curves!$B$5:$B$205,MATCH($R185,LE_Curves!$G$5:$G$205,1)+1)-INDEX(LE_Curves!$B$5:$B$205,MATCH($R185,LE_Curves!$G$5:$G$205,1)))/(INDEX(LE_Curves!$G$5:$G$205,MATCH($R185,LE_Curves!$G$5:$G$205,1)+1)-INDEX(LE_Curves!$G$5:$G$205,MATCH($R185,LE_Curves!$G$5:$G$205,1))))))</f>
        <v/>
      </c>
      <c r="X185" s="11">
        <f>IF(Inputs!$D$28=0,0,IF($R185&lt;=Inputs!$C$28,0,IF($R185&gt;=INDEX(LE_Curves!$H$5:$H$205,201),INDEX(LE_Curves!$B$5:$B$205,201),INDEX(LE_Curves!$B$5:$B$205,MATCH($R185,LE_Curves!$H$5:$H$205,1))+($R185-INDEX(LE_Curves!$H$5:$H$205,MATCH($R185,LE_Curves!$H$5:$H$205,1)))*(INDEX(LE_Curves!$B$5:$B$205,MATCH($R185,LE_Curves!$H$5:$H$205,1)+1)-INDEX(LE_Curves!$B$5:$B$205,MATCH($R185,LE_Curves!$H$5:$H$205,1)))/(INDEX(LE_Curves!$H$5:$H$205,MATCH($R185,LE_Curves!$H$5:$H$205,1)+1)-INDEX(LE_Curves!$H$5:$H$205,MATCH($R185,LE_Curves!$H$5:$H$205,1))))))</f>
        <v/>
      </c>
      <c r="Y185" s="11">
        <f>IF(Inputs!$D$29=0,0,IF($R185&lt;=Inputs!$C$29,0,IF($R185&gt;=INDEX(LE_Curves!$I$5:$I$205,201),INDEX(LE_Curves!$B$5:$B$205,201),INDEX(LE_Curves!$B$5:$B$205,MATCH($R185,LE_Curves!$I$5:$I$205,1))+($R185-INDEX(LE_Curves!$I$5:$I$205,MATCH($R185,LE_Curves!$I$5:$I$205,1)))*(INDEX(LE_Curves!$B$5:$B$205,MATCH($R185,LE_Curves!$I$5:$I$205,1)+1)-INDEX(LE_Curves!$B$5:$B$205,MATCH($R185,LE_Curves!$I$5:$I$205,1)))/(INDEX(LE_Curves!$I$5:$I$205,MATCH($R185,LE_Curves!$I$5:$I$205,1)+1)-INDEX(LE_Curves!$I$5:$I$205,MATCH($R185,LE_Curves!$I$5:$I$205,1))))))</f>
        <v/>
      </c>
      <c r="Z185" s="11">
        <f>IF(Inputs!$D$30=0,0,IF($R185&lt;=Inputs!$C$30,0,IF($R185&gt;=INDEX(LE_Curves!$J$5:$J$205,201),INDEX(LE_Curves!$B$5:$B$205,201),INDEX(LE_Curves!$B$5:$B$205,MATCH($R185,LE_Curves!$J$5:$J$205,1))+($R185-INDEX(LE_Curves!$J$5:$J$205,MATCH($R185,LE_Curves!$J$5:$J$205,1)))*(INDEX(LE_Curves!$B$5:$B$205,MATCH($R185,LE_Curves!$J$5:$J$205,1)+1)-INDEX(LE_Curves!$B$5:$B$205,MATCH($R185,LE_Curves!$J$5:$J$205,1)))/(INDEX(LE_Curves!$J$5:$J$205,MATCH($R185,LE_Curves!$J$5:$J$205,1)+1)-INDEX(LE_Curves!$J$5:$J$205,MATCH($R185,LE_Curves!$J$5:$J$205,1))))))</f>
        <v/>
      </c>
      <c r="AA185" s="11">
        <f>IF(Inputs!$D$31=0,0,IF($R185&lt;=Inputs!$C$31,0,IF($R185&gt;=INDEX(LE_Curves!$K$5:$K$205,201),INDEX(LE_Curves!$B$5:$B$205,201),INDEX(LE_Curves!$B$5:$B$205,MATCH($R185,LE_Curves!$K$5:$K$205,1))+($R185-INDEX(LE_Curves!$K$5:$K$205,MATCH($R185,LE_Curves!$K$5:$K$205,1)))*(INDEX(LE_Curves!$B$5:$B$205,MATCH($R185,LE_Curves!$K$5:$K$205,1)+1)-INDEX(LE_Curves!$B$5:$B$205,MATCH($R185,LE_Curves!$K$5:$K$205,1)))/(INDEX(LE_Curves!$K$5:$K$205,MATCH($R185,LE_Curves!$K$5:$K$205,1)+1)-INDEX(LE_Curves!$K$5:$K$205,MATCH($R185,LE_Curves!$K$5:$K$205,1))))))</f>
        <v/>
      </c>
      <c r="AB185" s="11">
        <f>IF(Inputs!$D$32=0,0,IF($R185&lt;=Inputs!$C$32,0,IF($R185&gt;=INDEX(LE_Curves!$L$5:$L$205,201),INDEX(LE_Curves!$B$5:$B$205,201),INDEX(LE_Curves!$B$5:$B$205,MATCH($R185,LE_Curves!$L$5:$L$205,1))+($R185-INDEX(LE_Curves!$L$5:$L$205,MATCH($R185,LE_Curves!$L$5:$L$205,1)))*(INDEX(LE_Curves!$B$5:$B$205,MATCH($R185,LE_Curves!$L$5:$L$205,1)+1)-INDEX(LE_Curves!$B$5:$B$205,MATCH($R185,LE_Curves!$L$5:$L$205,1)))/(INDEX(LE_Curves!$L$5:$L$205,MATCH($R185,LE_Curves!$L$5:$L$205,1)+1)-INDEX(LE_Curves!$L$5:$L$205,MATCH($R185,LE_Curves!$L$5:$L$205,1))))))</f>
        <v/>
      </c>
      <c r="AC185" s="11">
        <f>IF(Inputs!$D$33=0,0,IF($R185&lt;=Inputs!$C$33,0,IF($R185&gt;=INDEX(LE_Curves!$M$5:$M$205,201),INDEX(LE_Curves!$B$5:$B$205,201),INDEX(LE_Curves!$B$5:$B$205,MATCH($R185,LE_Curves!$M$5:$M$205,1))+($R185-INDEX(LE_Curves!$M$5:$M$205,MATCH($R185,LE_Curves!$M$5:$M$205,1)))*(INDEX(LE_Curves!$B$5:$B$205,MATCH($R185,LE_Curves!$M$5:$M$205,1)+1)-INDEX(LE_Curves!$B$5:$B$205,MATCH($R185,LE_Curves!$M$5:$M$205,1)))/(INDEX(LE_Curves!$M$5:$M$205,MATCH($R185,LE_Curves!$M$5:$M$205,1)+1)-INDEX(LE_Curves!$M$5:$M$205,MATCH($R185,LE_Curves!$M$5:$M$205,1))))))</f>
        <v/>
      </c>
      <c r="AD185" s="11">
        <f>IF(Inputs!$D$34=0,0,IF($R185&lt;=Inputs!$C$34,0,IF($R185&gt;=INDEX(LE_Curves!$N$5:$N$205,201),INDEX(LE_Curves!$B$5:$B$205,201),INDEX(LE_Curves!$B$5:$B$205,MATCH($R185,LE_Curves!$N$5:$N$205,1))+($R185-INDEX(LE_Curves!$N$5:$N$205,MATCH($R185,LE_Curves!$N$5:$N$205,1)))*(INDEX(LE_Curves!$B$5:$B$205,MATCH($R185,LE_Curves!$N$5:$N$205,1)+1)-INDEX(LE_Curves!$B$5:$B$205,MATCH($R185,LE_Curves!$N$5:$N$205,1)))/(INDEX(LE_Curves!$N$5:$N$205,MATCH($R185,LE_Curves!$N$5:$N$205,1)+1)-INDEX(LE_Curves!$N$5:$N$205,MATCH($R185,LE_Curves!$N$5:$N$205,1))))))</f>
        <v/>
      </c>
      <c r="AE185" s="37">
        <f>SUM(S185:AD185)</f>
        <v/>
      </c>
    </row>
    <row r="186">
      <c r="A186" s="7" t="n">
        <v>155</v>
      </c>
      <c r="B186" s="37">
        <f>$B$3+($B$4-$B$3)*A186/200</f>
        <v/>
      </c>
      <c r="C186" s="11">
        <f>IF(Inputs!$D$23=0,0,IF($B186&lt;=Inputs!$C$23,0,IF($B186&gt;=INDEX(LE_Curves!$C$5:$C$205,201),INDEX(LE_Curves!$B$5:$B$205,201),INDEX(LE_Curves!$B$5:$B$205,MATCH($B186,LE_Curves!$C$5:$C$205,1))+($B186-INDEX(LE_Curves!$C$5:$C$205,MATCH($B186,LE_Curves!$C$5:$C$205,1)))*(INDEX(LE_Curves!$B$5:$B$205,MATCH($B186,LE_Curves!$C$5:$C$205,1)+1)-INDEX(LE_Curves!$B$5:$B$205,MATCH($B186,LE_Curves!$C$5:$C$205,1)))/(INDEX(LE_Curves!$C$5:$C$205,MATCH($B186,LE_Curves!$C$5:$C$205,1)+1)-INDEX(LE_Curves!$C$5:$C$205,MATCH($B186,LE_Curves!$C$5:$C$205,1))))))</f>
        <v/>
      </c>
      <c r="D186" s="11">
        <f>IF(Inputs!$D$24=0,0,IF($B186&lt;=Inputs!$C$24,0,IF($B186&gt;=INDEX(LE_Curves!$D$5:$D$205,201),INDEX(LE_Curves!$B$5:$B$205,201),INDEX(LE_Curves!$B$5:$B$205,MATCH($B186,LE_Curves!$D$5:$D$205,1))+($B186-INDEX(LE_Curves!$D$5:$D$205,MATCH($B186,LE_Curves!$D$5:$D$205,1)))*(INDEX(LE_Curves!$B$5:$B$205,MATCH($B186,LE_Curves!$D$5:$D$205,1)+1)-INDEX(LE_Curves!$B$5:$B$205,MATCH($B186,LE_Curves!$D$5:$D$205,1)))/(INDEX(LE_Curves!$D$5:$D$205,MATCH($B186,LE_Curves!$D$5:$D$205,1)+1)-INDEX(LE_Curves!$D$5:$D$205,MATCH($B186,LE_Curves!$D$5:$D$205,1))))))</f>
        <v/>
      </c>
      <c r="E186" s="11">
        <f>IF(Inputs!$D$25=0,0,IF($B186&lt;=Inputs!$C$25,0,IF($B186&gt;=INDEX(LE_Curves!$E$5:$E$205,201),INDEX(LE_Curves!$B$5:$B$205,201),INDEX(LE_Curves!$B$5:$B$205,MATCH($B186,LE_Curves!$E$5:$E$205,1))+($B186-INDEX(LE_Curves!$E$5:$E$205,MATCH($B186,LE_Curves!$E$5:$E$205,1)))*(INDEX(LE_Curves!$B$5:$B$205,MATCH($B186,LE_Curves!$E$5:$E$205,1)+1)-INDEX(LE_Curves!$B$5:$B$205,MATCH($B186,LE_Curves!$E$5:$E$205,1)))/(INDEX(LE_Curves!$E$5:$E$205,MATCH($B186,LE_Curves!$E$5:$E$205,1)+1)-INDEX(LE_Curves!$E$5:$E$205,MATCH($B186,LE_Curves!$E$5:$E$205,1))))))</f>
        <v/>
      </c>
      <c r="F186" s="11">
        <f>IF(Inputs!$D$26=0,0,IF($B186&lt;=Inputs!$C$26,0,IF($B186&gt;=INDEX(LE_Curves!$F$5:$F$205,201),INDEX(LE_Curves!$B$5:$B$205,201),INDEX(LE_Curves!$B$5:$B$205,MATCH($B186,LE_Curves!$F$5:$F$205,1))+($B186-INDEX(LE_Curves!$F$5:$F$205,MATCH($B186,LE_Curves!$F$5:$F$205,1)))*(INDEX(LE_Curves!$B$5:$B$205,MATCH($B186,LE_Curves!$F$5:$F$205,1)+1)-INDEX(LE_Curves!$B$5:$B$205,MATCH($B186,LE_Curves!$F$5:$F$205,1)))/(INDEX(LE_Curves!$F$5:$F$205,MATCH($B186,LE_Curves!$F$5:$F$205,1)+1)-INDEX(LE_Curves!$F$5:$F$205,MATCH($B186,LE_Curves!$F$5:$F$205,1))))))</f>
        <v/>
      </c>
      <c r="G186" s="11">
        <f>IF(Inputs!$D$27=0,0,IF($B186&lt;=Inputs!$C$27,0,IF($B186&gt;=INDEX(LE_Curves!$G$5:$G$205,201),INDEX(LE_Curves!$B$5:$B$205,201),INDEX(LE_Curves!$B$5:$B$205,MATCH($B186,LE_Curves!$G$5:$G$205,1))+($B186-INDEX(LE_Curves!$G$5:$G$205,MATCH($B186,LE_Curves!$G$5:$G$205,1)))*(INDEX(LE_Curves!$B$5:$B$205,MATCH($B186,LE_Curves!$G$5:$G$205,1)+1)-INDEX(LE_Curves!$B$5:$B$205,MATCH($B186,LE_Curves!$G$5:$G$205,1)))/(INDEX(LE_Curves!$G$5:$G$205,MATCH($B186,LE_Curves!$G$5:$G$205,1)+1)-INDEX(LE_Curves!$G$5:$G$205,MATCH($B186,LE_Curves!$G$5:$G$205,1))))))</f>
        <v/>
      </c>
      <c r="H186" s="11">
        <f>IF(Inputs!$D$28=0,0,IF($B186&lt;=Inputs!$C$28,0,IF($B186&gt;=INDEX(LE_Curves!$H$5:$H$205,201),INDEX(LE_Curves!$B$5:$B$205,201),INDEX(LE_Curves!$B$5:$B$205,MATCH($B186,LE_Curves!$H$5:$H$205,1))+($B186-INDEX(LE_Curves!$H$5:$H$205,MATCH($B186,LE_Curves!$H$5:$H$205,1)))*(INDEX(LE_Curves!$B$5:$B$205,MATCH($B186,LE_Curves!$H$5:$H$205,1)+1)-INDEX(LE_Curves!$B$5:$B$205,MATCH($B186,LE_Curves!$H$5:$H$205,1)))/(INDEX(LE_Curves!$H$5:$H$205,MATCH($B186,LE_Curves!$H$5:$H$205,1)+1)-INDEX(LE_Curves!$H$5:$H$205,MATCH($B186,LE_Curves!$H$5:$H$205,1))))))</f>
        <v/>
      </c>
      <c r="I186" s="11">
        <f>IF(Inputs!$D$29=0,0,IF($B186&lt;=Inputs!$C$29,0,IF($B186&gt;=INDEX(LE_Curves!$I$5:$I$205,201),INDEX(LE_Curves!$B$5:$B$205,201),INDEX(LE_Curves!$B$5:$B$205,MATCH($B186,LE_Curves!$I$5:$I$205,1))+($B186-INDEX(LE_Curves!$I$5:$I$205,MATCH($B186,LE_Curves!$I$5:$I$205,1)))*(INDEX(LE_Curves!$B$5:$B$205,MATCH($B186,LE_Curves!$I$5:$I$205,1)+1)-INDEX(LE_Curves!$B$5:$B$205,MATCH($B186,LE_Curves!$I$5:$I$205,1)))/(INDEX(LE_Curves!$I$5:$I$205,MATCH($B186,LE_Curves!$I$5:$I$205,1)+1)-INDEX(LE_Curves!$I$5:$I$205,MATCH($B186,LE_Curves!$I$5:$I$205,1))))))</f>
        <v/>
      </c>
      <c r="J186" s="11">
        <f>IF(Inputs!$D$30=0,0,IF($B186&lt;=Inputs!$C$30,0,IF($B186&gt;=INDEX(LE_Curves!$J$5:$J$205,201),INDEX(LE_Curves!$B$5:$B$205,201),INDEX(LE_Curves!$B$5:$B$205,MATCH($B186,LE_Curves!$J$5:$J$205,1))+($B186-INDEX(LE_Curves!$J$5:$J$205,MATCH($B186,LE_Curves!$J$5:$J$205,1)))*(INDEX(LE_Curves!$B$5:$B$205,MATCH($B186,LE_Curves!$J$5:$J$205,1)+1)-INDEX(LE_Curves!$B$5:$B$205,MATCH($B186,LE_Curves!$J$5:$J$205,1)))/(INDEX(LE_Curves!$J$5:$J$205,MATCH($B186,LE_Curves!$J$5:$J$205,1)+1)-INDEX(LE_Curves!$J$5:$J$205,MATCH($B186,LE_Curves!$J$5:$J$205,1))))))</f>
        <v/>
      </c>
      <c r="K186" s="11">
        <f>IF(Inputs!$D$31=0,0,IF($B186&lt;=Inputs!$C$31,0,IF($B186&gt;=INDEX(LE_Curves!$K$5:$K$205,201),INDEX(LE_Curves!$B$5:$B$205,201),INDEX(LE_Curves!$B$5:$B$205,MATCH($B186,LE_Curves!$K$5:$K$205,1))+($B186-INDEX(LE_Curves!$K$5:$K$205,MATCH($B186,LE_Curves!$K$5:$K$205,1)))*(INDEX(LE_Curves!$B$5:$B$205,MATCH($B186,LE_Curves!$K$5:$K$205,1)+1)-INDEX(LE_Curves!$B$5:$B$205,MATCH($B186,LE_Curves!$K$5:$K$205,1)))/(INDEX(LE_Curves!$K$5:$K$205,MATCH($B186,LE_Curves!$K$5:$K$205,1)+1)-INDEX(LE_Curves!$K$5:$K$205,MATCH($B186,LE_Curves!$K$5:$K$205,1))))))</f>
        <v/>
      </c>
      <c r="L186" s="11">
        <f>IF(Inputs!$D$32=0,0,IF($B186&lt;=Inputs!$C$32,0,IF($B186&gt;=INDEX(LE_Curves!$L$5:$L$205,201),INDEX(LE_Curves!$B$5:$B$205,201),INDEX(LE_Curves!$B$5:$B$205,MATCH($B186,LE_Curves!$L$5:$L$205,1))+($B186-INDEX(LE_Curves!$L$5:$L$205,MATCH($B186,LE_Curves!$L$5:$L$205,1)))*(INDEX(LE_Curves!$B$5:$B$205,MATCH($B186,LE_Curves!$L$5:$L$205,1)+1)-INDEX(LE_Curves!$B$5:$B$205,MATCH($B186,LE_Curves!$L$5:$L$205,1)))/(INDEX(LE_Curves!$L$5:$L$205,MATCH($B186,LE_Curves!$L$5:$L$205,1)+1)-INDEX(LE_Curves!$L$5:$L$205,MATCH($B186,LE_Curves!$L$5:$L$205,1))))))</f>
        <v/>
      </c>
      <c r="M186" s="11">
        <f>IF(Inputs!$D$33=0,0,IF($B186&lt;=Inputs!$C$33,0,IF($B186&gt;=INDEX(LE_Curves!$M$5:$M$205,201),INDEX(LE_Curves!$B$5:$B$205,201),INDEX(LE_Curves!$B$5:$B$205,MATCH($B186,LE_Curves!$M$5:$M$205,1))+($B186-INDEX(LE_Curves!$M$5:$M$205,MATCH($B186,LE_Curves!$M$5:$M$205,1)))*(INDEX(LE_Curves!$B$5:$B$205,MATCH($B186,LE_Curves!$M$5:$M$205,1)+1)-INDEX(LE_Curves!$B$5:$B$205,MATCH($B186,LE_Curves!$M$5:$M$205,1)))/(INDEX(LE_Curves!$M$5:$M$205,MATCH($B186,LE_Curves!$M$5:$M$205,1)+1)-INDEX(LE_Curves!$M$5:$M$205,MATCH($B186,LE_Curves!$M$5:$M$205,1))))))</f>
        <v/>
      </c>
      <c r="N186" s="11">
        <f>IF(Inputs!$D$34=0,0,IF($B186&lt;=Inputs!$C$34,0,IF($B186&gt;=INDEX(LE_Curves!$N$5:$N$205,201),INDEX(LE_Curves!$B$5:$B$205,201),INDEX(LE_Curves!$B$5:$B$205,MATCH($B186,LE_Curves!$N$5:$N$205,1))+($B186-INDEX(LE_Curves!$N$5:$N$205,MATCH($B186,LE_Curves!$N$5:$N$205,1)))*(INDEX(LE_Curves!$B$5:$B$205,MATCH($B186,LE_Curves!$N$5:$N$205,1)+1)-INDEX(LE_Curves!$B$5:$B$205,MATCH($B186,LE_Curves!$N$5:$N$205,1)))/(INDEX(LE_Curves!$N$5:$N$205,MATCH($B186,LE_Curves!$N$5:$N$205,1)+1)-INDEX(LE_Curves!$N$5:$N$205,MATCH($B186,LE_Curves!$N$5:$N$205,1))))))</f>
        <v/>
      </c>
      <c r="O186" s="11">
        <f>SUM(C186:N186)</f>
        <v/>
      </c>
      <c r="Q186" s="7" t="n">
        <v>155</v>
      </c>
      <c r="R186" s="23">
        <f>$B$6+($B$7-$B$6)*Q186/200</f>
        <v/>
      </c>
      <c r="S186" s="11">
        <f>IF(Inputs!$D$23=0,0,IF($R186&lt;=Inputs!$C$23,0,IF($R186&gt;=INDEX(LE_Curves!$C$5:$C$205,201),INDEX(LE_Curves!$B$5:$B$205,201),INDEX(LE_Curves!$B$5:$B$205,MATCH($R186,LE_Curves!$C$5:$C$205,1))+($R186-INDEX(LE_Curves!$C$5:$C$205,MATCH($R186,LE_Curves!$C$5:$C$205,1)))*(INDEX(LE_Curves!$B$5:$B$205,MATCH($R186,LE_Curves!$C$5:$C$205,1)+1)-INDEX(LE_Curves!$B$5:$B$205,MATCH($R186,LE_Curves!$C$5:$C$205,1)))/(INDEX(LE_Curves!$C$5:$C$205,MATCH($R186,LE_Curves!$C$5:$C$205,1)+1)-INDEX(LE_Curves!$C$5:$C$205,MATCH($R186,LE_Curves!$C$5:$C$205,1))))))</f>
        <v/>
      </c>
      <c r="T186" s="11">
        <f>IF(Inputs!$D$24=0,0,IF($R186&lt;=Inputs!$C$24,0,IF($R186&gt;=INDEX(LE_Curves!$D$5:$D$205,201),INDEX(LE_Curves!$B$5:$B$205,201),INDEX(LE_Curves!$B$5:$B$205,MATCH($R186,LE_Curves!$D$5:$D$205,1))+($R186-INDEX(LE_Curves!$D$5:$D$205,MATCH($R186,LE_Curves!$D$5:$D$205,1)))*(INDEX(LE_Curves!$B$5:$B$205,MATCH($R186,LE_Curves!$D$5:$D$205,1)+1)-INDEX(LE_Curves!$B$5:$B$205,MATCH($R186,LE_Curves!$D$5:$D$205,1)))/(INDEX(LE_Curves!$D$5:$D$205,MATCH($R186,LE_Curves!$D$5:$D$205,1)+1)-INDEX(LE_Curves!$D$5:$D$205,MATCH($R186,LE_Curves!$D$5:$D$205,1))))))</f>
        <v/>
      </c>
      <c r="U186" s="11">
        <f>IF(Inputs!$D$25=0,0,IF($R186&lt;=Inputs!$C$25,0,IF($R186&gt;=INDEX(LE_Curves!$E$5:$E$205,201),INDEX(LE_Curves!$B$5:$B$205,201),INDEX(LE_Curves!$B$5:$B$205,MATCH($R186,LE_Curves!$E$5:$E$205,1))+($R186-INDEX(LE_Curves!$E$5:$E$205,MATCH($R186,LE_Curves!$E$5:$E$205,1)))*(INDEX(LE_Curves!$B$5:$B$205,MATCH($R186,LE_Curves!$E$5:$E$205,1)+1)-INDEX(LE_Curves!$B$5:$B$205,MATCH($R186,LE_Curves!$E$5:$E$205,1)))/(INDEX(LE_Curves!$E$5:$E$205,MATCH($R186,LE_Curves!$E$5:$E$205,1)+1)-INDEX(LE_Curves!$E$5:$E$205,MATCH($R186,LE_Curves!$E$5:$E$205,1))))))</f>
        <v/>
      </c>
      <c r="V186" s="11">
        <f>IF(Inputs!$D$26=0,0,IF($R186&lt;=Inputs!$C$26,0,IF($R186&gt;=INDEX(LE_Curves!$F$5:$F$205,201),INDEX(LE_Curves!$B$5:$B$205,201),INDEX(LE_Curves!$B$5:$B$205,MATCH($R186,LE_Curves!$F$5:$F$205,1))+($R186-INDEX(LE_Curves!$F$5:$F$205,MATCH($R186,LE_Curves!$F$5:$F$205,1)))*(INDEX(LE_Curves!$B$5:$B$205,MATCH($R186,LE_Curves!$F$5:$F$205,1)+1)-INDEX(LE_Curves!$B$5:$B$205,MATCH($R186,LE_Curves!$F$5:$F$205,1)))/(INDEX(LE_Curves!$F$5:$F$205,MATCH($R186,LE_Curves!$F$5:$F$205,1)+1)-INDEX(LE_Curves!$F$5:$F$205,MATCH($R186,LE_Curves!$F$5:$F$205,1))))))</f>
        <v/>
      </c>
      <c r="W186" s="11">
        <f>IF(Inputs!$D$27=0,0,IF($R186&lt;=Inputs!$C$27,0,IF($R186&gt;=INDEX(LE_Curves!$G$5:$G$205,201),INDEX(LE_Curves!$B$5:$B$205,201),INDEX(LE_Curves!$B$5:$B$205,MATCH($R186,LE_Curves!$G$5:$G$205,1))+($R186-INDEX(LE_Curves!$G$5:$G$205,MATCH($R186,LE_Curves!$G$5:$G$205,1)))*(INDEX(LE_Curves!$B$5:$B$205,MATCH($R186,LE_Curves!$G$5:$G$205,1)+1)-INDEX(LE_Curves!$B$5:$B$205,MATCH($R186,LE_Curves!$G$5:$G$205,1)))/(INDEX(LE_Curves!$G$5:$G$205,MATCH($R186,LE_Curves!$G$5:$G$205,1)+1)-INDEX(LE_Curves!$G$5:$G$205,MATCH($R186,LE_Curves!$G$5:$G$205,1))))))</f>
        <v/>
      </c>
      <c r="X186" s="11">
        <f>IF(Inputs!$D$28=0,0,IF($R186&lt;=Inputs!$C$28,0,IF($R186&gt;=INDEX(LE_Curves!$H$5:$H$205,201),INDEX(LE_Curves!$B$5:$B$205,201),INDEX(LE_Curves!$B$5:$B$205,MATCH($R186,LE_Curves!$H$5:$H$205,1))+($R186-INDEX(LE_Curves!$H$5:$H$205,MATCH($R186,LE_Curves!$H$5:$H$205,1)))*(INDEX(LE_Curves!$B$5:$B$205,MATCH($R186,LE_Curves!$H$5:$H$205,1)+1)-INDEX(LE_Curves!$B$5:$B$205,MATCH($R186,LE_Curves!$H$5:$H$205,1)))/(INDEX(LE_Curves!$H$5:$H$205,MATCH($R186,LE_Curves!$H$5:$H$205,1)+1)-INDEX(LE_Curves!$H$5:$H$205,MATCH($R186,LE_Curves!$H$5:$H$205,1))))))</f>
        <v/>
      </c>
      <c r="Y186" s="11">
        <f>IF(Inputs!$D$29=0,0,IF($R186&lt;=Inputs!$C$29,0,IF($R186&gt;=INDEX(LE_Curves!$I$5:$I$205,201),INDEX(LE_Curves!$B$5:$B$205,201),INDEX(LE_Curves!$B$5:$B$205,MATCH($R186,LE_Curves!$I$5:$I$205,1))+($R186-INDEX(LE_Curves!$I$5:$I$205,MATCH($R186,LE_Curves!$I$5:$I$205,1)))*(INDEX(LE_Curves!$B$5:$B$205,MATCH($R186,LE_Curves!$I$5:$I$205,1)+1)-INDEX(LE_Curves!$B$5:$B$205,MATCH($R186,LE_Curves!$I$5:$I$205,1)))/(INDEX(LE_Curves!$I$5:$I$205,MATCH($R186,LE_Curves!$I$5:$I$205,1)+1)-INDEX(LE_Curves!$I$5:$I$205,MATCH($R186,LE_Curves!$I$5:$I$205,1))))))</f>
        <v/>
      </c>
      <c r="Z186" s="11">
        <f>IF(Inputs!$D$30=0,0,IF($R186&lt;=Inputs!$C$30,0,IF($R186&gt;=INDEX(LE_Curves!$J$5:$J$205,201),INDEX(LE_Curves!$B$5:$B$205,201),INDEX(LE_Curves!$B$5:$B$205,MATCH($R186,LE_Curves!$J$5:$J$205,1))+($R186-INDEX(LE_Curves!$J$5:$J$205,MATCH($R186,LE_Curves!$J$5:$J$205,1)))*(INDEX(LE_Curves!$B$5:$B$205,MATCH($R186,LE_Curves!$J$5:$J$205,1)+1)-INDEX(LE_Curves!$B$5:$B$205,MATCH($R186,LE_Curves!$J$5:$J$205,1)))/(INDEX(LE_Curves!$J$5:$J$205,MATCH($R186,LE_Curves!$J$5:$J$205,1)+1)-INDEX(LE_Curves!$J$5:$J$205,MATCH($R186,LE_Curves!$J$5:$J$205,1))))))</f>
        <v/>
      </c>
      <c r="AA186" s="11">
        <f>IF(Inputs!$D$31=0,0,IF($R186&lt;=Inputs!$C$31,0,IF($R186&gt;=INDEX(LE_Curves!$K$5:$K$205,201),INDEX(LE_Curves!$B$5:$B$205,201),INDEX(LE_Curves!$B$5:$B$205,MATCH($R186,LE_Curves!$K$5:$K$205,1))+($R186-INDEX(LE_Curves!$K$5:$K$205,MATCH($R186,LE_Curves!$K$5:$K$205,1)))*(INDEX(LE_Curves!$B$5:$B$205,MATCH($R186,LE_Curves!$K$5:$K$205,1)+1)-INDEX(LE_Curves!$B$5:$B$205,MATCH($R186,LE_Curves!$K$5:$K$205,1)))/(INDEX(LE_Curves!$K$5:$K$205,MATCH($R186,LE_Curves!$K$5:$K$205,1)+1)-INDEX(LE_Curves!$K$5:$K$205,MATCH($R186,LE_Curves!$K$5:$K$205,1))))))</f>
        <v/>
      </c>
      <c r="AB186" s="11">
        <f>IF(Inputs!$D$32=0,0,IF($R186&lt;=Inputs!$C$32,0,IF($R186&gt;=INDEX(LE_Curves!$L$5:$L$205,201),INDEX(LE_Curves!$B$5:$B$205,201),INDEX(LE_Curves!$B$5:$B$205,MATCH($R186,LE_Curves!$L$5:$L$205,1))+($R186-INDEX(LE_Curves!$L$5:$L$205,MATCH($R186,LE_Curves!$L$5:$L$205,1)))*(INDEX(LE_Curves!$B$5:$B$205,MATCH($R186,LE_Curves!$L$5:$L$205,1)+1)-INDEX(LE_Curves!$B$5:$B$205,MATCH($R186,LE_Curves!$L$5:$L$205,1)))/(INDEX(LE_Curves!$L$5:$L$205,MATCH($R186,LE_Curves!$L$5:$L$205,1)+1)-INDEX(LE_Curves!$L$5:$L$205,MATCH($R186,LE_Curves!$L$5:$L$205,1))))))</f>
        <v/>
      </c>
      <c r="AC186" s="11">
        <f>IF(Inputs!$D$33=0,0,IF($R186&lt;=Inputs!$C$33,0,IF($R186&gt;=INDEX(LE_Curves!$M$5:$M$205,201),INDEX(LE_Curves!$B$5:$B$205,201),INDEX(LE_Curves!$B$5:$B$205,MATCH($R186,LE_Curves!$M$5:$M$205,1))+($R186-INDEX(LE_Curves!$M$5:$M$205,MATCH($R186,LE_Curves!$M$5:$M$205,1)))*(INDEX(LE_Curves!$B$5:$B$205,MATCH($R186,LE_Curves!$M$5:$M$205,1)+1)-INDEX(LE_Curves!$B$5:$B$205,MATCH($R186,LE_Curves!$M$5:$M$205,1)))/(INDEX(LE_Curves!$M$5:$M$205,MATCH($R186,LE_Curves!$M$5:$M$205,1)+1)-INDEX(LE_Curves!$M$5:$M$205,MATCH($R186,LE_Curves!$M$5:$M$205,1))))))</f>
        <v/>
      </c>
      <c r="AD186" s="11">
        <f>IF(Inputs!$D$34=0,0,IF($R186&lt;=Inputs!$C$34,0,IF($R186&gt;=INDEX(LE_Curves!$N$5:$N$205,201),INDEX(LE_Curves!$B$5:$B$205,201),INDEX(LE_Curves!$B$5:$B$205,MATCH($R186,LE_Curves!$N$5:$N$205,1))+($R186-INDEX(LE_Curves!$N$5:$N$205,MATCH($R186,LE_Curves!$N$5:$N$205,1)))*(INDEX(LE_Curves!$B$5:$B$205,MATCH($R186,LE_Curves!$N$5:$N$205,1)+1)-INDEX(LE_Curves!$B$5:$B$205,MATCH($R186,LE_Curves!$N$5:$N$205,1)))/(INDEX(LE_Curves!$N$5:$N$205,MATCH($R186,LE_Curves!$N$5:$N$205,1)+1)-INDEX(LE_Curves!$N$5:$N$205,MATCH($R186,LE_Curves!$N$5:$N$205,1))))))</f>
        <v/>
      </c>
      <c r="AE186" s="37">
        <f>SUM(S186:AD186)</f>
        <v/>
      </c>
    </row>
    <row r="187">
      <c r="A187" s="7" t="n">
        <v>156</v>
      </c>
      <c r="B187" s="37">
        <f>$B$3+($B$4-$B$3)*A187/200</f>
        <v/>
      </c>
      <c r="C187" s="11">
        <f>IF(Inputs!$D$23=0,0,IF($B187&lt;=Inputs!$C$23,0,IF($B187&gt;=INDEX(LE_Curves!$C$5:$C$205,201),INDEX(LE_Curves!$B$5:$B$205,201),INDEX(LE_Curves!$B$5:$B$205,MATCH($B187,LE_Curves!$C$5:$C$205,1))+($B187-INDEX(LE_Curves!$C$5:$C$205,MATCH($B187,LE_Curves!$C$5:$C$205,1)))*(INDEX(LE_Curves!$B$5:$B$205,MATCH($B187,LE_Curves!$C$5:$C$205,1)+1)-INDEX(LE_Curves!$B$5:$B$205,MATCH($B187,LE_Curves!$C$5:$C$205,1)))/(INDEX(LE_Curves!$C$5:$C$205,MATCH($B187,LE_Curves!$C$5:$C$205,1)+1)-INDEX(LE_Curves!$C$5:$C$205,MATCH($B187,LE_Curves!$C$5:$C$205,1))))))</f>
        <v/>
      </c>
      <c r="D187" s="11">
        <f>IF(Inputs!$D$24=0,0,IF($B187&lt;=Inputs!$C$24,0,IF($B187&gt;=INDEX(LE_Curves!$D$5:$D$205,201),INDEX(LE_Curves!$B$5:$B$205,201),INDEX(LE_Curves!$B$5:$B$205,MATCH($B187,LE_Curves!$D$5:$D$205,1))+($B187-INDEX(LE_Curves!$D$5:$D$205,MATCH($B187,LE_Curves!$D$5:$D$205,1)))*(INDEX(LE_Curves!$B$5:$B$205,MATCH($B187,LE_Curves!$D$5:$D$205,1)+1)-INDEX(LE_Curves!$B$5:$B$205,MATCH($B187,LE_Curves!$D$5:$D$205,1)))/(INDEX(LE_Curves!$D$5:$D$205,MATCH($B187,LE_Curves!$D$5:$D$205,1)+1)-INDEX(LE_Curves!$D$5:$D$205,MATCH($B187,LE_Curves!$D$5:$D$205,1))))))</f>
        <v/>
      </c>
      <c r="E187" s="11">
        <f>IF(Inputs!$D$25=0,0,IF($B187&lt;=Inputs!$C$25,0,IF($B187&gt;=INDEX(LE_Curves!$E$5:$E$205,201),INDEX(LE_Curves!$B$5:$B$205,201),INDEX(LE_Curves!$B$5:$B$205,MATCH($B187,LE_Curves!$E$5:$E$205,1))+($B187-INDEX(LE_Curves!$E$5:$E$205,MATCH($B187,LE_Curves!$E$5:$E$205,1)))*(INDEX(LE_Curves!$B$5:$B$205,MATCH($B187,LE_Curves!$E$5:$E$205,1)+1)-INDEX(LE_Curves!$B$5:$B$205,MATCH($B187,LE_Curves!$E$5:$E$205,1)))/(INDEX(LE_Curves!$E$5:$E$205,MATCH($B187,LE_Curves!$E$5:$E$205,1)+1)-INDEX(LE_Curves!$E$5:$E$205,MATCH($B187,LE_Curves!$E$5:$E$205,1))))))</f>
        <v/>
      </c>
      <c r="F187" s="11">
        <f>IF(Inputs!$D$26=0,0,IF($B187&lt;=Inputs!$C$26,0,IF($B187&gt;=INDEX(LE_Curves!$F$5:$F$205,201),INDEX(LE_Curves!$B$5:$B$205,201),INDEX(LE_Curves!$B$5:$B$205,MATCH($B187,LE_Curves!$F$5:$F$205,1))+($B187-INDEX(LE_Curves!$F$5:$F$205,MATCH($B187,LE_Curves!$F$5:$F$205,1)))*(INDEX(LE_Curves!$B$5:$B$205,MATCH($B187,LE_Curves!$F$5:$F$205,1)+1)-INDEX(LE_Curves!$B$5:$B$205,MATCH($B187,LE_Curves!$F$5:$F$205,1)))/(INDEX(LE_Curves!$F$5:$F$205,MATCH($B187,LE_Curves!$F$5:$F$205,1)+1)-INDEX(LE_Curves!$F$5:$F$205,MATCH($B187,LE_Curves!$F$5:$F$205,1))))))</f>
        <v/>
      </c>
      <c r="G187" s="11">
        <f>IF(Inputs!$D$27=0,0,IF($B187&lt;=Inputs!$C$27,0,IF($B187&gt;=INDEX(LE_Curves!$G$5:$G$205,201),INDEX(LE_Curves!$B$5:$B$205,201),INDEX(LE_Curves!$B$5:$B$205,MATCH($B187,LE_Curves!$G$5:$G$205,1))+($B187-INDEX(LE_Curves!$G$5:$G$205,MATCH($B187,LE_Curves!$G$5:$G$205,1)))*(INDEX(LE_Curves!$B$5:$B$205,MATCH($B187,LE_Curves!$G$5:$G$205,1)+1)-INDEX(LE_Curves!$B$5:$B$205,MATCH($B187,LE_Curves!$G$5:$G$205,1)))/(INDEX(LE_Curves!$G$5:$G$205,MATCH($B187,LE_Curves!$G$5:$G$205,1)+1)-INDEX(LE_Curves!$G$5:$G$205,MATCH($B187,LE_Curves!$G$5:$G$205,1))))))</f>
        <v/>
      </c>
      <c r="H187" s="11">
        <f>IF(Inputs!$D$28=0,0,IF($B187&lt;=Inputs!$C$28,0,IF($B187&gt;=INDEX(LE_Curves!$H$5:$H$205,201),INDEX(LE_Curves!$B$5:$B$205,201),INDEX(LE_Curves!$B$5:$B$205,MATCH($B187,LE_Curves!$H$5:$H$205,1))+($B187-INDEX(LE_Curves!$H$5:$H$205,MATCH($B187,LE_Curves!$H$5:$H$205,1)))*(INDEX(LE_Curves!$B$5:$B$205,MATCH($B187,LE_Curves!$H$5:$H$205,1)+1)-INDEX(LE_Curves!$B$5:$B$205,MATCH($B187,LE_Curves!$H$5:$H$205,1)))/(INDEX(LE_Curves!$H$5:$H$205,MATCH($B187,LE_Curves!$H$5:$H$205,1)+1)-INDEX(LE_Curves!$H$5:$H$205,MATCH($B187,LE_Curves!$H$5:$H$205,1))))))</f>
        <v/>
      </c>
      <c r="I187" s="11">
        <f>IF(Inputs!$D$29=0,0,IF($B187&lt;=Inputs!$C$29,0,IF($B187&gt;=INDEX(LE_Curves!$I$5:$I$205,201),INDEX(LE_Curves!$B$5:$B$205,201),INDEX(LE_Curves!$B$5:$B$205,MATCH($B187,LE_Curves!$I$5:$I$205,1))+($B187-INDEX(LE_Curves!$I$5:$I$205,MATCH($B187,LE_Curves!$I$5:$I$205,1)))*(INDEX(LE_Curves!$B$5:$B$205,MATCH($B187,LE_Curves!$I$5:$I$205,1)+1)-INDEX(LE_Curves!$B$5:$B$205,MATCH($B187,LE_Curves!$I$5:$I$205,1)))/(INDEX(LE_Curves!$I$5:$I$205,MATCH($B187,LE_Curves!$I$5:$I$205,1)+1)-INDEX(LE_Curves!$I$5:$I$205,MATCH($B187,LE_Curves!$I$5:$I$205,1))))))</f>
        <v/>
      </c>
      <c r="J187" s="11">
        <f>IF(Inputs!$D$30=0,0,IF($B187&lt;=Inputs!$C$30,0,IF($B187&gt;=INDEX(LE_Curves!$J$5:$J$205,201),INDEX(LE_Curves!$B$5:$B$205,201),INDEX(LE_Curves!$B$5:$B$205,MATCH($B187,LE_Curves!$J$5:$J$205,1))+($B187-INDEX(LE_Curves!$J$5:$J$205,MATCH($B187,LE_Curves!$J$5:$J$205,1)))*(INDEX(LE_Curves!$B$5:$B$205,MATCH($B187,LE_Curves!$J$5:$J$205,1)+1)-INDEX(LE_Curves!$B$5:$B$205,MATCH($B187,LE_Curves!$J$5:$J$205,1)))/(INDEX(LE_Curves!$J$5:$J$205,MATCH($B187,LE_Curves!$J$5:$J$205,1)+1)-INDEX(LE_Curves!$J$5:$J$205,MATCH($B187,LE_Curves!$J$5:$J$205,1))))))</f>
        <v/>
      </c>
      <c r="K187" s="11">
        <f>IF(Inputs!$D$31=0,0,IF($B187&lt;=Inputs!$C$31,0,IF($B187&gt;=INDEX(LE_Curves!$K$5:$K$205,201),INDEX(LE_Curves!$B$5:$B$205,201),INDEX(LE_Curves!$B$5:$B$205,MATCH($B187,LE_Curves!$K$5:$K$205,1))+($B187-INDEX(LE_Curves!$K$5:$K$205,MATCH($B187,LE_Curves!$K$5:$K$205,1)))*(INDEX(LE_Curves!$B$5:$B$205,MATCH($B187,LE_Curves!$K$5:$K$205,1)+1)-INDEX(LE_Curves!$B$5:$B$205,MATCH($B187,LE_Curves!$K$5:$K$205,1)))/(INDEX(LE_Curves!$K$5:$K$205,MATCH($B187,LE_Curves!$K$5:$K$205,1)+1)-INDEX(LE_Curves!$K$5:$K$205,MATCH($B187,LE_Curves!$K$5:$K$205,1))))))</f>
        <v/>
      </c>
      <c r="L187" s="11">
        <f>IF(Inputs!$D$32=0,0,IF($B187&lt;=Inputs!$C$32,0,IF($B187&gt;=INDEX(LE_Curves!$L$5:$L$205,201),INDEX(LE_Curves!$B$5:$B$205,201),INDEX(LE_Curves!$B$5:$B$205,MATCH($B187,LE_Curves!$L$5:$L$205,1))+($B187-INDEX(LE_Curves!$L$5:$L$205,MATCH($B187,LE_Curves!$L$5:$L$205,1)))*(INDEX(LE_Curves!$B$5:$B$205,MATCH($B187,LE_Curves!$L$5:$L$205,1)+1)-INDEX(LE_Curves!$B$5:$B$205,MATCH($B187,LE_Curves!$L$5:$L$205,1)))/(INDEX(LE_Curves!$L$5:$L$205,MATCH($B187,LE_Curves!$L$5:$L$205,1)+1)-INDEX(LE_Curves!$L$5:$L$205,MATCH($B187,LE_Curves!$L$5:$L$205,1))))))</f>
        <v/>
      </c>
      <c r="M187" s="11">
        <f>IF(Inputs!$D$33=0,0,IF($B187&lt;=Inputs!$C$33,0,IF($B187&gt;=INDEX(LE_Curves!$M$5:$M$205,201),INDEX(LE_Curves!$B$5:$B$205,201),INDEX(LE_Curves!$B$5:$B$205,MATCH($B187,LE_Curves!$M$5:$M$205,1))+($B187-INDEX(LE_Curves!$M$5:$M$205,MATCH($B187,LE_Curves!$M$5:$M$205,1)))*(INDEX(LE_Curves!$B$5:$B$205,MATCH($B187,LE_Curves!$M$5:$M$205,1)+1)-INDEX(LE_Curves!$B$5:$B$205,MATCH($B187,LE_Curves!$M$5:$M$205,1)))/(INDEX(LE_Curves!$M$5:$M$205,MATCH($B187,LE_Curves!$M$5:$M$205,1)+1)-INDEX(LE_Curves!$M$5:$M$205,MATCH($B187,LE_Curves!$M$5:$M$205,1))))))</f>
        <v/>
      </c>
      <c r="N187" s="11">
        <f>IF(Inputs!$D$34=0,0,IF($B187&lt;=Inputs!$C$34,0,IF($B187&gt;=INDEX(LE_Curves!$N$5:$N$205,201),INDEX(LE_Curves!$B$5:$B$205,201),INDEX(LE_Curves!$B$5:$B$205,MATCH($B187,LE_Curves!$N$5:$N$205,1))+($B187-INDEX(LE_Curves!$N$5:$N$205,MATCH($B187,LE_Curves!$N$5:$N$205,1)))*(INDEX(LE_Curves!$B$5:$B$205,MATCH($B187,LE_Curves!$N$5:$N$205,1)+1)-INDEX(LE_Curves!$B$5:$B$205,MATCH($B187,LE_Curves!$N$5:$N$205,1)))/(INDEX(LE_Curves!$N$5:$N$205,MATCH($B187,LE_Curves!$N$5:$N$205,1)+1)-INDEX(LE_Curves!$N$5:$N$205,MATCH($B187,LE_Curves!$N$5:$N$205,1))))))</f>
        <v/>
      </c>
      <c r="O187" s="11">
        <f>SUM(C187:N187)</f>
        <v/>
      </c>
      <c r="Q187" s="7" t="n">
        <v>156</v>
      </c>
      <c r="R187" s="23">
        <f>$B$6+($B$7-$B$6)*Q187/200</f>
        <v/>
      </c>
      <c r="S187" s="11">
        <f>IF(Inputs!$D$23=0,0,IF($R187&lt;=Inputs!$C$23,0,IF($R187&gt;=INDEX(LE_Curves!$C$5:$C$205,201),INDEX(LE_Curves!$B$5:$B$205,201),INDEX(LE_Curves!$B$5:$B$205,MATCH($R187,LE_Curves!$C$5:$C$205,1))+($R187-INDEX(LE_Curves!$C$5:$C$205,MATCH($R187,LE_Curves!$C$5:$C$205,1)))*(INDEX(LE_Curves!$B$5:$B$205,MATCH($R187,LE_Curves!$C$5:$C$205,1)+1)-INDEX(LE_Curves!$B$5:$B$205,MATCH($R187,LE_Curves!$C$5:$C$205,1)))/(INDEX(LE_Curves!$C$5:$C$205,MATCH($R187,LE_Curves!$C$5:$C$205,1)+1)-INDEX(LE_Curves!$C$5:$C$205,MATCH($R187,LE_Curves!$C$5:$C$205,1))))))</f>
        <v/>
      </c>
      <c r="T187" s="11">
        <f>IF(Inputs!$D$24=0,0,IF($R187&lt;=Inputs!$C$24,0,IF($R187&gt;=INDEX(LE_Curves!$D$5:$D$205,201),INDEX(LE_Curves!$B$5:$B$205,201),INDEX(LE_Curves!$B$5:$B$205,MATCH($R187,LE_Curves!$D$5:$D$205,1))+($R187-INDEX(LE_Curves!$D$5:$D$205,MATCH($R187,LE_Curves!$D$5:$D$205,1)))*(INDEX(LE_Curves!$B$5:$B$205,MATCH($R187,LE_Curves!$D$5:$D$205,1)+1)-INDEX(LE_Curves!$B$5:$B$205,MATCH($R187,LE_Curves!$D$5:$D$205,1)))/(INDEX(LE_Curves!$D$5:$D$205,MATCH($R187,LE_Curves!$D$5:$D$205,1)+1)-INDEX(LE_Curves!$D$5:$D$205,MATCH($R187,LE_Curves!$D$5:$D$205,1))))))</f>
        <v/>
      </c>
      <c r="U187" s="11">
        <f>IF(Inputs!$D$25=0,0,IF($R187&lt;=Inputs!$C$25,0,IF($R187&gt;=INDEX(LE_Curves!$E$5:$E$205,201),INDEX(LE_Curves!$B$5:$B$205,201),INDEX(LE_Curves!$B$5:$B$205,MATCH($R187,LE_Curves!$E$5:$E$205,1))+($R187-INDEX(LE_Curves!$E$5:$E$205,MATCH($R187,LE_Curves!$E$5:$E$205,1)))*(INDEX(LE_Curves!$B$5:$B$205,MATCH($R187,LE_Curves!$E$5:$E$205,1)+1)-INDEX(LE_Curves!$B$5:$B$205,MATCH($R187,LE_Curves!$E$5:$E$205,1)))/(INDEX(LE_Curves!$E$5:$E$205,MATCH($R187,LE_Curves!$E$5:$E$205,1)+1)-INDEX(LE_Curves!$E$5:$E$205,MATCH($R187,LE_Curves!$E$5:$E$205,1))))))</f>
        <v/>
      </c>
      <c r="V187" s="11">
        <f>IF(Inputs!$D$26=0,0,IF($R187&lt;=Inputs!$C$26,0,IF($R187&gt;=INDEX(LE_Curves!$F$5:$F$205,201),INDEX(LE_Curves!$B$5:$B$205,201),INDEX(LE_Curves!$B$5:$B$205,MATCH($R187,LE_Curves!$F$5:$F$205,1))+($R187-INDEX(LE_Curves!$F$5:$F$205,MATCH($R187,LE_Curves!$F$5:$F$205,1)))*(INDEX(LE_Curves!$B$5:$B$205,MATCH($R187,LE_Curves!$F$5:$F$205,1)+1)-INDEX(LE_Curves!$B$5:$B$205,MATCH($R187,LE_Curves!$F$5:$F$205,1)))/(INDEX(LE_Curves!$F$5:$F$205,MATCH($R187,LE_Curves!$F$5:$F$205,1)+1)-INDEX(LE_Curves!$F$5:$F$205,MATCH($R187,LE_Curves!$F$5:$F$205,1))))))</f>
        <v/>
      </c>
      <c r="W187" s="11">
        <f>IF(Inputs!$D$27=0,0,IF($R187&lt;=Inputs!$C$27,0,IF($R187&gt;=INDEX(LE_Curves!$G$5:$G$205,201),INDEX(LE_Curves!$B$5:$B$205,201),INDEX(LE_Curves!$B$5:$B$205,MATCH($R187,LE_Curves!$G$5:$G$205,1))+($R187-INDEX(LE_Curves!$G$5:$G$205,MATCH($R187,LE_Curves!$G$5:$G$205,1)))*(INDEX(LE_Curves!$B$5:$B$205,MATCH($R187,LE_Curves!$G$5:$G$205,1)+1)-INDEX(LE_Curves!$B$5:$B$205,MATCH($R187,LE_Curves!$G$5:$G$205,1)))/(INDEX(LE_Curves!$G$5:$G$205,MATCH($R187,LE_Curves!$G$5:$G$205,1)+1)-INDEX(LE_Curves!$G$5:$G$205,MATCH($R187,LE_Curves!$G$5:$G$205,1))))))</f>
        <v/>
      </c>
      <c r="X187" s="11">
        <f>IF(Inputs!$D$28=0,0,IF($R187&lt;=Inputs!$C$28,0,IF($R187&gt;=INDEX(LE_Curves!$H$5:$H$205,201),INDEX(LE_Curves!$B$5:$B$205,201),INDEX(LE_Curves!$B$5:$B$205,MATCH($R187,LE_Curves!$H$5:$H$205,1))+($R187-INDEX(LE_Curves!$H$5:$H$205,MATCH($R187,LE_Curves!$H$5:$H$205,1)))*(INDEX(LE_Curves!$B$5:$B$205,MATCH($R187,LE_Curves!$H$5:$H$205,1)+1)-INDEX(LE_Curves!$B$5:$B$205,MATCH($R187,LE_Curves!$H$5:$H$205,1)))/(INDEX(LE_Curves!$H$5:$H$205,MATCH($R187,LE_Curves!$H$5:$H$205,1)+1)-INDEX(LE_Curves!$H$5:$H$205,MATCH($R187,LE_Curves!$H$5:$H$205,1))))))</f>
        <v/>
      </c>
      <c r="Y187" s="11">
        <f>IF(Inputs!$D$29=0,0,IF($R187&lt;=Inputs!$C$29,0,IF($R187&gt;=INDEX(LE_Curves!$I$5:$I$205,201),INDEX(LE_Curves!$B$5:$B$205,201),INDEX(LE_Curves!$B$5:$B$205,MATCH($R187,LE_Curves!$I$5:$I$205,1))+($R187-INDEX(LE_Curves!$I$5:$I$205,MATCH($R187,LE_Curves!$I$5:$I$205,1)))*(INDEX(LE_Curves!$B$5:$B$205,MATCH($R187,LE_Curves!$I$5:$I$205,1)+1)-INDEX(LE_Curves!$B$5:$B$205,MATCH($R187,LE_Curves!$I$5:$I$205,1)))/(INDEX(LE_Curves!$I$5:$I$205,MATCH($R187,LE_Curves!$I$5:$I$205,1)+1)-INDEX(LE_Curves!$I$5:$I$205,MATCH($R187,LE_Curves!$I$5:$I$205,1))))))</f>
        <v/>
      </c>
      <c r="Z187" s="11">
        <f>IF(Inputs!$D$30=0,0,IF($R187&lt;=Inputs!$C$30,0,IF($R187&gt;=INDEX(LE_Curves!$J$5:$J$205,201),INDEX(LE_Curves!$B$5:$B$205,201),INDEX(LE_Curves!$B$5:$B$205,MATCH($R187,LE_Curves!$J$5:$J$205,1))+($R187-INDEX(LE_Curves!$J$5:$J$205,MATCH($R187,LE_Curves!$J$5:$J$205,1)))*(INDEX(LE_Curves!$B$5:$B$205,MATCH($R187,LE_Curves!$J$5:$J$205,1)+1)-INDEX(LE_Curves!$B$5:$B$205,MATCH($R187,LE_Curves!$J$5:$J$205,1)))/(INDEX(LE_Curves!$J$5:$J$205,MATCH($R187,LE_Curves!$J$5:$J$205,1)+1)-INDEX(LE_Curves!$J$5:$J$205,MATCH($R187,LE_Curves!$J$5:$J$205,1))))))</f>
        <v/>
      </c>
      <c r="AA187" s="11">
        <f>IF(Inputs!$D$31=0,0,IF($R187&lt;=Inputs!$C$31,0,IF($R187&gt;=INDEX(LE_Curves!$K$5:$K$205,201),INDEX(LE_Curves!$B$5:$B$205,201),INDEX(LE_Curves!$B$5:$B$205,MATCH($R187,LE_Curves!$K$5:$K$205,1))+($R187-INDEX(LE_Curves!$K$5:$K$205,MATCH($R187,LE_Curves!$K$5:$K$205,1)))*(INDEX(LE_Curves!$B$5:$B$205,MATCH($R187,LE_Curves!$K$5:$K$205,1)+1)-INDEX(LE_Curves!$B$5:$B$205,MATCH($R187,LE_Curves!$K$5:$K$205,1)))/(INDEX(LE_Curves!$K$5:$K$205,MATCH($R187,LE_Curves!$K$5:$K$205,1)+1)-INDEX(LE_Curves!$K$5:$K$205,MATCH($R187,LE_Curves!$K$5:$K$205,1))))))</f>
        <v/>
      </c>
      <c r="AB187" s="11">
        <f>IF(Inputs!$D$32=0,0,IF($R187&lt;=Inputs!$C$32,0,IF($R187&gt;=INDEX(LE_Curves!$L$5:$L$205,201),INDEX(LE_Curves!$B$5:$B$205,201),INDEX(LE_Curves!$B$5:$B$205,MATCH($R187,LE_Curves!$L$5:$L$205,1))+($R187-INDEX(LE_Curves!$L$5:$L$205,MATCH($R187,LE_Curves!$L$5:$L$205,1)))*(INDEX(LE_Curves!$B$5:$B$205,MATCH($R187,LE_Curves!$L$5:$L$205,1)+1)-INDEX(LE_Curves!$B$5:$B$205,MATCH($R187,LE_Curves!$L$5:$L$205,1)))/(INDEX(LE_Curves!$L$5:$L$205,MATCH($R187,LE_Curves!$L$5:$L$205,1)+1)-INDEX(LE_Curves!$L$5:$L$205,MATCH($R187,LE_Curves!$L$5:$L$205,1))))))</f>
        <v/>
      </c>
      <c r="AC187" s="11">
        <f>IF(Inputs!$D$33=0,0,IF($R187&lt;=Inputs!$C$33,0,IF($R187&gt;=INDEX(LE_Curves!$M$5:$M$205,201),INDEX(LE_Curves!$B$5:$B$205,201),INDEX(LE_Curves!$B$5:$B$205,MATCH($R187,LE_Curves!$M$5:$M$205,1))+($R187-INDEX(LE_Curves!$M$5:$M$205,MATCH($R187,LE_Curves!$M$5:$M$205,1)))*(INDEX(LE_Curves!$B$5:$B$205,MATCH($R187,LE_Curves!$M$5:$M$205,1)+1)-INDEX(LE_Curves!$B$5:$B$205,MATCH($R187,LE_Curves!$M$5:$M$205,1)))/(INDEX(LE_Curves!$M$5:$M$205,MATCH($R187,LE_Curves!$M$5:$M$205,1)+1)-INDEX(LE_Curves!$M$5:$M$205,MATCH($R187,LE_Curves!$M$5:$M$205,1))))))</f>
        <v/>
      </c>
      <c r="AD187" s="11">
        <f>IF(Inputs!$D$34=0,0,IF($R187&lt;=Inputs!$C$34,0,IF($R187&gt;=INDEX(LE_Curves!$N$5:$N$205,201),INDEX(LE_Curves!$B$5:$B$205,201),INDEX(LE_Curves!$B$5:$B$205,MATCH($R187,LE_Curves!$N$5:$N$205,1))+($R187-INDEX(LE_Curves!$N$5:$N$205,MATCH($R187,LE_Curves!$N$5:$N$205,1)))*(INDEX(LE_Curves!$B$5:$B$205,MATCH($R187,LE_Curves!$N$5:$N$205,1)+1)-INDEX(LE_Curves!$B$5:$B$205,MATCH($R187,LE_Curves!$N$5:$N$205,1)))/(INDEX(LE_Curves!$N$5:$N$205,MATCH($R187,LE_Curves!$N$5:$N$205,1)+1)-INDEX(LE_Curves!$N$5:$N$205,MATCH($R187,LE_Curves!$N$5:$N$205,1))))))</f>
        <v/>
      </c>
      <c r="AE187" s="37">
        <f>SUM(S187:AD187)</f>
        <v/>
      </c>
    </row>
    <row r="188">
      <c r="A188" s="7" t="n">
        <v>157</v>
      </c>
      <c r="B188" s="37">
        <f>$B$3+($B$4-$B$3)*A188/200</f>
        <v/>
      </c>
      <c r="C188" s="11">
        <f>IF(Inputs!$D$23=0,0,IF($B188&lt;=Inputs!$C$23,0,IF($B188&gt;=INDEX(LE_Curves!$C$5:$C$205,201),INDEX(LE_Curves!$B$5:$B$205,201),INDEX(LE_Curves!$B$5:$B$205,MATCH($B188,LE_Curves!$C$5:$C$205,1))+($B188-INDEX(LE_Curves!$C$5:$C$205,MATCH($B188,LE_Curves!$C$5:$C$205,1)))*(INDEX(LE_Curves!$B$5:$B$205,MATCH($B188,LE_Curves!$C$5:$C$205,1)+1)-INDEX(LE_Curves!$B$5:$B$205,MATCH($B188,LE_Curves!$C$5:$C$205,1)))/(INDEX(LE_Curves!$C$5:$C$205,MATCH($B188,LE_Curves!$C$5:$C$205,1)+1)-INDEX(LE_Curves!$C$5:$C$205,MATCH($B188,LE_Curves!$C$5:$C$205,1))))))</f>
        <v/>
      </c>
      <c r="D188" s="11">
        <f>IF(Inputs!$D$24=0,0,IF($B188&lt;=Inputs!$C$24,0,IF($B188&gt;=INDEX(LE_Curves!$D$5:$D$205,201),INDEX(LE_Curves!$B$5:$B$205,201),INDEX(LE_Curves!$B$5:$B$205,MATCH($B188,LE_Curves!$D$5:$D$205,1))+($B188-INDEX(LE_Curves!$D$5:$D$205,MATCH($B188,LE_Curves!$D$5:$D$205,1)))*(INDEX(LE_Curves!$B$5:$B$205,MATCH($B188,LE_Curves!$D$5:$D$205,1)+1)-INDEX(LE_Curves!$B$5:$B$205,MATCH($B188,LE_Curves!$D$5:$D$205,1)))/(INDEX(LE_Curves!$D$5:$D$205,MATCH($B188,LE_Curves!$D$5:$D$205,1)+1)-INDEX(LE_Curves!$D$5:$D$205,MATCH($B188,LE_Curves!$D$5:$D$205,1))))))</f>
        <v/>
      </c>
      <c r="E188" s="11">
        <f>IF(Inputs!$D$25=0,0,IF($B188&lt;=Inputs!$C$25,0,IF($B188&gt;=INDEX(LE_Curves!$E$5:$E$205,201),INDEX(LE_Curves!$B$5:$B$205,201),INDEX(LE_Curves!$B$5:$B$205,MATCH($B188,LE_Curves!$E$5:$E$205,1))+($B188-INDEX(LE_Curves!$E$5:$E$205,MATCH($B188,LE_Curves!$E$5:$E$205,1)))*(INDEX(LE_Curves!$B$5:$B$205,MATCH($B188,LE_Curves!$E$5:$E$205,1)+1)-INDEX(LE_Curves!$B$5:$B$205,MATCH($B188,LE_Curves!$E$5:$E$205,1)))/(INDEX(LE_Curves!$E$5:$E$205,MATCH($B188,LE_Curves!$E$5:$E$205,1)+1)-INDEX(LE_Curves!$E$5:$E$205,MATCH($B188,LE_Curves!$E$5:$E$205,1))))))</f>
        <v/>
      </c>
      <c r="F188" s="11">
        <f>IF(Inputs!$D$26=0,0,IF($B188&lt;=Inputs!$C$26,0,IF($B188&gt;=INDEX(LE_Curves!$F$5:$F$205,201),INDEX(LE_Curves!$B$5:$B$205,201),INDEX(LE_Curves!$B$5:$B$205,MATCH($B188,LE_Curves!$F$5:$F$205,1))+($B188-INDEX(LE_Curves!$F$5:$F$205,MATCH($B188,LE_Curves!$F$5:$F$205,1)))*(INDEX(LE_Curves!$B$5:$B$205,MATCH($B188,LE_Curves!$F$5:$F$205,1)+1)-INDEX(LE_Curves!$B$5:$B$205,MATCH($B188,LE_Curves!$F$5:$F$205,1)))/(INDEX(LE_Curves!$F$5:$F$205,MATCH($B188,LE_Curves!$F$5:$F$205,1)+1)-INDEX(LE_Curves!$F$5:$F$205,MATCH($B188,LE_Curves!$F$5:$F$205,1))))))</f>
        <v/>
      </c>
      <c r="G188" s="11">
        <f>IF(Inputs!$D$27=0,0,IF($B188&lt;=Inputs!$C$27,0,IF($B188&gt;=INDEX(LE_Curves!$G$5:$G$205,201),INDEX(LE_Curves!$B$5:$B$205,201),INDEX(LE_Curves!$B$5:$B$205,MATCH($B188,LE_Curves!$G$5:$G$205,1))+($B188-INDEX(LE_Curves!$G$5:$G$205,MATCH($B188,LE_Curves!$G$5:$G$205,1)))*(INDEX(LE_Curves!$B$5:$B$205,MATCH($B188,LE_Curves!$G$5:$G$205,1)+1)-INDEX(LE_Curves!$B$5:$B$205,MATCH($B188,LE_Curves!$G$5:$G$205,1)))/(INDEX(LE_Curves!$G$5:$G$205,MATCH($B188,LE_Curves!$G$5:$G$205,1)+1)-INDEX(LE_Curves!$G$5:$G$205,MATCH($B188,LE_Curves!$G$5:$G$205,1))))))</f>
        <v/>
      </c>
      <c r="H188" s="11">
        <f>IF(Inputs!$D$28=0,0,IF($B188&lt;=Inputs!$C$28,0,IF($B188&gt;=INDEX(LE_Curves!$H$5:$H$205,201),INDEX(LE_Curves!$B$5:$B$205,201),INDEX(LE_Curves!$B$5:$B$205,MATCH($B188,LE_Curves!$H$5:$H$205,1))+($B188-INDEX(LE_Curves!$H$5:$H$205,MATCH($B188,LE_Curves!$H$5:$H$205,1)))*(INDEX(LE_Curves!$B$5:$B$205,MATCH($B188,LE_Curves!$H$5:$H$205,1)+1)-INDEX(LE_Curves!$B$5:$B$205,MATCH($B188,LE_Curves!$H$5:$H$205,1)))/(INDEX(LE_Curves!$H$5:$H$205,MATCH($B188,LE_Curves!$H$5:$H$205,1)+1)-INDEX(LE_Curves!$H$5:$H$205,MATCH($B188,LE_Curves!$H$5:$H$205,1))))))</f>
        <v/>
      </c>
      <c r="I188" s="11">
        <f>IF(Inputs!$D$29=0,0,IF($B188&lt;=Inputs!$C$29,0,IF($B188&gt;=INDEX(LE_Curves!$I$5:$I$205,201),INDEX(LE_Curves!$B$5:$B$205,201),INDEX(LE_Curves!$B$5:$B$205,MATCH($B188,LE_Curves!$I$5:$I$205,1))+($B188-INDEX(LE_Curves!$I$5:$I$205,MATCH($B188,LE_Curves!$I$5:$I$205,1)))*(INDEX(LE_Curves!$B$5:$B$205,MATCH($B188,LE_Curves!$I$5:$I$205,1)+1)-INDEX(LE_Curves!$B$5:$B$205,MATCH($B188,LE_Curves!$I$5:$I$205,1)))/(INDEX(LE_Curves!$I$5:$I$205,MATCH($B188,LE_Curves!$I$5:$I$205,1)+1)-INDEX(LE_Curves!$I$5:$I$205,MATCH($B188,LE_Curves!$I$5:$I$205,1))))))</f>
        <v/>
      </c>
      <c r="J188" s="11">
        <f>IF(Inputs!$D$30=0,0,IF($B188&lt;=Inputs!$C$30,0,IF($B188&gt;=INDEX(LE_Curves!$J$5:$J$205,201),INDEX(LE_Curves!$B$5:$B$205,201),INDEX(LE_Curves!$B$5:$B$205,MATCH($B188,LE_Curves!$J$5:$J$205,1))+($B188-INDEX(LE_Curves!$J$5:$J$205,MATCH($B188,LE_Curves!$J$5:$J$205,1)))*(INDEX(LE_Curves!$B$5:$B$205,MATCH($B188,LE_Curves!$J$5:$J$205,1)+1)-INDEX(LE_Curves!$B$5:$B$205,MATCH($B188,LE_Curves!$J$5:$J$205,1)))/(INDEX(LE_Curves!$J$5:$J$205,MATCH($B188,LE_Curves!$J$5:$J$205,1)+1)-INDEX(LE_Curves!$J$5:$J$205,MATCH($B188,LE_Curves!$J$5:$J$205,1))))))</f>
        <v/>
      </c>
      <c r="K188" s="11">
        <f>IF(Inputs!$D$31=0,0,IF($B188&lt;=Inputs!$C$31,0,IF($B188&gt;=INDEX(LE_Curves!$K$5:$K$205,201),INDEX(LE_Curves!$B$5:$B$205,201),INDEX(LE_Curves!$B$5:$B$205,MATCH($B188,LE_Curves!$K$5:$K$205,1))+($B188-INDEX(LE_Curves!$K$5:$K$205,MATCH($B188,LE_Curves!$K$5:$K$205,1)))*(INDEX(LE_Curves!$B$5:$B$205,MATCH($B188,LE_Curves!$K$5:$K$205,1)+1)-INDEX(LE_Curves!$B$5:$B$205,MATCH($B188,LE_Curves!$K$5:$K$205,1)))/(INDEX(LE_Curves!$K$5:$K$205,MATCH($B188,LE_Curves!$K$5:$K$205,1)+1)-INDEX(LE_Curves!$K$5:$K$205,MATCH($B188,LE_Curves!$K$5:$K$205,1))))))</f>
        <v/>
      </c>
      <c r="L188" s="11">
        <f>IF(Inputs!$D$32=0,0,IF($B188&lt;=Inputs!$C$32,0,IF($B188&gt;=INDEX(LE_Curves!$L$5:$L$205,201),INDEX(LE_Curves!$B$5:$B$205,201),INDEX(LE_Curves!$B$5:$B$205,MATCH($B188,LE_Curves!$L$5:$L$205,1))+($B188-INDEX(LE_Curves!$L$5:$L$205,MATCH($B188,LE_Curves!$L$5:$L$205,1)))*(INDEX(LE_Curves!$B$5:$B$205,MATCH($B188,LE_Curves!$L$5:$L$205,1)+1)-INDEX(LE_Curves!$B$5:$B$205,MATCH($B188,LE_Curves!$L$5:$L$205,1)))/(INDEX(LE_Curves!$L$5:$L$205,MATCH($B188,LE_Curves!$L$5:$L$205,1)+1)-INDEX(LE_Curves!$L$5:$L$205,MATCH($B188,LE_Curves!$L$5:$L$205,1))))))</f>
        <v/>
      </c>
      <c r="M188" s="11">
        <f>IF(Inputs!$D$33=0,0,IF($B188&lt;=Inputs!$C$33,0,IF($B188&gt;=INDEX(LE_Curves!$M$5:$M$205,201),INDEX(LE_Curves!$B$5:$B$205,201),INDEX(LE_Curves!$B$5:$B$205,MATCH($B188,LE_Curves!$M$5:$M$205,1))+($B188-INDEX(LE_Curves!$M$5:$M$205,MATCH($B188,LE_Curves!$M$5:$M$205,1)))*(INDEX(LE_Curves!$B$5:$B$205,MATCH($B188,LE_Curves!$M$5:$M$205,1)+1)-INDEX(LE_Curves!$B$5:$B$205,MATCH($B188,LE_Curves!$M$5:$M$205,1)))/(INDEX(LE_Curves!$M$5:$M$205,MATCH($B188,LE_Curves!$M$5:$M$205,1)+1)-INDEX(LE_Curves!$M$5:$M$205,MATCH($B188,LE_Curves!$M$5:$M$205,1))))))</f>
        <v/>
      </c>
      <c r="N188" s="11">
        <f>IF(Inputs!$D$34=0,0,IF($B188&lt;=Inputs!$C$34,0,IF($B188&gt;=INDEX(LE_Curves!$N$5:$N$205,201),INDEX(LE_Curves!$B$5:$B$205,201),INDEX(LE_Curves!$B$5:$B$205,MATCH($B188,LE_Curves!$N$5:$N$205,1))+($B188-INDEX(LE_Curves!$N$5:$N$205,MATCH($B188,LE_Curves!$N$5:$N$205,1)))*(INDEX(LE_Curves!$B$5:$B$205,MATCH($B188,LE_Curves!$N$5:$N$205,1)+1)-INDEX(LE_Curves!$B$5:$B$205,MATCH($B188,LE_Curves!$N$5:$N$205,1)))/(INDEX(LE_Curves!$N$5:$N$205,MATCH($B188,LE_Curves!$N$5:$N$205,1)+1)-INDEX(LE_Curves!$N$5:$N$205,MATCH($B188,LE_Curves!$N$5:$N$205,1))))))</f>
        <v/>
      </c>
      <c r="O188" s="11">
        <f>SUM(C188:N188)</f>
        <v/>
      </c>
      <c r="Q188" s="7" t="n">
        <v>157</v>
      </c>
      <c r="R188" s="23">
        <f>$B$6+($B$7-$B$6)*Q188/200</f>
        <v/>
      </c>
      <c r="S188" s="11">
        <f>IF(Inputs!$D$23=0,0,IF($R188&lt;=Inputs!$C$23,0,IF($R188&gt;=INDEX(LE_Curves!$C$5:$C$205,201),INDEX(LE_Curves!$B$5:$B$205,201),INDEX(LE_Curves!$B$5:$B$205,MATCH($R188,LE_Curves!$C$5:$C$205,1))+($R188-INDEX(LE_Curves!$C$5:$C$205,MATCH($R188,LE_Curves!$C$5:$C$205,1)))*(INDEX(LE_Curves!$B$5:$B$205,MATCH($R188,LE_Curves!$C$5:$C$205,1)+1)-INDEX(LE_Curves!$B$5:$B$205,MATCH($R188,LE_Curves!$C$5:$C$205,1)))/(INDEX(LE_Curves!$C$5:$C$205,MATCH($R188,LE_Curves!$C$5:$C$205,1)+1)-INDEX(LE_Curves!$C$5:$C$205,MATCH($R188,LE_Curves!$C$5:$C$205,1))))))</f>
        <v/>
      </c>
      <c r="T188" s="11">
        <f>IF(Inputs!$D$24=0,0,IF($R188&lt;=Inputs!$C$24,0,IF($R188&gt;=INDEX(LE_Curves!$D$5:$D$205,201),INDEX(LE_Curves!$B$5:$B$205,201),INDEX(LE_Curves!$B$5:$B$205,MATCH($R188,LE_Curves!$D$5:$D$205,1))+($R188-INDEX(LE_Curves!$D$5:$D$205,MATCH($R188,LE_Curves!$D$5:$D$205,1)))*(INDEX(LE_Curves!$B$5:$B$205,MATCH($R188,LE_Curves!$D$5:$D$205,1)+1)-INDEX(LE_Curves!$B$5:$B$205,MATCH($R188,LE_Curves!$D$5:$D$205,1)))/(INDEX(LE_Curves!$D$5:$D$205,MATCH($R188,LE_Curves!$D$5:$D$205,1)+1)-INDEX(LE_Curves!$D$5:$D$205,MATCH($R188,LE_Curves!$D$5:$D$205,1))))))</f>
        <v/>
      </c>
      <c r="U188" s="11">
        <f>IF(Inputs!$D$25=0,0,IF($R188&lt;=Inputs!$C$25,0,IF($R188&gt;=INDEX(LE_Curves!$E$5:$E$205,201),INDEX(LE_Curves!$B$5:$B$205,201),INDEX(LE_Curves!$B$5:$B$205,MATCH($R188,LE_Curves!$E$5:$E$205,1))+($R188-INDEX(LE_Curves!$E$5:$E$205,MATCH($R188,LE_Curves!$E$5:$E$205,1)))*(INDEX(LE_Curves!$B$5:$B$205,MATCH($R188,LE_Curves!$E$5:$E$205,1)+1)-INDEX(LE_Curves!$B$5:$B$205,MATCH($R188,LE_Curves!$E$5:$E$205,1)))/(INDEX(LE_Curves!$E$5:$E$205,MATCH($R188,LE_Curves!$E$5:$E$205,1)+1)-INDEX(LE_Curves!$E$5:$E$205,MATCH($R188,LE_Curves!$E$5:$E$205,1))))))</f>
        <v/>
      </c>
      <c r="V188" s="11">
        <f>IF(Inputs!$D$26=0,0,IF($R188&lt;=Inputs!$C$26,0,IF($R188&gt;=INDEX(LE_Curves!$F$5:$F$205,201),INDEX(LE_Curves!$B$5:$B$205,201),INDEX(LE_Curves!$B$5:$B$205,MATCH($R188,LE_Curves!$F$5:$F$205,1))+($R188-INDEX(LE_Curves!$F$5:$F$205,MATCH($R188,LE_Curves!$F$5:$F$205,1)))*(INDEX(LE_Curves!$B$5:$B$205,MATCH($R188,LE_Curves!$F$5:$F$205,1)+1)-INDEX(LE_Curves!$B$5:$B$205,MATCH($R188,LE_Curves!$F$5:$F$205,1)))/(INDEX(LE_Curves!$F$5:$F$205,MATCH($R188,LE_Curves!$F$5:$F$205,1)+1)-INDEX(LE_Curves!$F$5:$F$205,MATCH($R188,LE_Curves!$F$5:$F$205,1))))))</f>
        <v/>
      </c>
      <c r="W188" s="11">
        <f>IF(Inputs!$D$27=0,0,IF($R188&lt;=Inputs!$C$27,0,IF($R188&gt;=INDEX(LE_Curves!$G$5:$G$205,201),INDEX(LE_Curves!$B$5:$B$205,201),INDEX(LE_Curves!$B$5:$B$205,MATCH($R188,LE_Curves!$G$5:$G$205,1))+($R188-INDEX(LE_Curves!$G$5:$G$205,MATCH($R188,LE_Curves!$G$5:$G$205,1)))*(INDEX(LE_Curves!$B$5:$B$205,MATCH($R188,LE_Curves!$G$5:$G$205,1)+1)-INDEX(LE_Curves!$B$5:$B$205,MATCH($R188,LE_Curves!$G$5:$G$205,1)))/(INDEX(LE_Curves!$G$5:$G$205,MATCH($R188,LE_Curves!$G$5:$G$205,1)+1)-INDEX(LE_Curves!$G$5:$G$205,MATCH($R188,LE_Curves!$G$5:$G$205,1))))))</f>
        <v/>
      </c>
      <c r="X188" s="11">
        <f>IF(Inputs!$D$28=0,0,IF($R188&lt;=Inputs!$C$28,0,IF($R188&gt;=INDEX(LE_Curves!$H$5:$H$205,201),INDEX(LE_Curves!$B$5:$B$205,201),INDEX(LE_Curves!$B$5:$B$205,MATCH($R188,LE_Curves!$H$5:$H$205,1))+($R188-INDEX(LE_Curves!$H$5:$H$205,MATCH($R188,LE_Curves!$H$5:$H$205,1)))*(INDEX(LE_Curves!$B$5:$B$205,MATCH($R188,LE_Curves!$H$5:$H$205,1)+1)-INDEX(LE_Curves!$B$5:$B$205,MATCH($R188,LE_Curves!$H$5:$H$205,1)))/(INDEX(LE_Curves!$H$5:$H$205,MATCH($R188,LE_Curves!$H$5:$H$205,1)+1)-INDEX(LE_Curves!$H$5:$H$205,MATCH($R188,LE_Curves!$H$5:$H$205,1))))))</f>
        <v/>
      </c>
      <c r="Y188" s="11">
        <f>IF(Inputs!$D$29=0,0,IF($R188&lt;=Inputs!$C$29,0,IF($R188&gt;=INDEX(LE_Curves!$I$5:$I$205,201),INDEX(LE_Curves!$B$5:$B$205,201),INDEX(LE_Curves!$B$5:$B$205,MATCH($R188,LE_Curves!$I$5:$I$205,1))+($R188-INDEX(LE_Curves!$I$5:$I$205,MATCH($R188,LE_Curves!$I$5:$I$205,1)))*(INDEX(LE_Curves!$B$5:$B$205,MATCH($R188,LE_Curves!$I$5:$I$205,1)+1)-INDEX(LE_Curves!$B$5:$B$205,MATCH($R188,LE_Curves!$I$5:$I$205,1)))/(INDEX(LE_Curves!$I$5:$I$205,MATCH($R188,LE_Curves!$I$5:$I$205,1)+1)-INDEX(LE_Curves!$I$5:$I$205,MATCH($R188,LE_Curves!$I$5:$I$205,1))))))</f>
        <v/>
      </c>
      <c r="Z188" s="11">
        <f>IF(Inputs!$D$30=0,0,IF($R188&lt;=Inputs!$C$30,0,IF($R188&gt;=INDEX(LE_Curves!$J$5:$J$205,201),INDEX(LE_Curves!$B$5:$B$205,201),INDEX(LE_Curves!$B$5:$B$205,MATCH($R188,LE_Curves!$J$5:$J$205,1))+($R188-INDEX(LE_Curves!$J$5:$J$205,MATCH($R188,LE_Curves!$J$5:$J$205,1)))*(INDEX(LE_Curves!$B$5:$B$205,MATCH($R188,LE_Curves!$J$5:$J$205,1)+1)-INDEX(LE_Curves!$B$5:$B$205,MATCH($R188,LE_Curves!$J$5:$J$205,1)))/(INDEX(LE_Curves!$J$5:$J$205,MATCH($R188,LE_Curves!$J$5:$J$205,1)+1)-INDEX(LE_Curves!$J$5:$J$205,MATCH($R188,LE_Curves!$J$5:$J$205,1))))))</f>
        <v/>
      </c>
      <c r="AA188" s="11">
        <f>IF(Inputs!$D$31=0,0,IF($R188&lt;=Inputs!$C$31,0,IF($R188&gt;=INDEX(LE_Curves!$K$5:$K$205,201),INDEX(LE_Curves!$B$5:$B$205,201),INDEX(LE_Curves!$B$5:$B$205,MATCH($R188,LE_Curves!$K$5:$K$205,1))+($R188-INDEX(LE_Curves!$K$5:$K$205,MATCH($R188,LE_Curves!$K$5:$K$205,1)))*(INDEX(LE_Curves!$B$5:$B$205,MATCH($R188,LE_Curves!$K$5:$K$205,1)+1)-INDEX(LE_Curves!$B$5:$B$205,MATCH($R188,LE_Curves!$K$5:$K$205,1)))/(INDEX(LE_Curves!$K$5:$K$205,MATCH($R188,LE_Curves!$K$5:$K$205,1)+1)-INDEX(LE_Curves!$K$5:$K$205,MATCH($R188,LE_Curves!$K$5:$K$205,1))))))</f>
        <v/>
      </c>
      <c r="AB188" s="11">
        <f>IF(Inputs!$D$32=0,0,IF($R188&lt;=Inputs!$C$32,0,IF($R188&gt;=INDEX(LE_Curves!$L$5:$L$205,201),INDEX(LE_Curves!$B$5:$B$205,201),INDEX(LE_Curves!$B$5:$B$205,MATCH($R188,LE_Curves!$L$5:$L$205,1))+($R188-INDEX(LE_Curves!$L$5:$L$205,MATCH($R188,LE_Curves!$L$5:$L$205,1)))*(INDEX(LE_Curves!$B$5:$B$205,MATCH($R188,LE_Curves!$L$5:$L$205,1)+1)-INDEX(LE_Curves!$B$5:$B$205,MATCH($R188,LE_Curves!$L$5:$L$205,1)))/(INDEX(LE_Curves!$L$5:$L$205,MATCH($R188,LE_Curves!$L$5:$L$205,1)+1)-INDEX(LE_Curves!$L$5:$L$205,MATCH($R188,LE_Curves!$L$5:$L$205,1))))))</f>
        <v/>
      </c>
      <c r="AC188" s="11">
        <f>IF(Inputs!$D$33=0,0,IF($R188&lt;=Inputs!$C$33,0,IF($R188&gt;=INDEX(LE_Curves!$M$5:$M$205,201),INDEX(LE_Curves!$B$5:$B$205,201),INDEX(LE_Curves!$B$5:$B$205,MATCH($R188,LE_Curves!$M$5:$M$205,1))+($R188-INDEX(LE_Curves!$M$5:$M$205,MATCH($R188,LE_Curves!$M$5:$M$205,1)))*(INDEX(LE_Curves!$B$5:$B$205,MATCH($R188,LE_Curves!$M$5:$M$205,1)+1)-INDEX(LE_Curves!$B$5:$B$205,MATCH($R188,LE_Curves!$M$5:$M$205,1)))/(INDEX(LE_Curves!$M$5:$M$205,MATCH($R188,LE_Curves!$M$5:$M$205,1)+1)-INDEX(LE_Curves!$M$5:$M$205,MATCH($R188,LE_Curves!$M$5:$M$205,1))))))</f>
        <v/>
      </c>
      <c r="AD188" s="11">
        <f>IF(Inputs!$D$34=0,0,IF($R188&lt;=Inputs!$C$34,0,IF($R188&gt;=INDEX(LE_Curves!$N$5:$N$205,201),INDEX(LE_Curves!$B$5:$B$205,201),INDEX(LE_Curves!$B$5:$B$205,MATCH($R188,LE_Curves!$N$5:$N$205,1))+($R188-INDEX(LE_Curves!$N$5:$N$205,MATCH($R188,LE_Curves!$N$5:$N$205,1)))*(INDEX(LE_Curves!$B$5:$B$205,MATCH($R188,LE_Curves!$N$5:$N$205,1)+1)-INDEX(LE_Curves!$B$5:$B$205,MATCH($R188,LE_Curves!$N$5:$N$205,1)))/(INDEX(LE_Curves!$N$5:$N$205,MATCH($R188,LE_Curves!$N$5:$N$205,1)+1)-INDEX(LE_Curves!$N$5:$N$205,MATCH($R188,LE_Curves!$N$5:$N$205,1))))))</f>
        <v/>
      </c>
      <c r="AE188" s="37">
        <f>SUM(S188:AD188)</f>
        <v/>
      </c>
    </row>
    <row r="189">
      <c r="A189" s="7" t="n">
        <v>158</v>
      </c>
      <c r="B189" s="37">
        <f>$B$3+($B$4-$B$3)*A189/200</f>
        <v/>
      </c>
      <c r="C189" s="11">
        <f>IF(Inputs!$D$23=0,0,IF($B189&lt;=Inputs!$C$23,0,IF($B189&gt;=INDEX(LE_Curves!$C$5:$C$205,201),INDEX(LE_Curves!$B$5:$B$205,201),INDEX(LE_Curves!$B$5:$B$205,MATCH($B189,LE_Curves!$C$5:$C$205,1))+($B189-INDEX(LE_Curves!$C$5:$C$205,MATCH($B189,LE_Curves!$C$5:$C$205,1)))*(INDEX(LE_Curves!$B$5:$B$205,MATCH($B189,LE_Curves!$C$5:$C$205,1)+1)-INDEX(LE_Curves!$B$5:$B$205,MATCH($B189,LE_Curves!$C$5:$C$205,1)))/(INDEX(LE_Curves!$C$5:$C$205,MATCH($B189,LE_Curves!$C$5:$C$205,1)+1)-INDEX(LE_Curves!$C$5:$C$205,MATCH($B189,LE_Curves!$C$5:$C$205,1))))))</f>
        <v/>
      </c>
      <c r="D189" s="11">
        <f>IF(Inputs!$D$24=0,0,IF($B189&lt;=Inputs!$C$24,0,IF($B189&gt;=INDEX(LE_Curves!$D$5:$D$205,201),INDEX(LE_Curves!$B$5:$B$205,201),INDEX(LE_Curves!$B$5:$B$205,MATCH($B189,LE_Curves!$D$5:$D$205,1))+($B189-INDEX(LE_Curves!$D$5:$D$205,MATCH($B189,LE_Curves!$D$5:$D$205,1)))*(INDEX(LE_Curves!$B$5:$B$205,MATCH($B189,LE_Curves!$D$5:$D$205,1)+1)-INDEX(LE_Curves!$B$5:$B$205,MATCH($B189,LE_Curves!$D$5:$D$205,1)))/(INDEX(LE_Curves!$D$5:$D$205,MATCH($B189,LE_Curves!$D$5:$D$205,1)+1)-INDEX(LE_Curves!$D$5:$D$205,MATCH($B189,LE_Curves!$D$5:$D$205,1))))))</f>
        <v/>
      </c>
      <c r="E189" s="11">
        <f>IF(Inputs!$D$25=0,0,IF($B189&lt;=Inputs!$C$25,0,IF($B189&gt;=INDEX(LE_Curves!$E$5:$E$205,201),INDEX(LE_Curves!$B$5:$B$205,201),INDEX(LE_Curves!$B$5:$B$205,MATCH($B189,LE_Curves!$E$5:$E$205,1))+($B189-INDEX(LE_Curves!$E$5:$E$205,MATCH($B189,LE_Curves!$E$5:$E$205,1)))*(INDEX(LE_Curves!$B$5:$B$205,MATCH($B189,LE_Curves!$E$5:$E$205,1)+1)-INDEX(LE_Curves!$B$5:$B$205,MATCH($B189,LE_Curves!$E$5:$E$205,1)))/(INDEX(LE_Curves!$E$5:$E$205,MATCH($B189,LE_Curves!$E$5:$E$205,1)+1)-INDEX(LE_Curves!$E$5:$E$205,MATCH($B189,LE_Curves!$E$5:$E$205,1))))))</f>
        <v/>
      </c>
      <c r="F189" s="11">
        <f>IF(Inputs!$D$26=0,0,IF($B189&lt;=Inputs!$C$26,0,IF($B189&gt;=INDEX(LE_Curves!$F$5:$F$205,201),INDEX(LE_Curves!$B$5:$B$205,201),INDEX(LE_Curves!$B$5:$B$205,MATCH($B189,LE_Curves!$F$5:$F$205,1))+($B189-INDEX(LE_Curves!$F$5:$F$205,MATCH($B189,LE_Curves!$F$5:$F$205,1)))*(INDEX(LE_Curves!$B$5:$B$205,MATCH($B189,LE_Curves!$F$5:$F$205,1)+1)-INDEX(LE_Curves!$B$5:$B$205,MATCH($B189,LE_Curves!$F$5:$F$205,1)))/(INDEX(LE_Curves!$F$5:$F$205,MATCH($B189,LE_Curves!$F$5:$F$205,1)+1)-INDEX(LE_Curves!$F$5:$F$205,MATCH($B189,LE_Curves!$F$5:$F$205,1))))))</f>
        <v/>
      </c>
      <c r="G189" s="11">
        <f>IF(Inputs!$D$27=0,0,IF($B189&lt;=Inputs!$C$27,0,IF($B189&gt;=INDEX(LE_Curves!$G$5:$G$205,201),INDEX(LE_Curves!$B$5:$B$205,201),INDEX(LE_Curves!$B$5:$B$205,MATCH($B189,LE_Curves!$G$5:$G$205,1))+($B189-INDEX(LE_Curves!$G$5:$G$205,MATCH($B189,LE_Curves!$G$5:$G$205,1)))*(INDEX(LE_Curves!$B$5:$B$205,MATCH($B189,LE_Curves!$G$5:$G$205,1)+1)-INDEX(LE_Curves!$B$5:$B$205,MATCH($B189,LE_Curves!$G$5:$G$205,1)))/(INDEX(LE_Curves!$G$5:$G$205,MATCH($B189,LE_Curves!$G$5:$G$205,1)+1)-INDEX(LE_Curves!$G$5:$G$205,MATCH($B189,LE_Curves!$G$5:$G$205,1))))))</f>
        <v/>
      </c>
      <c r="H189" s="11">
        <f>IF(Inputs!$D$28=0,0,IF($B189&lt;=Inputs!$C$28,0,IF($B189&gt;=INDEX(LE_Curves!$H$5:$H$205,201),INDEX(LE_Curves!$B$5:$B$205,201),INDEX(LE_Curves!$B$5:$B$205,MATCH($B189,LE_Curves!$H$5:$H$205,1))+($B189-INDEX(LE_Curves!$H$5:$H$205,MATCH($B189,LE_Curves!$H$5:$H$205,1)))*(INDEX(LE_Curves!$B$5:$B$205,MATCH($B189,LE_Curves!$H$5:$H$205,1)+1)-INDEX(LE_Curves!$B$5:$B$205,MATCH($B189,LE_Curves!$H$5:$H$205,1)))/(INDEX(LE_Curves!$H$5:$H$205,MATCH($B189,LE_Curves!$H$5:$H$205,1)+1)-INDEX(LE_Curves!$H$5:$H$205,MATCH($B189,LE_Curves!$H$5:$H$205,1))))))</f>
        <v/>
      </c>
      <c r="I189" s="11">
        <f>IF(Inputs!$D$29=0,0,IF($B189&lt;=Inputs!$C$29,0,IF($B189&gt;=INDEX(LE_Curves!$I$5:$I$205,201),INDEX(LE_Curves!$B$5:$B$205,201),INDEX(LE_Curves!$B$5:$B$205,MATCH($B189,LE_Curves!$I$5:$I$205,1))+($B189-INDEX(LE_Curves!$I$5:$I$205,MATCH($B189,LE_Curves!$I$5:$I$205,1)))*(INDEX(LE_Curves!$B$5:$B$205,MATCH($B189,LE_Curves!$I$5:$I$205,1)+1)-INDEX(LE_Curves!$B$5:$B$205,MATCH($B189,LE_Curves!$I$5:$I$205,1)))/(INDEX(LE_Curves!$I$5:$I$205,MATCH($B189,LE_Curves!$I$5:$I$205,1)+1)-INDEX(LE_Curves!$I$5:$I$205,MATCH($B189,LE_Curves!$I$5:$I$205,1))))))</f>
        <v/>
      </c>
      <c r="J189" s="11">
        <f>IF(Inputs!$D$30=0,0,IF($B189&lt;=Inputs!$C$30,0,IF($B189&gt;=INDEX(LE_Curves!$J$5:$J$205,201),INDEX(LE_Curves!$B$5:$B$205,201),INDEX(LE_Curves!$B$5:$B$205,MATCH($B189,LE_Curves!$J$5:$J$205,1))+($B189-INDEX(LE_Curves!$J$5:$J$205,MATCH($B189,LE_Curves!$J$5:$J$205,1)))*(INDEX(LE_Curves!$B$5:$B$205,MATCH($B189,LE_Curves!$J$5:$J$205,1)+1)-INDEX(LE_Curves!$B$5:$B$205,MATCH($B189,LE_Curves!$J$5:$J$205,1)))/(INDEX(LE_Curves!$J$5:$J$205,MATCH($B189,LE_Curves!$J$5:$J$205,1)+1)-INDEX(LE_Curves!$J$5:$J$205,MATCH($B189,LE_Curves!$J$5:$J$205,1))))))</f>
        <v/>
      </c>
      <c r="K189" s="11">
        <f>IF(Inputs!$D$31=0,0,IF($B189&lt;=Inputs!$C$31,0,IF($B189&gt;=INDEX(LE_Curves!$K$5:$K$205,201),INDEX(LE_Curves!$B$5:$B$205,201),INDEX(LE_Curves!$B$5:$B$205,MATCH($B189,LE_Curves!$K$5:$K$205,1))+($B189-INDEX(LE_Curves!$K$5:$K$205,MATCH($B189,LE_Curves!$K$5:$K$205,1)))*(INDEX(LE_Curves!$B$5:$B$205,MATCH($B189,LE_Curves!$K$5:$K$205,1)+1)-INDEX(LE_Curves!$B$5:$B$205,MATCH($B189,LE_Curves!$K$5:$K$205,1)))/(INDEX(LE_Curves!$K$5:$K$205,MATCH($B189,LE_Curves!$K$5:$K$205,1)+1)-INDEX(LE_Curves!$K$5:$K$205,MATCH($B189,LE_Curves!$K$5:$K$205,1))))))</f>
        <v/>
      </c>
      <c r="L189" s="11">
        <f>IF(Inputs!$D$32=0,0,IF($B189&lt;=Inputs!$C$32,0,IF($B189&gt;=INDEX(LE_Curves!$L$5:$L$205,201),INDEX(LE_Curves!$B$5:$B$205,201),INDEX(LE_Curves!$B$5:$B$205,MATCH($B189,LE_Curves!$L$5:$L$205,1))+($B189-INDEX(LE_Curves!$L$5:$L$205,MATCH($B189,LE_Curves!$L$5:$L$205,1)))*(INDEX(LE_Curves!$B$5:$B$205,MATCH($B189,LE_Curves!$L$5:$L$205,1)+1)-INDEX(LE_Curves!$B$5:$B$205,MATCH($B189,LE_Curves!$L$5:$L$205,1)))/(INDEX(LE_Curves!$L$5:$L$205,MATCH($B189,LE_Curves!$L$5:$L$205,1)+1)-INDEX(LE_Curves!$L$5:$L$205,MATCH($B189,LE_Curves!$L$5:$L$205,1))))))</f>
        <v/>
      </c>
      <c r="M189" s="11">
        <f>IF(Inputs!$D$33=0,0,IF($B189&lt;=Inputs!$C$33,0,IF($B189&gt;=INDEX(LE_Curves!$M$5:$M$205,201),INDEX(LE_Curves!$B$5:$B$205,201),INDEX(LE_Curves!$B$5:$B$205,MATCH($B189,LE_Curves!$M$5:$M$205,1))+($B189-INDEX(LE_Curves!$M$5:$M$205,MATCH($B189,LE_Curves!$M$5:$M$205,1)))*(INDEX(LE_Curves!$B$5:$B$205,MATCH($B189,LE_Curves!$M$5:$M$205,1)+1)-INDEX(LE_Curves!$B$5:$B$205,MATCH($B189,LE_Curves!$M$5:$M$205,1)))/(INDEX(LE_Curves!$M$5:$M$205,MATCH($B189,LE_Curves!$M$5:$M$205,1)+1)-INDEX(LE_Curves!$M$5:$M$205,MATCH($B189,LE_Curves!$M$5:$M$205,1))))))</f>
        <v/>
      </c>
      <c r="N189" s="11">
        <f>IF(Inputs!$D$34=0,0,IF($B189&lt;=Inputs!$C$34,0,IF($B189&gt;=INDEX(LE_Curves!$N$5:$N$205,201),INDEX(LE_Curves!$B$5:$B$205,201),INDEX(LE_Curves!$B$5:$B$205,MATCH($B189,LE_Curves!$N$5:$N$205,1))+($B189-INDEX(LE_Curves!$N$5:$N$205,MATCH($B189,LE_Curves!$N$5:$N$205,1)))*(INDEX(LE_Curves!$B$5:$B$205,MATCH($B189,LE_Curves!$N$5:$N$205,1)+1)-INDEX(LE_Curves!$B$5:$B$205,MATCH($B189,LE_Curves!$N$5:$N$205,1)))/(INDEX(LE_Curves!$N$5:$N$205,MATCH($B189,LE_Curves!$N$5:$N$205,1)+1)-INDEX(LE_Curves!$N$5:$N$205,MATCH($B189,LE_Curves!$N$5:$N$205,1))))))</f>
        <v/>
      </c>
      <c r="O189" s="11">
        <f>SUM(C189:N189)</f>
        <v/>
      </c>
      <c r="Q189" s="7" t="n">
        <v>158</v>
      </c>
      <c r="R189" s="23">
        <f>$B$6+($B$7-$B$6)*Q189/200</f>
        <v/>
      </c>
      <c r="S189" s="11">
        <f>IF(Inputs!$D$23=0,0,IF($R189&lt;=Inputs!$C$23,0,IF($R189&gt;=INDEX(LE_Curves!$C$5:$C$205,201),INDEX(LE_Curves!$B$5:$B$205,201),INDEX(LE_Curves!$B$5:$B$205,MATCH($R189,LE_Curves!$C$5:$C$205,1))+($R189-INDEX(LE_Curves!$C$5:$C$205,MATCH($R189,LE_Curves!$C$5:$C$205,1)))*(INDEX(LE_Curves!$B$5:$B$205,MATCH($R189,LE_Curves!$C$5:$C$205,1)+1)-INDEX(LE_Curves!$B$5:$B$205,MATCH($R189,LE_Curves!$C$5:$C$205,1)))/(INDEX(LE_Curves!$C$5:$C$205,MATCH($R189,LE_Curves!$C$5:$C$205,1)+1)-INDEX(LE_Curves!$C$5:$C$205,MATCH($R189,LE_Curves!$C$5:$C$205,1))))))</f>
        <v/>
      </c>
      <c r="T189" s="11">
        <f>IF(Inputs!$D$24=0,0,IF($R189&lt;=Inputs!$C$24,0,IF($R189&gt;=INDEX(LE_Curves!$D$5:$D$205,201),INDEX(LE_Curves!$B$5:$B$205,201),INDEX(LE_Curves!$B$5:$B$205,MATCH($R189,LE_Curves!$D$5:$D$205,1))+($R189-INDEX(LE_Curves!$D$5:$D$205,MATCH($R189,LE_Curves!$D$5:$D$205,1)))*(INDEX(LE_Curves!$B$5:$B$205,MATCH($R189,LE_Curves!$D$5:$D$205,1)+1)-INDEX(LE_Curves!$B$5:$B$205,MATCH($R189,LE_Curves!$D$5:$D$205,1)))/(INDEX(LE_Curves!$D$5:$D$205,MATCH($R189,LE_Curves!$D$5:$D$205,1)+1)-INDEX(LE_Curves!$D$5:$D$205,MATCH($R189,LE_Curves!$D$5:$D$205,1))))))</f>
        <v/>
      </c>
      <c r="U189" s="11">
        <f>IF(Inputs!$D$25=0,0,IF($R189&lt;=Inputs!$C$25,0,IF($R189&gt;=INDEX(LE_Curves!$E$5:$E$205,201),INDEX(LE_Curves!$B$5:$B$205,201),INDEX(LE_Curves!$B$5:$B$205,MATCH($R189,LE_Curves!$E$5:$E$205,1))+($R189-INDEX(LE_Curves!$E$5:$E$205,MATCH($R189,LE_Curves!$E$5:$E$205,1)))*(INDEX(LE_Curves!$B$5:$B$205,MATCH($R189,LE_Curves!$E$5:$E$205,1)+1)-INDEX(LE_Curves!$B$5:$B$205,MATCH($R189,LE_Curves!$E$5:$E$205,1)))/(INDEX(LE_Curves!$E$5:$E$205,MATCH($R189,LE_Curves!$E$5:$E$205,1)+1)-INDEX(LE_Curves!$E$5:$E$205,MATCH($R189,LE_Curves!$E$5:$E$205,1))))))</f>
        <v/>
      </c>
      <c r="V189" s="11">
        <f>IF(Inputs!$D$26=0,0,IF($R189&lt;=Inputs!$C$26,0,IF($R189&gt;=INDEX(LE_Curves!$F$5:$F$205,201),INDEX(LE_Curves!$B$5:$B$205,201),INDEX(LE_Curves!$B$5:$B$205,MATCH($R189,LE_Curves!$F$5:$F$205,1))+($R189-INDEX(LE_Curves!$F$5:$F$205,MATCH($R189,LE_Curves!$F$5:$F$205,1)))*(INDEX(LE_Curves!$B$5:$B$205,MATCH($R189,LE_Curves!$F$5:$F$205,1)+1)-INDEX(LE_Curves!$B$5:$B$205,MATCH($R189,LE_Curves!$F$5:$F$205,1)))/(INDEX(LE_Curves!$F$5:$F$205,MATCH($R189,LE_Curves!$F$5:$F$205,1)+1)-INDEX(LE_Curves!$F$5:$F$205,MATCH($R189,LE_Curves!$F$5:$F$205,1))))))</f>
        <v/>
      </c>
      <c r="W189" s="11">
        <f>IF(Inputs!$D$27=0,0,IF($R189&lt;=Inputs!$C$27,0,IF($R189&gt;=INDEX(LE_Curves!$G$5:$G$205,201),INDEX(LE_Curves!$B$5:$B$205,201),INDEX(LE_Curves!$B$5:$B$205,MATCH($R189,LE_Curves!$G$5:$G$205,1))+($R189-INDEX(LE_Curves!$G$5:$G$205,MATCH($R189,LE_Curves!$G$5:$G$205,1)))*(INDEX(LE_Curves!$B$5:$B$205,MATCH($R189,LE_Curves!$G$5:$G$205,1)+1)-INDEX(LE_Curves!$B$5:$B$205,MATCH($R189,LE_Curves!$G$5:$G$205,1)))/(INDEX(LE_Curves!$G$5:$G$205,MATCH($R189,LE_Curves!$G$5:$G$205,1)+1)-INDEX(LE_Curves!$G$5:$G$205,MATCH($R189,LE_Curves!$G$5:$G$205,1))))))</f>
        <v/>
      </c>
      <c r="X189" s="11">
        <f>IF(Inputs!$D$28=0,0,IF($R189&lt;=Inputs!$C$28,0,IF($R189&gt;=INDEX(LE_Curves!$H$5:$H$205,201),INDEX(LE_Curves!$B$5:$B$205,201),INDEX(LE_Curves!$B$5:$B$205,MATCH($R189,LE_Curves!$H$5:$H$205,1))+($R189-INDEX(LE_Curves!$H$5:$H$205,MATCH($R189,LE_Curves!$H$5:$H$205,1)))*(INDEX(LE_Curves!$B$5:$B$205,MATCH($R189,LE_Curves!$H$5:$H$205,1)+1)-INDEX(LE_Curves!$B$5:$B$205,MATCH($R189,LE_Curves!$H$5:$H$205,1)))/(INDEX(LE_Curves!$H$5:$H$205,MATCH($R189,LE_Curves!$H$5:$H$205,1)+1)-INDEX(LE_Curves!$H$5:$H$205,MATCH($R189,LE_Curves!$H$5:$H$205,1))))))</f>
        <v/>
      </c>
      <c r="Y189" s="11">
        <f>IF(Inputs!$D$29=0,0,IF($R189&lt;=Inputs!$C$29,0,IF($R189&gt;=INDEX(LE_Curves!$I$5:$I$205,201),INDEX(LE_Curves!$B$5:$B$205,201),INDEX(LE_Curves!$B$5:$B$205,MATCH($R189,LE_Curves!$I$5:$I$205,1))+($R189-INDEX(LE_Curves!$I$5:$I$205,MATCH($R189,LE_Curves!$I$5:$I$205,1)))*(INDEX(LE_Curves!$B$5:$B$205,MATCH($R189,LE_Curves!$I$5:$I$205,1)+1)-INDEX(LE_Curves!$B$5:$B$205,MATCH($R189,LE_Curves!$I$5:$I$205,1)))/(INDEX(LE_Curves!$I$5:$I$205,MATCH($R189,LE_Curves!$I$5:$I$205,1)+1)-INDEX(LE_Curves!$I$5:$I$205,MATCH($R189,LE_Curves!$I$5:$I$205,1))))))</f>
        <v/>
      </c>
      <c r="Z189" s="11">
        <f>IF(Inputs!$D$30=0,0,IF($R189&lt;=Inputs!$C$30,0,IF($R189&gt;=INDEX(LE_Curves!$J$5:$J$205,201),INDEX(LE_Curves!$B$5:$B$205,201),INDEX(LE_Curves!$B$5:$B$205,MATCH($R189,LE_Curves!$J$5:$J$205,1))+($R189-INDEX(LE_Curves!$J$5:$J$205,MATCH($R189,LE_Curves!$J$5:$J$205,1)))*(INDEX(LE_Curves!$B$5:$B$205,MATCH($R189,LE_Curves!$J$5:$J$205,1)+1)-INDEX(LE_Curves!$B$5:$B$205,MATCH($R189,LE_Curves!$J$5:$J$205,1)))/(INDEX(LE_Curves!$J$5:$J$205,MATCH($R189,LE_Curves!$J$5:$J$205,1)+1)-INDEX(LE_Curves!$J$5:$J$205,MATCH($R189,LE_Curves!$J$5:$J$205,1))))))</f>
        <v/>
      </c>
      <c r="AA189" s="11">
        <f>IF(Inputs!$D$31=0,0,IF($R189&lt;=Inputs!$C$31,0,IF($R189&gt;=INDEX(LE_Curves!$K$5:$K$205,201),INDEX(LE_Curves!$B$5:$B$205,201),INDEX(LE_Curves!$B$5:$B$205,MATCH($R189,LE_Curves!$K$5:$K$205,1))+($R189-INDEX(LE_Curves!$K$5:$K$205,MATCH($R189,LE_Curves!$K$5:$K$205,1)))*(INDEX(LE_Curves!$B$5:$B$205,MATCH($R189,LE_Curves!$K$5:$K$205,1)+1)-INDEX(LE_Curves!$B$5:$B$205,MATCH($R189,LE_Curves!$K$5:$K$205,1)))/(INDEX(LE_Curves!$K$5:$K$205,MATCH($R189,LE_Curves!$K$5:$K$205,1)+1)-INDEX(LE_Curves!$K$5:$K$205,MATCH($R189,LE_Curves!$K$5:$K$205,1))))))</f>
        <v/>
      </c>
      <c r="AB189" s="11">
        <f>IF(Inputs!$D$32=0,0,IF($R189&lt;=Inputs!$C$32,0,IF($R189&gt;=INDEX(LE_Curves!$L$5:$L$205,201),INDEX(LE_Curves!$B$5:$B$205,201),INDEX(LE_Curves!$B$5:$B$205,MATCH($R189,LE_Curves!$L$5:$L$205,1))+($R189-INDEX(LE_Curves!$L$5:$L$205,MATCH($R189,LE_Curves!$L$5:$L$205,1)))*(INDEX(LE_Curves!$B$5:$B$205,MATCH($R189,LE_Curves!$L$5:$L$205,1)+1)-INDEX(LE_Curves!$B$5:$B$205,MATCH($R189,LE_Curves!$L$5:$L$205,1)))/(INDEX(LE_Curves!$L$5:$L$205,MATCH($R189,LE_Curves!$L$5:$L$205,1)+1)-INDEX(LE_Curves!$L$5:$L$205,MATCH($R189,LE_Curves!$L$5:$L$205,1))))))</f>
        <v/>
      </c>
      <c r="AC189" s="11">
        <f>IF(Inputs!$D$33=0,0,IF($R189&lt;=Inputs!$C$33,0,IF($R189&gt;=INDEX(LE_Curves!$M$5:$M$205,201),INDEX(LE_Curves!$B$5:$B$205,201),INDEX(LE_Curves!$B$5:$B$205,MATCH($R189,LE_Curves!$M$5:$M$205,1))+($R189-INDEX(LE_Curves!$M$5:$M$205,MATCH($R189,LE_Curves!$M$5:$M$205,1)))*(INDEX(LE_Curves!$B$5:$B$205,MATCH($R189,LE_Curves!$M$5:$M$205,1)+1)-INDEX(LE_Curves!$B$5:$B$205,MATCH($R189,LE_Curves!$M$5:$M$205,1)))/(INDEX(LE_Curves!$M$5:$M$205,MATCH($R189,LE_Curves!$M$5:$M$205,1)+1)-INDEX(LE_Curves!$M$5:$M$205,MATCH($R189,LE_Curves!$M$5:$M$205,1))))))</f>
        <v/>
      </c>
      <c r="AD189" s="11">
        <f>IF(Inputs!$D$34=0,0,IF($R189&lt;=Inputs!$C$34,0,IF($R189&gt;=INDEX(LE_Curves!$N$5:$N$205,201),INDEX(LE_Curves!$B$5:$B$205,201),INDEX(LE_Curves!$B$5:$B$205,MATCH($R189,LE_Curves!$N$5:$N$205,1))+($R189-INDEX(LE_Curves!$N$5:$N$205,MATCH($R189,LE_Curves!$N$5:$N$205,1)))*(INDEX(LE_Curves!$B$5:$B$205,MATCH($R189,LE_Curves!$N$5:$N$205,1)+1)-INDEX(LE_Curves!$B$5:$B$205,MATCH($R189,LE_Curves!$N$5:$N$205,1)))/(INDEX(LE_Curves!$N$5:$N$205,MATCH($R189,LE_Curves!$N$5:$N$205,1)+1)-INDEX(LE_Curves!$N$5:$N$205,MATCH($R189,LE_Curves!$N$5:$N$205,1))))))</f>
        <v/>
      </c>
      <c r="AE189" s="37">
        <f>SUM(S189:AD189)</f>
        <v/>
      </c>
    </row>
    <row r="190">
      <c r="A190" s="7" t="n">
        <v>159</v>
      </c>
      <c r="B190" s="37">
        <f>$B$3+($B$4-$B$3)*A190/200</f>
        <v/>
      </c>
      <c r="C190" s="11">
        <f>IF(Inputs!$D$23=0,0,IF($B190&lt;=Inputs!$C$23,0,IF($B190&gt;=INDEX(LE_Curves!$C$5:$C$205,201),INDEX(LE_Curves!$B$5:$B$205,201),INDEX(LE_Curves!$B$5:$B$205,MATCH($B190,LE_Curves!$C$5:$C$205,1))+($B190-INDEX(LE_Curves!$C$5:$C$205,MATCH($B190,LE_Curves!$C$5:$C$205,1)))*(INDEX(LE_Curves!$B$5:$B$205,MATCH($B190,LE_Curves!$C$5:$C$205,1)+1)-INDEX(LE_Curves!$B$5:$B$205,MATCH($B190,LE_Curves!$C$5:$C$205,1)))/(INDEX(LE_Curves!$C$5:$C$205,MATCH($B190,LE_Curves!$C$5:$C$205,1)+1)-INDEX(LE_Curves!$C$5:$C$205,MATCH($B190,LE_Curves!$C$5:$C$205,1))))))</f>
        <v/>
      </c>
      <c r="D190" s="11">
        <f>IF(Inputs!$D$24=0,0,IF($B190&lt;=Inputs!$C$24,0,IF($B190&gt;=INDEX(LE_Curves!$D$5:$D$205,201),INDEX(LE_Curves!$B$5:$B$205,201),INDEX(LE_Curves!$B$5:$B$205,MATCH($B190,LE_Curves!$D$5:$D$205,1))+($B190-INDEX(LE_Curves!$D$5:$D$205,MATCH($B190,LE_Curves!$D$5:$D$205,1)))*(INDEX(LE_Curves!$B$5:$B$205,MATCH($B190,LE_Curves!$D$5:$D$205,1)+1)-INDEX(LE_Curves!$B$5:$B$205,MATCH($B190,LE_Curves!$D$5:$D$205,1)))/(INDEX(LE_Curves!$D$5:$D$205,MATCH($B190,LE_Curves!$D$5:$D$205,1)+1)-INDEX(LE_Curves!$D$5:$D$205,MATCH($B190,LE_Curves!$D$5:$D$205,1))))))</f>
        <v/>
      </c>
      <c r="E190" s="11">
        <f>IF(Inputs!$D$25=0,0,IF($B190&lt;=Inputs!$C$25,0,IF($B190&gt;=INDEX(LE_Curves!$E$5:$E$205,201),INDEX(LE_Curves!$B$5:$B$205,201),INDEX(LE_Curves!$B$5:$B$205,MATCH($B190,LE_Curves!$E$5:$E$205,1))+($B190-INDEX(LE_Curves!$E$5:$E$205,MATCH($B190,LE_Curves!$E$5:$E$205,1)))*(INDEX(LE_Curves!$B$5:$B$205,MATCH($B190,LE_Curves!$E$5:$E$205,1)+1)-INDEX(LE_Curves!$B$5:$B$205,MATCH($B190,LE_Curves!$E$5:$E$205,1)))/(INDEX(LE_Curves!$E$5:$E$205,MATCH($B190,LE_Curves!$E$5:$E$205,1)+1)-INDEX(LE_Curves!$E$5:$E$205,MATCH($B190,LE_Curves!$E$5:$E$205,1))))))</f>
        <v/>
      </c>
      <c r="F190" s="11">
        <f>IF(Inputs!$D$26=0,0,IF($B190&lt;=Inputs!$C$26,0,IF($B190&gt;=INDEX(LE_Curves!$F$5:$F$205,201),INDEX(LE_Curves!$B$5:$B$205,201),INDEX(LE_Curves!$B$5:$B$205,MATCH($B190,LE_Curves!$F$5:$F$205,1))+($B190-INDEX(LE_Curves!$F$5:$F$205,MATCH($B190,LE_Curves!$F$5:$F$205,1)))*(INDEX(LE_Curves!$B$5:$B$205,MATCH($B190,LE_Curves!$F$5:$F$205,1)+1)-INDEX(LE_Curves!$B$5:$B$205,MATCH($B190,LE_Curves!$F$5:$F$205,1)))/(INDEX(LE_Curves!$F$5:$F$205,MATCH($B190,LE_Curves!$F$5:$F$205,1)+1)-INDEX(LE_Curves!$F$5:$F$205,MATCH($B190,LE_Curves!$F$5:$F$205,1))))))</f>
        <v/>
      </c>
      <c r="G190" s="11">
        <f>IF(Inputs!$D$27=0,0,IF($B190&lt;=Inputs!$C$27,0,IF($B190&gt;=INDEX(LE_Curves!$G$5:$G$205,201),INDEX(LE_Curves!$B$5:$B$205,201),INDEX(LE_Curves!$B$5:$B$205,MATCH($B190,LE_Curves!$G$5:$G$205,1))+($B190-INDEX(LE_Curves!$G$5:$G$205,MATCH($B190,LE_Curves!$G$5:$G$205,1)))*(INDEX(LE_Curves!$B$5:$B$205,MATCH($B190,LE_Curves!$G$5:$G$205,1)+1)-INDEX(LE_Curves!$B$5:$B$205,MATCH($B190,LE_Curves!$G$5:$G$205,1)))/(INDEX(LE_Curves!$G$5:$G$205,MATCH($B190,LE_Curves!$G$5:$G$205,1)+1)-INDEX(LE_Curves!$G$5:$G$205,MATCH($B190,LE_Curves!$G$5:$G$205,1))))))</f>
        <v/>
      </c>
      <c r="H190" s="11">
        <f>IF(Inputs!$D$28=0,0,IF($B190&lt;=Inputs!$C$28,0,IF($B190&gt;=INDEX(LE_Curves!$H$5:$H$205,201),INDEX(LE_Curves!$B$5:$B$205,201),INDEX(LE_Curves!$B$5:$B$205,MATCH($B190,LE_Curves!$H$5:$H$205,1))+($B190-INDEX(LE_Curves!$H$5:$H$205,MATCH($B190,LE_Curves!$H$5:$H$205,1)))*(INDEX(LE_Curves!$B$5:$B$205,MATCH($B190,LE_Curves!$H$5:$H$205,1)+1)-INDEX(LE_Curves!$B$5:$B$205,MATCH($B190,LE_Curves!$H$5:$H$205,1)))/(INDEX(LE_Curves!$H$5:$H$205,MATCH($B190,LE_Curves!$H$5:$H$205,1)+1)-INDEX(LE_Curves!$H$5:$H$205,MATCH($B190,LE_Curves!$H$5:$H$205,1))))))</f>
        <v/>
      </c>
      <c r="I190" s="11">
        <f>IF(Inputs!$D$29=0,0,IF($B190&lt;=Inputs!$C$29,0,IF($B190&gt;=INDEX(LE_Curves!$I$5:$I$205,201),INDEX(LE_Curves!$B$5:$B$205,201),INDEX(LE_Curves!$B$5:$B$205,MATCH($B190,LE_Curves!$I$5:$I$205,1))+($B190-INDEX(LE_Curves!$I$5:$I$205,MATCH($B190,LE_Curves!$I$5:$I$205,1)))*(INDEX(LE_Curves!$B$5:$B$205,MATCH($B190,LE_Curves!$I$5:$I$205,1)+1)-INDEX(LE_Curves!$B$5:$B$205,MATCH($B190,LE_Curves!$I$5:$I$205,1)))/(INDEX(LE_Curves!$I$5:$I$205,MATCH($B190,LE_Curves!$I$5:$I$205,1)+1)-INDEX(LE_Curves!$I$5:$I$205,MATCH($B190,LE_Curves!$I$5:$I$205,1))))))</f>
        <v/>
      </c>
      <c r="J190" s="11">
        <f>IF(Inputs!$D$30=0,0,IF($B190&lt;=Inputs!$C$30,0,IF($B190&gt;=INDEX(LE_Curves!$J$5:$J$205,201),INDEX(LE_Curves!$B$5:$B$205,201),INDEX(LE_Curves!$B$5:$B$205,MATCH($B190,LE_Curves!$J$5:$J$205,1))+($B190-INDEX(LE_Curves!$J$5:$J$205,MATCH($B190,LE_Curves!$J$5:$J$205,1)))*(INDEX(LE_Curves!$B$5:$B$205,MATCH($B190,LE_Curves!$J$5:$J$205,1)+1)-INDEX(LE_Curves!$B$5:$B$205,MATCH($B190,LE_Curves!$J$5:$J$205,1)))/(INDEX(LE_Curves!$J$5:$J$205,MATCH($B190,LE_Curves!$J$5:$J$205,1)+1)-INDEX(LE_Curves!$J$5:$J$205,MATCH($B190,LE_Curves!$J$5:$J$205,1))))))</f>
        <v/>
      </c>
      <c r="K190" s="11">
        <f>IF(Inputs!$D$31=0,0,IF($B190&lt;=Inputs!$C$31,0,IF($B190&gt;=INDEX(LE_Curves!$K$5:$K$205,201),INDEX(LE_Curves!$B$5:$B$205,201),INDEX(LE_Curves!$B$5:$B$205,MATCH($B190,LE_Curves!$K$5:$K$205,1))+($B190-INDEX(LE_Curves!$K$5:$K$205,MATCH($B190,LE_Curves!$K$5:$K$205,1)))*(INDEX(LE_Curves!$B$5:$B$205,MATCH($B190,LE_Curves!$K$5:$K$205,1)+1)-INDEX(LE_Curves!$B$5:$B$205,MATCH($B190,LE_Curves!$K$5:$K$205,1)))/(INDEX(LE_Curves!$K$5:$K$205,MATCH($B190,LE_Curves!$K$5:$K$205,1)+1)-INDEX(LE_Curves!$K$5:$K$205,MATCH($B190,LE_Curves!$K$5:$K$205,1))))))</f>
        <v/>
      </c>
      <c r="L190" s="11">
        <f>IF(Inputs!$D$32=0,0,IF($B190&lt;=Inputs!$C$32,0,IF($B190&gt;=INDEX(LE_Curves!$L$5:$L$205,201),INDEX(LE_Curves!$B$5:$B$205,201),INDEX(LE_Curves!$B$5:$B$205,MATCH($B190,LE_Curves!$L$5:$L$205,1))+($B190-INDEX(LE_Curves!$L$5:$L$205,MATCH($B190,LE_Curves!$L$5:$L$205,1)))*(INDEX(LE_Curves!$B$5:$B$205,MATCH($B190,LE_Curves!$L$5:$L$205,1)+1)-INDEX(LE_Curves!$B$5:$B$205,MATCH($B190,LE_Curves!$L$5:$L$205,1)))/(INDEX(LE_Curves!$L$5:$L$205,MATCH($B190,LE_Curves!$L$5:$L$205,1)+1)-INDEX(LE_Curves!$L$5:$L$205,MATCH($B190,LE_Curves!$L$5:$L$205,1))))))</f>
        <v/>
      </c>
      <c r="M190" s="11">
        <f>IF(Inputs!$D$33=0,0,IF($B190&lt;=Inputs!$C$33,0,IF($B190&gt;=INDEX(LE_Curves!$M$5:$M$205,201),INDEX(LE_Curves!$B$5:$B$205,201),INDEX(LE_Curves!$B$5:$B$205,MATCH($B190,LE_Curves!$M$5:$M$205,1))+($B190-INDEX(LE_Curves!$M$5:$M$205,MATCH($B190,LE_Curves!$M$5:$M$205,1)))*(INDEX(LE_Curves!$B$5:$B$205,MATCH($B190,LE_Curves!$M$5:$M$205,1)+1)-INDEX(LE_Curves!$B$5:$B$205,MATCH($B190,LE_Curves!$M$5:$M$205,1)))/(INDEX(LE_Curves!$M$5:$M$205,MATCH($B190,LE_Curves!$M$5:$M$205,1)+1)-INDEX(LE_Curves!$M$5:$M$205,MATCH($B190,LE_Curves!$M$5:$M$205,1))))))</f>
        <v/>
      </c>
      <c r="N190" s="11">
        <f>IF(Inputs!$D$34=0,0,IF($B190&lt;=Inputs!$C$34,0,IF($B190&gt;=INDEX(LE_Curves!$N$5:$N$205,201),INDEX(LE_Curves!$B$5:$B$205,201),INDEX(LE_Curves!$B$5:$B$205,MATCH($B190,LE_Curves!$N$5:$N$205,1))+($B190-INDEX(LE_Curves!$N$5:$N$205,MATCH($B190,LE_Curves!$N$5:$N$205,1)))*(INDEX(LE_Curves!$B$5:$B$205,MATCH($B190,LE_Curves!$N$5:$N$205,1)+1)-INDEX(LE_Curves!$B$5:$B$205,MATCH($B190,LE_Curves!$N$5:$N$205,1)))/(INDEX(LE_Curves!$N$5:$N$205,MATCH($B190,LE_Curves!$N$5:$N$205,1)+1)-INDEX(LE_Curves!$N$5:$N$205,MATCH($B190,LE_Curves!$N$5:$N$205,1))))))</f>
        <v/>
      </c>
      <c r="O190" s="11">
        <f>SUM(C190:N190)</f>
        <v/>
      </c>
      <c r="Q190" s="7" t="n">
        <v>159</v>
      </c>
      <c r="R190" s="23">
        <f>$B$6+($B$7-$B$6)*Q190/200</f>
        <v/>
      </c>
      <c r="S190" s="11">
        <f>IF(Inputs!$D$23=0,0,IF($R190&lt;=Inputs!$C$23,0,IF($R190&gt;=INDEX(LE_Curves!$C$5:$C$205,201),INDEX(LE_Curves!$B$5:$B$205,201),INDEX(LE_Curves!$B$5:$B$205,MATCH($R190,LE_Curves!$C$5:$C$205,1))+($R190-INDEX(LE_Curves!$C$5:$C$205,MATCH($R190,LE_Curves!$C$5:$C$205,1)))*(INDEX(LE_Curves!$B$5:$B$205,MATCH($R190,LE_Curves!$C$5:$C$205,1)+1)-INDEX(LE_Curves!$B$5:$B$205,MATCH($R190,LE_Curves!$C$5:$C$205,1)))/(INDEX(LE_Curves!$C$5:$C$205,MATCH($R190,LE_Curves!$C$5:$C$205,1)+1)-INDEX(LE_Curves!$C$5:$C$205,MATCH($R190,LE_Curves!$C$5:$C$205,1))))))</f>
        <v/>
      </c>
      <c r="T190" s="11">
        <f>IF(Inputs!$D$24=0,0,IF($R190&lt;=Inputs!$C$24,0,IF($R190&gt;=INDEX(LE_Curves!$D$5:$D$205,201),INDEX(LE_Curves!$B$5:$B$205,201),INDEX(LE_Curves!$B$5:$B$205,MATCH($R190,LE_Curves!$D$5:$D$205,1))+($R190-INDEX(LE_Curves!$D$5:$D$205,MATCH($R190,LE_Curves!$D$5:$D$205,1)))*(INDEX(LE_Curves!$B$5:$B$205,MATCH($R190,LE_Curves!$D$5:$D$205,1)+1)-INDEX(LE_Curves!$B$5:$B$205,MATCH($R190,LE_Curves!$D$5:$D$205,1)))/(INDEX(LE_Curves!$D$5:$D$205,MATCH($R190,LE_Curves!$D$5:$D$205,1)+1)-INDEX(LE_Curves!$D$5:$D$205,MATCH($R190,LE_Curves!$D$5:$D$205,1))))))</f>
        <v/>
      </c>
      <c r="U190" s="11">
        <f>IF(Inputs!$D$25=0,0,IF($R190&lt;=Inputs!$C$25,0,IF($R190&gt;=INDEX(LE_Curves!$E$5:$E$205,201),INDEX(LE_Curves!$B$5:$B$205,201),INDEX(LE_Curves!$B$5:$B$205,MATCH($R190,LE_Curves!$E$5:$E$205,1))+($R190-INDEX(LE_Curves!$E$5:$E$205,MATCH($R190,LE_Curves!$E$5:$E$205,1)))*(INDEX(LE_Curves!$B$5:$B$205,MATCH($R190,LE_Curves!$E$5:$E$205,1)+1)-INDEX(LE_Curves!$B$5:$B$205,MATCH($R190,LE_Curves!$E$5:$E$205,1)))/(INDEX(LE_Curves!$E$5:$E$205,MATCH($R190,LE_Curves!$E$5:$E$205,1)+1)-INDEX(LE_Curves!$E$5:$E$205,MATCH($R190,LE_Curves!$E$5:$E$205,1))))))</f>
        <v/>
      </c>
      <c r="V190" s="11">
        <f>IF(Inputs!$D$26=0,0,IF($R190&lt;=Inputs!$C$26,0,IF($R190&gt;=INDEX(LE_Curves!$F$5:$F$205,201),INDEX(LE_Curves!$B$5:$B$205,201),INDEX(LE_Curves!$B$5:$B$205,MATCH($R190,LE_Curves!$F$5:$F$205,1))+($R190-INDEX(LE_Curves!$F$5:$F$205,MATCH($R190,LE_Curves!$F$5:$F$205,1)))*(INDEX(LE_Curves!$B$5:$B$205,MATCH($R190,LE_Curves!$F$5:$F$205,1)+1)-INDEX(LE_Curves!$B$5:$B$205,MATCH($R190,LE_Curves!$F$5:$F$205,1)))/(INDEX(LE_Curves!$F$5:$F$205,MATCH($R190,LE_Curves!$F$5:$F$205,1)+1)-INDEX(LE_Curves!$F$5:$F$205,MATCH($R190,LE_Curves!$F$5:$F$205,1))))))</f>
        <v/>
      </c>
      <c r="W190" s="11">
        <f>IF(Inputs!$D$27=0,0,IF($R190&lt;=Inputs!$C$27,0,IF($R190&gt;=INDEX(LE_Curves!$G$5:$G$205,201),INDEX(LE_Curves!$B$5:$B$205,201),INDEX(LE_Curves!$B$5:$B$205,MATCH($R190,LE_Curves!$G$5:$G$205,1))+($R190-INDEX(LE_Curves!$G$5:$G$205,MATCH($R190,LE_Curves!$G$5:$G$205,1)))*(INDEX(LE_Curves!$B$5:$B$205,MATCH($R190,LE_Curves!$G$5:$G$205,1)+1)-INDEX(LE_Curves!$B$5:$B$205,MATCH($R190,LE_Curves!$G$5:$G$205,1)))/(INDEX(LE_Curves!$G$5:$G$205,MATCH($R190,LE_Curves!$G$5:$G$205,1)+1)-INDEX(LE_Curves!$G$5:$G$205,MATCH($R190,LE_Curves!$G$5:$G$205,1))))))</f>
        <v/>
      </c>
      <c r="X190" s="11">
        <f>IF(Inputs!$D$28=0,0,IF($R190&lt;=Inputs!$C$28,0,IF($R190&gt;=INDEX(LE_Curves!$H$5:$H$205,201),INDEX(LE_Curves!$B$5:$B$205,201),INDEX(LE_Curves!$B$5:$B$205,MATCH($R190,LE_Curves!$H$5:$H$205,1))+($R190-INDEX(LE_Curves!$H$5:$H$205,MATCH($R190,LE_Curves!$H$5:$H$205,1)))*(INDEX(LE_Curves!$B$5:$B$205,MATCH($R190,LE_Curves!$H$5:$H$205,1)+1)-INDEX(LE_Curves!$B$5:$B$205,MATCH($R190,LE_Curves!$H$5:$H$205,1)))/(INDEX(LE_Curves!$H$5:$H$205,MATCH($R190,LE_Curves!$H$5:$H$205,1)+1)-INDEX(LE_Curves!$H$5:$H$205,MATCH($R190,LE_Curves!$H$5:$H$205,1))))))</f>
        <v/>
      </c>
      <c r="Y190" s="11">
        <f>IF(Inputs!$D$29=0,0,IF($R190&lt;=Inputs!$C$29,0,IF($R190&gt;=INDEX(LE_Curves!$I$5:$I$205,201),INDEX(LE_Curves!$B$5:$B$205,201),INDEX(LE_Curves!$B$5:$B$205,MATCH($R190,LE_Curves!$I$5:$I$205,1))+($R190-INDEX(LE_Curves!$I$5:$I$205,MATCH($R190,LE_Curves!$I$5:$I$205,1)))*(INDEX(LE_Curves!$B$5:$B$205,MATCH($R190,LE_Curves!$I$5:$I$205,1)+1)-INDEX(LE_Curves!$B$5:$B$205,MATCH($R190,LE_Curves!$I$5:$I$205,1)))/(INDEX(LE_Curves!$I$5:$I$205,MATCH($R190,LE_Curves!$I$5:$I$205,1)+1)-INDEX(LE_Curves!$I$5:$I$205,MATCH($R190,LE_Curves!$I$5:$I$205,1))))))</f>
        <v/>
      </c>
      <c r="Z190" s="11">
        <f>IF(Inputs!$D$30=0,0,IF($R190&lt;=Inputs!$C$30,0,IF($R190&gt;=INDEX(LE_Curves!$J$5:$J$205,201),INDEX(LE_Curves!$B$5:$B$205,201),INDEX(LE_Curves!$B$5:$B$205,MATCH($R190,LE_Curves!$J$5:$J$205,1))+($R190-INDEX(LE_Curves!$J$5:$J$205,MATCH($R190,LE_Curves!$J$5:$J$205,1)))*(INDEX(LE_Curves!$B$5:$B$205,MATCH($R190,LE_Curves!$J$5:$J$205,1)+1)-INDEX(LE_Curves!$B$5:$B$205,MATCH($R190,LE_Curves!$J$5:$J$205,1)))/(INDEX(LE_Curves!$J$5:$J$205,MATCH($R190,LE_Curves!$J$5:$J$205,1)+1)-INDEX(LE_Curves!$J$5:$J$205,MATCH($R190,LE_Curves!$J$5:$J$205,1))))))</f>
        <v/>
      </c>
      <c r="AA190" s="11">
        <f>IF(Inputs!$D$31=0,0,IF($R190&lt;=Inputs!$C$31,0,IF($R190&gt;=INDEX(LE_Curves!$K$5:$K$205,201),INDEX(LE_Curves!$B$5:$B$205,201),INDEX(LE_Curves!$B$5:$B$205,MATCH($R190,LE_Curves!$K$5:$K$205,1))+($R190-INDEX(LE_Curves!$K$5:$K$205,MATCH($R190,LE_Curves!$K$5:$K$205,1)))*(INDEX(LE_Curves!$B$5:$B$205,MATCH($R190,LE_Curves!$K$5:$K$205,1)+1)-INDEX(LE_Curves!$B$5:$B$205,MATCH($R190,LE_Curves!$K$5:$K$205,1)))/(INDEX(LE_Curves!$K$5:$K$205,MATCH($R190,LE_Curves!$K$5:$K$205,1)+1)-INDEX(LE_Curves!$K$5:$K$205,MATCH($R190,LE_Curves!$K$5:$K$205,1))))))</f>
        <v/>
      </c>
      <c r="AB190" s="11">
        <f>IF(Inputs!$D$32=0,0,IF($R190&lt;=Inputs!$C$32,0,IF($R190&gt;=INDEX(LE_Curves!$L$5:$L$205,201),INDEX(LE_Curves!$B$5:$B$205,201),INDEX(LE_Curves!$B$5:$B$205,MATCH($R190,LE_Curves!$L$5:$L$205,1))+($R190-INDEX(LE_Curves!$L$5:$L$205,MATCH($R190,LE_Curves!$L$5:$L$205,1)))*(INDEX(LE_Curves!$B$5:$B$205,MATCH($R190,LE_Curves!$L$5:$L$205,1)+1)-INDEX(LE_Curves!$B$5:$B$205,MATCH($R190,LE_Curves!$L$5:$L$205,1)))/(INDEX(LE_Curves!$L$5:$L$205,MATCH($R190,LE_Curves!$L$5:$L$205,1)+1)-INDEX(LE_Curves!$L$5:$L$205,MATCH($R190,LE_Curves!$L$5:$L$205,1))))))</f>
        <v/>
      </c>
      <c r="AC190" s="11">
        <f>IF(Inputs!$D$33=0,0,IF($R190&lt;=Inputs!$C$33,0,IF($R190&gt;=INDEX(LE_Curves!$M$5:$M$205,201),INDEX(LE_Curves!$B$5:$B$205,201),INDEX(LE_Curves!$B$5:$B$205,MATCH($R190,LE_Curves!$M$5:$M$205,1))+($R190-INDEX(LE_Curves!$M$5:$M$205,MATCH($R190,LE_Curves!$M$5:$M$205,1)))*(INDEX(LE_Curves!$B$5:$B$205,MATCH($R190,LE_Curves!$M$5:$M$205,1)+1)-INDEX(LE_Curves!$B$5:$B$205,MATCH($R190,LE_Curves!$M$5:$M$205,1)))/(INDEX(LE_Curves!$M$5:$M$205,MATCH($R190,LE_Curves!$M$5:$M$205,1)+1)-INDEX(LE_Curves!$M$5:$M$205,MATCH($R190,LE_Curves!$M$5:$M$205,1))))))</f>
        <v/>
      </c>
      <c r="AD190" s="11">
        <f>IF(Inputs!$D$34=0,0,IF($R190&lt;=Inputs!$C$34,0,IF($R190&gt;=INDEX(LE_Curves!$N$5:$N$205,201),INDEX(LE_Curves!$B$5:$B$205,201),INDEX(LE_Curves!$B$5:$B$205,MATCH($R190,LE_Curves!$N$5:$N$205,1))+($R190-INDEX(LE_Curves!$N$5:$N$205,MATCH($R190,LE_Curves!$N$5:$N$205,1)))*(INDEX(LE_Curves!$B$5:$B$205,MATCH($R190,LE_Curves!$N$5:$N$205,1)+1)-INDEX(LE_Curves!$B$5:$B$205,MATCH($R190,LE_Curves!$N$5:$N$205,1)))/(INDEX(LE_Curves!$N$5:$N$205,MATCH($R190,LE_Curves!$N$5:$N$205,1)+1)-INDEX(LE_Curves!$N$5:$N$205,MATCH($R190,LE_Curves!$N$5:$N$205,1))))))</f>
        <v/>
      </c>
      <c r="AE190" s="37">
        <f>SUM(S190:AD190)</f>
        <v/>
      </c>
    </row>
    <row r="191">
      <c r="A191" s="7" t="n">
        <v>160</v>
      </c>
      <c r="B191" s="37">
        <f>$B$3+($B$4-$B$3)*A191/200</f>
        <v/>
      </c>
      <c r="C191" s="11">
        <f>IF(Inputs!$D$23=0,0,IF($B191&lt;=Inputs!$C$23,0,IF($B191&gt;=INDEX(LE_Curves!$C$5:$C$205,201),INDEX(LE_Curves!$B$5:$B$205,201),INDEX(LE_Curves!$B$5:$B$205,MATCH($B191,LE_Curves!$C$5:$C$205,1))+($B191-INDEX(LE_Curves!$C$5:$C$205,MATCH($B191,LE_Curves!$C$5:$C$205,1)))*(INDEX(LE_Curves!$B$5:$B$205,MATCH($B191,LE_Curves!$C$5:$C$205,1)+1)-INDEX(LE_Curves!$B$5:$B$205,MATCH($B191,LE_Curves!$C$5:$C$205,1)))/(INDEX(LE_Curves!$C$5:$C$205,MATCH($B191,LE_Curves!$C$5:$C$205,1)+1)-INDEX(LE_Curves!$C$5:$C$205,MATCH($B191,LE_Curves!$C$5:$C$205,1))))))</f>
        <v/>
      </c>
      <c r="D191" s="11">
        <f>IF(Inputs!$D$24=0,0,IF($B191&lt;=Inputs!$C$24,0,IF($B191&gt;=INDEX(LE_Curves!$D$5:$D$205,201),INDEX(LE_Curves!$B$5:$B$205,201),INDEX(LE_Curves!$B$5:$B$205,MATCH($B191,LE_Curves!$D$5:$D$205,1))+($B191-INDEX(LE_Curves!$D$5:$D$205,MATCH($B191,LE_Curves!$D$5:$D$205,1)))*(INDEX(LE_Curves!$B$5:$B$205,MATCH($B191,LE_Curves!$D$5:$D$205,1)+1)-INDEX(LE_Curves!$B$5:$B$205,MATCH($B191,LE_Curves!$D$5:$D$205,1)))/(INDEX(LE_Curves!$D$5:$D$205,MATCH($B191,LE_Curves!$D$5:$D$205,1)+1)-INDEX(LE_Curves!$D$5:$D$205,MATCH($B191,LE_Curves!$D$5:$D$205,1))))))</f>
        <v/>
      </c>
      <c r="E191" s="11">
        <f>IF(Inputs!$D$25=0,0,IF($B191&lt;=Inputs!$C$25,0,IF($B191&gt;=INDEX(LE_Curves!$E$5:$E$205,201),INDEX(LE_Curves!$B$5:$B$205,201),INDEX(LE_Curves!$B$5:$B$205,MATCH($B191,LE_Curves!$E$5:$E$205,1))+($B191-INDEX(LE_Curves!$E$5:$E$205,MATCH($B191,LE_Curves!$E$5:$E$205,1)))*(INDEX(LE_Curves!$B$5:$B$205,MATCH($B191,LE_Curves!$E$5:$E$205,1)+1)-INDEX(LE_Curves!$B$5:$B$205,MATCH($B191,LE_Curves!$E$5:$E$205,1)))/(INDEX(LE_Curves!$E$5:$E$205,MATCH($B191,LE_Curves!$E$5:$E$205,1)+1)-INDEX(LE_Curves!$E$5:$E$205,MATCH($B191,LE_Curves!$E$5:$E$205,1))))))</f>
        <v/>
      </c>
      <c r="F191" s="11">
        <f>IF(Inputs!$D$26=0,0,IF($B191&lt;=Inputs!$C$26,0,IF($B191&gt;=INDEX(LE_Curves!$F$5:$F$205,201),INDEX(LE_Curves!$B$5:$B$205,201),INDEX(LE_Curves!$B$5:$B$205,MATCH($B191,LE_Curves!$F$5:$F$205,1))+($B191-INDEX(LE_Curves!$F$5:$F$205,MATCH($B191,LE_Curves!$F$5:$F$205,1)))*(INDEX(LE_Curves!$B$5:$B$205,MATCH($B191,LE_Curves!$F$5:$F$205,1)+1)-INDEX(LE_Curves!$B$5:$B$205,MATCH($B191,LE_Curves!$F$5:$F$205,1)))/(INDEX(LE_Curves!$F$5:$F$205,MATCH($B191,LE_Curves!$F$5:$F$205,1)+1)-INDEX(LE_Curves!$F$5:$F$205,MATCH($B191,LE_Curves!$F$5:$F$205,1))))))</f>
        <v/>
      </c>
      <c r="G191" s="11">
        <f>IF(Inputs!$D$27=0,0,IF($B191&lt;=Inputs!$C$27,0,IF($B191&gt;=INDEX(LE_Curves!$G$5:$G$205,201),INDEX(LE_Curves!$B$5:$B$205,201),INDEX(LE_Curves!$B$5:$B$205,MATCH($B191,LE_Curves!$G$5:$G$205,1))+($B191-INDEX(LE_Curves!$G$5:$G$205,MATCH($B191,LE_Curves!$G$5:$G$205,1)))*(INDEX(LE_Curves!$B$5:$B$205,MATCH($B191,LE_Curves!$G$5:$G$205,1)+1)-INDEX(LE_Curves!$B$5:$B$205,MATCH($B191,LE_Curves!$G$5:$G$205,1)))/(INDEX(LE_Curves!$G$5:$G$205,MATCH($B191,LE_Curves!$G$5:$G$205,1)+1)-INDEX(LE_Curves!$G$5:$G$205,MATCH($B191,LE_Curves!$G$5:$G$205,1))))))</f>
        <v/>
      </c>
      <c r="H191" s="11">
        <f>IF(Inputs!$D$28=0,0,IF($B191&lt;=Inputs!$C$28,0,IF($B191&gt;=INDEX(LE_Curves!$H$5:$H$205,201),INDEX(LE_Curves!$B$5:$B$205,201),INDEX(LE_Curves!$B$5:$B$205,MATCH($B191,LE_Curves!$H$5:$H$205,1))+($B191-INDEX(LE_Curves!$H$5:$H$205,MATCH($B191,LE_Curves!$H$5:$H$205,1)))*(INDEX(LE_Curves!$B$5:$B$205,MATCH($B191,LE_Curves!$H$5:$H$205,1)+1)-INDEX(LE_Curves!$B$5:$B$205,MATCH($B191,LE_Curves!$H$5:$H$205,1)))/(INDEX(LE_Curves!$H$5:$H$205,MATCH($B191,LE_Curves!$H$5:$H$205,1)+1)-INDEX(LE_Curves!$H$5:$H$205,MATCH($B191,LE_Curves!$H$5:$H$205,1))))))</f>
        <v/>
      </c>
      <c r="I191" s="11">
        <f>IF(Inputs!$D$29=0,0,IF($B191&lt;=Inputs!$C$29,0,IF($B191&gt;=INDEX(LE_Curves!$I$5:$I$205,201),INDEX(LE_Curves!$B$5:$B$205,201),INDEX(LE_Curves!$B$5:$B$205,MATCH($B191,LE_Curves!$I$5:$I$205,1))+($B191-INDEX(LE_Curves!$I$5:$I$205,MATCH($B191,LE_Curves!$I$5:$I$205,1)))*(INDEX(LE_Curves!$B$5:$B$205,MATCH($B191,LE_Curves!$I$5:$I$205,1)+1)-INDEX(LE_Curves!$B$5:$B$205,MATCH($B191,LE_Curves!$I$5:$I$205,1)))/(INDEX(LE_Curves!$I$5:$I$205,MATCH($B191,LE_Curves!$I$5:$I$205,1)+1)-INDEX(LE_Curves!$I$5:$I$205,MATCH($B191,LE_Curves!$I$5:$I$205,1))))))</f>
        <v/>
      </c>
      <c r="J191" s="11">
        <f>IF(Inputs!$D$30=0,0,IF($B191&lt;=Inputs!$C$30,0,IF($B191&gt;=INDEX(LE_Curves!$J$5:$J$205,201),INDEX(LE_Curves!$B$5:$B$205,201),INDEX(LE_Curves!$B$5:$B$205,MATCH($B191,LE_Curves!$J$5:$J$205,1))+($B191-INDEX(LE_Curves!$J$5:$J$205,MATCH($B191,LE_Curves!$J$5:$J$205,1)))*(INDEX(LE_Curves!$B$5:$B$205,MATCH($B191,LE_Curves!$J$5:$J$205,1)+1)-INDEX(LE_Curves!$B$5:$B$205,MATCH($B191,LE_Curves!$J$5:$J$205,1)))/(INDEX(LE_Curves!$J$5:$J$205,MATCH($B191,LE_Curves!$J$5:$J$205,1)+1)-INDEX(LE_Curves!$J$5:$J$205,MATCH($B191,LE_Curves!$J$5:$J$205,1))))))</f>
        <v/>
      </c>
      <c r="K191" s="11">
        <f>IF(Inputs!$D$31=0,0,IF($B191&lt;=Inputs!$C$31,0,IF($B191&gt;=INDEX(LE_Curves!$K$5:$K$205,201),INDEX(LE_Curves!$B$5:$B$205,201),INDEX(LE_Curves!$B$5:$B$205,MATCH($B191,LE_Curves!$K$5:$K$205,1))+($B191-INDEX(LE_Curves!$K$5:$K$205,MATCH($B191,LE_Curves!$K$5:$K$205,1)))*(INDEX(LE_Curves!$B$5:$B$205,MATCH($B191,LE_Curves!$K$5:$K$205,1)+1)-INDEX(LE_Curves!$B$5:$B$205,MATCH($B191,LE_Curves!$K$5:$K$205,1)))/(INDEX(LE_Curves!$K$5:$K$205,MATCH($B191,LE_Curves!$K$5:$K$205,1)+1)-INDEX(LE_Curves!$K$5:$K$205,MATCH($B191,LE_Curves!$K$5:$K$205,1))))))</f>
        <v/>
      </c>
      <c r="L191" s="11">
        <f>IF(Inputs!$D$32=0,0,IF($B191&lt;=Inputs!$C$32,0,IF($B191&gt;=INDEX(LE_Curves!$L$5:$L$205,201),INDEX(LE_Curves!$B$5:$B$205,201),INDEX(LE_Curves!$B$5:$B$205,MATCH($B191,LE_Curves!$L$5:$L$205,1))+($B191-INDEX(LE_Curves!$L$5:$L$205,MATCH($B191,LE_Curves!$L$5:$L$205,1)))*(INDEX(LE_Curves!$B$5:$B$205,MATCH($B191,LE_Curves!$L$5:$L$205,1)+1)-INDEX(LE_Curves!$B$5:$B$205,MATCH($B191,LE_Curves!$L$5:$L$205,1)))/(INDEX(LE_Curves!$L$5:$L$205,MATCH($B191,LE_Curves!$L$5:$L$205,1)+1)-INDEX(LE_Curves!$L$5:$L$205,MATCH($B191,LE_Curves!$L$5:$L$205,1))))))</f>
        <v/>
      </c>
      <c r="M191" s="11">
        <f>IF(Inputs!$D$33=0,0,IF($B191&lt;=Inputs!$C$33,0,IF($B191&gt;=INDEX(LE_Curves!$M$5:$M$205,201),INDEX(LE_Curves!$B$5:$B$205,201),INDEX(LE_Curves!$B$5:$B$205,MATCH($B191,LE_Curves!$M$5:$M$205,1))+($B191-INDEX(LE_Curves!$M$5:$M$205,MATCH($B191,LE_Curves!$M$5:$M$205,1)))*(INDEX(LE_Curves!$B$5:$B$205,MATCH($B191,LE_Curves!$M$5:$M$205,1)+1)-INDEX(LE_Curves!$B$5:$B$205,MATCH($B191,LE_Curves!$M$5:$M$205,1)))/(INDEX(LE_Curves!$M$5:$M$205,MATCH($B191,LE_Curves!$M$5:$M$205,1)+1)-INDEX(LE_Curves!$M$5:$M$205,MATCH($B191,LE_Curves!$M$5:$M$205,1))))))</f>
        <v/>
      </c>
      <c r="N191" s="11">
        <f>IF(Inputs!$D$34=0,0,IF($B191&lt;=Inputs!$C$34,0,IF($B191&gt;=INDEX(LE_Curves!$N$5:$N$205,201),INDEX(LE_Curves!$B$5:$B$205,201),INDEX(LE_Curves!$B$5:$B$205,MATCH($B191,LE_Curves!$N$5:$N$205,1))+($B191-INDEX(LE_Curves!$N$5:$N$205,MATCH($B191,LE_Curves!$N$5:$N$205,1)))*(INDEX(LE_Curves!$B$5:$B$205,MATCH($B191,LE_Curves!$N$5:$N$205,1)+1)-INDEX(LE_Curves!$B$5:$B$205,MATCH($B191,LE_Curves!$N$5:$N$205,1)))/(INDEX(LE_Curves!$N$5:$N$205,MATCH($B191,LE_Curves!$N$5:$N$205,1)+1)-INDEX(LE_Curves!$N$5:$N$205,MATCH($B191,LE_Curves!$N$5:$N$205,1))))))</f>
        <v/>
      </c>
      <c r="O191" s="11">
        <f>SUM(C191:N191)</f>
        <v/>
      </c>
      <c r="Q191" s="7" t="n">
        <v>160</v>
      </c>
      <c r="R191" s="23">
        <f>$B$6+($B$7-$B$6)*Q191/200</f>
        <v/>
      </c>
      <c r="S191" s="11">
        <f>IF(Inputs!$D$23=0,0,IF($R191&lt;=Inputs!$C$23,0,IF($R191&gt;=INDEX(LE_Curves!$C$5:$C$205,201),INDEX(LE_Curves!$B$5:$B$205,201),INDEX(LE_Curves!$B$5:$B$205,MATCH($R191,LE_Curves!$C$5:$C$205,1))+($R191-INDEX(LE_Curves!$C$5:$C$205,MATCH($R191,LE_Curves!$C$5:$C$205,1)))*(INDEX(LE_Curves!$B$5:$B$205,MATCH($R191,LE_Curves!$C$5:$C$205,1)+1)-INDEX(LE_Curves!$B$5:$B$205,MATCH($R191,LE_Curves!$C$5:$C$205,1)))/(INDEX(LE_Curves!$C$5:$C$205,MATCH($R191,LE_Curves!$C$5:$C$205,1)+1)-INDEX(LE_Curves!$C$5:$C$205,MATCH($R191,LE_Curves!$C$5:$C$205,1))))))</f>
        <v/>
      </c>
      <c r="T191" s="11">
        <f>IF(Inputs!$D$24=0,0,IF($R191&lt;=Inputs!$C$24,0,IF($R191&gt;=INDEX(LE_Curves!$D$5:$D$205,201),INDEX(LE_Curves!$B$5:$B$205,201),INDEX(LE_Curves!$B$5:$B$205,MATCH($R191,LE_Curves!$D$5:$D$205,1))+($R191-INDEX(LE_Curves!$D$5:$D$205,MATCH($R191,LE_Curves!$D$5:$D$205,1)))*(INDEX(LE_Curves!$B$5:$B$205,MATCH($R191,LE_Curves!$D$5:$D$205,1)+1)-INDEX(LE_Curves!$B$5:$B$205,MATCH($R191,LE_Curves!$D$5:$D$205,1)))/(INDEX(LE_Curves!$D$5:$D$205,MATCH($R191,LE_Curves!$D$5:$D$205,1)+1)-INDEX(LE_Curves!$D$5:$D$205,MATCH($R191,LE_Curves!$D$5:$D$205,1))))))</f>
        <v/>
      </c>
      <c r="U191" s="11">
        <f>IF(Inputs!$D$25=0,0,IF($R191&lt;=Inputs!$C$25,0,IF($R191&gt;=INDEX(LE_Curves!$E$5:$E$205,201),INDEX(LE_Curves!$B$5:$B$205,201),INDEX(LE_Curves!$B$5:$B$205,MATCH($R191,LE_Curves!$E$5:$E$205,1))+($R191-INDEX(LE_Curves!$E$5:$E$205,MATCH($R191,LE_Curves!$E$5:$E$205,1)))*(INDEX(LE_Curves!$B$5:$B$205,MATCH($R191,LE_Curves!$E$5:$E$205,1)+1)-INDEX(LE_Curves!$B$5:$B$205,MATCH($R191,LE_Curves!$E$5:$E$205,1)))/(INDEX(LE_Curves!$E$5:$E$205,MATCH($R191,LE_Curves!$E$5:$E$205,1)+1)-INDEX(LE_Curves!$E$5:$E$205,MATCH($R191,LE_Curves!$E$5:$E$205,1))))))</f>
        <v/>
      </c>
      <c r="V191" s="11">
        <f>IF(Inputs!$D$26=0,0,IF($R191&lt;=Inputs!$C$26,0,IF($R191&gt;=INDEX(LE_Curves!$F$5:$F$205,201),INDEX(LE_Curves!$B$5:$B$205,201),INDEX(LE_Curves!$B$5:$B$205,MATCH($R191,LE_Curves!$F$5:$F$205,1))+($R191-INDEX(LE_Curves!$F$5:$F$205,MATCH($R191,LE_Curves!$F$5:$F$205,1)))*(INDEX(LE_Curves!$B$5:$B$205,MATCH($R191,LE_Curves!$F$5:$F$205,1)+1)-INDEX(LE_Curves!$B$5:$B$205,MATCH($R191,LE_Curves!$F$5:$F$205,1)))/(INDEX(LE_Curves!$F$5:$F$205,MATCH($R191,LE_Curves!$F$5:$F$205,1)+1)-INDEX(LE_Curves!$F$5:$F$205,MATCH($R191,LE_Curves!$F$5:$F$205,1))))))</f>
        <v/>
      </c>
      <c r="W191" s="11">
        <f>IF(Inputs!$D$27=0,0,IF($R191&lt;=Inputs!$C$27,0,IF($R191&gt;=INDEX(LE_Curves!$G$5:$G$205,201),INDEX(LE_Curves!$B$5:$B$205,201),INDEX(LE_Curves!$B$5:$B$205,MATCH($R191,LE_Curves!$G$5:$G$205,1))+($R191-INDEX(LE_Curves!$G$5:$G$205,MATCH($R191,LE_Curves!$G$5:$G$205,1)))*(INDEX(LE_Curves!$B$5:$B$205,MATCH($R191,LE_Curves!$G$5:$G$205,1)+1)-INDEX(LE_Curves!$B$5:$B$205,MATCH($R191,LE_Curves!$G$5:$G$205,1)))/(INDEX(LE_Curves!$G$5:$G$205,MATCH($R191,LE_Curves!$G$5:$G$205,1)+1)-INDEX(LE_Curves!$G$5:$G$205,MATCH($R191,LE_Curves!$G$5:$G$205,1))))))</f>
        <v/>
      </c>
      <c r="X191" s="11">
        <f>IF(Inputs!$D$28=0,0,IF($R191&lt;=Inputs!$C$28,0,IF($R191&gt;=INDEX(LE_Curves!$H$5:$H$205,201),INDEX(LE_Curves!$B$5:$B$205,201),INDEX(LE_Curves!$B$5:$B$205,MATCH($R191,LE_Curves!$H$5:$H$205,1))+($R191-INDEX(LE_Curves!$H$5:$H$205,MATCH($R191,LE_Curves!$H$5:$H$205,1)))*(INDEX(LE_Curves!$B$5:$B$205,MATCH($R191,LE_Curves!$H$5:$H$205,1)+1)-INDEX(LE_Curves!$B$5:$B$205,MATCH($R191,LE_Curves!$H$5:$H$205,1)))/(INDEX(LE_Curves!$H$5:$H$205,MATCH($R191,LE_Curves!$H$5:$H$205,1)+1)-INDEX(LE_Curves!$H$5:$H$205,MATCH($R191,LE_Curves!$H$5:$H$205,1))))))</f>
        <v/>
      </c>
      <c r="Y191" s="11">
        <f>IF(Inputs!$D$29=0,0,IF($R191&lt;=Inputs!$C$29,0,IF($R191&gt;=INDEX(LE_Curves!$I$5:$I$205,201),INDEX(LE_Curves!$B$5:$B$205,201),INDEX(LE_Curves!$B$5:$B$205,MATCH($R191,LE_Curves!$I$5:$I$205,1))+($R191-INDEX(LE_Curves!$I$5:$I$205,MATCH($R191,LE_Curves!$I$5:$I$205,1)))*(INDEX(LE_Curves!$B$5:$B$205,MATCH($R191,LE_Curves!$I$5:$I$205,1)+1)-INDEX(LE_Curves!$B$5:$B$205,MATCH($R191,LE_Curves!$I$5:$I$205,1)))/(INDEX(LE_Curves!$I$5:$I$205,MATCH($R191,LE_Curves!$I$5:$I$205,1)+1)-INDEX(LE_Curves!$I$5:$I$205,MATCH($R191,LE_Curves!$I$5:$I$205,1))))))</f>
        <v/>
      </c>
      <c r="Z191" s="11">
        <f>IF(Inputs!$D$30=0,0,IF($R191&lt;=Inputs!$C$30,0,IF($R191&gt;=INDEX(LE_Curves!$J$5:$J$205,201),INDEX(LE_Curves!$B$5:$B$205,201),INDEX(LE_Curves!$B$5:$B$205,MATCH($R191,LE_Curves!$J$5:$J$205,1))+($R191-INDEX(LE_Curves!$J$5:$J$205,MATCH($R191,LE_Curves!$J$5:$J$205,1)))*(INDEX(LE_Curves!$B$5:$B$205,MATCH($R191,LE_Curves!$J$5:$J$205,1)+1)-INDEX(LE_Curves!$B$5:$B$205,MATCH($R191,LE_Curves!$J$5:$J$205,1)))/(INDEX(LE_Curves!$J$5:$J$205,MATCH($R191,LE_Curves!$J$5:$J$205,1)+1)-INDEX(LE_Curves!$J$5:$J$205,MATCH($R191,LE_Curves!$J$5:$J$205,1))))))</f>
        <v/>
      </c>
      <c r="AA191" s="11">
        <f>IF(Inputs!$D$31=0,0,IF($R191&lt;=Inputs!$C$31,0,IF($R191&gt;=INDEX(LE_Curves!$K$5:$K$205,201),INDEX(LE_Curves!$B$5:$B$205,201),INDEX(LE_Curves!$B$5:$B$205,MATCH($R191,LE_Curves!$K$5:$K$205,1))+($R191-INDEX(LE_Curves!$K$5:$K$205,MATCH($R191,LE_Curves!$K$5:$K$205,1)))*(INDEX(LE_Curves!$B$5:$B$205,MATCH($R191,LE_Curves!$K$5:$K$205,1)+1)-INDEX(LE_Curves!$B$5:$B$205,MATCH($R191,LE_Curves!$K$5:$K$205,1)))/(INDEX(LE_Curves!$K$5:$K$205,MATCH($R191,LE_Curves!$K$5:$K$205,1)+1)-INDEX(LE_Curves!$K$5:$K$205,MATCH($R191,LE_Curves!$K$5:$K$205,1))))))</f>
        <v/>
      </c>
      <c r="AB191" s="11">
        <f>IF(Inputs!$D$32=0,0,IF($R191&lt;=Inputs!$C$32,0,IF($R191&gt;=INDEX(LE_Curves!$L$5:$L$205,201),INDEX(LE_Curves!$B$5:$B$205,201),INDEX(LE_Curves!$B$5:$B$205,MATCH($R191,LE_Curves!$L$5:$L$205,1))+($R191-INDEX(LE_Curves!$L$5:$L$205,MATCH($R191,LE_Curves!$L$5:$L$205,1)))*(INDEX(LE_Curves!$B$5:$B$205,MATCH($R191,LE_Curves!$L$5:$L$205,1)+1)-INDEX(LE_Curves!$B$5:$B$205,MATCH($R191,LE_Curves!$L$5:$L$205,1)))/(INDEX(LE_Curves!$L$5:$L$205,MATCH($R191,LE_Curves!$L$5:$L$205,1)+1)-INDEX(LE_Curves!$L$5:$L$205,MATCH($R191,LE_Curves!$L$5:$L$205,1))))))</f>
        <v/>
      </c>
      <c r="AC191" s="11">
        <f>IF(Inputs!$D$33=0,0,IF($R191&lt;=Inputs!$C$33,0,IF($R191&gt;=INDEX(LE_Curves!$M$5:$M$205,201),INDEX(LE_Curves!$B$5:$B$205,201),INDEX(LE_Curves!$B$5:$B$205,MATCH($R191,LE_Curves!$M$5:$M$205,1))+($R191-INDEX(LE_Curves!$M$5:$M$205,MATCH($R191,LE_Curves!$M$5:$M$205,1)))*(INDEX(LE_Curves!$B$5:$B$205,MATCH($R191,LE_Curves!$M$5:$M$205,1)+1)-INDEX(LE_Curves!$B$5:$B$205,MATCH($R191,LE_Curves!$M$5:$M$205,1)))/(INDEX(LE_Curves!$M$5:$M$205,MATCH($R191,LE_Curves!$M$5:$M$205,1)+1)-INDEX(LE_Curves!$M$5:$M$205,MATCH($R191,LE_Curves!$M$5:$M$205,1))))))</f>
        <v/>
      </c>
      <c r="AD191" s="11">
        <f>IF(Inputs!$D$34=0,0,IF($R191&lt;=Inputs!$C$34,0,IF($R191&gt;=INDEX(LE_Curves!$N$5:$N$205,201),INDEX(LE_Curves!$B$5:$B$205,201),INDEX(LE_Curves!$B$5:$B$205,MATCH($R191,LE_Curves!$N$5:$N$205,1))+($R191-INDEX(LE_Curves!$N$5:$N$205,MATCH($R191,LE_Curves!$N$5:$N$205,1)))*(INDEX(LE_Curves!$B$5:$B$205,MATCH($R191,LE_Curves!$N$5:$N$205,1)+1)-INDEX(LE_Curves!$B$5:$B$205,MATCH($R191,LE_Curves!$N$5:$N$205,1)))/(INDEX(LE_Curves!$N$5:$N$205,MATCH($R191,LE_Curves!$N$5:$N$205,1)+1)-INDEX(LE_Curves!$N$5:$N$205,MATCH($R191,LE_Curves!$N$5:$N$205,1))))))</f>
        <v/>
      </c>
      <c r="AE191" s="37">
        <f>SUM(S191:AD191)</f>
        <v/>
      </c>
    </row>
    <row r="192">
      <c r="A192" s="7" t="n">
        <v>161</v>
      </c>
      <c r="B192" s="37">
        <f>$B$3+($B$4-$B$3)*A192/200</f>
        <v/>
      </c>
      <c r="C192" s="11">
        <f>IF(Inputs!$D$23=0,0,IF($B192&lt;=Inputs!$C$23,0,IF($B192&gt;=INDEX(LE_Curves!$C$5:$C$205,201),INDEX(LE_Curves!$B$5:$B$205,201),INDEX(LE_Curves!$B$5:$B$205,MATCH($B192,LE_Curves!$C$5:$C$205,1))+($B192-INDEX(LE_Curves!$C$5:$C$205,MATCH($B192,LE_Curves!$C$5:$C$205,1)))*(INDEX(LE_Curves!$B$5:$B$205,MATCH($B192,LE_Curves!$C$5:$C$205,1)+1)-INDEX(LE_Curves!$B$5:$B$205,MATCH($B192,LE_Curves!$C$5:$C$205,1)))/(INDEX(LE_Curves!$C$5:$C$205,MATCH($B192,LE_Curves!$C$5:$C$205,1)+1)-INDEX(LE_Curves!$C$5:$C$205,MATCH($B192,LE_Curves!$C$5:$C$205,1))))))</f>
        <v/>
      </c>
      <c r="D192" s="11">
        <f>IF(Inputs!$D$24=0,0,IF($B192&lt;=Inputs!$C$24,0,IF($B192&gt;=INDEX(LE_Curves!$D$5:$D$205,201),INDEX(LE_Curves!$B$5:$B$205,201),INDEX(LE_Curves!$B$5:$B$205,MATCH($B192,LE_Curves!$D$5:$D$205,1))+($B192-INDEX(LE_Curves!$D$5:$D$205,MATCH($B192,LE_Curves!$D$5:$D$205,1)))*(INDEX(LE_Curves!$B$5:$B$205,MATCH($B192,LE_Curves!$D$5:$D$205,1)+1)-INDEX(LE_Curves!$B$5:$B$205,MATCH($B192,LE_Curves!$D$5:$D$205,1)))/(INDEX(LE_Curves!$D$5:$D$205,MATCH($B192,LE_Curves!$D$5:$D$205,1)+1)-INDEX(LE_Curves!$D$5:$D$205,MATCH($B192,LE_Curves!$D$5:$D$205,1))))))</f>
        <v/>
      </c>
      <c r="E192" s="11">
        <f>IF(Inputs!$D$25=0,0,IF($B192&lt;=Inputs!$C$25,0,IF($B192&gt;=INDEX(LE_Curves!$E$5:$E$205,201),INDEX(LE_Curves!$B$5:$B$205,201),INDEX(LE_Curves!$B$5:$B$205,MATCH($B192,LE_Curves!$E$5:$E$205,1))+($B192-INDEX(LE_Curves!$E$5:$E$205,MATCH($B192,LE_Curves!$E$5:$E$205,1)))*(INDEX(LE_Curves!$B$5:$B$205,MATCH($B192,LE_Curves!$E$5:$E$205,1)+1)-INDEX(LE_Curves!$B$5:$B$205,MATCH($B192,LE_Curves!$E$5:$E$205,1)))/(INDEX(LE_Curves!$E$5:$E$205,MATCH($B192,LE_Curves!$E$5:$E$205,1)+1)-INDEX(LE_Curves!$E$5:$E$205,MATCH($B192,LE_Curves!$E$5:$E$205,1))))))</f>
        <v/>
      </c>
      <c r="F192" s="11">
        <f>IF(Inputs!$D$26=0,0,IF($B192&lt;=Inputs!$C$26,0,IF($B192&gt;=INDEX(LE_Curves!$F$5:$F$205,201),INDEX(LE_Curves!$B$5:$B$205,201),INDEX(LE_Curves!$B$5:$B$205,MATCH($B192,LE_Curves!$F$5:$F$205,1))+($B192-INDEX(LE_Curves!$F$5:$F$205,MATCH($B192,LE_Curves!$F$5:$F$205,1)))*(INDEX(LE_Curves!$B$5:$B$205,MATCH($B192,LE_Curves!$F$5:$F$205,1)+1)-INDEX(LE_Curves!$B$5:$B$205,MATCH($B192,LE_Curves!$F$5:$F$205,1)))/(INDEX(LE_Curves!$F$5:$F$205,MATCH($B192,LE_Curves!$F$5:$F$205,1)+1)-INDEX(LE_Curves!$F$5:$F$205,MATCH($B192,LE_Curves!$F$5:$F$205,1))))))</f>
        <v/>
      </c>
      <c r="G192" s="11">
        <f>IF(Inputs!$D$27=0,0,IF($B192&lt;=Inputs!$C$27,0,IF($B192&gt;=INDEX(LE_Curves!$G$5:$G$205,201),INDEX(LE_Curves!$B$5:$B$205,201),INDEX(LE_Curves!$B$5:$B$205,MATCH($B192,LE_Curves!$G$5:$G$205,1))+($B192-INDEX(LE_Curves!$G$5:$G$205,MATCH($B192,LE_Curves!$G$5:$G$205,1)))*(INDEX(LE_Curves!$B$5:$B$205,MATCH($B192,LE_Curves!$G$5:$G$205,1)+1)-INDEX(LE_Curves!$B$5:$B$205,MATCH($B192,LE_Curves!$G$5:$G$205,1)))/(INDEX(LE_Curves!$G$5:$G$205,MATCH($B192,LE_Curves!$G$5:$G$205,1)+1)-INDEX(LE_Curves!$G$5:$G$205,MATCH($B192,LE_Curves!$G$5:$G$205,1))))))</f>
        <v/>
      </c>
      <c r="H192" s="11">
        <f>IF(Inputs!$D$28=0,0,IF($B192&lt;=Inputs!$C$28,0,IF($B192&gt;=INDEX(LE_Curves!$H$5:$H$205,201),INDEX(LE_Curves!$B$5:$B$205,201),INDEX(LE_Curves!$B$5:$B$205,MATCH($B192,LE_Curves!$H$5:$H$205,1))+($B192-INDEX(LE_Curves!$H$5:$H$205,MATCH($B192,LE_Curves!$H$5:$H$205,1)))*(INDEX(LE_Curves!$B$5:$B$205,MATCH($B192,LE_Curves!$H$5:$H$205,1)+1)-INDEX(LE_Curves!$B$5:$B$205,MATCH($B192,LE_Curves!$H$5:$H$205,1)))/(INDEX(LE_Curves!$H$5:$H$205,MATCH($B192,LE_Curves!$H$5:$H$205,1)+1)-INDEX(LE_Curves!$H$5:$H$205,MATCH($B192,LE_Curves!$H$5:$H$205,1))))))</f>
        <v/>
      </c>
      <c r="I192" s="11">
        <f>IF(Inputs!$D$29=0,0,IF($B192&lt;=Inputs!$C$29,0,IF($B192&gt;=INDEX(LE_Curves!$I$5:$I$205,201),INDEX(LE_Curves!$B$5:$B$205,201),INDEX(LE_Curves!$B$5:$B$205,MATCH($B192,LE_Curves!$I$5:$I$205,1))+($B192-INDEX(LE_Curves!$I$5:$I$205,MATCH($B192,LE_Curves!$I$5:$I$205,1)))*(INDEX(LE_Curves!$B$5:$B$205,MATCH($B192,LE_Curves!$I$5:$I$205,1)+1)-INDEX(LE_Curves!$B$5:$B$205,MATCH($B192,LE_Curves!$I$5:$I$205,1)))/(INDEX(LE_Curves!$I$5:$I$205,MATCH($B192,LE_Curves!$I$5:$I$205,1)+1)-INDEX(LE_Curves!$I$5:$I$205,MATCH($B192,LE_Curves!$I$5:$I$205,1))))))</f>
        <v/>
      </c>
      <c r="J192" s="11">
        <f>IF(Inputs!$D$30=0,0,IF($B192&lt;=Inputs!$C$30,0,IF($B192&gt;=INDEX(LE_Curves!$J$5:$J$205,201),INDEX(LE_Curves!$B$5:$B$205,201),INDEX(LE_Curves!$B$5:$B$205,MATCH($B192,LE_Curves!$J$5:$J$205,1))+($B192-INDEX(LE_Curves!$J$5:$J$205,MATCH($B192,LE_Curves!$J$5:$J$205,1)))*(INDEX(LE_Curves!$B$5:$B$205,MATCH($B192,LE_Curves!$J$5:$J$205,1)+1)-INDEX(LE_Curves!$B$5:$B$205,MATCH($B192,LE_Curves!$J$5:$J$205,1)))/(INDEX(LE_Curves!$J$5:$J$205,MATCH($B192,LE_Curves!$J$5:$J$205,1)+1)-INDEX(LE_Curves!$J$5:$J$205,MATCH($B192,LE_Curves!$J$5:$J$205,1))))))</f>
        <v/>
      </c>
      <c r="K192" s="11">
        <f>IF(Inputs!$D$31=0,0,IF($B192&lt;=Inputs!$C$31,0,IF($B192&gt;=INDEX(LE_Curves!$K$5:$K$205,201),INDEX(LE_Curves!$B$5:$B$205,201),INDEX(LE_Curves!$B$5:$B$205,MATCH($B192,LE_Curves!$K$5:$K$205,1))+($B192-INDEX(LE_Curves!$K$5:$K$205,MATCH($B192,LE_Curves!$K$5:$K$205,1)))*(INDEX(LE_Curves!$B$5:$B$205,MATCH($B192,LE_Curves!$K$5:$K$205,1)+1)-INDEX(LE_Curves!$B$5:$B$205,MATCH($B192,LE_Curves!$K$5:$K$205,1)))/(INDEX(LE_Curves!$K$5:$K$205,MATCH($B192,LE_Curves!$K$5:$K$205,1)+1)-INDEX(LE_Curves!$K$5:$K$205,MATCH($B192,LE_Curves!$K$5:$K$205,1))))))</f>
        <v/>
      </c>
      <c r="L192" s="11">
        <f>IF(Inputs!$D$32=0,0,IF($B192&lt;=Inputs!$C$32,0,IF($B192&gt;=INDEX(LE_Curves!$L$5:$L$205,201),INDEX(LE_Curves!$B$5:$B$205,201),INDEX(LE_Curves!$B$5:$B$205,MATCH($B192,LE_Curves!$L$5:$L$205,1))+($B192-INDEX(LE_Curves!$L$5:$L$205,MATCH($B192,LE_Curves!$L$5:$L$205,1)))*(INDEX(LE_Curves!$B$5:$B$205,MATCH($B192,LE_Curves!$L$5:$L$205,1)+1)-INDEX(LE_Curves!$B$5:$B$205,MATCH($B192,LE_Curves!$L$5:$L$205,1)))/(INDEX(LE_Curves!$L$5:$L$205,MATCH($B192,LE_Curves!$L$5:$L$205,1)+1)-INDEX(LE_Curves!$L$5:$L$205,MATCH($B192,LE_Curves!$L$5:$L$205,1))))))</f>
        <v/>
      </c>
      <c r="M192" s="11">
        <f>IF(Inputs!$D$33=0,0,IF($B192&lt;=Inputs!$C$33,0,IF($B192&gt;=INDEX(LE_Curves!$M$5:$M$205,201),INDEX(LE_Curves!$B$5:$B$205,201),INDEX(LE_Curves!$B$5:$B$205,MATCH($B192,LE_Curves!$M$5:$M$205,1))+($B192-INDEX(LE_Curves!$M$5:$M$205,MATCH($B192,LE_Curves!$M$5:$M$205,1)))*(INDEX(LE_Curves!$B$5:$B$205,MATCH($B192,LE_Curves!$M$5:$M$205,1)+1)-INDEX(LE_Curves!$B$5:$B$205,MATCH($B192,LE_Curves!$M$5:$M$205,1)))/(INDEX(LE_Curves!$M$5:$M$205,MATCH($B192,LE_Curves!$M$5:$M$205,1)+1)-INDEX(LE_Curves!$M$5:$M$205,MATCH($B192,LE_Curves!$M$5:$M$205,1))))))</f>
        <v/>
      </c>
      <c r="N192" s="11">
        <f>IF(Inputs!$D$34=0,0,IF($B192&lt;=Inputs!$C$34,0,IF($B192&gt;=INDEX(LE_Curves!$N$5:$N$205,201),INDEX(LE_Curves!$B$5:$B$205,201),INDEX(LE_Curves!$B$5:$B$205,MATCH($B192,LE_Curves!$N$5:$N$205,1))+($B192-INDEX(LE_Curves!$N$5:$N$205,MATCH($B192,LE_Curves!$N$5:$N$205,1)))*(INDEX(LE_Curves!$B$5:$B$205,MATCH($B192,LE_Curves!$N$5:$N$205,1)+1)-INDEX(LE_Curves!$B$5:$B$205,MATCH($B192,LE_Curves!$N$5:$N$205,1)))/(INDEX(LE_Curves!$N$5:$N$205,MATCH($B192,LE_Curves!$N$5:$N$205,1)+1)-INDEX(LE_Curves!$N$5:$N$205,MATCH($B192,LE_Curves!$N$5:$N$205,1))))))</f>
        <v/>
      </c>
      <c r="O192" s="11">
        <f>SUM(C192:N192)</f>
        <v/>
      </c>
      <c r="Q192" s="7" t="n">
        <v>161</v>
      </c>
      <c r="R192" s="23">
        <f>$B$6+($B$7-$B$6)*Q192/200</f>
        <v/>
      </c>
      <c r="S192" s="11">
        <f>IF(Inputs!$D$23=0,0,IF($R192&lt;=Inputs!$C$23,0,IF($R192&gt;=INDEX(LE_Curves!$C$5:$C$205,201),INDEX(LE_Curves!$B$5:$B$205,201),INDEX(LE_Curves!$B$5:$B$205,MATCH($R192,LE_Curves!$C$5:$C$205,1))+($R192-INDEX(LE_Curves!$C$5:$C$205,MATCH($R192,LE_Curves!$C$5:$C$205,1)))*(INDEX(LE_Curves!$B$5:$B$205,MATCH($R192,LE_Curves!$C$5:$C$205,1)+1)-INDEX(LE_Curves!$B$5:$B$205,MATCH($R192,LE_Curves!$C$5:$C$205,1)))/(INDEX(LE_Curves!$C$5:$C$205,MATCH($R192,LE_Curves!$C$5:$C$205,1)+1)-INDEX(LE_Curves!$C$5:$C$205,MATCH($R192,LE_Curves!$C$5:$C$205,1))))))</f>
        <v/>
      </c>
      <c r="T192" s="11">
        <f>IF(Inputs!$D$24=0,0,IF($R192&lt;=Inputs!$C$24,0,IF($R192&gt;=INDEX(LE_Curves!$D$5:$D$205,201),INDEX(LE_Curves!$B$5:$B$205,201),INDEX(LE_Curves!$B$5:$B$205,MATCH($R192,LE_Curves!$D$5:$D$205,1))+($R192-INDEX(LE_Curves!$D$5:$D$205,MATCH($R192,LE_Curves!$D$5:$D$205,1)))*(INDEX(LE_Curves!$B$5:$B$205,MATCH($R192,LE_Curves!$D$5:$D$205,1)+1)-INDEX(LE_Curves!$B$5:$B$205,MATCH($R192,LE_Curves!$D$5:$D$205,1)))/(INDEX(LE_Curves!$D$5:$D$205,MATCH($R192,LE_Curves!$D$5:$D$205,1)+1)-INDEX(LE_Curves!$D$5:$D$205,MATCH($R192,LE_Curves!$D$5:$D$205,1))))))</f>
        <v/>
      </c>
      <c r="U192" s="11">
        <f>IF(Inputs!$D$25=0,0,IF($R192&lt;=Inputs!$C$25,0,IF($R192&gt;=INDEX(LE_Curves!$E$5:$E$205,201),INDEX(LE_Curves!$B$5:$B$205,201),INDEX(LE_Curves!$B$5:$B$205,MATCH($R192,LE_Curves!$E$5:$E$205,1))+($R192-INDEX(LE_Curves!$E$5:$E$205,MATCH($R192,LE_Curves!$E$5:$E$205,1)))*(INDEX(LE_Curves!$B$5:$B$205,MATCH($R192,LE_Curves!$E$5:$E$205,1)+1)-INDEX(LE_Curves!$B$5:$B$205,MATCH($R192,LE_Curves!$E$5:$E$205,1)))/(INDEX(LE_Curves!$E$5:$E$205,MATCH($R192,LE_Curves!$E$5:$E$205,1)+1)-INDEX(LE_Curves!$E$5:$E$205,MATCH($R192,LE_Curves!$E$5:$E$205,1))))))</f>
        <v/>
      </c>
      <c r="V192" s="11">
        <f>IF(Inputs!$D$26=0,0,IF($R192&lt;=Inputs!$C$26,0,IF($R192&gt;=INDEX(LE_Curves!$F$5:$F$205,201),INDEX(LE_Curves!$B$5:$B$205,201),INDEX(LE_Curves!$B$5:$B$205,MATCH($R192,LE_Curves!$F$5:$F$205,1))+($R192-INDEX(LE_Curves!$F$5:$F$205,MATCH($R192,LE_Curves!$F$5:$F$205,1)))*(INDEX(LE_Curves!$B$5:$B$205,MATCH($R192,LE_Curves!$F$5:$F$205,1)+1)-INDEX(LE_Curves!$B$5:$B$205,MATCH($R192,LE_Curves!$F$5:$F$205,1)))/(INDEX(LE_Curves!$F$5:$F$205,MATCH($R192,LE_Curves!$F$5:$F$205,1)+1)-INDEX(LE_Curves!$F$5:$F$205,MATCH($R192,LE_Curves!$F$5:$F$205,1))))))</f>
        <v/>
      </c>
      <c r="W192" s="11">
        <f>IF(Inputs!$D$27=0,0,IF($R192&lt;=Inputs!$C$27,0,IF($R192&gt;=INDEX(LE_Curves!$G$5:$G$205,201),INDEX(LE_Curves!$B$5:$B$205,201),INDEX(LE_Curves!$B$5:$B$205,MATCH($R192,LE_Curves!$G$5:$G$205,1))+($R192-INDEX(LE_Curves!$G$5:$G$205,MATCH($R192,LE_Curves!$G$5:$G$205,1)))*(INDEX(LE_Curves!$B$5:$B$205,MATCH($R192,LE_Curves!$G$5:$G$205,1)+1)-INDEX(LE_Curves!$B$5:$B$205,MATCH($R192,LE_Curves!$G$5:$G$205,1)))/(INDEX(LE_Curves!$G$5:$G$205,MATCH($R192,LE_Curves!$G$5:$G$205,1)+1)-INDEX(LE_Curves!$G$5:$G$205,MATCH($R192,LE_Curves!$G$5:$G$205,1))))))</f>
        <v/>
      </c>
      <c r="X192" s="11">
        <f>IF(Inputs!$D$28=0,0,IF($R192&lt;=Inputs!$C$28,0,IF($R192&gt;=INDEX(LE_Curves!$H$5:$H$205,201),INDEX(LE_Curves!$B$5:$B$205,201),INDEX(LE_Curves!$B$5:$B$205,MATCH($R192,LE_Curves!$H$5:$H$205,1))+($R192-INDEX(LE_Curves!$H$5:$H$205,MATCH($R192,LE_Curves!$H$5:$H$205,1)))*(INDEX(LE_Curves!$B$5:$B$205,MATCH($R192,LE_Curves!$H$5:$H$205,1)+1)-INDEX(LE_Curves!$B$5:$B$205,MATCH($R192,LE_Curves!$H$5:$H$205,1)))/(INDEX(LE_Curves!$H$5:$H$205,MATCH($R192,LE_Curves!$H$5:$H$205,1)+1)-INDEX(LE_Curves!$H$5:$H$205,MATCH($R192,LE_Curves!$H$5:$H$205,1))))))</f>
        <v/>
      </c>
      <c r="Y192" s="11">
        <f>IF(Inputs!$D$29=0,0,IF($R192&lt;=Inputs!$C$29,0,IF($R192&gt;=INDEX(LE_Curves!$I$5:$I$205,201),INDEX(LE_Curves!$B$5:$B$205,201),INDEX(LE_Curves!$B$5:$B$205,MATCH($R192,LE_Curves!$I$5:$I$205,1))+($R192-INDEX(LE_Curves!$I$5:$I$205,MATCH($R192,LE_Curves!$I$5:$I$205,1)))*(INDEX(LE_Curves!$B$5:$B$205,MATCH($R192,LE_Curves!$I$5:$I$205,1)+1)-INDEX(LE_Curves!$B$5:$B$205,MATCH($R192,LE_Curves!$I$5:$I$205,1)))/(INDEX(LE_Curves!$I$5:$I$205,MATCH($R192,LE_Curves!$I$5:$I$205,1)+1)-INDEX(LE_Curves!$I$5:$I$205,MATCH($R192,LE_Curves!$I$5:$I$205,1))))))</f>
        <v/>
      </c>
      <c r="Z192" s="11">
        <f>IF(Inputs!$D$30=0,0,IF($R192&lt;=Inputs!$C$30,0,IF($R192&gt;=INDEX(LE_Curves!$J$5:$J$205,201),INDEX(LE_Curves!$B$5:$B$205,201),INDEX(LE_Curves!$B$5:$B$205,MATCH($R192,LE_Curves!$J$5:$J$205,1))+($R192-INDEX(LE_Curves!$J$5:$J$205,MATCH($R192,LE_Curves!$J$5:$J$205,1)))*(INDEX(LE_Curves!$B$5:$B$205,MATCH($R192,LE_Curves!$J$5:$J$205,1)+1)-INDEX(LE_Curves!$B$5:$B$205,MATCH($R192,LE_Curves!$J$5:$J$205,1)))/(INDEX(LE_Curves!$J$5:$J$205,MATCH($R192,LE_Curves!$J$5:$J$205,1)+1)-INDEX(LE_Curves!$J$5:$J$205,MATCH($R192,LE_Curves!$J$5:$J$205,1))))))</f>
        <v/>
      </c>
      <c r="AA192" s="11">
        <f>IF(Inputs!$D$31=0,0,IF($R192&lt;=Inputs!$C$31,0,IF($R192&gt;=INDEX(LE_Curves!$K$5:$K$205,201),INDEX(LE_Curves!$B$5:$B$205,201),INDEX(LE_Curves!$B$5:$B$205,MATCH($R192,LE_Curves!$K$5:$K$205,1))+($R192-INDEX(LE_Curves!$K$5:$K$205,MATCH($R192,LE_Curves!$K$5:$K$205,1)))*(INDEX(LE_Curves!$B$5:$B$205,MATCH($R192,LE_Curves!$K$5:$K$205,1)+1)-INDEX(LE_Curves!$B$5:$B$205,MATCH($R192,LE_Curves!$K$5:$K$205,1)))/(INDEX(LE_Curves!$K$5:$K$205,MATCH($R192,LE_Curves!$K$5:$K$205,1)+1)-INDEX(LE_Curves!$K$5:$K$205,MATCH($R192,LE_Curves!$K$5:$K$205,1))))))</f>
        <v/>
      </c>
      <c r="AB192" s="11">
        <f>IF(Inputs!$D$32=0,0,IF($R192&lt;=Inputs!$C$32,0,IF($R192&gt;=INDEX(LE_Curves!$L$5:$L$205,201),INDEX(LE_Curves!$B$5:$B$205,201),INDEX(LE_Curves!$B$5:$B$205,MATCH($R192,LE_Curves!$L$5:$L$205,1))+($R192-INDEX(LE_Curves!$L$5:$L$205,MATCH($R192,LE_Curves!$L$5:$L$205,1)))*(INDEX(LE_Curves!$B$5:$B$205,MATCH($R192,LE_Curves!$L$5:$L$205,1)+1)-INDEX(LE_Curves!$B$5:$B$205,MATCH($R192,LE_Curves!$L$5:$L$205,1)))/(INDEX(LE_Curves!$L$5:$L$205,MATCH($R192,LE_Curves!$L$5:$L$205,1)+1)-INDEX(LE_Curves!$L$5:$L$205,MATCH($R192,LE_Curves!$L$5:$L$205,1))))))</f>
        <v/>
      </c>
      <c r="AC192" s="11">
        <f>IF(Inputs!$D$33=0,0,IF($R192&lt;=Inputs!$C$33,0,IF($R192&gt;=INDEX(LE_Curves!$M$5:$M$205,201),INDEX(LE_Curves!$B$5:$B$205,201),INDEX(LE_Curves!$B$5:$B$205,MATCH($R192,LE_Curves!$M$5:$M$205,1))+($R192-INDEX(LE_Curves!$M$5:$M$205,MATCH($R192,LE_Curves!$M$5:$M$205,1)))*(INDEX(LE_Curves!$B$5:$B$205,MATCH($R192,LE_Curves!$M$5:$M$205,1)+1)-INDEX(LE_Curves!$B$5:$B$205,MATCH($R192,LE_Curves!$M$5:$M$205,1)))/(INDEX(LE_Curves!$M$5:$M$205,MATCH($R192,LE_Curves!$M$5:$M$205,1)+1)-INDEX(LE_Curves!$M$5:$M$205,MATCH($R192,LE_Curves!$M$5:$M$205,1))))))</f>
        <v/>
      </c>
      <c r="AD192" s="11">
        <f>IF(Inputs!$D$34=0,0,IF($R192&lt;=Inputs!$C$34,0,IF($R192&gt;=INDEX(LE_Curves!$N$5:$N$205,201),INDEX(LE_Curves!$B$5:$B$205,201),INDEX(LE_Curves!$B$5:$B$205,MATCH($R192,LE_Curves!$N$5:$N$205,1))+($R192-INDEX(LE_Curves!$N$5:$N$205,MATCH($R192,LE_Curves!$N$5:$N$205,1)))*(INDEX(LE_Curves!$B$5:$B$205,MATCH($R192,LE_Curves!$N$5:$N$205,1)+1)-INDEX(LE_Curves!$B$5:$B$205,MATCH($R192,LE_Curves!$N$5:$N$205,1)))/(INDEX(LE_Curves!$N$5:$N$205,MATCH($R192,LE_Curves!$N$5:$N$205,1)+1)-INDEX(LE_Curves!$N$5:$N$205,MATCH($R192,LE_Curves!$N$5:$N$205,1))))))</f>
        <v/>
      </c>
      <c r="AE192" s="37">
        <f>SUM(S192:AD192)</f>
        <v/>
      </c>
    </row>
    <row r="193">
      <c r="A193" s="7" t="n">
        <v>162</v>
      </c>
      <c r="B193" s="37">
        <f>$B$3+($B$4-$B$3)*A193/200</f>
        <v/>
      </c>
      <c r="C193" s="11">
        <f>IF(Inputs!$D$23=0,0,IF($B193&lt;=Inputs!$C$23,0,IF($B193&gt;=INDEX(LE_Curves!$C$5:$C$205,201),INDEX(LE_Curves!$B$5:$B$205,201),INDEX(LE_Curves!$B$5:$B$205,MATCH($B193,LE_Curves!$C$5:$C$205,1))+($B193-INDEX(LE_Curves!$C$5:$C$205,MATCH($B193,LE_Curves!$C$5:$C$205,1)))*(INDEX(LE_Curves!$B$5:$B$205,MATCH($B193,LE_Curves!$C$5:$C$205,1)+1)-INDEX(LE_Curves!$B$5:$B$205,MATCH($B193,LE_Curves!$C$5:$C$205,1)))/(INDEX(LE_Curves!$C$5:$C$205,MATCH($B193,LE_Curves!$C$5:$C$205,1)+1)-INDEX(LE_Curves!$C$5:$C$205,MATCH($B193,LE_Curves!$C$5:$C$205,1))))))</f>
        <v/>
      </c>
      <c r="D193" s="11">
        <f>IF(Inputs!$D$24=0,0,IF($B193&lt;=Inputs!$C$24,0,IF($B193&gt;=INDEX(LE_Curves!$D$5:$D$205,201),INDEX(LE_Curves!$B$5:$B$205,201),INDEX(LE_Curves!$B$5:$B$205,MATCH($B193,LE_Curves!$D$5:$D$205,1))+($B193-INDEX(LE_Curves!$D$5:$D$205,MATCH($B193,LE_Curves!$D$5:$D$205,1)))*(INDEX(LE_Curves!$B$5:$B$205,MATCH($B193,LE_Curves!$D$5:$D$205,1)+1)-INDEX(LE_Curves!$B$5:$B$205,MATCH($B193,LE_Curves!$D$5:$D$205,1)))/(INDEX(LE_Curves!$D$5:$D$205,MATCH($B193,LE_Curves!$D$5:$D$205,1)+1)-INDEX(LE_Curves!$D$5:$D$205,MATCH($B193,LE_Curves!$D$5:$D$205,1))))))</f>
        <v/>
      </c>
      <c r="E193" s="11">
        <f>IF(Inputs!$D$25=0,0,IF($B193&lt;=Inputs!$C$25,0,IF($B193&gt;=INDEX(LE_Curves!$E$5:$E$205,201),INDEX(LE_Curves!$B$5:$B$205,201),INDEX(LE_Curves!$B$5:$B$205,MATCH($B193,LE_Curves!$E$5:$E$205,1))+($B193-INDEX(LE_Curves!$E$5:$E$205,MATCH($B193,LE_Curves!$E$5:$E$205,1)))*(INDEX(LE_Curves!$B$5:$B$205,MATCH($B193,LE_Curves!$E$5:$E$205,1)+1)-INDEX(LE_Curves!$B$5:$B$205,MATCH($B193,LE_Curves!$E$5:$E$205,1)))/(INDEX(LE_Curves!$E$5:$E$205,MATCH($B193,LE_Curves!$E$5:$E$205,1)+1)-INDEX(LE_Curves!$E$5:$E$205,MATCH($B193,LE_Curves!$E$5:$E$205,1))))))</f>
        <v/>
      </c>
      <c r="F193" s="11">
        <f>IF(Inputs!$D$26=0,0,IF($B193&lt;=Inputs!$C$26,0,IF($B193&gt;=INDEX(LE_Curves!$F$5:$F$205,201),INDEX(LE_Curves!$B$5:$B$205,201),INDEX(LE_Curves!$B$5:$B$205,MATCH($B193,LE_Curves!$F$5:$F$205,1))+($B193-INDEX(LE_Curves!$F$5:$F$205,MATCH($B193,LE_Curves!$F$5:$F$205,1)))*(INDEX(LE_Curves!$B$5:$B$205,MATCH($B193,LE_Curves!$F$5:$F$205,1)+1)-INDEX(LE_Curves!$B$5:$B$205,MATCH($B193,LE_Curves!$F$5:$F$205,1)))/(INDEX(LE_Curves!$F$5:$F$205,MATCH($B193,LE_Curves!$F$5:$F$205,1)+1)-INDEX(LE_Curves!$F$5:$F$205,MATCH($B193,LE_Curves!$F$5:$F$205,1))))))</f>
        <v/>
      </c>
      <c r="G193" s="11">
        <f>IF(Inputs!$D$27=0,0,IF($B193&lt;=Inputs!$C$27,0,IF($B193&gt;=INDEX(LE_Curves!$G$5:$G$205,201),INDEX(LE_Curves!$B$5:$B$205,201),INDEX(LE_Curves!$B$5:$B$205,MATCH($B193,LE_Curves!$G$5:$G$205,1))+($B193-INDEX(LE_Curves!$G$5:$G$205,MATCH($B193,LE_Curves!$G$5:$G$205,1)))*(INDEX(LE_Curves!$B$5:$B$205,MATCH($B193,LE_Curves!$G$5:$G$205,1)+1)-INDEX(LE_Curves!$B$5:$B$205,MATCH($B193,LE_Curves!$G$5:$G$205,1)))/(INDEX(LE_Curves!$G$5:$G$205,MATCH($B193,LE_Curves!$G$5:$G$205,1)+1)-INDEX(LE_Curves!$G$5:$G$205,MATCH($B193,LE_Curves!$G$5:$G$205,1))))))</f>
        <v/>
      </c>
      <c r="H193" s="11">
        <f>IF(Inputs!$D$28=0,0,IF($B193&lt;=Inputs!$C$28,0,IF($B193&gt;=INDEX(LE_Curves!$H$5:$H$205,201),INDEX(LE_Curves!$B$5:$B$205,201),INDEX(LE_Curves!$B$5:$B$205,MATCH($B193,LE_Curves!$H$5:$H$205,1))+($B193-INDEX(LE_Curves!$H$5:$H$205,MATCH($B193,LE_Curves!$H$5:$H$205,1)))*(INDEX(LE_Curves!$B$5:$B$205,MATCH($B193,LE_Curves!$H$5:$H$205,1)+1)-INDEX(LE_Curves!$B$5:$B$205,MATCH($B193,LE_Curves!$H$5:$H$205,1)))/(INDEX(LE_Curves!$H$5:$H$205,MATCH($B193,LE_Curves!$H$5:$H$205,1)+1)-INDEX(LE_Curves!$H$5:$H$205,MATCH($B193,LE_Curves!$H$5:$H$205,1))))))</f>
        <v/>
      </c>
      <c r="I193" s="11">
        <f>IF(Inputs!$D$29=0,0,IF($B193&lt;=Inputs!$C$29,0,IF($B193&gt;=INDEX(LE_Curves!$I$5:$I$205,201),INDEX(LE_Curves!$B$5:$B$205,201),INDEX(LE_Curves!$B$5:$B$205,MATCH($B193,LE_Curves!$I$5:$I$205,1))+($B193-INDEX(LE_Curves!$I$5:$I$205,MATCH($B193,LE_Curves!$I$5:$I$205,1)))*(INDEX(LE_Curves!$B$5:$B$205,MATCH($B193,LE_Curves!$I$5:$I$205,1)+1)-INDEX(LE_Curves!$B$5:$B$205,MATCH($B193,LE_Curves!$I$5:$I$205,1)))/(INDEX(LE_Curves!$I$5:$I$205,MATCH($B193,LE_Curves!$I$5:$I$205,1)+1)-INDEX(LE_Curves!$I$5:$I$205,MATCH($B193,LE_Curves!$I$5:$I$205,1))))))</f>
        <v/>
      </c>
      <c r="J193" s="11">
        <f>IF(Inputs!$D$30=0,0,IF($B193&lt;=Inputs!$C$30,0,IF($B193&gt;=INDEX(LE_Curves!$J$5:$J$205,201),INDEX(LE_Curves!$B$5:$B$205,201),INDEX(LE_Curves!$B$5:$B$205,MATCH($B193,LE_Curves!$J$5:$J$205,1))+($B193-INDEX(LE_Curves!$J$5:$J$205,MATCH($B193,LE_Curves!$J$5:$J$205,1)))*(INDEX(LE_Curves!$B$5:$B$205,MATCH($B193,LE_Curves!$J$5:$J$205,1)+1)-INDEX(LE_Curves!$B$5:$B$205,MATCH($B193,LE_Curves!$J$5:$J$205,1)))/(INDEX(LE_Curves!$J$5:$J$205,MATCH($B193,LE_Curves!$J$5:$J$205,1)+1)-INDEX(LE_Curves!$J$5:$J$205,MATCH($B193,LE_Curves!$J$5:$J$205,1))))))</f>
        <v/>
      </c>
      <c r="K193" s="11">
        <f>IF(Inputs!$D$31=0,0,IF($B193&lt;=Inputs!$C$31,0,IF($B193&gt;=INDEX(LE_Curves!$K$5:$K$205,201),INDEX(LE_Curves!$B$5:$B$205,201),INDEX(LE_Curves!$B$5:$B$205,MATCH($B193,LE_Curves!$K$5:$K$205,1))+($B193-INDEX(LE_Curves!$K$5:$K$205,MATCH($B193,LE_Curves!$K$5:$K$205,1)))*(INDEX(LE_Curves!$B$5:$B$205,MATCH($B193,LE_Curves!$K$5:$K$205,1)+1)-INDEX(LE_Curves!$B$5:$B$205,MATCH($B193,LE_Curves!$K$5:$K$205,1)))/(INDEX(LE_Curves!$K$5:$K$205,MATCH($B193,LE_Curves!$K$5:$K$205,1)+1)-INDEX(LE_Curves!$K$5:$K$205,MATCH($B193,LE_Curves!$K$5:$K$205,1))))))</f>
        <v/>
      </c>
      <c r="L193" s="11">
        <f>IF(Inputs!$D$32=0,0,IF($B193&lt;=Inputs!$C$32,0,IF($B193&gt;=INDEX(LE_Curves!$L$5:$L$205,201),INDEX(LE_Curves!$B$5:$B$205,201),INDEX(LE_Curves!$B$5:$B$205,MATCH($B193,LE_Curves!$L$5:$L$205,1))+($B193-INDEX(LE_Curves!$L$5:$L$205,MATCH($B193,LE_Curves!$L$5:$L$205,1)))*(INDEX(LE_Curves!$B$5:$B$205,MATCH($B193,LE_Curves!$L$5:$L$205,1)+1)-INDEX(LE_Curves!$B$5:$B$205,MATCH($B193,LE_Curves!$L$5:$L$205,1)))/(INDEX(LE_Curves!$L$5:$L$205,MATCH($B193,LE_Curves!$L$5:$L$205,1)+1)-INDEX(LE_Curves!$L$5:$L$205,MATCH($B193,LE_Curves!$L$5:$L$205,1))))))</f>
        <v/>
      </c>
      <c r="M193" s="11">
        <f>IF(Inputs!$D$33=0,0,IF($B193&lt;=Inputs!$C$33,0,IF($B193&gt;=INDEX(LE_Curves!$M$5:$M$205,201),INDEX(LE_Curves!$B$5:$B$205,201),INDEX(LE_Curves!$B$5:$B$205,MATCH($B193,LE_Curves!$M$5:$M$205,1))+($B193-INDEX(LE_Curves!$M$5:$M$205,MATCH($B193,LE_Curves!$M$5:$M$205,1)))*(INDEX(LE_Curves!$B$5:$B$205,MATCH($B193,LE_Curves!$M$5:$M$205,1)+1)-INDEX(LE_Curves!$B$5:$B$205,MATCH($B193,LE_Curves!$M$5:$M$205,1)))/(INDEX(LE_Curves!$M$5:$M$205,MATCH($B193,LE_Curves!$M$5:$M$205,1)+1)-INDEX(LE_Curves!$M$5:$M$205,MATCH($B193,LE_Curves!$M$5:$M$205,1))))))</f>
        <v/>
      </c>
      <c r="N193" s="11">
        <f>IF(Inputs!$D$34=0,0,IF($B193&lt;=Inputs!$C$34,0,IF($B193&gt;=INDEX(LE_Curves!$N$5:$N$205,201),INDEX(LE_Curves!$B$5:$B$205,201),INDEX(LE_Curves!$B$5:$B$205,MATCH($B193,LE_Curves!$N$5:$N$205,1))+($B193-INDEX(LE_Curves!$N$5:$N$205,MATCH($B193,LE_Curves!$N$5:$N$205,1)))*(INDEX(LE_Curves!$B$5:$B$205,MATCH($B193,LE_Curves!$N$5:$N$205,1)+1)-INDEX(LE_Curves!$B$5:$B$205,MATCH($B193,LE_Curves!$N$5:$N$205,1)))/(INDEX(LE_Curves!$N$5:$N$205,MATCH($B193,LE_Curves!$N$5:$N$205,1)+1)-INDEX(LE_Curves!$N$5:$N$205,MATCH($B193,LE_Curves!$N$5:$N$205,1))))))</f>
        <v/>
      </c>
      <c r="O193" s="11">
        <f>SUM(C193:N193)</f>
        <v/>
      </c>
      <c r="Q193" s="7" t="n">
        <v>162</v>
      </c>
      <c r="R193" s="23">
        <f>$B$6+($B$7-$B$6)*Q193/200</f>
        <v/>
      </c>
      <c r="S193" s="11">
        <f>IF(Inputs!$D$23=0,0,IF($R193&lt;=Inputs!$C$23,0,IF($R193&gt;=INDEX(LE_Curves!$C$5:$C$205,201),INDEX(LE_Curves!$B$5:$B$205,201),INDEX(LE_Curves!$B$5:$B$205,MATCH($R193,LE_Curves!$C$5:$C$205,1))+($R193-INDEX(LE_Curves!$C$5:$C$205,MATCH($R193,LE_Curves!$C$5:$C$205,1)))*(INDEX(LE_Curves!$B$5:$B$205,MATCH($R193,LE_Curves!$C$5:$C$205,1)+1)-INDEX(LE_Curves!$B$5:$B$205,MATCH($R193,LE_Curves!$C$5:$C$205,1)))/(INDEX(LE_Curves!$C$5:$C$205,MATCH($R193,LE_Curves!$C$5:$C$205,1)+1)-INDEX(LE_Curves!$C$5:$C$205,MATCH($R193,LE_Curves!$C$5:$C$205,1))))))</f>
        <v/>
      </c>
      <c r="T193" s="11">
        <f>IF(Inputs!$D$24=0,0,IF($R193&lt;=Inputs!$C$24,0,IF($R193&gt;=INDEX(LE_Curves!$D$5:$D$205,201),INDEX(LE_Curves!$B$5:$B$205,201),INDEX(LE_Curves!$B$5:$B$205,MATCH($R193,LE_Curves!$D$5:$D$205,1))+($R193-INDEX(LE_Curves!$D$5:$D$205,MATCH($R193,LE_Curves!$D$5:$D$205,1)))*(INDEX(LE_Curves!$B$5:$B$205,MATCH($R193,LE_Curves!$D$5:$D$205,1)+1)-INDEX(LE_Curves!$B$5:$B$205,MATCH($R193,LE_Curves!$D$5:$D$205,1)))/(INDEX(LE_Curves!$D$5:$D$205,MATCH($R193,LE_Curves!$D$5:$D$205,1)+1)-INDEX(LE_Curves!$D$5:$D$205,MATCH($R193,LE_Curves!$D$5:$D$205,1))))))</f>
        <v/>
      </c>
      <c r="U193" s="11">
        <f>IF(Inputs!$D$25=0,0,IF($R193&lt;=Inputs!$C$25,0,IF($R193&gt;=INDEX(LE_Curves!$E$5:$E$205,201),INDEX(LE_Curves!$B$5:$B$205,201),INDEX(LE_Curves!$B$5:$B$205,MATCH($R193,LE_Curves!$E$5:$E$205,1))+($R193-INDEX(LE_Curves!$E$5:$E$205,MATCH($R193,LE_Curves!$E$5:$E$205,1)))*(INDEX(LE_Curves!$B$5:$B$205,MATCH($R193,LE_Curves!$E$5:$E$205,1)+1)-INDEX(LE_Curves!$B$5:$B$205,MATCH($R193,LE_Curves!$E$5:$E$205,1)))/(INDEX(LE_Curves!$E$5:$E$205,MATCH($R193,LE_Curves!$E$5:$E$205,1)+1)-INDEX(LE_Curves!$E$5:$E$205,MATCH($R193,LE_Curves!$E$5:$E$205,1))))))</f>
        <v/>
      </c>
      <c r="V193" s="11">
        <f>IF(Inputs!$D$26=0,0,IF($R193&lt;=Inputs!$C$26,0,IF($R193&gt;=INDEX(LE_Curves!$F$5:$F$205,201),INDEX(LE_Curves!$B$5:$B$205,201),INDEX(LE_Curves!$B$5:$B$205,MATCH($R193,LE_Curves!$F$5:$F$205,1))+($R193-INDEX(LE_Curves!$F$5:$F$205,MATCH($R193,LE_Curves!$F$5:$F$205,1)))*(INDEX(LE_Curves!$B$5:$B$205,MATCH($R193,LE_Curves!$F$5:$F$205,1)+1)-INDEX(LE_Curves!$B$5:$B$205,MATCH($R193,LE_Curves!$F$5:$F$205,1)))/(INDEX(LE_Curves!$F$5:$F$205,MATCH($R193,LE_Curves!$F$5:$F$205,1)+1)-INDEX(LE_Curves!$F$5:$F$205,MATCH($R193,LE_Curves!$F$5:$F$205,1))))))</f>
        <v/>
      </c>
      <c r="W193" s="11">
        <f>IF(Inputs!$D$27=0,0,IF($R193&lt;=Inputs!$C$27,0,IF($R193&gt;=INDEX(LE_Curves!$G$5:$G$205,201),INDEX(LE_Curves!$B$5:$B$205,201),INDEX(LE_Curves!$B$5:$B$205,MATCH($R193,LE_Curves!$G$5:$G$205,1))+($R193-INDEX(LE_Curves!$G$5:$G$205,MATCH($R193,LE_Curves!$G$5:$G$205,1)))*(INDEX(LE_Curves!$B$5:$B$205,MATCH($R193,LE_Curves!$G$5:$G$205,1)+1)-INDEX(LE_Curves!$B$5:$B$205,MATCH($R193,LE_Curves!$G$5:$G$205,1)))/(INDEX(LE_Curves!$G$5:$G$205,MATCH($R193,LE_Curves!$G$5:$G$205,1)+1)-INDEX(LE_Curves!$G$5:$G$205,MATCH($R193,LE_Curves!$G$5:$G$205,1))))))</f>
        <v/>
      </c>
      <c r="X193" s="11">
        <f>IF(Inputs!$D$28=0,0,IF($R193&lt;=Inputs!$C$28,0,IF($R193&gt;=INDEX(LE_Curves!$H$5:$H$205,201),INDEX(LE_Curves!$B$5:$B$205,201),INDEX(LE_Curves!$B$5:$B$205,MATCH($R193,LE_Curves!$H$5:$H$205,1))+($R193-INDEX(LE_Curves!$H$5:$H$205,MATCH($R193,LE_Curves!$H$5:$H$205,1)))*(INDEX(LE_Curves!$B$5:$B$205,MATCH($R193,LE_Curves!$H$5:$H$205,1)+1)-INDEX(LE_Curves!$B$5:$B$205,MATCH($R193,LE_Curves!$H$5:$H$205,1)))/(INDEX(LE_Curves!$H$5:$H$205,MATCH($R193,LE_Curves!$H$5:$H$205,1)+1)-INDEX(LE_Curves!$H$5:$H$205,MATCH($R193,LE_Curves!$H$5:$H$205,1))))))</f>
        <v/>
      </c>
      <c r="Y193" s="11">
        <f>IF(Inputs!$D$29=0,0,IF($R193&lt;=Inputs!$C$29,0,IF($R193&gt;=INDEX(LE_Curves!$I$5:$I$205,201),INDEX(LE_Curves!$B$5:$B$205,201),INDEX(LE_Curves!$B$5:$B$205,MATCH($R193,LE_Curves!$I$5:$I$205,1))+($R193-INDEX(LE_Curves!$I$5:$I$205,MATCH($R193,LE_Curves!$I$5:$I$205,1)))*(INDEX(LE_Curves!$B$5:$B$205,MATCH($R193,LE_Curves!$I$5:$I$205,1)+1)-INDEX(LE_Curves!$B$5:$B$205,MATCH($R193,LE_Curves!$I$5:$I$205,1)))/(INDEX(LE_Curves!$I$5:$I$205,MATCH($R193,LE_Curves!$I$5:$I$205,1)+1)-INDEX(LE_Curves!$I$5:$I$205,MATCH($R193,LE_Curves!$I$5:$I$205,1))))))</f>
        <v/>
      </c>
      <c r="Z193" s="11">
        <f>IF(Inputs!$D$30=0,0,IF($R193&lt;=Inputs!$C$30,0,IF($R193&gt;=INDEX(LE_Curves!$J$5:$J$205,201),INDEX(LE_Curves!$B$5:$B$205,201),INDEX(LE_Curves!$B$5:$B$205,MATCH($R193,LE_Curves!$J$5:$J$205,1))+($R193-INDEX(LE_Curves!$J$5:$J$205,MATCH($R193,LE_Curves!$J$5:$J$205,1)))*(INDEX(LE_Curves!$B$5:$B$205,MATCH($R193,LE_Curves!$J$5:$J$205,1)+1)-INDEX(LE_Curves!$B$5:$B$205,MATCH($R193,LE_Curves!$J$5:$J$205,1)))/(INDEX(LE_Curves!$J$5:$J$205,MATCH($R193,LE_Curves!$J$5:$J$205,1)+1)-INDEX(LE_Curves!$J$5:$J$205,MATCH($R193,LE_Curves!$J$5:$J$205,1))))))</f>
        <v/>
      </c>
      <c r="AA193" s="11">
        <f>IF(Inputs!$D$31=0,0,IF($R193&lt;=Inputs!$C$31,0,IF($R193&gt;=INDEX(LE_Curves!$K$5:$K$205,201),INDEX(LE_Curves!$B$5:$B$205,201),INDEX(LE_Curves!$B$5:$B$205,MATCH($R193,LE_Curves!$K$5:$K$205,1))+($R193-INDEX(LE_Curves!$K$5:$K$205,MATCH($R193,LE_Curves!$K$5:$K$205,1)))*(INDEX(LE_Curves!$B$5:$B$205,MATCH($R193,LE_Curves!$K$5:$K$205,1)+1)-INDEX(LE_Curves!$B$5:$B$205,MATCH($R193,LE_Curves!$K$5:$K$205,1)))/(INDEX(LE_Curves!$K$5:$K$205,MATCH($R193,LE_Curves!$K$5:$K$205,1)+1)-INDEX(LE_Curves!$K$5:$K$205,MATCH($R193,LE_Curves!$K$5:$K$205,1))))))</f>
        <v/>
      </c>
      <c r="AB193" s="11">
        <f>IF(Inputs!$D$32=0,0,IF($R193&lt;=Inputs!$C$32,0,IF($R193&gt;=INDEX(LE_Curves!$L$5:$L$205,201),INDEX(LE_Curves!$B$5:$B$205,201),INDEX(LE_Curves!$B$5:$B$205,MATCH($R193,LE_Curves!$L$5:$L$205,1))+($R193-INDEX(LE_Curves!$L$5:$L$205,MATCH($R193,LE_Curves!$L$5:$L$205,1)))*(INDEX(LE_Curves!$B$5:$B$205,MATCH($R193,LE_Curves!$L$5:$L$205,1)+1)-INDEX(LE_Curves!$B$5:$B$205,MATCH($R193,LE_Curves!$L$5:$L$205,1)))/(INDEX(LE_Curves!$L$5:$L$205,MATCH($R193,LE_Curves!$L$5:$L$205,1)+1)-INDEX(LE_Curves!$L$5:$L$205,MATCH($R193,LE_Curves!$L$5:$L$205,1))))))</f>
        <v/>
      </c>
      <c r="AC193" s="11">
        <f>IF(Inputs!$D$33=0,0,IF($R193&lt;=Inputs!$C$33,0,IF($R193&gt;=INDEX(LE_Curves!$M$5:$M$205,201),INDEX(LE_Curves!$B$5:$B$205,201),INDEX(LE_Curves!$B$5:$B$205,MATCH($R193,LE_Curves!$M$5:$M$205,1))+($R193-INDEX(LE_Curves!$M$5:$M$205,MATCH($R193,LE_Curves!$M$5:$M$205,1)))*(INDEX(LE_Curves!$B$5:$B$205,MATCH($R193,LE_Curves!$M$5:$M$205,1)+1)-INDEX(LE_Curves!$B$5:$B$205,MATCH($R193,LE_Curves!$M$5:$M$205,1)))/(INDEX(LE_Curves!$M$5:$M$205,MATCH($R193,LE_Curves!$M$5:$M$205,1)+1)-INDEX(LE_Curves!$M$5:$M$205,MATCH($R193,LE_Curves!$M$5:$M$205,1))))))</f>
        <v/>
      </c>
      <c r="AD193" s="11">
        <f>IF(Inputs!$D$34=0,0,IF($R193&lt;=Inputs!$C$34,0,IF($R193&gt;=INDEX(LE_Curves!$N$5:$N$205,201),INDEX(LE_Curves!$B$5:$B$205,201),INDEX(LE_Curves!$B$5:$B$205,MATCH($R193,LE_Curves!$N$5:$N$205,1))+($R193-INDEX(LE_Curves!$N$5:$N$205,MATCH($R193,LE_Curves!$N$5:$N$205,1)))*(INDEX(LE_Curves!$B$5:$B$205,MATCH($R193,LE_Curves!$N$5:$N$205,1)+1)-INDEX(LE_Curves!$B$5:$B$205,MATCH($R193,LE_Curves!$N$5:$N$205,1)))/(INDEX(LE_Curves!$N$5:$N$205,MATCH($R193,LE_Curves!$N$5:$N$205,1)+1)-INDEX(LE_Curves!$N$5:$N$205,MATCH($R193,LE_Curves!$N$5:$N$205,1))))))</f>
        <v/>
      </c>
      <c r="AE193" s="37">
        <f>SUM(S193:AD193)</f>
        <v/>
      </c>
    </row>
    <row r="194">
      <c r="A194" s="7" t="n">
        <v>163</v>
      </c>
      <c r="B194" s="37">
        <f>$B$3+($B$4-$B$3)*A194/200</f>
        <v/>
      </c>
      <c r="C194" s="11">
        <f>IF(Inputs!$D$23=0,0,IF($B194&lt;=Inputs!$C$23,0,IF($B194&gt;=INDEX(LE_Curves!$C$5:$C$205,201),INDEX(LE_Curves!$B$5:$B$205,201),INDEX(LE_Curves!$B$5:$B$205,MATCH($B194,LE_Curves!$C$5:$C$205,1))+($B194-INDEX(LE_Curves!$C$5:$C$205,MATCH($B194,LE_Curves!$C$5:$C$205,1)))*(INDEX(LE_Curves!$B$5:$B$205,MATCH($B194,LE_Curves!$C$5:$C$205,1)+1)-INDEX(LE_Curves!$B$5:$B$205,MATCH($B194,LE_Curves!$C$5:$C$205,1)))/(INDEX(LE_Curves!$C$5:$C$205,MATCH($B194,LE_Curves!$C$5:$C$205,1)+1)-INDEX(LE_Curves!$C$5:$C$205,MATCH($B194,LE_Curves!$C$5:$C$205,1))))))</f>
        <v/>
      </c>
      <c r="D194" s="11">
        <f>IF(Inputs!$D$24=0,0,IF($B194&lt;=Inputs!$C$24,0,IF($B194&gt;=INDEX(LE_Curves!$D$5:$D$205,201),INDEX(LE_Curves!$B$5:$B$205,201),INDEX(LE_Curves!$B$5:$B$205,MATCH($B194,LE_Curves!$D$5:$D$205,1))+($B194-INDEX(LE_Curves!$D$5:$D$205,MATCH($B194,LE_Curves!$D$5:$D$205,1)))*(INDEX(LE_Curves!$B$5:$B$205,MATCH($B194,LE_Curves!$D$5:$D$205,1)+1)-INDEX(LE_Curves!$B$5:$B$205,MATCH($B194,LE_Curves!$D$5:$D$205,1)))/(INDEX(LE_Curves!$D$5:$D$205,MATCH($B194,LE_Curves!$D$5:$D$205,1)+1)-INDEX(LE_Curves!$D$5:$D$205,MATCH($B194,LE_Curves!$D$5:$D$205,1))))))</f>
        <v/>
      </c>
      <c r="E194" s="11">
        <f>IF(Inputs!$D$25=0,0,IF($B194&lt;=Inputs!$C$25,0,IF($B194&gt;=INDEX(LE_Curves!$E$5:$E$205,201),INDEX(LE_Curves!$B$5:$B$205,201),INDEX(LE_Curves!$B$5:$B$205,MATCH($B194,LE_Curves!$E$5:$E$205,1))+($B194-INDEX(LE_Curves!$E$5:$E$205,MATCH($B194,LE_Curves!$E$5:$E$205,1)))*(INDEX(LE_Curves!$B$5:$B$205,MATCH($B194,LE_Curves!$E$5:$E$205,1)+1)-INDEX(LE_Curves!$B$5:$B$205,MATCH($B194,LE_Curves!$E$5:$E$205,1)))/(INDEX(LE_Curves!$E$5:$E$205,MATCH($B194,LE_Curves!$E$5:$E$205,1)+1)-INDEX(LE_Curves!$E$5:$E$205,MATCH($B194,LE_Curves!$E$5:$E$205,1))))))</f>
        <v/>
      </c>
      <c r="F194" s="11">
        <f>IF(Inputs!$D$26=0,0,IF($B194&lt;=Inputs!$C$26,0,IF($B194&gt;=INDEX(LE_Curves!$F$5:$F$205,201),INDEX(LE_Curves!$B$5:$B$205,201),INDEX(LE_Curves!$B$5:$B$205,MATCH($B194,LE_Curves!$F$5:$F$205,1))+($B194-INDEX(LE_Curves!$F$5:$F$205,MATCH($B194,LE_Curves!$F$5:$F$205,1)))*(INDEX(LE_Curves!$B$5:$B$205,MATCH($B194,LE_Curves!$F$5:$F$205,1)+1)-INDEX(LE_Curves!$B$5:$B$205,MATCH($B194,LE_Curves!$F$5:$F$205,1)))/(INDEX(LE_Curves!$F$5:$F$205,MATCH($B194,LE_Curves!$F$5:$F$205,1)+1)-INDEX(LE_Curves!$F$5:$F$205,MATCH($B194,LE_Curves!$F$5:$F$205,1))))))</f>
        <v/>
      </c>
      <c r="G194" s="11">
        <f>IF(Inputs!$D$27=0,0,IF($B194&lt;=Inputs!$C$27,0,IF($B194&gt;=INDEX(LE_Curves!$G$5:$G$205,201),INDEX(LE_Curves!$B$5:$B$205,201),INDEX(LE_Curves!$B$5:$B$205,MATCH($B194,LE_Curves!$G$5:$G$205,1))+($B194-INDEX(LE_Curves!$G$5:$G$205,MATCH($B194,LE_Curves!$G$5:$G$205,1)))*(INDEX(LE_Curves!$B$5:$B$205,MATCH($B194,LE_Curves!$G$5:$G$205,1)+1)-INDEX(LE_Curves!$B$5:$B$205,MATCH($B194,LE_Curves!$G$5:$G$205,1)))/(INDEX(LE_Curves!$G$5:$G$205,MATCH($B194,LE_Curves!$G$5:$G$205,1)+1)-INDEX(LE_Curves!$G$5:$G$205,MATCH($B194,LE_Curves!$G$5:$G$205,1))))))</f>
        <v/>
      </c>
      <c r="H194" s="11">
        <f>IF(Inputs!$D$28=0,0,IF($B194&lt;=Inputs!$C$28,0,IF($B194&gt;=INDEX(LE_Curves!$H$5:$H$205,201),INDEX(LE_Curves!$B$5:$B$205,201),INDEX(LE_Curves!$B$5:$B$205,MATCH($B194,LE_Curves!$H$5:$H$205,1))+($B194-INDEX(LE_Curves!$H$5:$H$205,MATCH($B194,LE_Curves!$H$5:$H$205,1)))*(INDEX(LE_Curves!$B$5:$B$205,MATCH($B194,LE_Curves!$H$5:$H$205,1)+1)-INDEX(LE_Curves!$B$5:$B$205,MATCH($B194,LE_Curves!$H$5:$H$205,1)))/(INDEX(LE_Curves!$H$5:$H$205,MATCH($B194,LE_Curves!$H$5:$H$205,1)+1)-INDEX(LE_Curves!$H$5:$H$205,MATCH($B194,LE_Curves!$H$5:$H$205,1))))))</f>
        <v/>
      </c>
      <c r="I194" s="11">
        <f>IF(Inputs!$D$29=0,0,IF($B194&lt;=Inputs!$C$29,0,IF($B194&gt;=INDEX(LE_Curves!$I$5:$I$205,201),INDEX(LE_Curves!$B$5:$B$205,201),INDEX(LE_Curves!$B$5:$B$205,MATCH($B194,LE_Curves!$I$5:$I$205,1))+($B194-INDEX(LE_Curves!$I$5:$I$205,MATCH($B194,LE_Curves!$I$5:$I$205,1)))*(INDEX(LE_Curves!$B$5:$B$205,MATCH($B194,LE_Curves!$I$5:$I$205,1)+1)-INDEX(LE_Curves!$B$5:$B$205,MATCH($B194,LE_Curves!$I$5:$I$205,1)))/(INDEX(LE_Curves!$I$5:$I$205,MATCH($B194,LE_Curves!$I$5:$I$205,1)+1)-INDEX(LE_Curves!$I$5:$I$205,MATCH($B194,LE_Curves!$I$5:$I$205,1))))))</f>
        <v/>
      </c>
      <c r="J194" s="11">
        <f>IF(Inputs!$D$30=0,0,IF($B194&lt;=Inputs!$C$30,0,IF($B194&gt;=INDEX(LE_Curves!$J$5:$J$205,201),INDEX(LE_Curves!$B$5:$B$205,201),INDEX(LE_Curves!$B$5:$B$205,MATCH($B194,LE_Curves!$J$5:$J$205,1))+($B194-INDEX(LE_Curves!$J$5:$J$205,MATCH($B194,LE_Curves!$J$5:$J$205,1)))*(INDEX(LE_Curves!$B$5:$B$205,MATCH($B194,LE_Curves!$J$5:$J$205,1)+1)-INDEX(LE_Curves!$B$5:$B$205,MATCH($B194,LE_Curves!$J$5:$J$205,1)))/(INDEX(LE_Curves!$J$5:$J$205,MATCH($B194,LE_Curves!$J$5:$J$205,1)+1)-INDEX(LE_Curves!$J$5:$J$205,MATCH($B194,LE_Curves!$J$5:$J$205,1))))))</f>
        <v/>
      </c>
      <c r="K194" s="11">
        <f>IF(Inputs!$D$31=0,0,IF($B194&lt;=Inputs!$C$31,0,IF($B194&gt;=INDEX(LE_Curves!$K$5:$K$205,201),INDEX(LE_Curves!$B$5:$B$205,201),INDEX(LE_Curves!$B$5:$B$205,MATCH($B194,LE_Curves!$K$5:$K$205,1))+($B194-INDEX(LE_Curves!$K$5:$K$205,MATCH($B194,LE_Curves!$K$5:$K$205,1)))*(INDEX(LE_Curves!$B$5:$B$205,MATCH($B194,LE_Curves!$K$5:$K$205,1)+1)-INDEX(LE_Curves!$B$5:$B$205,MATCH($B194,LE_Curves!$K$5:$K$205,1)))/(INDEX(LE_Curves!$K$5:$K$205,MATCH($B194,LE_Curves!$K$5:$K$205,1)+1)-INDEX(LE_Curves!$K$5:$K$205,MATCH($B194,LE_Curves!$K$5:$K$205,1))))))</f>
        <v/>
      </c>
      <c r="L194" s="11">
        <f>IF(Inputs!$D$32=0,0,IF($B194&lt;=Inputs!$C$32,0,IF($B194&gt;=INDEX(LE_Curves!$L$5:$L$205,201),INDEX(LE_Curves!$B$5:$B$205,201),INDEX(LE_Curves!$B$5:$B$205,MATCH($B194,LE_Curves!$L$5:$L$205,1))+($B194-INDEX(LE_Curves!$L$5:$L$205,MATCH($B194,LE_Curves!$L$5:$L$205,1)))*(INDEX(LE_Curves!$B$5:$B$205,MATCH($B194,LE_Curves!$L$5:$L$205,1)+1)-INDEX(LE_Curves!$B$5:$B$205,MATCH($B194,LE_Curves!$L$5:$L$205,1)))/(INDEX(LE_Curves!$L$5:$L$205,MATCH($B194,LE_Curves!$L$5:$L$205,1)+1)-INDEX(LE_Curves!$L$5:$L$205,MATCH($B194,LE_Curves!$L$5:$L$205,1))))))</f>
        <v/>
      </c>
      <c r="M194" s="11">
        <f>IF(Inputs!$D$33=0,0,IF($B194&lt;=Inputs!$C$33,0,IF($B194&gt;=INDEX(LE_Curves!$M$5:$M$205,201),INDEX(LE_Curves!$B$5:$B$205,201),INDEX(LE_Curves!$B$5:$B$205,MATCH($B194,LE_Curves!$M$5:$M$205,1))+($B194-INDEX(LE_Curves!$M$5:$M$205,MATCH($B194,LE_Curves!$M$5:$M$205,1)))*(INDEX(LE_Curves!$B$5:$B$205,MATCH($B194,LE_Curves!$M$5:$M$205,1)+1)-INDEX(LE_Curves!$B$5:$B$205,MATCH($B194,LE_Curves!$M$5:$M$205,1)))/(INDEX(LE_Curves!$M$5:$M$205,MATCH($B194,LE_Curves!$M$5:$M$205,1)+1)-INDEX(LE_Curves!$M$5:$M$205,MATCH($B194,LE_Curves!$M$5:$M$205,1))))))</f>
        <v/>
      </c>
      <c r="N194" s="11">
        <f>IF(Inputs!$D$34=0,0,IF($B194&lt;=Inputs!$C$34,0,IF($B194&gt;=INDEX(LE_Curves!$N$5:$N$205,201),INDEX(LE_Curves!$B$5:$B$205,201),INDEX(LE_Curves!$B$5:$B$205,MATCH($B194,LE_Curves!$N$5:$N$205,1))+($B194-INDEX(LE_Curves!$N$5:$N$205,MATCH($B194,LE_Curves!$N$5:$N$205,1)))*(INDEX(LE_Curves!$B$5:$B$205,MATCH($B194,LE_Curves!$N$5:$N$205,1)+1)-INDEX(LE_Curves!$B$5:$B$205,MATCH($B194,LE_Curves!$N$5:$N$205,1)))/(INDEX(LE_Curves!$N$5:$N$205,MATCH($B194,LE_Curves!$N$5:$N$205,1)+1)-INDEX(LE_Curves!$N$5:$N$205,MATCH($B194,LE_Curves!$N$5:$N$205,1))))))</f>
        <v/>
      </c>
      <c r="O194" s="11">
        <f>SUM(C194:N194)</f>
        <v/>
      </c>
      <c r="Q194" s="7" t="n">
        <v>163</v>
      </c>
      <c r="R194" s="23">
        <f>$B$6+($B$7-$B$6)*Q194/200</f>
        <v/>
      </c>
      <c r="S194" s="11">
        <f>IF(Inputs!$D$23=0,0,IF($R194&lt;=Inputs!$C$23,0,IF($R194&gt;=INDEX(LE_Curves!$C$5:$C$205,201),INDEX(LE_Curves!$B$5:$B$205,201),INDEX(LE_Curves!$B$5:$B$205,MATCH($R194,LE_Curves!$C$5:$C$205,1))+($R194-INDEX(LE_Curves!$C$5:$C$205,MATCH($R194,LE_Curves!$C$5:$C$205,1)))*(INDEX(LE_Curves!$B$5:$B$205,MATCH($R194,LE_Curves!$C$5:$C$205,1)+1)-INDEX(LE_Curves!$B$5:$B$205,MATCH($R194,LE_Curves!$C$5:$C$205,1)))/(INDEX(LE_Curves!$C$5:$C$205,MATCH($R194,LE_Curves!$C$5:$C$205,1)+1)-INDEX(LE_Curves!$C$5:$C$205,MATCH($R194,LE_Curves!$C$5:$C$205,1))))))</f>
        <v/>
      </c>
      <c r="T194" s="11">
        <f>IF(Inputs!$D$24=0,0,IF($R194&lt;=Inputs!$C$24,0,IF($R194&gt;=INDEX(LE_Curves!$D$5:$D$205,201),INDEX(LE_Curves!$B$5:$B$205,201),INDEX(LE_Curves!$B$5:$B$205,MATCH($R194,LE_Curves!$D$5:$D$205,1))+($R194-INDEX(LE_Curves!$D$5:$D$205,MATCH($R194,LE_Curves!$D$5:$D$205,1)))*(INDEX(LE_Curves!$B$5:$B$205,MATCH($R194,LE_Curves!$D$5:$D$205,1)+1)-INDEX(LE_Curves!$B$5:$B$205,MATCH($R194,LE_Curves!$D$5:$D$205,1)))/(INDEX(LE_Curves!$D$5:$D$205,MATCH($R194,LE_Curves!$D$5:$D$205,1)+1)-INDEX(LE_Curves!$D$5:$D$205,MATCH($R194,LE_Curves!$D$5:$D$205,1))))))</f>
        <v/>
      </c>
      <c r="U194" s="11">
        <f>IF(Inputs!$D$25=0,0,IF($R194&lt;=Inputs!$C$25,0,IF($R194&gt;=INDEX(LE_Curves!$E$5:$E$205,201),INDEX(LE_Curves!$B$5:$B$205,201),INDEX(LE_Curves!$B$5:$B$205,MATCH($R194,LE_Curves!$E$5:$E$205,1))+($R194-INDEX(LE_Curves!$E$5:$E$205,MATCH($R194,LE_Curves!$E$5:$E$205,1)))*(INDEX(LE_Curves!$B$5:$B$205,MATCH($R194,LE_Curves!$E$5:$E$205,1)+1)-INDEX(LE_Curves!$B$5:$B$205,MATCH($R194,LE_Curves!$E$5:$E$205,1)))/(INDEX(LE_Curves!$E$5:$E$205,MATCH($R194,LE_Curves!$E$5:$E$205,1)+1)-INDEX(LE_Curves!$E$5:$E$205,MATCH($R194,LE_Curves!$E$5:$E$205,1))))))</f>
        <v/>
      </c>
      <c r="V194" s="11">
        <f>IF(Inputs!$D$26=0,0,IF($R194&lt;=Inputs!$C$26,0,IF($R194&gt;=INDEX(LE_Curves!$F$5:$F$205,201),INDEX(LE_Curves!$B$5:$B$205,201),INDEX(LE_Curves!$B$5:$B$205,MATCH($R194,LE_Curves!$F$5:$F$205,1))+($R194-INDEX(LE_Curves!$F$5:$F$205,MATCH($R194,LE_Curves!$F$5:$F$205,1)))*(INDEX(LE_Curves!$B$5:$B$205,MATCH($R194,LE_Curves!$F$5:$F$205,1)+1)-INDEX(LE_Curves!$B$5:$B$205,MATCH($R194,LE_Curves!$F$5:$F$205,1)))/(INDEX(LE_Curves!$F$5:$F$205,MATCH($R194,LE_Curves!$F$5:$F$205,1)+1)-INDEX(LE_Curves!$F$5:$F$205,MATCH($R194,LE_Curves!$F$5:$F$205,1))))))</f>
        <v/>
      </c>
      <c r="W194" s="11">
        <f>IF(Inputs!$D$27=0,0,IF($R194&lt;=Inputs!$C$27,0,IF($R194&gt;=INDEX(LE_Curves!$G$5:$G$205,201),INDEX(LE_Curves!$B$5:$B$205,201),INDEX(LE_Curves!$B$5:$B$205,MATCH($R194,LE_Curves!$G$5:$G$205,1))+($R194-INDEX(LE_Curves!$G$5:$G$205,MATCH($R194,LE_Curves!$G$5:$G$205,1)))*(INDEX(LE_Curves!$B$5:$B$205,MATCH($R194,LE_Curves!$G$5:$G$205,1)+1)-INDEX(LE_Curves!$B$5:$B$205,MATCH($R194,LE_Curves!$G$5:$G$205,1)))/(INDEX(LE_Curves!$G$5:$G$205,MATCH($R194,LE_Curves!$G$5:$G$205,1)+1)-INDEX(LE_Curves!$G$5:$G$205,MATCH($R194,LE_Curves!$G$5:$G$205,1))))))</f>
        <v/>
      </c>
      <c r="X194" s="11">
        <f>IF(Inputs!$D$28=0,0,IF($R194&lt;=Inputs!$C$28,0,IF($R194&gt;=INDEX(LE_Curves!$H$5:$H$205,201),INDEX(LE_Curves!$B$5:$B$205,201),INDEX(LE_Curves!$B$5:$B$205,MATCH($R194,LE_Curves!$H$5:$H$205,1))+($R194-INDEX(LE_Curves!$H$5:$H$205,MATCH($R194,LE_Curves!$H$5:$H$205,1)))*(INDEX(LE_Curves!$B$5:$B$205,MATCH($R194,LE_Curves!$H$5:$H$205,1)+1)-INDEX(LE_Curves!$B$5:$B$205,MATCH($R194,LE_Curves!$H$5:$H$205,1)))/(INDEX(LE_Curves!$H$5:$H$205,MATCH($R194,LE_Curves!$H$5:$H$205,1)+1)-INDEX(LE_Curves!$H$5:$H$205,MATCH($R194,LE_Curves!$H$5:$H$205,1))))))</f>
        <v/>
      </c>
      <c r="Y194" s="11">
        <f>IF(Inputs!$D$29=0,0,IF($R194&lt;=Inputs!$C$29,0,IF($R194&gt;=INDEX(LE_Curves!$I$5:$I$205,201),INDEX(LE_Curves!$B$5:$B$205,201),INDEX(LE_Curves!$B$5:$B$205,MATCH($R194,LE_Curves!$I$5:$I$205,1))+($R194-INDEX(LE_Curves!$I$5:$I$205,MATCH($R194,LE_Curves!$I$5:$I$205,1)))*(INDEX(LE_Curves!$B$5:$B$205,MATCH($R194,LE_Curves!$I$5:$I$205,1)+1)-INDEX(LE_Curves!$B$5:$B$205,MATCH($R194,LE_Curves!$I$5:$I$205,1)))/(INDEX(LE_Curves!$I$5:$I$205,MATCH($R194,LE_Curves!$I$5:$I$205,1)+1)-INDEX(LE_Curves!$I$5:$I$205,MATCH($R194,LE_Curves!$I$5:$I$205,1))))))</f>
        <v/>
      </c>
      <c r="Z194" s="11">
        <f>IF(Inputs!$D$30=0,0,IF($R194&lt;=Inputs!$C$30,0,IF($R194&gt;=INDEX(LE_Curves!$J$5:$J$205,201),INDEX(LE_Curves!$B$5:$B$205,201),INDEX(LE_Curves!$B$5:$B$205,MATCH($R194,LE_Curves!$J$5:$J$205,1))+($R194-INDEX(LE_Curves!$J$5:$J$205,MATCH($R194,LE_Curves!$J$5:$J$205,1)))*(INDEX(LE_Curves!$B$5:$B$205,MATCH($R194,LE_Curves!$J$5:$J$205,1)+1)-INDEX(LE_Curves!$B$5:$B$205,MATCH($R194,LE_Curves!$J$5:$J$205,1)))/(INDEX(LE_Curves!$J$5:$J$205,MATCH($R194,LE_Curves!$J$5:$J$205,1)+1)-INDEX(LE_Curves!$J$5:$J$205,MATCH($R194,LE_Curves!$J$5:$J$205,1))))))</f>
        <v/>
      </c>
      <c r="AA194" s="11">
        <f>IF(Inputs!$D$31=0,0,IF($R194&lt;=Inputs!$C$31,0,IF($R194&gt;=INDEX(LE_Curves!$K$5:$K$205,201),INDEX(LE_Curves!$B$5:$B$205,201),INDEX(LE_Curves!$B$5:$B$205,MATCH($R194,LE_Curves!$K$5:$K$205,1))+($R194-INDEX(LE_Curves!$K$5:$K$205,MATCH($R194,LE_Curves!$K$5:$K$205,1)))*(INDEX(LE_Curves!$B$5:$B$205,MATCH($R194,LE_Curves!$K$5:$K$205,1)+1)-INDEX(LE_Curves!$B$5:$B$205,MATCH($R194,LE_Curves!$K$5:$K$205,1)))/(INDEX(LE_Curves!$K$5:$K$205,MATCH($R194,LE_Curves!$K$5:$K$205,1)+1)-INDEX(LE_Curves!$K$5:$K$205,MATCH($R194,LE_Curves!$K$5:$K$205,1))))))</f>
        <v/>
      </c>
      <c r="AB194" s="11">
        <f>IF(Inputs!$D$32=0,0,IF($R194&lt;=Inputs!$C$32,0,IF($R194&gt;=INDEX(LE_Curves!$L$5:$L$205,201),INDEX(LE_Curves!$B$5:$B$205,201),INDEX(LE_Curves!$B$5:$B$205,MATCH($R194,LE_Curves!$L$5:$L$205,1))+($R194-INDEX(LE_Curves!$L$5:$L$205,MATCH($R194,LE_Curves!$L$5:$L$205,1)))*(INDEX(LE_Curves!$B$5:$B$205,MATCH($R194,LE_Curves!$L$5:$L$205,1)+1)-INDEX(LE_Curves!$B$5:$B$205,MATCH($R194,LE_Curves!$L$5:$L$205,1)))/(INDEX(LE_Curves!$L$5:$L$205,MATCH($R194,LE_Curves!$L$5:$L$205,1)+1)-INDEX(LE_Curves!$L$5:$L$205,MATCH($R194,LE_Curves!$L$5:$L$205,1))))))</f>
        <v/>
      </c>
      <c r="AC194" s="11">
        <f>IF(Inputs!$D$33=0,0,IF($R194&lt;=Inputs!$C$33,0,IF($R194&gt;=INDEX(LE_Curves!$M$5:$M$205,201),INDEX(LE_Curves!$B$5:$B$205,201),INDEX(LE_Curves!$B$5:$B$205,MATCH($R194,LE_Curves!$M$5:$M$205,1))+($R194-INDEX(LE_Curves!$M$5:$M$205,MATCH($R194,LE_Curves!$M$5:$M$205,1)))*(INDEX(LE_Curves!$B$5:$B$205,MATCH($R194,LE_Curves!$M$5:$M$205,1)+1)-INDEX(LE_Curves!$B$5:$B$205,MATCH($R194,LE_Curves!$M$5:$M$205,1)))/(INDEX(LE_Curves!$M$5:$M$205,MATCH($R194,LE_Curves!$M$5:$M$205,1)+1)-INDEX(LE_Curves!$M$5:$M$205,MATCH($R194,LE_Curves!$M$5:$M$205,1))))))</f>
        <v/>
      </c>
      <c r="AD194" s="11">
        <f>IF(Inputs!$D$34=0,0,IF($R194&lt;=Inputs!$C$34,0,IF($R194&gt;=INDEX(LE_Curves!$N$5:$N$205,201),INDEX(LE_Curves!$B$5:$B$205,201),INDEX(LE_Curves!$B$5:$B$205,MATCH($R194,LE_Curves!$N$5:$N$205,1))+($R194-INDEX(LE_Curves!$N$5:$N$205,MATCH($R194,LE_Curves!$N$5:$N$205,1)))*(INDEX(LE_Curves!$B$5:$B$205,MATCH($R194,LE_Curves!$N$5:$N$205,1)+1)-INDEX(LE_Curves!$B$5:$B$205,MATCH($R194,LE_Curves!$N$5:$N$205,1)))/(INDEX(LE_Curves!$N$5:$N$205,MATCH($R194,LE_Curves!$N$5:$N$205,1)+1)-INDEX(LE_Curves!$N$5:$N$205,MATCH($R194,LE_Curves!$N$5:$N$205,1))))))</f>
        <v/>
      </c>
      <c r="AE194" s="37">
        <f>SUM(S194:AD194)</f>
        <v/>
      </c>
    </row>
    <row r="195">
      <c r="A195" s="7" t="n">
        <v>164</v>
      </c>
      <c r="B195" s="37">
        <f>$B$3+($B$4-$B$3)*A195/200</f>
        <v/>
      </c>
      <c r="C195" s="11">
        <f>IF(Inputs!$D$23=0,0,IF($B195&lt;=Inputs!$C$23,0,IF($B195&gt;=INDEX(LE_Curves!$C$5:$C$205,201),INDEX(LE_Curves!$B$5:$B$205,201),INDEX(LE_Curves!$B$5:$B$205,MATCH($B195,LE_Curves!$C$5:$C$205,1))+($B195-INDEX(LE_Curves!$C$5:$C$205,MATCH($B195,LE_Curves!$C$5:$C$205,1)))*(INDEX(LE_Curves!$B$5:$B$205,MATCH($B195,LE_Curves!$C$5:$C$205,1)+1)-INDEX(LE_Curves!$B$5:$B$205,MATCH($B195,LE_Curves!$C$5:$C$205,1)))/(INDEX(LE_Curves!$C$5:$C$205,MATCH($B195,LE_Curves!$C$5:$C$205,1)+1)-INDEX(LE_Curves!$C$5:$C$205,MATCH($B195,LE_Curves!$C$5:$C$205,1))))))</f>
        <v/>
      </c>
      <c r="D195" s="11">
        <f>IF(Inputs!$D$24=0,0,IF($B195&lt;=Inputs!$C$24,0,IF($B195&gt;=INDEX(LE_Curves!$D$5:$D$205,201),INDEX(LE_Curves!$B$5:$B$205,201),INDEX(LE_Curves!$B$5:$B$205,MATCH($B195,LE_Curves!$D$5:$D$205,1))+($B195-INDEX(LE_Curves!$D$5:$D$205,MATCH($B195,LE_Curves!$D$5:$D$205,1)))*(INDEX(LE_Curves!$B$5:$B$205,MATCH($B195,LE_Curves!$D$5:$D$205,1)+1)-INDEX(LE_Curves!$B$5:$B$205,MATCH($B195,LE_Curves!$D$5:$D$205,1)))/(INDEX(LE_Curves!$D$5:$D$205,MATCH($B195,LE_Curves!$D$5:$D$205,1)+1)-INDEX(LE_Curves!$D$5:$D$205,MATCH($B195,LE_Curves!$D$5:$D$205,1))))))</f>
        <v/>
      </c>
      <c r="E195" s="11">
        <f>IF(Inputs!$D$25=0,0,IF($B195&lt;=Inputs!$C$25,0,IF($B195&gt;=INDEX(LE_Curves!$E$5:$E$205,201),INDEX(LE_Curves!$B$5:$B$205,201),INDEX(LE_Curves!$B$5:$B$205,MATCH($B195,LE_Curves!$E$5:$E$205,1))+($B195-INDEX(LE_Curves!$E$5:$E$205,MATCH($B195,LE_Curves!$E$5:$E$205,1)))*(INDEX(LE_Curves!$B$5:$B$205,MATCH($B195,LE_Curves!$E$5:$E$205,1)+1)-INDEX(LE_Curves!$B$5:$B$205,MATCH($B195,LE_Curves!$E$5:$E$205,1)))/(INDEX(LE_Curves!$E$5:$E$205,MATCH($B195,LE_Curves!$E$5:$E$205,1)+1)-INDEX(LE_Curves!$E$5:$E$205,MATCH($B195,LE_Curves!$E$5:$E$205,1))))))</f>
        <v/>
      </c>
      <c r="F195" s="11">
        <f>IF(Inputs!$D$26=0,0,IF($B195&lt;=Inputs!$C$26,0,IF($B195&gt;=INDEX(LE_Curves!$F$5:$F$205,201),INDEX(LE_Curves!$B$5:$B$205,201),INDEX(LE_Curves!$B$5:$B$205,MATCH($B195,LE_Curves!$F$5:$F$205,1))+($B195-INDEX(LE_Curves!$F$5:$F$205,MATCH($B195,LE_Curves!$F$5:$F$205,1)))*(INDEX(LE_Curves!$B$5:$B$205,MATCH($B195,LE_Curves!$F$5:$F$205,1)+1)-INDEX(LE_Curves!$B$5:$B$205,MATCH($B195,LE_Curves!$F$5:$F$205,1)))/(INDEX(LE_Curves!$F$5:$F$205,MATCH($B195,LE_Curves!$F$5:$F$205,1)+1)-INDEX(LE_Curves!$F$5:$F$205,MATCH($B195,LE_Curves!$F$5:$F$205,1))))))</f>
        <v/>
      </c>
      <c r="G195" s="11">
        <f>IF(Inputs!$D$27=0,0,IF($B195&lt;=Inputs!$C$27,0,IF($B195&gt;=INDEX(LE_Curves!$G$5:$G$205,201),INDEX(LE_Curves!$B$5:$B$205,201),INDEX(LE_Curves!$B$5:$B$205,MATCH($B195,LE_Curves!$G$5:$G$205,1))+($B195-INDEX(LE_Curves!$G$5:$G$205,MATCH($B195,LE_Curves!$G$5:$G$205,1)))*(INDEX(LE_Curves!$B$5:$B$205,MATCH($B195,LE_Curves!$G$5:$G$205,1)+1)-INDEX(LE_Curves!$B$5:$B$205,MATCH($B195,LE_Curves!$G$5:$G$205,1)))/(INDEX(LE_Curves!$G$5:$G$205,MATCH($B195,LE_Curves!$G$5:$G$205,1)+1)-INDEX(LE_Curves!$G$5:$G$205,MATCH($B195,LE_Curves!$G$5:$G$205,1))))))</f>
        <v/>
      </c>
      <c r="H195" s="11">
        <f>IF(Inputs!$D$28=0,0,IF($B195&lt;=Inputs!$C$28,0,IF($B195&gt;=INDEX(LE_Curves!$H$5:$H$205,201),INDEX(LE_Curves!$B$5:$B$205,201),INDEX(LE_Curves!$B$5:$B$205,MATCH($B195,LE_Curves!$H$5:$H$205,1))+($B195-INDEX(LE_Curves!$H$5:$H$205,MATCH($B195,LE_Curves!$H$5:$H$205,1)))*(INDEX(LE_Curves!$B$5:$B$205,MATCH($B195,LE_Curves!$H$5:$H$205,1)+1)-INDEX(LE_Curves!$B$5:$B$205,MATCH($B195,LE_Curves!$H$5:$H$205,1)))/(INDEX(LE_Curves!$H$5:$H$205,MATCH($B195,LE_Curves!$H$5:$H$205,1)+1)-INDEX(LE_Curves!$H$5:$H$205,MATCH($B195,LE_Curves!$H$5:$H$205,1))))))</f>
        <v/>
      </c>
      <c r="I195" s="11">
        <f>IF(Inputs!$D$29=0,0,IF($B195&lt;=Inputs!$C$29,0,IF($B195&gt;=INDEX(LE_Curves!$I$5:$I$205,201),INDEX(LE_Curves!$B$5:$B$205,201),INDEX(LE_Curves!$B$5:$B$205,MATCH($B195,LE_Curves!$I$5:$I$205,1))+($B195-INDEX(LE_Curves!$I$5:$I$205,MATCH($B195,LE_Curves!$I$5:$I$205,1)))*(INDEX(LE_Curves!$B$5:$B$205,MATCH($B195,LE_Curves!$I$5:$I$205,1)+1)-INDEX(LE_Curves!$B$5:$B$205,MATCH($B195,LE_Curves!$I$5:$I$205,1)))/(INDEX(LE_Curves!$I$5:$I$205,MATCH($B195,LE_Curves!$I$5:$I$205,1)+1)-INDEX(LE_Curves!$I$5:$I$205,MATCH($B195,LE_Curves!$I$5:$I$205,1))))))</f>
        <v/>
      </c>
      <c r="J195" s="11">
        <f>IF(Inputs!$D$30=0,0,IF($B195&lt;=Inputs!$C$30,0,IF($B195&gt;=INDEX(LE_Curves!$J$5:$J$205,201),INDEX(LE_Curves!$B$5:$B$205,201),INDEX(LE_Curves!$B$5:$B$205,MATCH($B195,LE_Curves!$J$5:$J$205,1))+($B195-INDEX(LE_Curves!$J$5:$J$205,MATCH($B195,LE_Curves!$J$5:$J$205,1)))*(INDEX(LE_Curves!$B$5:$B$205,MATCH($B195,LE_Curves!$J$5:$J$205,1)+1)-INDEX(LE_Curves!$B$5:$B$205,MATCH($B195,LE_Curves!$J$5:$J$205,1)))/(INDEX(LE_Curves!$J$5:$J$205,MATCH($B195,LE_Curves!$J$5:$J$205,1)+1)-INDEX(LE_Curves!$J$5:$J$205,MATCH($B195,LE_Curves!$J$5:$J$205,1))))))</f>
        <v/>
      </c>
      <c r="K195" s="11">
        <f>IF(Inputs!$D$31=0,0,IF($B195&lt;=Inputs!$C$31,0,IF($B195&gt;=INDEX(LE_Curves!$K$5:$K$205,201),INDEX(LE_Curves!$B$5:$B$205,201),INDEX(LE_Curves!$B$5:$B$205,MATCH($B195,LE_Curves!$K$5:$K$205,1))+($B195-INDEX(LE_Curves!$K$5:$K$205,MATCH($B195,LE_Curves!$K$5:$K$205,1)))*(INDEX(LE_Curves!$B$5:$B$205,MATCH($B195,LE_Curves!$K$5:$K$205,1)+1)-INDEX(LE_Curves!$B$5:$B$205,MATCH($B195,LE_Curves!$K$5:$K$205,1)))/(INDEX(LE_Curves!$K$5:$K$205,MATCH($B195,LE_Curves!$K$5:$K$205,1)+1)-INDEX(LE_Curves!$K$5:$K$205,MATCH($B195,LE_Curves!$K$5:$K$205,1))))))</f>
        <v/>
      </c>
      <c r="L195" s="11">
        <f>IF(Inputs!$D$32=0,0,IF($B195&lt;=Inputs!$C$32,0,IF($B195&gt;=INDEX(LE_Curves!$L$5:$L$205,201),INDEX(LE_Curves!$B$5:$B$205,201),INDEX(LE_Curves!$B$5:$B$205,MATCH($B195,LE_Curves!$L$5:$L$205,1))+($B195-INDEX(LE_Curves!$L$5:$L$205,MATCH($B195,LE_Curves!$L$5:$L$205,1)))*(INDEX(LE_Curves!$B$5:$B$205,MATCH($B195,LE_Curves!$L$5:$L$205,1)+1)-INDEX(LE_Curves!$B$5:$B$205,MATCH($B195,LE_Curves!$L$5:$L$205,1)))/(INDEX(LE_Curves!$L$5:$L$205,MATCH($B195,LE_Curves!$L$5:$L$205,1)+1)-INDEX(LE_Curves!$L$5:$L$205,MATCH($B195,LE_Curves!$L$5:$L$205,1))))))</f>
        <v/>
      </c>
      <c r="M195" s="11">
        <f>IF(Inputs!$D$33=0,0,IF($B195&lt;=Inputs!$C$33,0,IF($B195&gt;=INDEX(LE_Curves!$M$5:$M$205,201),INDEX(LE_Curves!$B$5:$B$205,201),INDEX(LE_Curves!$B$5:$B$205,MATCH($B195,LE_Curves!$M$5:$M$205,1))+($B195-INDEX(LE_Curves!$M$5:$M$205,MATCH($B195,LE_Curves!$M$5:$M$205,1)))*(INDEX(LE_Curves!$B$5:$B$205,MATCH($B195,LE_Curves!$M$5:$M$205,1)+1)-INDEX(LE_Curves!$B$5:$B$205,MATCH($B195,LE_Curves!$M$5:$M$205,1)))/(INDEX(LE_Curves!$M$5:$M$205,MATCH($B195,LE_Curves!$M$5:$M$205,1)+1)-INDEX(LE_Curves!$M$5:$M$205,MATCH($B195,LE_Curves!$M$5:$M$205,1))))))</f>
        <v/>
      </c>
      <c r="N195" s="11">
        <f>IF(Inputs!$D$34=0,0,IF($B195&lt;=Inputs!$C$34,0,IF($B195&gt;=INDEX(LE_Curves!$N$5:$N$205,201),INDEX(LE_Curves!$B$5:$B$205,201),INDEX(LE_Curves!$B$5:$B$205,MATCH($B195,LE_Curves!$N$5:$N$205,1))+($B195-INDEX(LE_Curves!$N$5:$N$205,MATCH($B195,LE_Curves!$N$5:$N$205,1)))*(INDEX(LE_Curves!$B$5:$B$205,MATCH($B195,LE_Curves!$N$5:$N$205,1)+1)-INDEX(LE_Curves!$B$5:$B$205,MATCH($B195,LE_Curves!$N$5:$N$205,1)))/(INDEX(LE_Curves!$N$5:$N$205,MATCH($B195,LE_Curves!$N$5:$N$205,1)+1)-INDEX(LE_Curves!$N$5:$N$205,MATCH($B195,LE_Curves!$N$5:$N$205,1))))))</f>
        <v/>
      </c>
      <c r="O195" s="11">
        <f>SUM(C195:N195)</f>
        <v/>
      </c>
      <c r="Q195" s="7" t="n">
        <v>164</v>
      </c>
      <c r="R195" s="23">
        <f>$B$6+($B$7-$B$6)*Q195/200</f>
        <v/>
      </c>
      <c r="S195" s="11">
        <f>IF(Inputs!$D$23=0,0,IF($R195&lt;=Inputs!$C$23,0,IF($R195&gt;=INDEX(LE_Curves!$C$5:$C$205,201),INDEX(LE_Curves!$B$5:$B$205,201),INDEX(LE_Curves!$B$5:$B$205,MATCH($R195,LE_Curves!$C$5:$C$205,1))+($R195-INDEX(LE_Curves!$C$5:$C$205,MATCH($R195,LE_Curves!$C$5:$C$205,1)))*(INDEX(LE_Curves!$B$5:$B$205,MATCH($R195,LE_Curves!$C$5:$C$205,1)+1)-INDEX(LE_Curves!$B$5:$B$205,MATCH($R195,LE_Curves!$C$5:$C$205,1)))/(INDEX(LE_Curves!$C$5:$C$205,MATCH($R195,LE_Curves!$C$5:$C$205,1)+1)-INDEX(LE_Curves!$C$5:$C$205,MATCH($R195,LE_Curves!$C$5:$C$205,1))))))</f>
        <v/>
      </c>
      <c r="T195" s="11">
        <f>IF(Inputs!$D$24=0,0,IF($R195&lt;=Inputs!$C$24,0,IF($R195&gt;=INDEX(LE_Curves!$D$5:$D$205,201),INDEX(LE_Curves!$B$5:$B$205,201),INDEX(LE_Curves!$B$5:$B$205,MATCH($R195,LE_Curves!$D$5:$D$205,1))+($R195-INDEX(LE_Curves!$D$5:$D$205,MATCH($R195,LE_Curves!$D$5:$D$205,1)))*(INDEX(LE_Curves!$B$5:$B$205,MATCH($R195,LE_Curves!$D$5:$D$205,1)+1)-INDEX(LE_Curves!$B$5:$B$205,MATCH($R195,LE_Curves!$D$5:$D$205,1)))/(INDEX(LE_Curves!$D$5:$D$205,MATCH($R195,LE_Curves!$D$5:$D$205,1)+1)-INDEX(LE_Curves!$D$5:$D$205,MATCH($R195,LE_Curves!$D$5:$D$205,1))))))</f>
        <v/>
      </c>
      <c r="U195" s="11">
        <f>IF(Inputs!$D$25=0,0,IF($R195&lt;=Inputs!$C$25,0,IF($R195&gt;=INDEX(LE_Curves!$E$5:$E$205,201),INDEX(LE_Curves!$B$5:$B$205,201),INDEX(LE_Curves!$B$5:$B$205,MATCH($R195,LE_Curves!$E$5:$E$205,1))+($R195-INDEX(LE_Curves!$E$5:$E$205,MATCH($R195,LE_Curves!$E$5:$E$205,1)))*(INDEX(LE_Curves!$B$5:$B$205,MATCH($R195,LE_Curves!$E$5:$E$205,1)+1)-INDEX(LE_Curves!$B$5:$B$205,MATCH($R195,LE_Curves!$E$5:$E$205,1)))/(INDEX(LE_Curves!$E$5:$E$205,MATCH($R195,LE_Curves!$E$5:$E$205,1)+1)-INDEX(LE_Curves!$E$5:$E$205,MATCH($R195,LE_Curves!$E$5:$E$205,1))))))</f>
        <v/>
      </c>
      <c r="V195" s="11">
        <f>IF(Inputs!$D$26=0,0,IF($R195&lt;=Inputs!$C$26,0,IF($R195&gt;=INDEX(LE_Curves!$F$5:$F$205,201),INDEX(LE_Curves!$B$5:$B$205,201),INDEX(LE_Curves!$B$5:$B$205,MATCH($R195,LE_Curves!$F$5:$F$205,1))+($R195-INDEX(LE_Curves!$F$5:$F$205,MATCH($R195,LE_Curves!$F$5:$F$205,1)))*(INDEX(LE_Curves!$B$5:$B$205,MATCH($R195,LE_Curves!$F$5:$F$205,1)+1)-INDEX(LE_Curves!$B$5:$B$205,MATCH($R195,LE_Curves!$F$5:$F$205,1)))/(INDEX(LE_Curves!$F$5:$F$205,MATCH($R195,LE_Curves!$F$5:$F$205,1)+1)-INDEX(LE_Curves!$F$5:$F$205,MATCH($R195,LE_Curves!$F$5:$F$205,1))))))</f>
        <v/>
      </c>
      <c r="W195" s="11">
        <f>IF(Inputs!$D$27=0,0,IF($R195&lt;=Inputs!$C$27,0,IF($R195&gt;=INDEX(LE_Curves!$G$5:$G$205,201),INDEX(LE_Curves!$B$5:$B$205,201),INDEX(LE_Curves!$B$5:$B$205,MATCH($R195,LE_Curves!$G$5:$G$205,1))+($R195-INDEX(LE_Curves!$G$5:$G$205,MATCH($R195,LE_Curves!$G$5:$G$205,1)))*(INDEX(LE_Curves!$B$5:$B$205,MATCH($R195,LE_Curves!$G$5:$G$205,1)+1)-INDEX(LE_Curves!$B$5:$B$205,MATCH($R195,LE_Curves!$G$5:$G$205,1)))/(INDEX(LE_Curves!$G$5:$G$205,MATCH($R195,LE_Curves!$G$5:$G$205,1)+1)-INDEX(LE_Curves!$G$5:$G$205,MATCH($R195,LE_Curves!$G$5:$G$205,1))))))</f>
        <v/>
      </c>
      <c r="X195" s="11">
        <f>IF(Inputs!$D$28=0,0,IF($R195&lt;=Inputs!$C$28,0,IF($R195&gt;=INDEX(LE_Curves!$H$5:$H$205,201),INDEX(LE_Curves!$B$5:$B$205,201),INDEX(LE_Curves!$B$5:$B$205,MATCH($R195,LE_Curves!$H$5:$H$205,1))+($R195-INDEX(LE_Curves!$H$5:$H$205,MATCH($R195,LE_Curves!$H$5:$H$205,1)))*(INDEX(LE_Curves!$B$5:$B$205,MATCH($R195,LE_Curves!$H$5:$H$205,1)+1)-INDEX(LE_Curves!$B$5:$B$205,MATCH($R195,LE_Curves!$H$5:$H$205,1)))/(INDEX(LE_Curves!$H$5:$H$205,MATCH($R195,LE_Curves!$H$5:$H$205,1)+1)-INDEX(LE_Curves!$H$5:$H$205,MATCH($R195,LE_Curves!$H$5:$H$205,1))))))</f>
        <v/>
      </c>
      <c r="Y195" s="11">
        <f>IF(Inputs!$D$29=0,0,IF($R195&lt;=Inputs!$C$29,0,IF($R195&gt;=INDEX(LE_Curves!$I$5:$I$205,201),INDEX(LE_Curves!$B$5:$B$205,201),INDEX(LE_Curves!$B$5:$B$205,MATCH($R195,LE_Curves!$I$5:$I$205,1))+($R195-INDEX(LE_Curves!$I$5:$I$205,MATCH($R195,LE_Curves!$I$5:$I$205,1)))*(INDEX(LE_Curves!$B$5:$B$205,MATCH($R195,LE_Curves!$I$5:$I$205,1)+1)-INDEX(LE_Curves!$B$5:$B$205,MATCH($R195,LE_Curves!$I$5:$I$205,1)))/(INDEX(LE_Curves!$I$5:$I$205,MATCH($R195,LE_Curves!$I$5:$I$205,1)+1)-INDEX(LE_Curves!$I$5:$I$205,MATCH($R195,LE_Curves!$I$5:$I$205,1))))))</f>
        <v/>
      </c>
      <c r="Z195" s="11">
        <f>IF(Inputs!$D$30=0,0,IF($R195&lt;=Inputs!$C$30,0,IF($R195&gt;=INDEX(LE_Curves!$J$5:$J$205,201),INDEX(LE_Curves!$B$5:$B$205,201),INDEX(LE_Curves!$B$5:$B$205,MATCH($R195,LE_Curves!$J$5:$J$205,1))+($R195-INDEX(LE_Curves!$J$5:$J$205,MATCH($R195,LE_Curves!$J$5:$J$205,1)))*(INDEX(LE_Curves!$B$5:$B$205,MATCH($R195,LE_Curves!$J$5:$J$205,1)+1)-INDEX(LE_Curves!$B$5:$B$205,MATCH($R195,LE_Curves!$J$5:$J$205,1)))/(INDEX(LE_Curves!$J$5:$J$205,MATCH($R195,LE_Curves!$J$5:$J$205,1)+1)-INDEX(LE_Curves!$J$5:$J$205,MATCH($R195,LE_Curves!$J$5:$J$205,1))))))</f>
        <v/>
      </c>
      <c r="AA195" s="11">
        <f>IF(Inputs!$D$31=0,0,IF($R195&lt;=Inputs!$C$31,0,IF($R195&gt;=INDEX(LE_Curves!$K$5:$K$205,201),INDEX(LE_Curves!$B$5:$B$205,201),INDEX(LE_Curves!$B$5:$B$205,MATCH($R195,LE_Curves!$K$5:$K$205,1))+($R195-INDEX(LE_Curves!$K$5:$K$205,MATCH($R195,LE_Curves!$K$5:$K$205,1)))*(INDEX(LE_Curves!$B$5:$B$205,MATCH($R195,LE_Curves!$K$5:$K$205,1)+1)-INDEX(LE_Curves!$B$5:$B$205,MATCH($R195,LE_Curves!$K$5:$K$205,1)))/(INDEX(LE_Curves!$K$5:$K$205,MATCH($R195,LE_Curves!$K$5:$K$205,1)+1)-INDEX(LE_Curves!$K$5:$K$205,MATCH($R195,LE_Curves!$K$5:$K$205,1))))))</f>
        <v/>
      </c>
      <c r="AB195" s="11">
        <f>IF(Inputs!$D$32=0,0,IF($R195&lt;=Inputs!$C$32,0,IF($R195&gt;=INDEX(LE_Curves!$L$5:$L$205,201),INDEX(LE_Curves!$B$5:$B$205,201),INDEX(LE_Curves!$B$5:$B$205,MATCH($R195,LE_Curves!$L$5:$L$205,1))+($R195-INDEX(LE_Curves!$L$5:$L$205,MATCH($R195,LE_Curves!$L$5:$L$205,1)))*(INDEX(LE_Curves!$B$5:$B$205,MATCH($R195,LE_Curves!$L$5:$L$205,1)+1)-INDEX(LE_Curves!$B$5:$B$205,MATCH($R195,LE_Curves!$L$5:$L$205,1)))/(INDEX(LE_Curves!$L$5:$L$205,MATCH($R195,LE_Curves!$L$5:$L$205,1)+1)-INDEX(LE_Curves!$L$5:$L$205,MATCH($R195,LE_Curves!$L$5:$L$205,1))))))</f>
        <v/>
      </c>
      <c r="AC195" s="11">
        <f>IF(Inputs!$D$33=0,0,IF($R195&lt;=Inputs!$C$33,0,IF($R195&gt;=INDEX(LE_Curves!$M$5:$M$205,201),INDEX(LE_Curves!$B$5:$B$205,201),INDEX(LE_Curves!$B$5:$B$205,MATCH($R195,LE_Curves!$M$5:$M$205,1))+($R195-INDEX(LE_Curves!$M$5:$M$205,MATCH($R195,LE_Curves!$M$5:$M$205,1)))*(INDEX(LE_Curves!$B$5:$B$205,MATCH($R195,LE_Curves!$M$5:$M$205,1)+1)-INDEX(LE_Curves!$B$5:$B$205,MATCH($R195,LE_Curves!$M$5:$M$205,1)))/(INDEX(LE_Curves!$M$5:$M$205,MATCH($R195,LE_Curves!$M$5:$M$205,1)+1)-INDEX(LE_Curves!$M$5:$M$205,MATCH($R195,LE_Curves!$M$5:$M$205,1))))))</f>
        <v/>
      </c>
      <c r="AD195" s="11">
        <f>IF(Inputs!$D$34=0,0,IF($R195&lt;=Inputs!$C$34,0,IF($R195&gt;=INDEX(LE_Curves!$N$5:$N$205,201),INDEX(LE_Curves!$B$5:$B$205,201),INDEX(LE_Curves!$B$5:$B$205,MATCH($R195,LE_Curves!$N$5:$N$205,1))+($R195-INDEX(LE_Curves!$N$5:$N$205,MATCH($R195,LE_Curves!$N$5:$N$205,1)))*(INDEX(LE_Curves!$B$5:$B$205,MATCH($R195,LE_Curves!$N$5:$N$205,1)+1)-INDEX(LE_Curves!$B$5:$B$205,MATCH($R195,LE_Curves!$N$5:$N$205,1)))/(INDEX(LE_Curves!$N$5:$N$205,MATCH($R195,LE_Curves!$N$5:$N$205,1)+1)-INDEX(LE_Curves!$N$5:$N$205,MATCH($R195,LE_Curves!$N$5:$N$205,1))))))</f>
        <v/>
      </c>
      <c r="AE195" s="37">
        <f>SUM(S195:AD195)</f>
        <v/>
      </c>
    </row>
    <row r="196">
      <c r="A196" s="7" t="n">
        <v>165</v>
      </c>
      <c r="B196" s="37">
        <f>$B$3+($B$4-$B$3)*A196/200</f>
        <v/>
      </c>
      <c r="C196" s="11">
        <f>IF(Inputs!$D$23=0,0,IF($B196&lt;=Inputs!$C$23,0,IF($B196&gt;=INDEX(LE_Curves!$C$5:$C$205,201),INDEX(LE_Curves!$B$5:$B$205,201),INDEX(LE_Curves!$B$5:$B$205,MATCH($B196,LE_Curves!$C$5:$C$205,1))+($B196-INDEX(LE_Curves!$C$5:$C$205,MATCH($B196,LE_Curves!$C$5:$C$205,1)))*(INDEX(LE_Curves!$B$5:$B$205,MATCH($B196,LE_Curves!$C$5:$C$205,1)+1)-INDEX(LE_Curves!$B$5:$B$205,MATCH($B196,LE_Curves!$C$5:$C$205,1)))/(INDEX(LE_Curves!$C$5:$C$205,MATCH($B196,LE_Curves!$C$5:$C$205,1)+1)-INDEX(LE_Curves!$C$5:$C$205,MATCH($B196,LE_Curves!$C$5:$C$205,1))))))</f>
        <v/>
      </c>
      <c r="D196" s="11">
        <f>IF(Inputs!$D$24=0,0,IF($B196&lt;=Inputs!$C$24,0,IF($B196&gt;=INDEX(LE_Curves!$D$5:$D$205,201),INDEX(LE_Curves!$B$5:$B$205,201),INDEX(LE_Curves!$B$5:$B$205,MATCH($B196,LE_Curves!$D$5:$D$205,1))+($B196-INDEX(LE_Curves!$D$5:$D$205,MATCH($B196,LE_Curves!$D$5:$D$205,1)))*(INDEX(LE_Curves!$B$5:$B$205,MATCH($B196,LE_Curves!$D$5:$D$205,1)+1)-INDEX(LE_Curves!$B$5:$B$205,MATCH($B196,LE_Curves!$D$5:$D$205,1)))/(INDEX(LE_Curves!$D$5:$D$205,MATCH($B196,LE_Curves!$D$5:$D$205,1)+1)-INDEX(LE_Curves!$D$5:$D$205,MATCH($B196,LE_Curves!$D$5:$D$205,1))))))</f>
        <v/>
      </c>
      <c r="E196" s="11">
        <f>IF(Inputs!$D$25=0,0,IF($B196&lt;=Inputs!$C$25,0,IF($B196&gt;=INDEX(LE_Curves!$E$5:$E$205,201),INDEX(LE_Curves!$B$5:$B$205,201),INDEX(LE_Curves!$B$5:$B$205,MATCH($B196,LE_Curves!$E$5:$E$205,1))+($B196-INDEX(LE_Curves!$E$5:$E$205,MATCH($B196,LE_Curves!$E$5:$E$205,1)))*(INDEX(LE_Curves!$B$5:$B$205,MATCH($B196,LE_Curves!$E$5:$E$205,1)+1)-INDEX(LE_Curves!$B$5:$B$205,MATCH($B196,LE_Curves!$E$5:$E$205,1)))/(INDEX(LE_Curves!$E$5:$E$205,MATCH($B196,LE_Curves!$E$5:$E$205,1)+1)-INDEX(LE_Curves!$E$5:$E$205,MATCH($B196,LE_Curves!$E$5:$E$205,1))))))</f>
        <v/>
      </c>
      <c r="F196" s="11">
        <f>IF(Inputs!$D$26=0,0,IF($B196&lt;=Inputs!$C$26,0,IF($B196&gt;=INDEX(LE_Curves!$F$5:$F$205,201),INDEX(LE_Curves!$B$5:$B$205,201),INDEX(LE_Curves!$B$5:$B$205,MATCH($B196,LE_Curves!$F$5:$F$205,1))+($B196-INDEX(LE_Curves!$F$5:$F$205,MATCH($B196,LE_Curves!$F$5:$F$205,1)))*(INDEX(LE_Curves!$B$5:$B$205,MATCH($B196,LE_Curves!$F$5:$F$205,1)+1)-INDEX(LE_Curves!$B$5:$B$205,MATCH($B196,LE_Curves!$F$5:$F$205,1)))/(INDEX(LE_Curves!$F$5:$F$205,MATCH($B196,LE_Curves!$F$5:$F$205,1)+1)-INDEX(LE_Curves!$F$5:$F$205,MATCH($B196,LE_Curves!$F$5:$F$205,1))))))</f>
        <v/>
      </c>
      <c r="G196" s="11">
        <f>IF(Inputs!$D$27=0,0,IF($B196&lt;=Inputs!$C$27,0,IF($B196&gt;=INDEX(LE_Curves!$G$5:$G$205,201),INDEX(LE_Curves!$B$5:$B$205,201),INDEX(LE_Curves!$B$5:$B$205,MATCH($B196,LE_Curves!$G$5:$G$205,1))+($B196-INDEX(LE_Curves!$G$5:$G$205,MATCH($B196,LE_Curves!$G$5:$G$205,1)))*(INDEX(LE_Curves!$B$5:$B$205,MATCH($B196,LE_Curves!$G$5:$G$205,1)+1)-INDEX(LE_Curves!$B$5:$B$205,MATCH($B196,LE_Curves!$G$5:$G$205,1)))/(INDEX(LE_Curves!$G$5:$G$205,MATCH($B196,LE_Curves!$G$5:$G$205,1)+1)-INDEX(LE_Curves!$G$5:$G$205,MATCH($B196,LE_Curves!$G$5:$G$205,1))))))</f>
        <v/>
      </c>
      <c r="H196" s="11">
        <f>IF(Inputs!$D$28=0,0,IF($B196&lt;=Inputs!$C$28,0,IF($B196&gt;=INDEX(LE_Curves!$H$5:$H$205,201),INDEX(LE_Curves!$B$5:$B$205,201),INDEX(LE_Curves!$B$5:$B$205,MATCH($B196,LE_Curves!$H$5:$H$205,1))+($B196-INDEX(LE_Curves!$H$5:$H$205,MATCH($B196,LE_Curves!$H$5:$H$205,1)))*(INDEX(LE_Curves!$B$5:$B$205,MATCH($B196,LE_Curves!$H$5:$H$205,1)+1)-INDEX(LE_Curves!$B$5:$B$205,MATCH($B196,LE_Curves!$H$5:$H$205,1)))/(INDEX(LE_Curves!$H$5:$H$205,MATCH($B196,LE_Curves!$H$5:$H$205,1)+1)-INDEX(LE_Curves!$H$5:$H$205,MATCH($B196,LE_Curves!$H$5:$H$205,1))))))</f>
        <v/>
      </c>
      <c r="I196" s="11">
        <f>IF(Inputs!$D$29=0,0,IF($B196&lt;=Inputs!$C$29,0,IF($B196&gt;=INDEX(LE_Curves!$I$5:$I$205,201),INDEX(LE_Curves!$B$5:$B$205,201),INDEX(LE_Curves!$B$5:$B$205,MATCH($B196,LE_Curves!$I$5:$I$205,1))+($B196-INDEX(LE_Curves!$I$5:$I$205,MATCH($B196,LE_Curves!$I$5:$I$205,1)))*(INDEX(LE_Curves!$B$5:$B$205,MATCH($B196,LE_Curves!$I$5:$I$205,1)+1)-INDEX(LE_Curves!$B$5:$B$205,MATCH($B196,LE_Curves!$I$5:$I$205,1)))/(INDEX(LE_Curves!$I$5:$I$205,MATCH($B196,LE_Curves!$I$5:$I$205,1)+1)-INDEX(LE_Curves!$I$5:$I$205,MATCH($B196,LE_Curves!$I$5:$I$205,1))))))</f>
        <v/>
      </c>
      <c r="J196" s="11">
        <f>IF(Inputs!$D$30=0,0,IF($B196&lt;=Inputs!$C$30,0,IF($B196&gt;=INDEX(LE_Curves!$J$5:$J$205,201),INDEX(LE_Curves!$B$5:$B$205,201),INDEX(LE_Curves!$B$5:$B$205,MATCH($B196,LE_Curves!$J$5:$J$205,1))+($B196-INDEX(LE_Curves!$J$5:$J$205,MATCH($B196,LE_Curves!$J$5:$J$205,1)))*(INDEX(LE_Curves!$B$5:$B$205,MATCH($B196,LE_Curves!$J$5:$J$205,1)+1)-INDEX(LE_Curves!$B$5:$B$205,MATCH($B196,LE_Curves!$J$5:$J$205,1)))/(INDEX(LE_Curves!$J$5:$J$205,MATCH($B196,LE_Curves!$J$5:$J$205,1)+1)-INDEX(LE_Curves!$J$5:$J$205,MATCH($B196,LE_Curves!$J$5:$J$205,1))))))</f>
        <v/>
      </c>
      <c r="K196" s="11">
        <f>IF(Inputs!$D$31=0,0,IF($B196&lt;=Inputs!$C$31,0,IF($B196&gt;=INDEX(LE_Curves!$K$5:$K$205,201),INDEX(LE_Curves!$B$5:$B$205,201),INDEX(LE_Curves!$B$5:$B$205,MATCH($B196,LE_Curves!$K$5:$K$205,1))+($B196-INDEX(LE_Curves!$K$5:$K$205,MATCH($B196,LE_Curves!$K$5:$K$205,1)))*(INDEX(LE_Curves!$B$5:$B$205,MATCH($B196,LE_Curves!$K$5:$K$205,1)+1)-INDEX(LE_Curves!$B$5:$B$205,MATCH($B196,LE_Curves!$K$5:$K$205,1)))/(INDEX(LE_Curves!$K$5:$K$205,MATCH($B196,LE_Curves!$K$5:$K$205,1)+1)-INDEX(LE_Curves!$K$5:$K$205,MATCH($B196,LE_Curves!$K$5:$K$205,1))))))</f>
        <v/>
      </c>
      <c r="L196" s="11">
        <f>IF(Inputs!$D$32=0,0,IF($B196&lt;=Inputs!$C$32,0,IF($B196&gt;=INDEX(LE_Curves!$L$5:$L$205,201),INDEX(LE_Curves!$B$5:$B$205,201),INDEX(LE_Curves!$B$5:$B$205,MATCH($B196,LE_Curves!$L$5:$L$205,1))+($B196-INDEX(LE_Curves!$L$5:$L$205,MATCH($B196,LE_Curves!$L$5:$L$205,1)))*(INDEX(LE_Curves!$B$5:$B$205,MATCH($B196,LE_Curves!$L$5:$L$205,1)+1)-INDEX(LE_Curves!$B$5:$B$205,MATCH($B196,LE_Curves!$L$5:$L$205,1)))/(INDEX(LE_Curves!$L$5:$L$205,MATCH($B196,LE_Curves!$L$5:$L$205,1)+1)-INDEX(LE_Curves!$L$5:$L$205,MATCH($B196,LE_Curves!$L$5:$L$205,1))))))</f>
        <v/>
      </c>
      <c r="M196" s="11">
        <f>IF(Inputs!$D$33=0,0,IF($B196&lt;=Inputs!$C$33,0,IF($B196&gt;=INDEX(LE_Curves!$M$5:$M$205,201),INDEX(LE_Curves!$B$5:$B$205,201),INDEX(LE_Curves!$B$5:$B$205,MATCH($B196,LE_Curves!$M$5:$M$205,1))+($B196-INDEX(LE_Curves!$M$5:$M$205,MATCH($B196,LE_Curves!$M$5:$M$205,1)))*(INDEX(LE_Curves!$B$5:$B$205,MATCH($B196,LE_Curves!$M$5:$M$205,1)+1)-INDEX(LE_Curves!$B$5:$B$205,MATCH($B196,LE_Curves!$M$5:$M$205,1)))/(INDEX(LE_Curves!$M$5:$M$205,MATCH($B196,LE_Curves!$M$5:$M$205,1)+1)-INDEX(LE_Curves!$M$5:$M$205,MATCH($B196,LE_Curves!$M$5:$M$205,1))))))</f>
        <v/>
      </c>
      <c r="N196" s="11">
        <f>IF(Inputs!$D$34=0,0,IF($B196&lt;=Inputs!$C$34,0,IF($B196&gt;=INDEX(LE_Curves!$N$5:$N$205,201),INDEX(LE_Curves!$B$5:$B$205,201),INDEX(LE_Curves!$B$5:$B$205,MATCH($B196,LE_Curves!$N$5:$N$205,1))+($B196-INDEX(LE_Curves!$N$5:$N$205,MATCH($B196,LE_Curves!$N$5:$N$205,1)))*(INDEX(LE_Curves!$B$5:$B$205,MATCH($B196,LE_Curves!$N$5:$N$205,1)+1)-INDEX(LE_Curves!$B$5:$B$205,MATCH($B196,LE_Curves!$N$5:$N$205,1)))/(INDEX(LE_Curves!$N$5:$N$205,MATCH($B196,LE_Curves!$N$5:$N$205,1)+1)-INDEX(LE_Curves!$N$5:$N$205,MATCH($B196,LE_Curves!$N$5:$N$205,1))))))</f>
        <v/>
      </c>
      <c r="O196" s="11">
        <f>SUM(C196:N196)</f>
        <v/>
      </c>
      <c r="Q196" s="7" t="n">
        <v>165</v>
      </c>
      <c r="R196" s="23">
        <f>$B$6+($B$7-$B$6)*Q196/200</f>
        <v/>
      </c>
      <c r="S196" s="11">
        <f>IF(Inputs!$D$23=0,0,IF($R196&lt;=Inputs!$C$23,0,IF($R196&gt;=INDEX(LE_Curves!$C$5:$C$205,201),INDEX(LE_Curves!$B$5:$B$205,201),INDEX(LE_Curves!$B$5:$B$205,MATCH($R196,LE_Curves!$C$5:$C$205,1))+($R196-INDEX(LE_Curves!$C$5:$C$205,MATCH($R196,LE_Curves!$C$5:$C$205,1)))*(INDEX(LE_Curves!$B$5:$B$205,MATCH($R196,LE_Curves!$C$5:$C$205,1)+1)-INDEX(LE_Curves!$B$5:$B$205,MATCH($R196,LE_Curves!$C$5:$C$205,1)))/(INDEX(LE_Curves!$C$5:$C$205,MATCH($R196,LE_Curves!$C$5:$C$205,1)+1)-INDEX(LE_Curves!$C$5:$C$205,MATCH($R196,LE_Curves!$C$5:$C$205,1))))))</f>
        <v/>
      </c>
      <c r="T196" s="11">
        <f>IF(Inputs!$D$24=0,0,IF($R196&lt;=Inputs!$C$24,0,IF($R196&gt;=INDEX(LE_Curves!$D$5:$D$205,201),INDEX(LE_Curves!$B$5:$B$205,201),INDEX(LE_Curves!$B$5:$B$205,MATCH($R196,LE_Curves!$D$5:$D$205,1))+($R196-INDEX(LE_Curves!$D$5:$D$205,MATCH($R196,LE_Curves!$D$5:$D$205,1)))*(INDEX(LE_Curves!$B$5:$B$205,MATCH($R196,LE_Curves!$D$5:$D$205,1)+1)-INDEX(LE_Curves!$B$5:$B$205,MATCH($R196,LE_Curves!$D$5:$D$205,1)))/(INDEX(LE_Curves!$D$5:$D$205,MATCH($R196,LE_Curves!$D$5:$D$205,1)+1)-INDEX(LE_Curves!$D$5:$D$205,MATCH($R196,LE_Curves!$D$5:$D$205,1))))))</f>
        <v/>
      </c>
      <c r="U196" s="11">
        <f>IF(Inputs!$D$25=0,0,IF($R196&lt;=Inputs!$C$25,0,IF($R196&gt;=INDEX(LE_Curves!$E$5:$E$205,201),INDEX(LE_Curves!$B$5:$B$205,201),INDEX(LE_Curves!$B$5:$B$205,MATCH($R196,LE_Curves!$E$5:$E$205,1))+($R196-INDEX(LE_Curves!$E$5:$E$205,MATCH($R196,LE_Curves!$E$5:$E$205,1)))*(INDEX(LE_Curves!$B$5:$B$205,MATCH($R196,LE_Curves!$E$5:$E$205,1)+1)-INDEX(LE_Curves!$B$5:$B$205,MATCH($R196,LE_Curves!$E$5:$E$205,1)))/(INDEX(LE_Curves!$E$5:$E$205,MATCH($R196,LE_Curves!$E$5:$E$205,1)+1)-INDEX(LE_Curves!$E$5:$E$205,MATCH($R196,LE_Curves!$E$5:$E$205,1))))))</f>
        <v/>
      </c>
      <c r="V196" s="11">
        <f>IF(Inputs!$D$26=0,0,IF($R196&lt;=Inputs!$C$26,0,IF($R196&gt;=INDEX(LE_Curves!$F$5:$F$205,201),INDEX(LE_Curves!$B$5:$B$205,201),INDEX(LE_Curves!$B$5:$B$205,MATCH($R196,LE_Curves!$F$5:$F$205,1))+($R196-INDEX(LE_Curves!$F$5:$F$205,MATCH($R196,LE_Curves!$F$5:$F$205,1)))*(INDEX(LE_Curves!$B$5:$B$205,MATCH($R196,LE_Curves!$F$5:$F$205,1)+1)-INDEX(LE_Curves!$B$5:$B$205,MATCH($R196,LE_Curves!$F$5:$F$205,1)))/(INDEX(LE_Curves!$F$5:$F$205,MATCH($R196,LE_Curves!$F$5:$F$205,1)+1)-INDEX(LE_Curves!$F$5:$F$205,MATCH($R196,LE_Curves!$F$5:$F$205,1))))))</f>
        <v/>
      </c>
      <c r="W196" s="11">
        <f>IF(Inputs!$D$27=0,0,IF($R196&lt;=Inputs!$C$27,0,IF($R196&gt;=INDEX(LE_Curves!$G$5:$G$205,201),INDEX(LE_Curves!$B$5:$B$205,201),INDEX(LE_Curves!$B$5:$B$205,MATCH($R196,LE_Curves!$G$5:$G$205,1))+($R196-INDEX(LE_Curves!$G$5:$G$205,MATCH($R196,LE_Curves!$G$5:$G$205,1)))*(INDEX(LE_Curves!$B$5:$B$205,MATCH($R196,LE_Curves!$G$5:$G$205,1)+1)-INDEX(LE_Curves!$B$5:$B$205,MATCH($R196,LE_Curves!$G$5:$G$205,1)))/(INDEX(LE_Curves!$G$5:$G$205,MATCH($R196,LE_Curves!$G$5:$G$205,1)+1)-INDEX(LE_Curves!$G$5:$G$205,MATCH($R196,LE_Curves!$G$5:$G$205,1))))))</f>
        <v/>
      </c>
      <c r="X196" s="11">
        <f>IF(Inputs!$D$28=0,0,IF($R196&lt;=Inputs!$C$28,0,IF($R196&gt;=INDEX(LE_Curves!$H$5:$H$205,201),INDEX(LE_Curves!$B$5:$B$205,201),INDEX(LE_Curves!$B$5:$B$205,MATCH($R196,LE_Curves!$H$5:$H$205,1))+($R196-INDEX(LE_Curves!$H$5:$H$205,MATCH($R196,LE_Curves!$H$5:$H$205,1)))*(INDEX(LE_Curves!$B$5:$B$205,MATCH($R196,LE_Curves!$H$5:$H$205,1)+1)-INDEX(LE_Curves!$B$5:$B$205,MATCH($R196,LE_Curves!$H$5:$H$205,1)))/(INDEX(LE_Curves!$H$5:$H$205,MATCH($R196,LE_Curves!$H$5:$H$205,1)+1)-INDEX(LE_Curves!$H$5:$H$205,MATCH($R196,LE_Curves!$H$5:$H$205,1))))))</f>
        <v/>
      </c>
      <c r="Y196" s="11">
        <f>IF(Inputs!$D$29=0,0,IF($R196&lt;=Inputs!$C$29,0,IF($R196&gt;=INDEX(LE_Curves!$I$5:$I$205,201),INDEX(LE_Curves!$B$5:$B$205,201),INDEX(LE_Curves!$B$5:$B$205,MATCH($R196,LE_Curves!$I$5:$I$205,1))+($R196-INDEX(LE_Curves!$I$5:$I$205,MATCH($R196,LE_Curves!$I$5:$I$205,1)))*(INDEX(LE_Curves!$B$5:$B$205,MATCH($R196,LE_Curves!$I$5:$I$205,1)+1)-INDEX(LE_Curves!$B$5:$B$205,MATCH($R196,LE_Curves!$I$5:$I$205,1)))/(INDEX(LE_Curves!$I$5:$I$205,MATCH($R196,LE_Curves!$I$5:$I$205,1)+1)-INDEX(LE_Curves!$I$5:$I$205,MATCH($R196,LE_Curves!$I$5:$I$205,1))))))</f>
        <v/>
      </c>
      <c r="Z196" s="11">
        <f>IF(Inputs!$D$30=0,0,IF($R196&lt;=Inputs!$C$30,0,IF($R196&gt;=INDEX(LE_Curves!$J$5:$J$205,201),INDEX(LE_Curves!$B$5:$B$205,201),INDEX(LE_Curves!$B$5:$B$205,MATCH($R196,LE_Curves!$J$5:$J$205,1))+($R196-INDEX(LE_Curves!$J$5:$J$205,MATCH($R196,LE_Curves!$J$5:$J$205,1)))*(INDEX(LE_Curves!$B$5:$B$205,MATCH($R196,LE_Curves!$J$5:$J$205,1)+1)-INDEX(LE_Curves!$B$5:$B$205,MATCH($R196,LE_Curves!$J$5:$J$205,1)))/(INDEX(LE_Curves!$J$5:$J$205,MATCH($R196,LE_Curves!$J$5:$J$205,1)+1)-INDEX(LE_Curves!$J$5:$J$205,MATCH($R196,LE_Curves!$J$5:$J$205,1))))))</f>
        <v/>
      </c>
      <c r="AA196" s="11">
        <f>IF(Inputs!$D$31=0,0,IF($R196&lt;=Inputs!$C$31,0,IF($R196&gt;=INDEX(LE_Curves!$K$5:$K$205,201),INDEX(LE_Curves!$B$5:$B$205,201),INDEX(LE_Curves!$B$5:$B$205,MATCH($R196,LE_Curves!$K$5:$K$205,1))+($R196-INDEX(LE_Curves!$K$5:$K$205,MATCH($R196,LE_Curves!$K$5:$K$205,1)))*(INDEX(LE_Curves!$B$5:$B$205,MATCH($R196,LE_Curves!$K$5:$K$205,1)+1)-INDEX(LE_Curves!$B$5:$B$205,MATCH($R196,LE_Curves!$K$5:$K$205,1)))/(INDEX(LE_Curves!$K$5:$K$205,MATCH($R196,LE_Curves!$K$5:$K$205,1)+1)-INDEX(LE_Curves!$K$5:$K$205,MATCH($R196,LE_Curves!$K$5:$K$205,1))))))</f>
        <v/>
      </c>
      <c r="AB196" s="11">
        <f>IF(Inputs!$D$32=0,0,IF($R196&lt;=Inputs!$C$32,0,IF($R196&gt;=INDEX(LE_Curves!$L$5:$L$205,201),INDEX(LE_Curves!$B$5:$B$205,201),INDEX(LE_Curves!$B$5:$B$205,MATCH($R196,LE_Curves!$L$5:$L$205,1))+($R196-INDEX(LE_Curves!$L$5:$L$205,MATCH($R196,LE_Curves!$L$5:$L$205,1)))*(INDEX(LE_Curves!$B$5:$B$205,MATCH($R196,LE_Curves!$L$5:$L$205,1)+1)-INDEX(LE_Curves!$B$5:$B$205,MATCH($R196,LE_Curves!$L$5:$L$205,1)))/(INDEX(LE_Curves!$L$5:$L$205,MATCH($R196,LE_Curves!$L$5:$L$205,1)+1)-INDEX(LE_Curves!$L$5:$L$205,MATCH($R196,LE_Curves!$L$5:$L$205,1))))))</f>
        <v/>
      </c>
      <c r="AC196" s="11">
        <f>IF(Inputs!$D$33=0,0,IF($R196&lt;=Inputs!$C$33,0,IF($R196&gt;=INDEX(LE_Curves!$M$5:$M$205,201),INDEX(LE_Curves!$B$5:$B$205,201),INDEX(LE_Curves!$B$5:$B$205,MATCH($R196,LE_Curves!$M$5:$M$205,1))+($R196-INDEX(LE_Curves!$M$5:$M$205,MATCH($R196,LE_Curves!$M$5:$M$205,1)))*(INDEX(LE_Curves!$B$5:$B$205,MATCH($R196,LE_Curves!$M$5:$M$205,1)+1)-INDEX(LE_Curves!$B$5:$B$205,MATCH($R196,LE_Curves!$M$5:$M$205,1)))/(INDEX(LE_Curves!$M$5:$M$205,MATCH($R196,LE_Curves!$M$5:$M$205,1)+1)-INDEX(LE_Curves!$M$5:$M$205,MATCH($R196,LE_Curves!$M$5:$M$205,1))))))</f>
        <v/>
      </c>
      <c r="AD196" s="11">
        <f>IF(Inputs!$D$34=0,0,IF($R196&lt;=Inputs!$C$34,0,IF($R196&gt;=INDEX(LE_Curves!$N$5:$N$205,201),INDEX(LE_Curves!$B$5:$B$205,201),INDEX(LE_Curves!$B$5:$B$205,MATCH($R196,LE_Curves!$N$5:$N$205,1))+($R196-INDEX(LE_Curves!$N$5:$N$205,MATCH($R196,LE_Curves!$N$5:$N$205,1)))*(INDEX(LE_Curves!$B$5:$B$205,MATCH($R196,LE_Curves!$N$5:$N$205,1)+1)-INDEX(LE_Curves!$B$5:$B$205,MATCH($R196,LE_Curves!$N$5:$N$205,1)))/(INDEX(LE_Curves!$N$5:$N$205,MATCH($R196,LE_Curves!$N$5:$N$205,1)+1)-INDEX(LE_Curves!$N$5:$N$205,MATCH($R196,LE_Curves!$N$5:$N$205,1))))))</f>
        <v/>
      </c>
      <c r="AE196" s="37">
        <f>SUM(S196:AD196)</f>
        <v/>
      </c>
    </row>
    <row r="197">
      <c r="A197" s="7" t="n">
        <v>166</v>
      </c>
      <c r="B197" s="37">
        <f>$B$3+($B$4-$B$3)*A197/200</f>
        <v/>
      </c>
      <c r="C197" s="11">
        <f>IF(Inputs!$D$23=0,0,IF($B197&lt;=Inputs!$C$23,0,IF($B197&gt;=INDEX(LE_Curves!$C$5:$C$205,201),INDEX(LE_Curves!$B$5:$B$205,201),INDEX(LE_Curves!$B$5:$B$205,MATCH($B197,LE_Curves!$C$5:$C$205,1))+($B197-INDEX(LE_Curves!$C$5:$C$205,MATCH($B197,LE_Curves!$C$5:$C$205,1)))*(INDEX(LE_Curves!$B$5:$B$205,MATCH($B197,LE_Curves!$C$5:$C$205,1)+1)-INDEX(LE_Curves!$B$5:$B$205,MATCH($B197,LE_Curves!$C$5:$C$205,1)))/(INDEX(LE_Curves!$C$5:$C$205,MATCH($B197,LE_Curves!$C$5:$C$205,1)+1)-INDEX(LE_Curves!$C$5:$C$205,MATCH($B197,LE_Curves!$C$5:$C$205,1))))))</f>
        <v/>
      </c>
      <c r="D197" s="11">
        <f>IF(Inputs!$D$24=0,0,IF($B197&lt;=Inputs!$C$24,0,IF($B197&gt;=INDEX(LE_Curves!$D$5:$D$205,201),INDEX(LE_Curves!$B$5:$B$205,201),INDEX(LE_Curves!$B$5:$B$205,MATCH($B197,LE_Curves!$D$5:$D$205,1))+($B197-INDEX(LE_Curves!$D$5:$D$205,MATCH($B197,LE_Curves!$D$5:$D$205,1)))*(INDEX(LE_Curves!$B$5:$B$205,MATCH($B197,LE_Curves!$D$5:$D$205,1)+1)-INDEX(LE_Curves!$B$5:$B$205,MATCH($B197,LE_Curves!$D$5:$D$205,1)))/(INDEX(LE_Curves!$D$5:$D$205,MATCH($B197,LE_Curves!$D$5:$D$205,1)+1)-INDEX(LE_Curves!$D$5:$D$205,MATCH($B197,LE_Curves!$D$5:$D$205,1))))))</f>
        <v/>
      </c>
      <c r="E197" s="11">
        <f>IF(Inputs!$D$25=0,0,IF($B197&lt;=Inputs!$C$25,0,IF($B197&gt;=INDEX(LE_Curves!$E$5:$E$205,201),INDEX(LE_Curves!$B$5:$B$205,201),INDEX(LE_Curves!$B$5:$B$205,MATCH($B197,LE_Curves!$E$5:$E$205,1))+($B197-INDEX(LE_Curves!$E$5:$E$205,MATCH($B197,LE_Curves!$E$5:$E$205,1)))*(INDEX(LE_Curves!$B$5:$B$205,MATCH($B197,LE_Curves!$E$5:$E$205,1)+1)-INDEX(LE_Curves!$B$5:$B$205,MATCH($B197,LE_Curves!$E$5:$E$205,1)))/(INDEX(LE_Curves!$E$5:$E$205,MATCH($B197,LE_Curves!$E$5:$E$205,1)+1)-INDEX(LE_Curves!$E$5:$E$205,MATCH($B197,LE_Curves!$E$5:$E$205,1))))))</f>
        <v/>
      </c>
      <c r="F197" s="11">
        <f>IF(Inputs!$D$26=0,0,IF($B197&lt;=Inputs!$C$26,0,IF($B197&gt;=INDEX(LE_Curves!$F$5:$F$205,201),INDEX(LE_Curves!$B$5:$B$205,201),INDEX(LE_Curves!$B$5:$B$205,MATCH($B197,LE_Curves!$F$5:$F$205,1))+($B197-INDEX(LE_Curves!$F$5:$F$205,MATCH($B197,LE_Curves!$F$5:$F$205,1)))*(INDEX(LE_Curves!$B$5:$B$205,MATCH($B197,LE_Curves!$F$5:$F$205,1)+1)-INDEX(LE_Curves!$B$5:$B$205,MATCH($B197,LE_Curves!$F$5:$F$205,1)))/(INDEX(LE_Curves!$F$5:$F$205,MATCH($B197,LE_Curves!$F$5:$F$205,1)+1)-INDEX(LE_Curves!$F$5:$F$205,MATCH($B197,LE_Curves!$F$5:$F$205,1))))))</f>
        <v/>
      </c>
      <c r="G197" s="11">
        <f>IF(Inputs!$D$27=0,0,IF($B197&lt;=Inputs!$C$27,0,IF($B197&gt;=INDEX(LE_Curves!$G$5:$G$205,201),INDEX(LE_Curves!$B$5:$B$205,201),INDEX(LE_Curves!$B$5:$B$205,MATCH($B197,LE_Curves!$G$5:$G$205,1))+($B197-INDEX(LE_Curves!$G$5:$G$205,MATCH($B197,LE_Curves!$G$5:$G$205,1)))*(INDEX(LE_Curves!$B$5:$B$205,MATCH($B197,LE_Curves!$G$5:$G$205,1)+1)-INDEX(LE_Curves!$B$5:$B$205,MATCH($B197,LE_Curves!$G$5:$G$205,1)))/(INDEX(LE_Curves!$G$5:$G$205,MATCH($B197,LE_Curves!$G$5:$G$205,1)+1)-INDEX(LE_Curves!$G$5:$G$205,MATCH($B197,LE_Curves!$G$5:$G$205,1))))))</f>
        <v/>
      </c>
      <c r="H197" s="11">
        <f>IF(Inputs!$D$28=0,0,IF($B197&lt;=Inputs!$C$28,0,IF($B197&gt;=INDEX(LE_Curves!$H$5:$H$205,201),INDEX(LE_Curves!$B$5:$B$205,201),INDEX(LE_Curves!$B$5:$B$205,MATCH($B197,LE_Curves!$H$5:$H$205,1))+($B197-INDEX(LE_Curves!$H$5:$H$205,MATCH($B197,LE_Curves!$H$5:$H$205,1)))*(INDEX(LE_Curves!$B$5:$B$205,MATCH($B197,LE_Curves!$H$5:$H$205,1)+1)-INDEX(LE_Curves!$B$5:$B$205,MATCH($B197,LE_Curves!$H$5:$H$205,1)))/(INDEX(LE_Curves!$H$5:$H$205,MATCH($B197,LE_Curves!$H$5:$H$205,1)+1)-INDEX(LE_Curves!$H$5:$H$205,MATCH($B197,LE_Curves!$H$5:$H$205,1))))))</f>
        <v/>
      </c>
      <c r="I197" s="11">
        <f>IF(Inputs!$D$29=0,0,IF($B197&lt;=Inputs!$C$29,0,IF($B197&gt;=INDEX(LE_Curves!$I$5:$I$205,201),INDEX(LE_Curves!$B$5:$B$205,201),INDEX(LE_Curves!$B$5:$B$205,MATCH($B197,LE_Curves!$I$5:$I$205,1))+($B197-INDEX(LE_Curves!$I$5:$I$205,MATCH($B197,LE_Curves!$I$5:$I$205,1)))*(INDEX(LE_Curves!$B$5:$B$205,MATCH($B197,LE_Curves!$I$5:$I$205,1)+1)-INDEX(LE_Curves!$B$5:$B$205,MATCH($B197,LE_Curves!$I$5:$I$205,1)))/(INDEX(LE_Curves!$I$5:$I$205,MATCH($B197,LE_Curves!$I$5:$I$205,1)+1)-INDEX(LE_Curves!$I$5:$I$205,MATCH($B197,LE_Curves!$I$5:$I$205,1))))))</f>
        <v/>
      </c>
      <c r="J197" s="11">
        <f>IF(Inputs!$D$30=0,0,IF($B197&lt;=Inputs!$C$30,0,IF($B197&gt;=INDEX(LE_Curves!$J$5:$J$205,201),INDEX(LE_Curves!$B$5:$B$205,201),INDEX(LE_Curves!$B$5:$B$205,MATCH($B197,LE_Curves!$J$5:$J$205,1))+($B197-INDEX(LE_Curves!$J$5:$J$205,MATCH($B197,LE_Curves!$J$5:$J$205,1)))*(INDEX(LE_Curves!$B$5:$B$205,MATCH($B197,LE_Curves!$J$5:$J$205,1)+1)-INDEX(LE_Curves!$B$5:$B$205,MATCH($B197,LE_Curves!$J$5:$J$205,1)))/(INDEX(LE_Curves!$J$5:$J$205,MATCH($B197,LE_Curves!$J$5:$J$205,1)+1)-INDEX(LE_Curves!$J$5:$J$205,MATCH($B197,LE_Curves!$J$5:$J$205,1))))))</f>
        <v/>
      </c>
      <c r="K197" s="11">
        <f>IF(Inputs!$D$31=0,0,IF($B197&lt;=Inputs!$C$31,0,IF($B197&gt;=INDEX(LE_Curves!$K$5:$K$205,201),INDEX(LE_Curves!$B$5:$B$205,201),INDEX(LE_Curves!$B$5:$B$205,MATCH($B197,LE_Curves!$K$5:$K$205,1))+($B197-INDEX(LE_Curves!$K$5:$K$205,MATCH($B197,LE_Curves!$K$5:$K$205,1)))*(INDEX(LE_Curves!$B$5:$B$205,MATCH($B197,LE_Curves!$K$5:$K$205,1)+1)-INDEX(LE_Curves!$B$5:$B$205,MATCH($B197,LE_Curves!$K$5:$K$205,1)))/(INDEX(LE_Curves!$K$5:$K$205,MATCH($B197,LE_Curves!$K$5:$K$205,1)+1)-INDEX(LE_Curves!$K$5:$K$205,MATCH($B197,LE_Curves!$K$5:$K$205,1))))))</f>
        <v/>
      </c>
      <c r="L197" s="11">
        <f>IF(Inputs!$D$32=0,0,IF($B197&lt;=Inputs!$C$32,0,IF($B197&gt;=INDEX(LE_Curves!$L$5:$L$205,201),INDEX(LE_Curves!$B$5:$B$205,201),INDEX(LE_Curves!$B$5:$B$205,MATCH($B197,LE_Curves!$L$5:$L$205,1))+($B197-INDEX(LE_Curves!$L$5:$L$205,MATCH($B197,LE_Curves!$L$5:$L$205,1)))*(INDEX(LE_Curves!$B$5:$B$205,MATCH($B197,LE_Curves!$L$5:$L$205,1)+1)-INDEX(LE_Curves!$B$5:$B$205,MATCH($B197,LE_Curves!$L$5:$L$205,1)))/(INDEX(LE_Curves!$L$5:$L$205,MATCH($B197,LE_Curves!$L$5:$L$205,1)+1)-INDEX(LE_Curves!$L$5:$L$205,MATCH($B197,LE_Curves!$L$5:$L$205,1))))))</f>
        <v/>
      </c>
      <c r="M197" s="11">
        <f>IF(Inputs!$D$33=0,0,IF($B197&lt;=Inputs!$C$33,0,IF($B197&gt;=INDEX(LE_Curves!$M$5:$M$205,201),INDEX(LE_Curves!$B$5:$B$205,201),INDEX(LE_Curves!$B$5:$B$205,MATCH($B197,LE_Curves!$M$5:$M$205,1))+($B197-INDEX(LE_Curves!$M$5:$M$205,MATCH($B197,LE_Curves!$M$5:$M$205,1)))*(INDEX(LE_Curves!$B$5:$B$205,MATCH($B197,LE_Curves!$M$5:$M$205,1)+1)-INDEX(LE_Curves!$B$5:$B$205,MATCH($B197,LE_Curves!$M$5:$M$205,1)))/(INDEX(LE_Curves!$M$5:$M$205,MATCH($B197,LE_Curves!$M$5:$M$205,1)+1)-INDEX(LE_Curves!$M$5:$M$205,MATCH($B197,LE_Curves!$M$5:$M$205,1))))))</f>
        <v/>
      </c>
      <c r="N197" s="11">
        <f>IF(Inputs!$D$34=0,0,IF($B197&lt;=Inputs!$C$34,0,IF($B197&gt;=INDEX(LE_Curves!$N$5:$N$205,201),INDEX(LE_Curves!$B$5:$B$205,201),INDEX(LE_Curves!$B$5:$B$205,MATCH($B197,LE_Curves!$N$5:$N$205,1))+($B197-INDEX(LE_Curves!$N$5:$N$205,MATCH($B197,LE_Curves!$N$5:$N$205,1)))*(INDEX(LE_Curves!$B$5:$B$205,MATCH($B197,LE_Curves!$N$5:$N$205,1)+1)-INDEX(LE_Curves!$B$5:$B$205,MATCH($B197,LE_Curves!$N$5:$N$205,1)))/(INDEX(LE_Curves!$N$5:$N$205,MATCH($B197,LE_Curves!$N$5:$N$205,1)+1)-INDEX(LE_Curves!$N$5:$N$205,MATCH($B197,LE_Curves!$N$5:$N$205,1))))))</f>
        <v/>
      </c>
      <c r="O197" s="11">
        <f>SUM(C197:N197)</f>
        <v/>
      </c>
      <c r="Q197" s="7" t="n">
        <v>166</v>
      </c>
      <c r="R197" s="23">
        <f>$B$6+($B$7-$B$6)*Q197/200</f>
        <v/>
      </c>
      <c r="S197" s="11">
        <f>IF(Inputs!$D$23=0,0,IF($R197&lt;=Inputs!$C$23,0,IF($R197&gt;=INDEX(LE_Curves!$C$5:$C$205,201),INDEX(LE_Curves!$B$5:$B$205,201),INDEX(LE_Curves!$B$5:$B$205,MATCH($R197,LE_Curves!$C$5:$C$205,1))+($R197-INDEX(LE_Curves!$C$5:$C$205,MATCH($R197,LE_Curves!$C$5:$C$205,1)))*(INDEX(LE_Curves!$B$5:$B$205,MATCH($R197,LE_Curves!$C$5:$C$205,1)+1)-INDEX(LE_Curves!$B$5:$B$205,MATCH($R197,LE_Curves!$C$5:$C$205,1)))/(INDEX(LE_Curves!$C$5:$C$205,MATCH($R197,LE_Curves!$C$5:$C$205,1)+1)-INDEX(LE_Curves!$C$5:$C$205,MATCH($R197,LE_Curves!$C$5:$C$205,1))))))</f>
        <v/>
      </c>
      <c r="T197" s="11">
        <f>IF(Inputs!$D$24=0,0,IF($R197&lt;=Inputs!$C$24,0,IF($R197&gt;=INDEX(LE_Curves!$D$5:$D$205,201),INDEX(LE_Curves!$B$5:$B$205,201),INDEX(LE_Curves!$B$5:$B$205,MATCH($R197,LE_Curves!$D$5:$D$205,1))+($R197-INDEX(LE_Curves!$D$5:$D$205,MATCH($R197,LE_Curves!$D$5:$D$205,1)))*(INDEX(LE_Curves!$B$5:$B$205,MATCH($R197,LE_Curves!$D$5:$D$205,1)+1)-INDEX(LE_Curves!$B$5:$B$205,MATCH($R197,LE_Curves!$D$5:$D$205,1)))/(INDEX(LE_Curves!$D$5:$D$205,MATCH($R197,LE_Curves!$D$5:$D$205,1)+1)-INDEX(LE_Curves!$D$5:$D$205,MATCH($R197,LE_Curves!$D$5:$D$205,1))))))</f>
        <v/>
      </c>
      <c r="U197" s="11">
        <f>IF(Inputs!$D$25=0,0,IF($R197&lt;=Inputs!$C$25,0,IF($R197&gt;=INDEX(LE_Curves!$E$5:$E$205,201),INDEX(LE_Curves!$B$5:$B$205,201),INDEX(LE_Curves!$B$5:$B$205,MATCH($R197,LE_Curves!$E$5:$E$205,1))+($R197-INDEX(LE_Curves!$E$5:$E$205,MATCH($R197,LE_Curves!$E$5:$E$205,1)))*(INDEX(LE_Curves!$B$5:$B$205,MATCH($R197,LE_Curves!$E$5:$E$205,1)+1)-INDEX(LE_Curves!$B$5:$B$205,MATCH($R197,LE_Curves!$E$5:$E$205,1)))/(INDEX(LE_Curves!$E$5:$E$205,MATCH($R197,LE_Curves!$E$5:$E$205,1)+1)-INDEX(LE_Curves!$E$5:$E$205,MATCH($R197,LE_Curves!$E$5:$E$205,1))))))</f>
        <v/>
      </c>
      <c r="V197" s="11">
        <f>IF(Inputs!$D$26=0,0,IF($R197&lt;=Inputs!$C$26,0,IF($R197&gt;=INDEX(LE_Curves!$F$5:$F$205,201),INDEX(LE_Curves!$B$5:$B$205,201),INDEX(LE_Curves!$B$5:$B$205,MATCH($R197,LE_Curves!$F$5:$F$205,1))+($R197-INDEX(LE_Curves!$F$5:$F$205,MATCH($R197,LE_Curves!$F$5:$F$205,1)))*(INDEX(LE_Curves!$B$5:$B$205,MATCH($R197,LE_Curves!$F$5:$F$205,1)+1)-INDEX(LE_Curves!$B$5:$B$205,MATCH($R197,LE_Curves!$F$5:$F$205,1)))/(INDEX(LE_Curves!$F$5:$F$205,MATCH($R197,LE_Curves!$F$5:$F$205,1)+1)-INDEX(LE_Curves!$F$5:$F$205,MATCH($R197,LE_Curves!$F$5:$F$205,1))))))</f>
        <v/>
      </c>
      <c r="W197" s="11">
        <f>IF(Inputs!$D$27=0,0,IF($R197&lt;=Inputs!$C$27,0,IF($R197&gt;=INDEX(LE_Curves!$G$5:$G$205,201),INDEX(LE_Curves!$B$5:$B$205,201),INDEX(LE_Curves!$B$5:$B$205,MATCH($R197,LE_Curves!$G$5:$G$205,1))+($R197-INDEX(LE_Curves!$G$5:$G$205,MATCH($R197,LE_Curves!$G$5:$G$205,1)))*(INDEX(LE_Curves!$B$5:$B$205,MATCH($R197,LE_Curves!$G$5:$G$205,1)+1)-INDEX(LE_Curves!$B$5:$B$205,MATCH($R197,LE_Curves!$G$5:$G$205,1)))/(INDEX(LE_Curves!$G$5:$G$205,MATCH($R197,LE_Curves!$G$5:$G$205,1)+1)-INDEX(LE_Curves!$G$5:$G$205,MATCH($R197,LE_Curves!$G$5:$G$205,1))))))</f>
        <v/>
      </c>
      <c r="X197" s="11">
        <f>IF(Inputs!$D$28=0,0,IF($R197&lt;=Inputs!$C$28,0,IF($R197&gt;=INDEX(LE_Curves!$H$5:$H$205,201),INDEX(LE_Curves!$B$5:$B$205,201),INDEX(LE_Curves!$B$5:$B$205,MATCH($R197,LE_Curves!$H$5:$H$205,1))+($R197-INDEX(LE_Curves!$H$5:$H$205,MATCH($R197,LE_Curves!$H$5:$H$205,1)))*(INDEX(LE_Curves!$B$5:$B$205,MATCH($R197,LE_Curves!$H$5:$H$205,1)+1)-INDEX(LE_Curves!$B$5:$B$205,MATCH($R197,LE_Curves!$H$5:$H$205,1)))/(INDEX(LE_Curves!$H$5:$H$205,MATCH($R197,LE_Curves!$H$5:$H$205,1)+1)-INDEX(LE_Curves!$H$5:$H$205,MATCH($R197,LE_Curves!$H$5:$H$205,1))))))</f>
        <v/>
      </c>
      <c r="Y197" s="11">
        <f>IF(Inputs!$D$29=0,0,IF($R197&lt;=Inputs!$C$29,0,IF($R197&gt;=INDEX(LE_Curves!$I$5:$I$205,201),INDEX(LE_Curves!$B$5:$B$205,201),INDEX(LE_Curves!$B$5:$B$205,MATCH($R197,LE_Curves!$I$5:$I$205,1))+($R197-INDEX(LE_Curves!$I$5:$I$205,MATCH($R197,LE_Curves!$I$5:$I$205,1)))*(INDEX(LE_Curves!$B$5:$B$205,MATCH($R197,LE_Curves!$I$5:$I$205,1)+1)-INDEX(LE_Curves!$B$5:$B$205,MATCH($R197,LE_Curves!$I$5:$I$205,1)))/(INDEX(LE_Curves!$I$5:$I$205,MATCH($R197,LE_Curves!$I$5:$I$205,1)+1)-INDEX(LE_Curves!$I$5:$I$205,MATCH($R197,LE_Curves!$I$5:$I$205,1))))))</f>
        <v/>
      </c>
      <c r="Z197" s="11">
        <f>IF(Inputs!$D$30=0,0,IF($R197&lt;=Inputs!$C$30,0,IF($R197&gt;=INDEX(LE_Curves!$J$5:$J$205,201),INDEX(LE_Curves!$B$5:$B$205,201),INDEX(LE_Curves!$B$5:$B$205,MATCH($R197,LE_Curves!$J$5:$J$205,1))+($R197-INDEX(LE_Curves!$J$5:$J$205,MATCH($R197,LE_Curves!$J$5:$J$205,1)))*(INDEX(LE_Curves!$B$5:$B$205,MATCH($R197,LE_Curves!$J$5:$J$205,1)+1)-INDEX(LE_Curves!$B$5:$B$205,MATCH($R197,LE_Curves!$J$5:$J$205,1)))/(INDEX(LE_Curves!$J$5:$J$205,MATCH($R197,LE_Curves!$J$5:$J$205,1)+1)-INDEX(LE_Curves!$J$5:$J$205,MATCH($R197,LE_Curves!$J$5:$J$205,1))))))</f>
        <v/>
      </c>
      <c r="AA197" s="11">
        <f>IF(Inputs!$D$31=0,0,IF($R197&lt;=Inputs!$C$31,0,IF($R197&gt;=INDEX(LE_Curves!$K$5:$K$205,201),INDEX(LE_Curves!$B$5:$B$205,201),INDEX(LE_Curves!$B$5:$B$205,MATCH($R197,LE_Curves!$K$5:$K$205,1))+($R197-INDEX(LE_Curves!$K$5:$K$205,MATCH($R197,LE_Curves!$K$5:$K$205,1)))*(INDEX(LE_Curves!$B$5:$B$205,MATCH($R197,LE_Curves!$K$5:$K$205,1)+1)-INDEX(LE_Curves!$B$5:$B$205,MATCH($R197,LE_Curves!$K$5:$K$205,1)))/(INDEX(LE_Curves!$K$5:$K$205,MATCH($R197,LE_Curves!$K$5:$K$205,1)+1)-INDEX(LE_Curves!$K$5:$K$205,MATCH($R197,LE_Curves!$K$5:$K$205,1))))))</f>
        <v/>
      </c>
      <c r="AB197" s="11">
        <f>IF(Inputs!$D$32=0,0,IF($R197&lt;=Inputs!$C$32,0,IF($R197&gt;=INDEX(LE_Curves!$L$5:$L$205,201),INDEX(LE_Curves!$B$5:$B$205,201),INDEX(LE_Curves!$B$5:$B$205,MATCH($R197,LE_Curves!$L$5:$L$205,1))+($R197-INDEX(LE_Curves!$L$5:$L$205,MATCH($R197,LE_Curves!$L$5:$L$205,1)))*(INDEX(LE_Curves!$B$5:$B$205,MATCH($R197,LE_Curves!$L$5:$L$205,1)+1)-INDEX(LE_Curves!$B$5:$B$205,MATCH($R197,LE_Curves!$L$5:$L$205,1)))/(INDEX(LE_Curves!$L$5:$L$205,MATCH($R197,LE_Curves!$L$5:$L$205,1)+1)-INDEX(LE_Curves!$L$5:$L$205,MATCH($R197,LE_Curves!$L$5:$L$205,1))))))</f>
        <v/>
      </c>
      <c r="AC197" s="11">
        <f>IF(Inputs!$D$33=0,0,IF($R197&lt;=Inputs!$C$33,0,IF($R197&gt;=INDEX(LE_Curves!$M$5:$M$205,201),INDEX(LE_Curves!$B$5:$B$205,201),INDEX(LE_Curves!$B$5:$B$205,MATCH($R197,LE_Curves!$M$5:$M$205,1))+($R197-INDEX(LE_Curves!$M$5:$M$205,MATCH($R197,LE_Curves!$M$5:$M$205,1)))*(INDEX(LE_Curves!$B$5:$B$205,MATCH($R197,LE_Curves!$M$5:$M$205,1)+1)-INDEX(LE_Curves!$B$5:$B$205,MATCH($R197,LE_Curves!$M$5:$M$205,1)))/(INDEX(LE_Curves!$M$5:$M$205,MATCH($R197,LE_Curves!$M$5:$M$205,1)+1)-INDEX(LE_Curves!$M$5:$M$205,MATCH($R197,LE_Curves!$M$5:$M$205,1))))))</f>
        <v/>
      </c>
      <c r="AD197" s="11">
        <f>IF(Inputs!$D$34=0,0,IF($R197&lt;=Inputs!$C$34,0,IF($R197&gt;=INDEX(LE_Curves!$N$5:$N$205,201),INDEX(LE_Curves!$B$5:$B$205,201),INDEX(LE_Curves!$B$5:$B$205,MATCH($R197,LE_Curves!$N$5:$N$205,1))+($R197-INDEX(LE_Curves!$N$5:$N$205,MATCH($R197,LE_Curves!$N$5:$N$205,1)))*(INDEX(LE_Curves!$B$5:$B$205,MATCH($R197,LE_Curves!$N$5:$N$205,1)+1)-INDEX(LE_Curves!$B$5:$B$205,MATCH($R197,LE_Curves!$N$5:$N$205,1)))/(INDEX(LE_Curves!$N$5:$N$205,MATCH($R197,LE_Curves!$N$5:$N$205,1)+1)-INDEX(LE_Curves!$N$5:$N$205,MATCH($R197,LE_Curves!$N$5:$N$205,1))))))</f>
        <v/>
      </c>
      <c r="AE197" s="37">
        <f>SUM(S197:AD197)</f>
        <v/>
      </c>
    </row>
    <row r="198">
      <c r="A198" s="7" t="n">
        <v>167</v>
      </c>
      <c r="B198" s="37">
        <f>$B$3+($B$4-$B$3)*A198/200</f>
        <v/>
      </c>
      <c r="C198" s="11">
        <f>IF(Inputs!$D$23=0,0,IF($B198&lt;=Inputs!$C$23,0,IF($B198&gt;=INDEX(LE_Curves!$C$5:$C$205,201),INDEX(LE_Curves!$B$5:$B$205,201),INDEX(LE_Curves!$B$5:$B$205,MATCH($B198,LE_Curves!$C$5:$C$205,1))+($B198-INDEX(LE_Curves!$C$5:$C$205,MATCH($B198,LE_Curves!$C$5:$C$205,1)))*(INDEX(LE_Curves!$B$5:$B$205,MATCH($B198,LE_Curves!$C$5:$C$205,1)+1)-INDEX(LE_Curves!$B$5:$B$205,MATCH($B198,LE_Curves!$C$5:$C$205,1)))/(INDEX(LE_Curves!$C$5:$C$205,MATCH($B198,LE_Curves!$C$5:$C$205,1)+1)-INDEX(LE_Curves!$C$5:$C$205,MATCH($B198,LE_Curves!$C$5:$C$205,1))))))</f>
        <v/>
      </c>
      <c r="D198" s="11">
        <f>IF(Inputs!$D$24=0,0,IF($B198&lt;=Inputs!$C$24,0,IF($B198&gt;=INDEX(LE_Curves!$D$5:$D$205,201),INDEX(LE_Curves!$B$5:$B$205,201),INDEX(LE_Curves!$B$5:$B$205,MATCH($B198,LE_Curves!$D$5:$D$205,1))+($B198-INDEX(LE_Curves!$D$5:$D$205,MATCH($B198,LE_Curves!$D$5:$D$205,1)))*(INDEX(LE_Curves!$B$5:$B$205,MATCH($B198,LE_Curves!$D$5:$D$205,1)+1)-INDEX(LE_Curves!$B$5:$B$205,MATCH($B198,LE_Curves!$D$5:$D$205,1)))/(INDEX(LE_Curves!$D$5:$D$205,MATCH($B198,LE_Curves!$D$5:$D$205,1)+1)-INDEX(LE_Curves!$D$5:$D$205,MATCH($B198,LE_Curves!$D$5:$D$205,1))))))</f>
        <v/>
      </c>
      <c r="E198" s="11">
        <f>IF(Inputs!$D$25=0,0,IF($B198&lt;=Inputs!$C$25,0,IF($B198&gt;=INDEX(LE_Curves!$E$5:$E$205,201),INDEX(LE_Curves!$B$5:$B$205,201),INDEX(LE_Curves!$B$5:$B$205,MATCH($B198,LE_Curves!$E$5:$E$205,1))+($B198-INDEX(LE_Curves!$E$5:$E$205,MATCH($B198,LE_Curves!$E$5:$E$205,1)))*(INDEX(LE_Curves!$B$5:$B$205,MATCH($B198,LE_Curves!$E$5:$E$205,1)+1)-INDEX(LE_Curves!$B$5:$B$205,MATCH($B198,LE_Curves!$E$5:$E$205,1)))/(INDEX(LE_Curves!$E$5:$E$205,MATCH($B198,LE_Curves!$E$5:$E$205,1)+1)-INDEX(LE_Curves!$E$5:$E$205,MATCH($B198,LE_Curves!$E$5:$E$205,1))))))</f>
        <v/>
      </c>
      <c r="F198" s="11">
        <f>IF(Inputs!$D$26=0,0,IF($B198&lt;=Inputs!$C$26,0,IF($B198&gt;=INDEX(LE_Curves!$F$5:$F$205,201),INDEX(LE_Curves!$B$5:$B$205,201),INDEX(LE_Curves!$B$5:$B$205,MATCH($B198,LE_Curves!$F$5:$F$205,1))+($B198-INDEX(LE_Curves!$F$5:$F$205,MATCH($B198,LE_Curves!$F$5:$F$205,1)))*(INDEX(LE_Curves!$B$5:$B$205,MATCH($B198,LE_Curves!$F$5:$F$205,1)+1)-INDEX(LE_Curves!$B$5:$B$205,MATCH($B198,LE_Curves!$F$5:$F$205,1)))/(INDEX(LE_Curves!$F$5:$F$205,MATCH($B198,LE_Curves!$F$5:$F$205,1)+1)-INDEX(LE_Curves!$F$5:$F$205,MATCH($B198,LE_Curves!$F$5:$F$205,1))))))</f>
        <v/>
      </c>
      <c r="G198" s="11">
        <f>IF(Inputs!$D$27=0,0,IF($B198&lt;=Inputs!$C$27,0,IF($B198&gt;=INDEX(LE_Curves!$G$5:$G$205,201),INDEX(LE_Curves!$B$5:$B$205,201),INDEX(LE_Curves!$B$5:$B$205,MATCH($B198,LE_Curves!$G$5:$G$205,1))+($B198-INDEX(LE_Curves!$G$5:$G$205,MATCH($B198,LE_Curves!$G$5:$G$205,1)))*(INDEX(LE_Curves!$B$5:$B$205,MATCH($B198,LE_Curves!$G$5:$G$205,1)+1)-INDEX(LE_Curves!$B$5:$B$205,MATCH($B198,LE_Curves!$G$5:$G$205,1)))/(INDEX(LE_Curves!$G$5:$G$205,MATCH($B198,LE_Curves!$G$5:$G$205,1)+1)-INDEX(LE_Curves!$G$5:$G$205,MATCH($B198,LE_Curves!$G$5:$G$205,1))))))</f>
        <v/>
      </c>
      <c r="H198" s="11">
        <f>IF(Inputs!$D$28=0,0,IF($B198&lt;=Inputs!$C$28,0,IF($B198&gt;=INDEX(LE_Curves!$H$5:$H$205,201),INDEX(LE_Curves!$B$5:$B$205,201),INDEX(LE_Curves!$B$5:$B$205,MATCH($B198,LE_Curves!$H$5:$H$205,1))+($B198-INDEX(LE_Curves!$H$5:$H$205,MATCH($B198,LE_Curves!$H$5:$H$205,1)))*(INDEX(LE_Curves!$B$5:$B$205,MATCH($B198,LE_Curves!$H$5:$H$205,1)+1)-INDEX(LE_Curves!$B$5:$B$205,MATCH($B198,LE_Curves!$H$5:$H$205,1)))/(INDEX(LE_Curves!$H$5:$H$205,MATCH($B198,LE_Curves!$H$5:$H$205,1)+1)-INDEX(LE_Curves!$H$5:$H$205,MATCH($B198,LE_Curves!$H$5:$H$205,1))))))</f>
        <v/>
      </c>
      <c r="I198" s="11">
        <f>IF(Inputs!$D$29=0,0,IF($B198&lt;=Inputs!$C$29,0,IF($B198&gt;=INDEX(LE_Curves!$I$5:$I$205,201),INDEX(LE_Curves!$B$5:$B$205,201),INDEX(LE_Curves!$B$5:$B$205,MATCH($B198,LE_Curves!$I$5:$I$205,1))+($B198-INDEX(LE_Curves!$I$5:$I$205,MATCH($B198,LE_Curves!$I$5:$I$205,1)))*(INDEX(LE_Curves!$B$5:$B$205,MATCH($B198,LE_Curves!$I$5:$I$205,1)+1)-INDEX(LE_Curves!$B$5:$B$205,MATCH($B198,LE_Curves!$I$5:$I$205,1)))/(INDEX(LE_Curves!$I$5:$I$205,MATCH($B198,LE_Curves!$I$5:$I$205,1)+1)-INDEX(LE_Curves!$I$5:$I$205,MATCH($B198,LE_Curves!$I$5:$I$205,1))))))</f>
        <v/>
      </c>
      <c r="J198" s="11">
        <f>IF(Inputs!$D$30=0,0,IF($B198&lt;=Inputs!$C$30,0,IF($B198&gt;=INDEX(LE_Curves!$J$5:$J$205,201),INDEX(LE_Curves!$B$5:$B$205,201),INDEX(LE_Curves!$B$5:$B$205,MATCH($B198,LE_Curves!$J$5:$J$205,1))+($B198-INDEX(LE_Curves!$J$5:$J$205,MATCH($B198,LE_Curves!$J$5:$J$205,1)))*(INDEX(LE_Curves!$B$5:$B$205,MATCH($B198,LE_Curves!$J$5:$J$205,1)+1)-INDEX(LE_Curves!$B$5:$B$205,MATCH($B198,LE_Curves!$J$5:$J$205,1)))/(INDEX(LE_Curves!$J$5:$J$205,MATCH($B198,LE_Curves!$J$5:$J$205,1)+1)-INDEX(LE_Curves!$J$5:$J$205,MATCH($B198,LE_Curves!$J$5:$J$205,1))))))</f>
        <v/>
      </c>
      <c r="K198" s="11">
        <f>IF(Inputs!$D$31=0,0,IF($B198&lt;=Inputs!$C$31,0,IF($B198&gt;=INDEX(LE_Curves!$K$5:$K$205,201),INDEX(LE_Curves!$B$5:$B$205,201),INDEX(LE_Curves!$B$5:$B$205,MATCH($B198,LE_Curves!$K$5:$K$205,1))+($B198-INDEX(LE_Curves!$K$5:$K$205,MATCH($B198,LE_Curves!$K$5:$K$205,1)))*(INDEX(LE_Curves!$B$5:$B$205,MATCH($B198,LE_Curves!$K$5:$K$205,1)+1)-INDEX(LE_Curves!$B$5:$B$205,MATCH($B198,LE_Curves!$K$5:$K$205,1)))/(INDEX(LE_Curves!$K$5:$K$205,MATCH($B198,LE_Curves!$K$5:$K$205,1)+1)-INDEX(LE_Curves!$K$5:$K$205,MATCH($B198,LE_Curves!$K$5:$K$205,1))))))</f>
        <v/>
      </c>
      <c r="L198" s="11">
        <f>IF(Inputs!$D$32=0,0,IF($B198&lt;=Inputs!$C$32,0,IF($B198&gt;=INDEX(LE_Curves!$L$5:$L$205,201),INDEX(LE_Curves!$B$5:$B$205,201),INDEX(LE_Curves!$B$5:$B$205,MATCH($B198,LE_Curves!$L$5:$L$205,1))+($B198-INDEX(LE_Curves!$L$5:$L$205,MATCH($B198,LE_Curves!$L$5:$L$205,1)))*(INDEX(LE_Curves!$B$5:$B$205,MATCH($B198,LE_Curves!$L$5:$L$205,1)+1)-INDEX(LE_Curves!$B$5:$B$205,MATCH($B198,LE_Curves!$L$5:$L$205,1)))/(INDEX(LE_Curves!$L$5:$L$205,MATCH($B198,LE_Curves!$L$5:$L$205,1)+1)-INDEX(LE_Curves!$L$5:$L$205,MATCH($B198,LE_Curves!$L$5:$L$205,1))))))</f>
        <v/>
      </c>
      <c r="M198" s="11">
        <f>IF(Inputs!$D$33=0,0,IF($B198&lt;=Inputs!$C$33,0,IF($B198&gt;=INDEX(LE_Curves!$M$5:$M$205,201),INDEX(LE_Curves!$B$5:$B$205,201),INDEX(LE_Curves!$B$5:$B$205,MATCH($B198,LE_Curves!$M$5:$M$205,1))+($B198-INDEX(LE_Curves!$M$5:$M$205,MATCH($B198,LE_Curves!$M$5:$M$205,1)))*(INDEX(LE_Curves!$B$5:$B$205,MATCH($B198,LE_Curves!$M$5:$M$205,1)+1)-INDEX(LE_Curves!$B$5:$B$205,MATCH($B198,LE_Curves!$M$5:$M$205,1)))/(INDEX(LE_Curves!$M$5:$M$205,MATCH($B198,LE_Curves!$M$5:$M$205,1)+1)-INDEX(LE_Curves!$M$5:$M$205,MATCH($B198,LE_Curves!$M$5:$M$205,1))))))</f>
        <v/>
      </c>
      <c r="N198" s="11">
        <f>IF(Inputs!$D$34=0,0,IF($B198&lt;=Inputs!$C$34,0,IF($B198&gt;=INDEX(LE_Curves!$N$5:$N$205,201),INDEX(LE_Curves!$B$5:$B$205,201),INDEX(LE_Curves!$B$5:$B$205,MATCH($B198,LE_Curves!$N$5:$N$205,1))+($B198-INDEX(LE_Curves!$N$5:$N$205,MATCH($B198,LE_Curves!$N$5:$N$205,1)))*(INDEX(LE_Curves!$B$5:$B$205,MATCH($B198,LE_Curves!$N$5:$N$205,1)+1)-INDEX(LE_Curves!$B$5:$B$205,MATCH($B198,LE_Curves!$N$5:$N$205,1)))/(INDEX(LE_Curves!$N$5:$N$205,MATCH($B198,LE_Curves!$N$5:$N$205,1)+1)-INDEX(LE_Curves!$N$5:$N$205,MATCH($B198,LE_Curves!$N$5:$N$205,1))))))</f>
        <v/>
      </c>
      <c r="O198" s="11">
        <f>SUM(C198:N198)</f>
        <v/>
      </c>
      <c r="Q198" s="7" t="n">
        <v>167</v>
      </c>
      <c r="R198" s="23">
        <f>$B$6+($B$7-$B$6)*Q198/200</f>
        <v/>
      </c>
      <c r="S198" s="11">
        <f>IF(Inputs!$D$23=0,0,IF($R198&lt;=Inputs!$C$23,0,IF($R198&gt;=INDEX(LE_Curves!$C$5:$C$205,201),INDEX(LE_Curves!$B$5:$B$205,201),INDEX(LE_Curves!$B$5:$B$205,MATCH($R198,LE_Curves!$C$5:$C$205,1))+($R198-INDEX(LE_Curves!$C$5:$C$205,MATCH($R198,LE_Curves!$C$5:$C$205,1)))*(INDEX(LE_Curves!$B$5:$B$205,MATCH($R198,LE_Curves!$C$5:$C$205,1)+1)-INDEX(LE_Curves!$B$5:$B$205,MATCH($R198,LE_Curves!$C$5:$C$205,1)))/(INDEX(LE_Curves!$C$5:$C$205,MATCH($R198,LE_Curves!$C$5:$C$205,1)+1)-INDEX(LE_Curves!$C$5:$C$205,MATCH($R198,LE_Curves!$C$5:$C$205,1))))))</f>
        <v/>
      </c>
      <c r="T198" s="11">
        <f>IF(Inputs!$D$24=0,0,IF($R198&lt;=Inputs!$C$24,0,IF($R198&gt;=INDEX(LE_Curves!$D$5:$D$205,201),INDEX(LE_Curves!$B$5:$B$205,201),INDEX(LE_Curves!$B$5:$B$205,MATCH($R198,LE_Curves!$D$5:$D$205,1))+($R198-INDEX(LE_Curves!$D$5:$D$205,MATCH($R198,LE_Curves!$D$5:$D$205,1)))*(INDEX(LE_Curves!$B$5:$B$205,MATCH($R198,LE_Curves!$D$5:$D$205,1)+1)-INDEX(LE_Curves!$B$5:$B$205,MATCH($R198,LE_Curves!$D$5:$D$205,1)))/(INDEX(LE_Curves!$D$5:$D$205,MATCH($R198,LE_Curves!$D$5:$D$205,1)+1)-INDEX(LE_Curves!$D$5:$D$205,MATCH($R198,LE_Curves!$D$5:$D$205,1))))))</f>
        <v/>
      </c>
      <c r="U198" s="11">
        <f>IF(Inputs!$D$25=0,0,IF($R198&lt;=Inputs!$C$25,0,IF($R198&gt;=INDEX(LE_Curves!$E$5:$E$205,201),INDEX(LE_Curves!$B$5:$B$205,201),INDEX(LE_Curves!$B$5:$B$205,MATCH($R198,LE_Curves!$E$5:$E$205,1))+($R198-INDEX(LE_Curves!$E$5:$E$205,MATCH($R198,LE_Curves!$E$5:$E$205,1)))*(INDEX(LE_Curves!$B$5:$B$205,MATCH($R198,LE_Curves!$E$5:$E$205,1)+1)-INDEX(LE_Curves!$B$5:$B$205,MATCH($R198,LE_Curves!$E$5:$E$205,1)))/(INDEX(LE_Curves!$E$5:$E$205,MATCH($R198,LE_Curves!$E$5:$E$205,1)+1)-INDEX(LE_Curves!$E$5:$E$205,MATCH($R198,LE_Curves!$E$5:$E$205,1))))))</f>
        <v/>
      </c>
      <c r="V198" s="11">
        <f>IF(Inputs!$D$26=0,0,IF($R198&lt;=Inputs!$C$26,0,IF($R198&gt;=INDEX(LE_Curves!$F$5:$F$205,201),INDEX(LE_Curves!$B$5:$B$205,201),INDEX(LE_Curves!$B$5:$B$205,MATCH($R198,LE_Curves!$F$5:$F$205,1))+($R198-INDEX(LE_Curves!$F$5:$F$205,MATCH($R198,LE_Curves!$F$5:$F$205,1)))*(INDEX(LE_Curves!$B$5:$B$205,MATCH($R198,LE_Curves!$F$5:$F$205,1)+1)-INDEX(LE_Curves!$B$5:$B$205,MATCH($R198,LE_Curves!$F$5:$F$205,1)))/(INDEX(LE_Curves!$F$5:$F$205,MATCH($R198,LE_Curves!$F$5:$F$205,1)+1)-INDEX(LE_Curves!$F$5:$F$205,MATCH($R198,LE_Curves!$F$5:$F$205,1))))))</f>
        <v/>
      </c>
      <c r="W198" s="11">
        <f>IF(Inputs!$D$27=0,0,IF($R198&lt;=Inputs!$C$27,0,IF($R198&gt;=INDEX(LE_Curves!$G$5:$G$205,201),INDEX(LE_Curves!$B$5:$B$205,201),INDEX(LE_Curves!$B$5:$B$205,MATCH($R198,LE_Curves!$G$5:$G$205,1))+($R198-INDEX(LE_Curves!$G$5:$G$205,MATCH($R198,LE_Curves!$G$5:$G$205,1)))*(INDEX(LE_Curves!$B$5:$B$205,MATCH($R198,LE_Curves!$G$5:$G$205,1)+1)-INDEX(LE_Curves!$B$5:$B$205,MATCH($R198,LE_Curves!$G$5:$G$205,1)))/(INDEX(LE_Curves!$G$5:$G$205,MATCH($R198,LE_Curves!$G$5:$G$205,1)+1)-INDEX(LE_Curves!$G$5:$G$205,MATCH($R198,LE_Curves!$G$5:$G$205,1))))))</f>
        <v/>
      </c>
      <c r="X198" s="11">
        <f>IF(Inputs!$D$28=0,0,IF($R198&lt;=Inputs!$C$28,0,IF($R198&gt;=INDEX(LE_Curves!$H$5:$H$205,201),INDEX(LE_Curves!$B$5:$B$205,201),INDEX(LE_Curves!$B$5:$B$205,MATCH($R198,LE_Curves!$H$5:$H$205,1))+($R198-INDEX(LE_Curves!$H$5:$H$205,MATCH($R198,LE_Curves!$H$5:$H$205,1)))*(INDEX(LE_Curves!$B$5:$B$205,MATCH($R198,LE_Curves!$H$5:$H$205,1)+1)-INDEX(LE_Curves!$B$5:$B$205,MATCH($R198,LE_Curves!$H$5:$H$205,1)))/(INDEX(LE_Curves!$H$5:$H$205,MATCH($R198,LE_Curves!$H$5:$H$205,1)+1)-INDEX(LE_Curves!$H$5:$H$205,MATCH($R198,LE_Curves!$H$5:$H$205,1))))))</f>
        <v/>
      </c>
      <c r="Y198" s="11">
        <f>IF(Inputs!$D$29=0,0,IF($R198&lt;=Inputs!$C$29,0,IF($R198&gt;=INDEX(LE_Curves!$I$5:$I$205,201),INDEX(LE_Curves!$B$5:$B$205,201),INDEX(LE_Curves!$B$5:$B$205,MATCH($R198,LE_Curves!$I$5:$I$205,1))+($R198-INDEX(LE_Curves!$I$5:$I$205,MATCH($R198,LE_Curves!$I$5:$I$205,1)))*(INDEX(LE_Curves!$B$5:$B$205,MATCH($R198,LE_Curves!$I$5:$I$205,1)+1)-INDEX(LE_Curves!$B$5:$B$205,MATCH($R198,LE_Curves!$I$5:$I$205,1)))/(INDEX(LE_Curves!$I$5:$I$205,MATCH($R198,LE_Curves!$I$5:$I$205,1)+1)-INDEX(LE_Curves!$I$5:$I$205,MATCH($R198,LE_Curves!$I$5:$I$205,1))))))</f>
        <v/>
      </c>
      <c r="Z198" s="11">
        <f>IF(Inputs!$D$30=0,0,IF($R198&lt;=Inputs!$C$30,0,IF($R198&gt;=INDEX(LE_Curves!$J$5:$J$205,201),INDEX(LE_Curves!$B$5:$B$205,201),INDEX(LE_Curves!$B$5:$B$205,MATCH($R198,LE_Curves!$J$5:$J$205,1))+($R198-INDEX(LE_Curves!$J$5:$J$205,MATCH($R198,LE_Curves!$J$5:$J$205,1)))*(INDEX(LE_Curves!$B$5:$B$205,MATCH($R198,LE_Curves!$J$5:$J$205,1)+1)-INDEX(LE_Curves!$B$5:$B$205,MATCH($R198,LE_Curves!$J$5:$J$205,1)))/(INDEX(LE_Curves!$J$5:$J$205,MATCH($R198,LE_Curves!$J$5:$J$205,1)+1)-INDEX(LE_Curves!$J$5:$J$205,MATCH($R198,LE_Curves!$J$5:$J$205,1))))))</f>
        <v/>
      </c>
      <c r="AA198" s="11">
        <f>IF(Inputs!$D$31=0,0,IF($R198&lt;=Inputs!$C$31,0,IF($R198&gt;=INDEX(LE_Curves!$K$5:$K$205,201),INDEX(LE_Curves!$B$5:$B$205,201),INDEX(LE_Curves!$B$5:$B$205,MATCH($R198,LE_Curves!$K$5:$K$205,1))+($R198-INDEX(LE_Curves!$K$5:$K$205,MATCH($R198,LE_Curves!$K$5:$K$205,1)))*(INDEX(LE_Curves!$B$5:$B$205,MATCH($R198,LE_Curves!$K$5:$K$205,1)+1)-INDEX(LE_Curves!$B$5:$B$205,MATCH($R198,LE_Curves!$K$5:$K$205,1)))/(INDEX(LE_Curves!$K$5:$K$205,MATCH($R198,LE_Curves!$K$5:$K$205,1)+1)-INDEX(LE_Curves!$K$5:$K$205,MATCH($R198,LE_Curves!$K$5:$K$205,1))))))</f>
        <v/>
      </c>
      <c r="AB198" s="11">
        <f>IF(Inputs!$D$32=0,0,IF($R198&lt;=Inputs!$C$32,0,IF($R198&gt;=INDEX(LE_Curves!$L$5:$L$205,201),INDEX(LE_Curves!$B$5:$B$205,201),INDEX(LE_Curves!$B$5:$B$205,MATCH($R198,LE_Curves!$L$5:$L$205,1))+($R198-INDEX(LE_Curves!$L$5:$L$205,MATCH($R198,LE_Curves!$L$5:$L$205,1)))*(INDEX(LE_Curves!$B$5:$B$205,MATCH($R198,LE_Curves!$L$5:$L$205,1)+1)-INDEX(LE_Curves!$B$5:$B$205,MATCH($R198,LE_Curves!$L$5:$L$205,1)))/(INDEX(LE_Curves!$L$5:$L$205,MATCH($R198,LE_Curves!$L$5:$L$205,1)+1)-INDEX(LE_Curves!$L$5:$L$205,MATCH($R198,LE_Curves!$L$5:$L$205,1))))))</f>
        <v/>
      </c>
      <c r="AC198" s="11">
        <f>IF(Inputs!$D$33=0,0,IF($R198&lt;=Inputs!$C$33,0,IF($R198&gt;=INDEX(LE_Curves!$M$5:$M$205,201),INDEX(LE_Curves!$B$5:$B$205,201),INDEX(LE_Curves!$B$5:$B$205,MATCH($R198,LE_Curves!$M$5:$M$205,1))+($R198-INDEX(LE_Curves!$M$5:$M$205,MATCH($R198,LE_Curves!$M$5:$M$205,1)))*(INDEX(LE_Curves!$B$5:$B$205,MATCH($R198,LE_Curves!$M$5:$M$205,1)+1)-INDEX(LE_Curves!$B$5:$B$205,MATCH($R198,LE_Curves!$M$5:$M$205,1)))/(INDEX(LE_Curves!$M$5:$M$205,MATCH($R198,LE_Curves!$M$5:$M$205,1)+1)-INDEX(LE_Curves!$M$5:$M$205,MATCH($R198,LE_Curves!$M$5:$M$205,1))))))</f>
        <v/>
      </c>
      <c r="AD198" s="11">
        <f>IF(Inputs!$D$34=0,0,IF($R198&lt;=Inputs!$C$34,0,IF($R198&gt;=INDEX(LE_Curves!$N$5:$N$205,201),INDEX(LE_Curves!$B$5:$B$205,201),INDEX(LE_Curves!$B$5:$B$205,MATCH($R198,LE_Curves!$N$5:$N$205,1))+($R198-INDEX(LE_Curves!$N$5:$N$205,MATCH($R198,LE_Curves!$N$5:$N$205,1)))*(INDEX(LE_Curves!$B$5:$B$205,MATCH($R198,LE_Curves!$N$5:$N$205,1)+1)-INDEX(LE_Curves!$B$5:$B$205,MATCH($R198,LE_Curves!$N$5:$N$205,1)))/(INDEX(LE_Curves!$N$5:$N$205,MATCH($R198,LE_Curves!$N$5:$N$205,1)+1)-INDEX(LE_Curves!$N$5:$N$205,MATCH($R198,LE_Curves!$N$5:$N$205,1))))))</f>
        <v/>
      </c>
      <c r="AE198" s="37">
        <f>SUM(S198:AD198)</f>
        <v/>
      </c>
    </row>
    <row r="199">
      <c r="A199" s="7" t="n">
        <v>168</v>
      </c>
      <c r="B199" s="37">
        <f>$B$3+($B$4-$B$3)*A199/200</f>
        <v/>
      </c>
      <c r="C199" s="11">
        <f>IF(Inputs!$D$23=0,0,IF($B199&lt;=Inputs!$C$23,0,IF($B199&gt;=INDEX(LE_Curves!$C$5:$C$205,201),INDEX(LE_Curves!$B$5:$B$205,201),INDEX(LE_Curves!$B$5:$B$205,MATCH($B199,LE_Curves!$C$5:$C$205,1))+($B199-INDEX(LE_Curves!$C$5:$C$205,MATCH($B199,LE_Curves!$C$5:$C$205,1)))*(INDEX(LE_Curves!$B$5:$B$205,MATCH($B199,LE_Curves!$C$5:$C$205,1)+1)-INDEX(LE_Curves!$B$5:$B$205,MATCH($B199,LE_Curves!$C$5:$C$205,1)))/(INDEX(LE_Curves!$C$5:$C$205,MATCH($B199,LE_Curves!$C$5:$C$205,1)+1)-INDEX(LE_Curves!$C$5:$C$205,MATCH($B199,LE_Curves!$C$5:$C$205,1))))))</f>
        <v/>
      </c>
      <c r="D199" s="11">
        <f>IF(Inputs!$D$24=0,0,IF($B199&lt;=Inputs!$C$24,0,IF($B199&gt;=INDEX(LE_Curves!$D$5:$D$205,201),INDEX(LE_Curves!$B$5:$B$205,201),INDEX(LE_Curves!$B$5:$B$205,MATCH($B199,LE_Curves!$D$5:$D$205,1))+($B199-INDEX(LE_Curves!$D$5:$D$205,MATCH($B199,LE_Curves!$D$5:$D$205,1)))*(INDEX(LE_Curves!$B$5:$B$205,MATCH($B199,LE_Curves!$D$5:$D$205,1)+1)-INDEX(LE_Curves!$B$5:$B$205,MATCH($B199,LE_Curves!$D$5:$D$205,1)))/(INDEX(LE_Curves!$D$5:$D$205,MATCH($B199,LE_Curves!$D$5:$D$205,1)+1)-INDEX(LE_Curves!$D$5:$D$205,MATCH($B199,LE_Curves!$D$5:$D$205,1))))))</f>
        <v/>
      </c>
      <c r="E199" s="11">
        <f>IF(Inputs!$D$25=0,0,IF($B199&lt;=Inputs!$C$25,0,IF($B199&gt;=INDEX(LE_Curves!$E$5:$E$205,201),INDEX(LE_Curves!$B$5:$B$205,201),INDEX(LE_Curves!$B$5:$B$205,MATCH($B199,LE_Curves!$E$5:$E$205,1))+($B199-INDEX(LE_Curves!$E$5:$E$205,MATCH($B199,LE_Curves!$E$5:$E$205,1)))*(INDEX(LE_Curves!$B$5:$B$205,MATCH($B199,LE_Curves!$E$5:$E$205,1)+1)-INDEX(LE_Curves!$B$5:$B$205,MATCH($B199,LE_Curves!$E$5:$E$205,1)))/(INDEX(LE_Curves!$E$5:$E$205,MATCH($B199,LE_Curves!$E$5:$E$205,1)+1)-INDEX(LE_Curves!$E$5:$E$205,MATCH($B199,LE_Curves!$E$5:$E$205,1))))))</f>
        <v/>
      </c>
      <c r="F199" s="11">
        <f>IF(Inputs!$D$26=0,0,IF($B199&lt;=Inputs!$C$26,0,IF($B199&gt;=INDEX(LE_Curves!$F$5:$F$205,201),INDEX(LE_Curves!$B$5:$B$205,201),INDEX(LE_Curves!$B$5:$B$205,MATCH($B199,LE_Curves!$F$5:$F$205,1))+($B199-INDEX(LE_Curves!$F$5:$F$205,MATCH($B199,LE_Curves!$F$5:$F$205,1)))*(INDEX(LE_Curves!$B$5:$B$205,MATCH($B199,LE_Curves!$F$5:$F$205,1)+1)-INDEX(LE_Curves!$B$5:$B$205,MATCH($B199,LE_Curves!$F$5:$F$205,1)))/(INDEX(LE_Curves!$F$5:$F$205,MATCH($B199,LE_Curves!$F$5:$F$205,1)+1)-INDEX(LE_Curves!$F$5:$F$205,MATCH($B199,LE_Curves!$F$5:$F$205,1))))))</f>
        <v/>
      </c>
      <c r="G199" s="11">
        <f>IF(Inputs!$D$27=0,0,IF($B199&lt;=Inputs!$C$27,0,IF($B199&gt;=INDEX(LE_Curves!$G$5:$G$205,201),INDEX(LE_Curves!$B$5:$B$205,201),INDEX(LE_Curves!$B$5:$B$205,MATCH($B199,LE_Curves!$G$5:$G$205,1))+($B199-INDEX(LE_Curves!$G$5:$G$205,MATCH($B199,LE_Curves!$G$5:$G$205,1)))*(INDEX(LE_Curves!$B$5:$B$205,MATCH($B199,LE_Curves!$G$5:$G$205,1)+1)-INDEX(LE_Curves!$B$5:$B$205,MATCH($B199,LE_Curves!$G$5:$G$205,1)))/(INDEX(LE_Curves!$G$5:$G$205,MATCH($B199,LE_Curves!$G$5:$G$205,1)+1)-INDEX(LE_Curves!$G$5:$G$205,MATCH($B199,LE_Curves!$G$5:$G$205,1))))))</f>
        <v/>
      </c>
      <c r="H199" s="11">
        <f>IF(Inputs!$D$28=0,0,IF($B199&lt;=Inputs!$C$28,0,IF($B199&gt;=INDEX(LE_Curves!$H$5:$H$205,201),INDEX(LE_Curves!$B$5:$B$205,201),INDEX(LE_Curves!$B$5:$B$205,MATCH($B199,LE_Curves!$H$5:$H$205,1))+($B199-INDEX(LE_Curves!$H$5:$H$205,MATCH($B199,LE_Curves!$H$5:$H$205,1)))*(INDEX(LE_Curves!$B$5:$B$205,MATCH($B199,LE_Curves!$H$5:$H$205,1)+1)-INDEX(LE_Curves!$B$5:$B$205,MATCH($B199,LE_Curves!$H$5:$H$205,1)))/(INDEX(LE_Curves!$H$5:$H$205,MATCH($B199,LE_Curves!$H$5:$H$205,1)+1)-INDEX(LE_Curves!$H$5:$H$205,MATCH($B199,LE_Curves!$H$5:$H$205,1))))))</f>
        <v/>
      </c>
      <c r="I199" s="11">
        <f>IF(Inputs!$D$29=0,0,IF($B199&lt;=Inputs!$C$29,0,IF($B199&gt;=INDEX(LE_Curves!$I$5:$I$205,201),INDEX(LE_Curves!$B$5:$B$205,201),INDEX(LE_Curves!$B$5:$B$205,MATCH($B199,LE_Curves!$I$5:$I$205,1))+($B199-INDEX(LE_Curves!$I$5:$I$205,MATCH($B199,LE_Curves!$I$5:$I$205,1)))*(INDEX(LE_Curves!$B$5:$B$205,MATCH($B199,LE_Curves!$I$5:$I$205,1)+1)-INDEX(LE_Curves!$B$5:$B$205,MATCH($B199,LE_Curves!$I$5:$I$205,1)))/(INDEX(LE_Curves!$I$5:$I$205,MATCH($B199,LE_Curves!$I$5:$I$205,1)+1)-INDEX(LE_Curves!$I$5:$I$205,MATCH($B199,LE_Curves!$I$5:$I$205,1))))))</f>
        <v/>
      </c>
      <c r="J199" s="11">
        <f>IF(Inputs!$D$30=0,0,IF($B199&lt;=Inputs!$C$30,0,IF($B199&gt;=INDEX(LE_Curves!$J$5:$J$205,201),INDEX(LE_Curves!$B$5:$B$205,201),INDEX(LE_Curves!$B$5:$B$205,MATCH($B199,LE_Curves!$J$5:$J$205,1))+($B199-INDEX(LE_Curves!$J$5:$J$205,MATCH($B199,LE_Curves!$J$5:$J$205,1)))*(INDEX(LE_Curves!$B$5:$B$205,MATCH($B199,LE_Curves!$J$5:$J$205,1)+1)-INDEX(LE_Curves!$B$5:$B$205,MATCH($B199,LE_Curves!$J$5:$J$205,1)))/(INDEX(LE_Curves!$J$5:$J$205,MATCH($B199,LE_Curves!$J$5:$J$205,1)+1)-INDEX(LE_Curves!$J$5:$J$205,MATCH($B199,LE_Curves!$J$5:$J$205,1))))))</f>
        <v/>
      </c>
      <c r="K199" s="11">
        <f>IF(Inputs!$D$31=0,0,IF($B199&lt;=Inputs!$C$31,0,IF($B199&gt;=INDEX(LE_Curves!$K$5:$K$205,201),INDEX(LE_Curves!$B$5:$B$205,201),INDEX(LE_Curves!$B$5:$B$205,MATCH($B199,LE_Curves!$K$5:$K$205,1))+($B199-INDEX(LE_Curves!$K$5:$K$205,MATCH($B199,LE_Curves!$K$5:$K$205,1)))*(INDEX(LE_Curves!$B$5:$B$205,MATCH($B199,LE_Curves!$K$5:$K$205,1)+1)-INDEX(LE_Curves!$B$5:$B$205,MATCH($B199,LE_Curves!$K$5:$K$205,1)))/(INDEX(LE_Curves!$K$5:$K$205,MATCH($B199,LE_Curves!$K$5:$K$205,1)+1)-INDEX(LE_Curves!$K$5:$K$205,MATCH($B199,LE_Curves!$K$5:$K$205,1))))))</f>
        <v/>
      </c>
      <c r="L199" s="11">
        <f>IF(Inputs!$D$32=0,0,IF($B199&lt;=Inputs!$C$32,0,IF($B199&gt;=INDEX(LE_Curves!$L$5:$L$205,201),INDEX(LE_Curves!$B$5:$B$205,201),INDEX(LE_Curves!$B$5:$B$205,MATCH($B199,LE_Curves!$L$5:$L$205,1))+($B199-INDEX(LE_Curves!$L$5:$L$205,MATCH($B199,LE_Curves!$L$5:$L$205,1)))*(INDEX(LE_Curves!$B$5:$B$205,MATCH($B199,LE_Curves!$L$5:$L$205,1)+1)-INDEX(LE_Curves!$B$5:$B$205,MATCH($B199,LE_Curves!$L$5:$L$205,1)))/(INDEX(LE_Curves!$L$5:$L$205,MATCH($B199,LE_Curves!$L$5:$L$205,1)+1)-INDEX(LE_Curves!$L$5:$L$205,MATCH($B199,LE_Curves!$L$5:$L$205,1))))))</f>
        <v/>
      </c>
      <c r="M199" s="11">
        <f>IF(Inputs!$D$33=0,0,IF($B199&lt;=Inputs!$C$33,0,IF($B199&gt;=INDEX(LE_Curves!$M$5:$M$205,201),INDEX(LE_Curves!$B$5:$B$205,201),INDEX(LE_Curves!$B$5:$B$205,MATCH($B199,LE_Curves!$M$5:$M$205,1))+($B199-INDEX(LE_Curves!$M$5:$M$205,MATCH($B199,LE_Curves!$M$5:$M$205,1)))*(INDEX(LE_Curves!$B$5:$B$205,MATCH($B199,LE_Curves!$M$5:$M$205,1)+1)-INDEX(LE_Curves!$B$5:$B$205,MATCH($B199,LE_Curves!$M$5:$M$205,1)))/(INDEX(LE_Curves!$M$5:$M$205,MATCH($B199,LE_Curves!$M$5:$M$205,1)+1)-INDEX(LE_Curves!$M$5:$M$205,MATCH($B199,LE_Curves!$M$5:$M$205,1))))))</f>
        <v/>
      </c>
      <c r="N199" s="11">
        <f>IF(Inputs!$D$34=0,0,IF($B199&lt;=Inputs!$C$34,0,IF($B199&gt;=INDEX(LE_Curves!$N$5:$N$205,201),INDEX(LE_Curves!$B$5:$B$205,201),INDEX(LE_Curves!$B$5:$B$205,MATCH($B199,LE_Curves!$N$5:$N$205,1))+($B199-INDEX(LE_Curves!$N$5:$N$205,MATCH($B199,LE_Curves!$N$5:$N$205,1)))*(INDEX(LE_Curves!$B$5:$B$205,MATCH($B199,LE_Curves!$N$5:$N$205,1)+1)-INDEX(LE_Curves!$B$5:$B$205,MATCH($B199,LE_Curves!$N$5:$N$205,1)))/(INDEX(LE_Curves!$N$5:$N$205,MATCH($B199,LE_Curves!$N$5:$N$205,1)+1)-INDEX(LE_Curves!$N$5:$N$205,MATCH($B199,LE_Curves!$N$5:$N$205,1))))))</f>
        <v/>
      </c>
      <c r="O199" s="11">
        <f>SUM(C199:N199)</f>
        <v/>
      </c>
      <c r="Q199" s="7" t="n">
        <v>168</v>
      </c>
      <c r="R199" s="23">
        <f>$B$6+($B$7-$B$6)*Q199/200</f>
        <v/>
      </c>
      <c r="S199" s="11">
        <f>IF(Inputs!$D$23=0,0,IF($R199&lt;=Inputs!$C$23,0,IF($R199&gt;=INDEX(LE_Curves!$C$5:$C$205,201),INDEX(LE_Curves!$B$5:$B$205,201),INDEX(LE_Curves!$B$5:$B$205,MATCH($R199,LE_Curves!$C$5:$C$205,1))+($R199-INDEX(LE_Curves!$C$5:$C$205,MATCH($R199,LE_Curves!$C$5:$C$205,1)))*(INDEX(LE_Curves!$B$5:$B$205,MATCH($R199,LE_Curves!$C$5:$C$205,1)+1)-INDEX(LE_Curves!$B$5:$B$205,MATCH($R199,LE_Curves!$C$5:$C$205,1)))/(INDEX(LE_Curves!$C$5:$C$205,MATCH($R199,LE_Curves!$C$5:$C$205,1)+1)-INDEX(LE_Curves!$C$5:$C$205,MATCH($R199,LE_Curves!$C$5:$C$205,1))))))</f>
        <v/>
      </c>
      <c r="T199" s="11">
        <f>IF(Inputs!$D$24=0,0,IF($R199&lt;=Inputs!$C$24,0,IF($R199&gt;=INDEX(LE_Curves!$D$5:$D$205,201),INDEX(LE_Curves!$B$5:$B$205,201),INDEX(LE_Curves!$B$5:$B$205,MATCH($R199,LE_Curves!$D$5:$D$205,1))+($R199-INDEX(LE_Curves!$D$5:$D$205,MATCH($R199,LE_Curves!$D$5:$D$205,1)))*(INDEX(LE_Curves!$B$5:$B$205,MATCH($R199,LE_Curves!$D$5:$D$205,1)+1)-INDEX(LE_Curves!$B$5:$B$205,MATCH($R199,LE_Curves!$D$5:$D$205,1)))/(INDEX(LE_Curves!$D$5:$D$205,MATCH($R199,LE_Curves!$D$5:$D$205,1)+1)-INDEX(LE_Curves!$D$5:$D$205,MATCH($R199,LE_Curves!$D$5:$D$205,1))))))</f>
        <v/>
      </c>
      <c r="U199" s="11">
        <f>IF(Inputs!$D$25=0,0,IF($R199&lt;=Inputs!$C$25,0,IF($R199&gt;=INDEX(LE_Curves!$E$5:$E$205,201),INDEX(LE_Curves!$B$5:$B$205,201),INDEX(LE_Curves!$B$5:$B$205,MATCH($R199,LE_Curves!$E$5:$E$205,1))+($R199-INDEX(LE_Curves!$E$5:$E$205,MATCH($R199,LE_Curves!$E$5:$E$205,1)))*(INDEX(LE_Curves!$B$5:$B$205,MATCH($R199,LE_Curves!$E$5:$E$205,1)+1)-INDEX(LE_Curves!$B$5:$B$205,MATCH($R199,LE_Curves!$E$5:$E$205,1)))/(INDEX(LE_Curves!$E$5:$E$205,MATCH($R199,LE_Curves!$E$5:$E$205,1)+1)-INDEX(LE_Curves!$E$5:$E$205,MATCH($R199,LE_Curves!$E$5:$E$205,1))))))</f>
        <v/>
      </c>
      <c r="V199" s="11">
        <f>IF(Inputs!$D$26=0,0,IF($R199&lt;=Inputs!$C$26,0,IF($R199&gt;=INDEX(LE_Curves!$F$5:$F$205,201),INDEX(LE_Curves!$B$5:$B$205,201),INDEX(LE_Curves!$B$5:$B$205,MATCH($R199,LE_Curves!$F$5:$F$205,1))+($R199-INDEX(LE_Curves!$F$5:$F$205,MATCH($R199,LE_Curves!$F$5:$F$205,1)))*(INDEX(LE_Curves!$B$5:$B$205,MATCH($R199,LE_Curves!$F$5:$F$205,1)+1)-INDEX(LE_Curves!$B$5:$B$205,MATCH($R199,LE_Curves!$F$5:$F$205,1)))/(INDEX(LE_Curves!$F$5:$F$205,MATCH($R199,LE_Curves!$F$5:$F$205,1)+1)-INDEX(LE_Curves!$F$5:$F$205,MATCH($R199,LE_Curves!$F$5:$F$205,1))))))</f>
        <v/>
      </c>
      <c r="W199" s="11">
        <f>IF(Inputs!$D$27=0,0,IF($R199&lt;=Inputs!$C$27,0,IF($R199&gt;=INDEX(LE_Curves!$G$5:$G$205,201),INDEX(LE_Curves!$B$5:$B$205,201),INDEX(LE_Curves!$B$5:$B$205,MATCH($R199,LE_Curves!$G$5:$G$205,1))+($R199-INDEX(LE_Curves!$G$5:$G$205,MATCH($R199,LE_Curves!$G$5:$G$205,1)))*(INDEX(LE_Curves!$B$5:$B$205,MATCH($R199,LE_Curves!$G$5:$G$205,1)+1)-INDEX(LE_Curves!$B$5:$B$205,MATCH($R199,LE_Curves!$G$5:$G$205,1)))/(INDEX(LE_Curves!$G$5:$G$205,MATCH($R199,LE_Curves!$G$5:$G$205,1)+1)-INDEX(LE_Curves!$G$5:$G$205,MATCH($R199,LE_Curves!$G$5:$G$205,1))))))</f>
        <v/>
      </c>
      <c r="X199" s="11">
        <f>IF(Inputs!$D$28=0,0,IF($R199&lt;=Inputs!$C$28,0,IF($R199&gt;=INDEX(LE_Curves!$H$5:$H$205,201),INDEX(LE_Curves!$B$5:$B$205,201),INDEX(LE_Curves!$B$5:$B$205,MATCH($R199,LE_Curves!$H$5:$H$205,1))+($R199-INDEX(LE_Curves!$H$5:$H$205,MATCH($R199,LE_Curves!$H$5:$H$205,1)))*(INDEX(LE_Curves!$B$5:$B$205,MATCH($R199,LE_Curves!$H$5:$H$205,1)+1)-INDEX(LE_Curves!$B$5:$B$205,MATCH($R199,LE_Curves!$H$5:$H$205,1)))/(INDEX(LE_Curves!$H$5:$H$205,MATCH($R199,LE_Curves!$H$5:$H$205,1)+1)-INDEX(LE_Curves!$H$5:$H$205,MATCH($R199,LE_Curves!$H$5:$H$205,1))))))</f>
        <v/>
      </c>
      <c r="Y199" s="11">
        <f>IF(Inputs!$D$29=0,0,IF($R199&lt;=Inputs!$C$29,0,IF($R199&gt;=INDEX(LE_Curves!$I$5:$I$205,201),INDEX(LE_Curves!$B$5:$B$205,201),INDEX(LE_Curves!$B$5:$B$205,MATCH($R199,LE_Curves!$I$5:$I$205,1))+($R199-INDEX(LE_Curves!$I$5:$I$205,MATCH($R199,LE_Curves!$I$5:$I$205,1)))*(INDEX(LE_Curves!$B$5:$B$205,MATCH($R199,LE_Curves!$I$5:$I$205,1)+1)-INDEX(LE_Curves!$B$5:$B$205,MATCH($R199,LE_Curves!$I$5:$I$205,1)))/(INDEX(LE_Curves!$I$5:$I$205,MATCH($R199,LE_Curves!$I$5:$I$205,1)+1)-INDEX(LE_Curves!$I$5:$I$205,MATCH($R199,LE_Curves!$I$5:$I$205,1))))))</f>
        <v/>
      </c>
      <c r="Z199" s="11">
        <f>IF(Inputs!$D$30=0,0,IF($R199&lt;=Inputs!$C$30,0,IF($R199&gt;=INDEX(LE_Curves!$J$5:$J$205,201),INDEX(LE_Curves!$B$5:$B$205,201),INDEX(LE_Curves!$B$5:$B$205,MATCH($R199,LE_Curves!$J$5:$J$205,1))+($R199-INDEX(LE_Curves!$J$5:$J$205,MATCH($R199,LE_Curves!$J$5:$J$205,1)))*(INDEX(LE_Curves!$B$5:$B$205,MATCH($R199,LE_Curves!$J$5:$J$205,1)+1)-INDEX(LE_Curves!$B$5:$B$205,MATCH($R199,LE_Curves!$J$5:$J$205,1)))/(INDEX(LE_Curves!$J$5:$J$205,MATCH($R199,LE_Curves!$J$5:$J$205,1)+1)-INDEX(LE_Curves!$J$5:$J$205,MATCH($R199,LE_Curves!$J$5:$J$205,1))))))</f>
        <v/>
      </c>
      <c r="AA199" s="11">
        <f>IF(Inputs!$D$31=0,0,IF($R199&lt;=Inputs!$C$31,0,IF($R199&gt;=INDEX(LE_Curves!$K$5:$K$205,201),INDEX(LE_Curves!$B$5:$B$205,201),INDEX(LE_Curves!$B$5:$B$205,MATCH($R199,LE_Curves!$K$5:$K$205,1))+($R199-INDEX(LE_Curves!$K$5:$K$205,MATCH($R199,LE_Curves!$K$5:$K$205,1)))*(INDEX(LE_Curves!$B$5:$B$205,MATCH($R199,LE_Curves!$K$5:$K$205,1)+1)-INDEX(LE_Curves!$B$5:$B$205,MATCH($R199,LE_Curves!$K$5:$K$205,1)))/(INDEX(LE_Curves!$K$5:$K$205,MATCH($R199,LE_Curves!$K$5:$K$205,1)+1)-INDEX(LE_Curves!$K$5:$K$205,MATCH($R199,LE_Curves!$K$5:$K$205,1))))))</f>
        <v/>
      </c>
      <c r="AB199" s="11">
        <f>IF(Inputs!$D$32=0,0,IF($R199&lt;=Inputs!$C$32,0,IF($R199&gt;=INDEX(LE_Curves!$L$5:$L$205,201),INDEX(LE_Curves!$B$5:$B$205,201),INDEX(LE_Curves!$B$5:$B$205,MATCH($R199,LE_Curves!$L$5:$L$205,1))+($R199-INDEX(LE_Curves!$L$5:$L$205,MATCH($R199,LE_Curves!$L$5:$L$205,1)))*(INDEX(LE_Curves!$B$5:$B$205,MATCH($R199,LE_Curves!$L$5:$L$205,1)+1)-INDEX(LE_Curves!$B$5:$B$205,MATCH($R199,LE_Curves!$L$5:$L$205,1)))/(INDEX(LE_Curves!$L$5:$L$205,MATCH($R199,LE_Curves!$L$5:$L$205,1)+1)-INDEX(LE_Curves!$L$5:$L$205,MATCH($R199,LE_Curves!$L$5:$L$205,1))))))</f>
        <v/>
      </c>
      <c r="AC199" s="11">
        <f>IF(Inputs!$D$33=0,0,IF($R199&lt;=Inputs!$C$33,0,IF($R199&gt;=INDEX(LE_Curves!$M$5:$M$205,201),INDEX(LE_Curves!$B$5:$B$205,201),INDEX(LE_Curves!$B$5:$B$205,MATCH($R199,LE_Curves!$M$5:$M$205,1))+($R199-INDEX(LE_Curves!$M$5:$M$205,MATCH($R199,LE_Curves!$M$5:$M$205,1)))*(INDEX(LE_Curves!$B$5:$B$205,MATCH($R199,LE_Curves!$M$5:$M$205,1)+1)-INDEX(LE_Curves!$B$5:$B$205,MATCH($R199,LE_Curves!$M$5:$M$205,1)))/(INDEX(LE_Curves!$M$5:$M$205,MATCH($R199,LE_Curves!$M$5:$M$205,1)+1)-INDEX(LE_Curves!$M$5:$M$205,MATCH($R199,LE_Curves!$M$5:$M$205,1))))))</f>
        <v/>
      </c>
      <c r="AD199" s="11">
        <f>IF(Inputs!$D$34=0,0,IF($R199&lt;=Inputs!$C$34,0,IF($R199&gt;=INDEX(LE_Curves!$N$5:$N$205,201),INDEX(LE_Curves!$B$5:$B$205,201),INDEX(LE_Curves!$B$5:$B$205,MATCH($R199,LE_Curves!$N$5:$N$205,1))+($R199-INDEX(LE_Curves!$N$5:$N$205,MATCH($R199,LE_Curves!$N$5:$N$205,1)))*(INDEX(LE_Curves!$B$5:$B$205,MATCH($R199,LE_Curves!$N$5:$N$205,1)+1)-INDEX(LE_Curves!$B$5:$B$205,MATCH($R199,LE_Curves!$N$5:$N$205,1)))/(INDEX(LE_Curves!$N$5:$N$205,MATCH($R199,LE_Curves!$N$5:$N$205,1)+1)-INDEX(LE_Curves!$N$5:$N$205,MATCH($R199,LE_Curves!$N$5:$N$205,1))))))</f>
        <v/>
      </c>
      <c r="AE199" s="37">
        <f>SUM(S199:AD199)</f>
        <v/>
      </c>
    </row>
    <row r="200">
      <c r="A200" s="7" t="n">
        <v>169</v>
      </c>
      <c r="B200" s="37">
        <f>$B$3+($B$4-$B$3)*A200/200</f>
        <v/>
      </c>
      <c r="C200" s="11">
        <f>IF(Inputs!$D$23=0,0,IF($B200&lt;=Inputs!$C$23,0,IF($B200&gt;=INDEX(LE_Curves!$C$5:$C$205,201),INDEX(LE_Curves!$B$5:$B$205,201),INDEX(LE_Curves!$B$5:$B$205,MATCH($B200,LE_Curves!$C$5:$C$205,1))+($B200-INDEX(LE_Curves!$C$5:$C$205,MATCH($B200,LE_Curves!$C$5:$C$205,1)))*(INDEX(LE_Curves!$B$5:$B$205,MATCH($B200,LE_Curves!$C$5:$C$205,1)+1)-INDEX(LE_Curves!$B$5:$B$205,MATCH($B200,LE_Curves!$C$5:$C$205,1)))/(INDEX(LE_Curves!$C$5:$C$205,MATCH($B200,LE_Curves!$C$5:$C$205,1)+1)-INDEX(LE_Curves!$C$5:$C$205,MATCH($B200,LE_Curves!$C$5:$C$205,1))))))</f>
        <v/>
      </c>
      <c r="D200" s="11">
        <f>IF(Inputs!$D$24=0,0,IF($B200&lt;=Inputs!$C$24,0,IF($B200&gt;=INDEX(LE_Curves!$D$5:$D$205,201),INDEX(LE_Curves!$B$5:$B$205,201),INDEX(LE_Curves!$B$5:$B$205,MATCH($B200,LE_Curves!$D$5:$D$205,1))+($B200-INDEX(LE_Curves!$D$5:$D$205,MATCH($B200,LE_Curves!$D$5:$D$205,1)))*(INDEX(LE_Curves!$B$5:$B$205,MATCH($B200,LE_Curves!$D$5:$D$205,1)+1)-INDEX(LE_Curves!$B$5:$B$205,MATCH($B200,LE_Curves!$D$5:$D$205,1)))/(INDEX(LE_Curves!$D$5:$D$205,MATCH($B200,LE_Curves!$D$5:$D$205,1)+1)-INDEX(LE_Curves!$D$5:$D$205,MATCH($B200,LE_Curves!$D$5:$D$205,1))))))</f>
        <v/>
      </c>
      <c r="E200" s="11">
        <f>IF(Inputs!$D$25=0,0,IF($B200&lt;=Inputs!$C$25,0,IF($B200&gt;=INDEX(LE_Curves!$E$5:$E$205,201),INDEX(LE_Curves!$B$5:$B$205,201),INDEX(LE_Curves!$B$5:$B$205,MATCH($B200,LE_Curves!$E$5:$E$205,1))+($B200-INDEX(LE_Curves!$E$5:$E$205,MATCH($B200,LE_Curves!$E$5:$E$205,1)))*(INDEX(LE_Curves!$B$5:$B$205,MATCH($B200,LE_Curves!$E$5:$E$205,1)+1)-INDEX(LE_Curves!$B$5:$B$205,MATCH($B200,LE_Curves!$E$5:$E$205,1)))/(INDEX(LE_Curves!$E$5:$E$205,MATCH($B200,LE_Curves!$E$5:$E$205,1)+1)-INDEX(LE_Curves!$E$5:$E$205,MATCH($B200,LE_Curves!$E$5:$E$205,1))))))</f>
        <v/>
      </c>
      <c r="F200" s="11">
        <f>IF(Inputs!$D$26=0,0,IF($B200&lt;=Inputs!$C$26,0,IF($B200&gt;=INDEX(LE_Curves!$F$5:$F$205,201),INDEX(LE_Curves!$B$5:$B$205,201),INDEX(LE_Curves!$B$5:$B$205,MATCH($B200,LE_Curves!$F$5:$F$205,1))+($B200-INDEX(LE_Curves!$F$5:$F$205,MATCH($B200,LE_Curves!$F$5:$F$205,1)))*(INDEX(LE_Curves!$B$5:$B$205,MATCH($B200,LE_Curves!$F$5:$F$205,1)+1)-INDEX(LE_Curves!$B$5:$B$205,MATCH($B200,LE_Curves!$F$5:$F$205,1)))/(INDEX(LE_Curves!$F$5:$F$205,MATCH($B200,LE_Curves!$F$5:$F$205,1)+1)-INDEX(LE_Curves!$F$5:$F$205,MATCH($B200,LE_Curves!$F$5:$F$205,1))))))</f>
        <v/>
      </c>
      <c r="G200" s="11">
        <f>IF(Inputs!$D$27=0,0,IF($B200&lt;=Inputs!$C$27,0,IF($B200&gt;=INDEX(LE_Curves!$G$5:$G$205,201),INDEX(LE_Curves!$B$5:$B$205,201),INDEX(LE_Curves!$B$5:$B$205,MATCH($B200,LE_Curves!$G$5:$G$205,1))+($B200-INDEX(LE_Curves!$G$5:$G$205,MATCH($B200,LE_Curves!$G$5:$G$205,1)))*(INDEX(LE_Curves!$B$5:$B$205,MATCH($B200,LE_Curves!$G$5:$G$205,1)+1)-INDEX(LE_Curves!$B$5:$B$205,MATCH($B200,LE_Curves!$G$5:$G$205,1)))/(INDEX(LE_Curves!$G$5:$G$205,MATCH($B200,LE_Curves!$G$5:$G$205,1)+1)-INDEX(LE_Curves!$G$5:$G$205,MATCH($B200,LE_Curves!$G$5:$G$205,1))))))</f>
        <v/>
      </c>
      <c r="H200" s="11">
        <f>IF(Inputs!$D$28=0,0,IF($B200&lt;=Inputs!$C$28,0,IF($B200&gt;=INDEX(LE_Curves!$H$5:$H$205,201),INDEX(LE_Curves!$B$5:$B$205,201),INDEX(LE_Curves!$B$5:$B$205,MATCH($B200,LE_Curves!$H$5:$H$205,1))+($B200-INDEX(LE_Curves!$H$5:$H$205,MATCH($B200,LE_Curves!$H$5:$H$205,1)))*(INDEX(LE_Curves!$B$5:$B$205,MATCH($B200,LE_Curves!$H$5:$H$205,1)+1)-INDEX(LE_Curves!$B$5:$B$205,MATCH($B200,LE_Curves!$H$5:$H$205,1)))/(INDEX(LE_Curves!$H$5:$H$205,MATCH($B200,LE_Curves!$H$5:$H$205,1)+1)-INDEX(LE_Curves!$H$5:$H$205,MATCH($B200,LE_Curves!$H$5:$H$205,1))))))</f>
        <v/>
      </c>
      <c r="I200" s="11">
        <f>IF(Inputs!$D$29=0,0,IF($B200&lt;=Inputs!$C$29,0,IF($B200&gt;=INDEX(LE_Curves!$I$5:$I$205,201),INDEX(LE_Curves!$B$5:$B$205,201),INDEX(LE_Curves!$B$5:$B$205,MATCH($B200,LE_Curves!$I$5:$I$205,1))+($B200-INDEX(LE_Curves!$I$5:$I$205,MATCH($B200,LE_Curves!$I$5:$I$205,1)))*(INDEX(LE_Curves!$B$5:$B$205,MATCH($B200,LE_Curves!$I$5:$I$205,1)+1)-INDEX(LE_Curves!$B$5:$B$205,MATCH($B200,LE_Curves!$I$5:$I$205,1)))/(INDEX(LE_Curves!$I$5:$I$205,MATCH($B200,LE_Curves!$I$5:$I$205,1)+1)-INDEX(LE_Curves!$I$5:$I$205,MATCH($B200,LE_Curves!$I$5:$I$205,1))))))</f>
        <v/>
      </c>
      <c r="J200" s="11">
        <f>IF(Inputs!$D$30=0,0,IF($B200&lt;=Inputs!$C$30,0,IF($B200&gt;=INDEX(LE_Curves!$J$5:$J$205,201),INDEX(LE_Curves!$B$5:$B$205,201),INDEX(LE_Curves!$B$5:$B$205,MATCH($B200,LE_Curves!$J$5:$J$205,1))+($B200-INDEX(LE_Curves!$J$5:$J$205,MATCH($B200,LE_Curves!$J$5:$J$205,1)))*(INDEX(LE_Curves!$B$5:$B$205,MATCH($B200,LE_Curves!$J$5:$J$205,1)+1)-INDEX(LE_Curves!$B$5:$B$205,MATCH($B200,LE_Curves!$J$5:$J$205,1)))/(INDEX(LE_Curves!$J$5:$J$205,MATCH($B200,LE_Curves!$J$5:$J$205,1)+1)-INDEX(LE_Curves!$J$5:$J$205,MATCH($B200,LE_Curves!$J$5:$J$205,1))))))</f>
        <v/>
      </c>
      <c r="K200" s="11">
        <f>IF(Inputs!$D$31=0,0,IF($B200&lt;=Inputs!$C$31,0,IF($B200&gt;=INDEX(LE_Curves!$K$5:$K$205,201),INDEX(LE_Curves!$B$5:$B$205,201),INDEX(LE_Curves!$B$5:$B$205,MATCH($B200,LE_Curves!$K$5:$K$205,1))+($B200-INDEX(LE_Curves!$K$5:$K$205,MATCH($B200,LE_Curves!$K$5:$K$205,1)))*(INDEX(LE_Curves!$B$5:$B$205,MATCH($B200,LE_Curves!$K$5:$K$205,1)+1)-INDEX(LE_Curves!$B$5:$B$205,MATCH($B200,LE_Curves!$K$5:$K$205,1)))/(INDEX(LE_Curves!$K$5:$K$205,MATCH($B200,LE_Curves!$K$5:$K$205,1)+1)-INDEX(LE_Curves!$K$5:$K$205,MATCH($B200,LE_Curves!$K$5:$K$205,1))))))</f>
        <v/>
      </c>
      <c r="L200" s="11">
        <f>IF(Inputs!$D$32=0,0,IF($B200&lt;=Inputs!$C$32,0,IF($B200&gt;=INDEX(LE_Curves!$L$5:$L$205,201),INDEX(LE_Curves!$B$5:$B$205,201),INDEX(LE_Curves!$B$5:$B$205,MATCH($B200,LE_Curves!$L$5:$L$205,1))+($B200-INDEX(LE_Curves!$L$5:$L$205,MATCH($B200,LE_Curves!$L$5:$L$205,1)))*(INDEX(LE_Curves!$B$5:$B$205,MATCH($B200,LE_Curves!$L$5:$L$205,1)+1)-INDEX(LE_Curves!$B$5:$B$205,MATCH($B200,LE_Curves!$L$5:$L$205,1)))/(INDEX(LE_Curves!$L$5:$L$205,MATCH($B200,LE_Curves!$L$5:$L$205,1)+1)-INDEX(LE_Curves!$L$5:$L$205,MATCH($B200,LE_Curves!$L$5:$L$205,1))))))</f>
        <v/>
      </c>
      <c r="M200" s="11">
        <f>IF(Inputs!$D$33=0,0,IF($B200&lt;=Inputs!$C$33,0,IF($B200&gt;=INDEX(LE_Curves!$M$5:$M$205,201),INDEX(LE_Curves!$B$5:$B$205,201),INDEX(LE_Curves!$B$5:$B$205,MATCH($B200,LE_Curves!$M$5:$M$205,1))+($B200-INDEX(LE_Curves!$M$5:$M$205,MATCH($B200,LE_Curves!$M$5:$M$205,1)))*(INDEX(LE_Curves!$B$5:$B$205,MATCH($B200,LE_Curves!$M$5:$M$205,1)+1)-INDEX(LE_Curves!$B$5:$B$205,MATCH($B200,LE_Curves!$M$5:$M$205,1)))/(INDEX(LE_Curves!$M$5:$M$205,MATCH($B200,LE_Curves!$M$5:$M$205,1)+1)-INDEX(LE_Curves!$M$5:$M$205,MATCH($B200,LE_Curves!$M$5:$M$205,1))))))</f>
        <v/>
      </c>
      <c r="N200" s="11">
        <f>IF(Inputs!$D$34=0,0,IF($B200&lt;=Inputs!$C$34,0,IF($B200&gt;=INDEX(LE_Curves!$N$5:$N$205,201),INDEX(LE_Curves!$B$5:$B$205,201),INDEX(LE_Curves!$B$5:$B$205,MATCH($B200,LE_Curves!$N$5:$N$205,1))+($B200-INDEX(LE_Curves!$N$5:$N$205,MATCH($B200,LE_Curves!$N$5:$N$205,1)))*(INDEX(LE_Curves!$B$5:$B$205,MATCH($B200,LE_Curves!$N$5:$N$205,1)+1)-INDEX(LE_Curves!$B$5:$B$205,MATCH($B200,LE_Curves!$N$5:$N$205,1)))/(INDEX(LE_Curves!$N$5:$N$205,MATCH($B200,LE_Curves!$N$5:$N$205,1)+1)-INDEX(LE_Curves!$N$5:$N$205,MATCH($B200,LE_Curves!$N$5:$N$205,1))))))</f>
        <v/>
      </c>
      <c r="O200" s="11">
        <f>SUM(C200:N200)</f>
        <v/>
      </c>
      <c r="Q200" s="7" t="n">
        <v>169</v>
      </c>
      <c r="R200" s="23">
        <f>$B$6+($B$7-$B$6)*Q200/200</f>
        <v/>
      </c>
      <c r="S200" s="11">
        <f>IF(Inputs!$D$23=0,0,IF($R200&lt;=Inputs!$C$23,0,IF($R200&gt;=INDEX(LE_Curves!$C$5:$C$205,201),INDEX(LE_Curves!$B$5:$B$205,201),INDEX(LE_Curves!$B$5:$B$205,MATCH($R200,LE_Curves!$C$5:$C$205,1))+($R200-INDEX(LE_Curves!$C$5:$C$205,MATCH($R200,LE_Curves!$C$5:$C$205,1)))*(INDEX(LE_Curves!$B$5:$B$205,MATCH($R200,LE_Curves!$C$5:$C$205,1)+1)-INDEX(LE_Curves!$B$5:$B$205,MATCH($R200,LE_Curves!$C$5:$C$205,1)))/(INDEX(LE_Curves!$C$5:$C$205,MATCH($R200,LE_Curves!$C$5:$C$205,1)+1)-INDEX(LE_Curves!$C$5:$C$205,MATCH($R200,LE_Curves!$C$5:$C$205,1))))))</f>
        <v/>
      </c>
      <c r="T200" s="11">
        <f>IF(Inputs!$D$24=0,0,IF($R200&lt;=Inputs!$C$24,0,IF($R200&gt;=INDEX(LE_Curves!$D$5:$D$205,201),INDEX(LE_Curves!$B$5:$B$205,201),INDEX(LE_Curves!$B$5:$B$205,MATCH($R200,LE_Curves!$D$5:$D$205,1))+($R200-INDEX(LE_Curves!$D$5:$D$205,MATCH($R200,LE_Curves!$D$5:$D$205,1)))*(INDEX(LE_Curves!$B$5:$B$205,MATCH($R200,LE_Curves!$D$5:$D$205,1)+1)-INDEX(LE_Curves!$B$5:$B$205,MATCH($R200,LE_Curves!$D$5:$D$205,1)))/(INDEX(LE_Curves!$D$5:$D$205,MATCH($R200,LE_Curves!$D$5:$D$205,1)+1)-INDEX(LE_Curves!$D$5:$D$205,MATCH($R200,LE_Curves!$D$5:$D$205,1))))))</f>
        <v/>
      </c>
      <c r="U200" s="11">
        <f>IF(Inputs!$D$25=0,0,IF($R200&lt;=Inputs!$C$25,0,IF($R200&gt;=INDEX(LE_Curves!$E$5:$E$205,201),INDEX(LE_Curves!$B$5:$B$205,201),INDEX(LE_Curves!$B$5:$B$205,MATCH($R200,LE_Curves!$E$5:$E$205,1))+($R200-INDEX(LE_Curves!$E$5:$E$205,MATCH($R200,LE_Curves!$E$5:$E$205,1)))*(INDEX(LE_Curves!$B$5:$B$205,MATCH($R200,LE_Curves!$E$5:$E$205,1)+1)-INDEX(LE_Curves!$B$5:$B$205,MATCH($R200,LE_Curves!$E$5:$E$205,1)))/(INDEX(LE_Curves!$E$5:$E$205,MATCH($R200,LE_Curves!$E$5:$E$205,1)+1)-INDEX(LE_Curves!$E$5:$E$205,MATCH($R200,LE_Curves!$E$5:$E$205,1))))))</f>
        <v/>
      </c>
      <c r="V200" s="11">
        <f>IF(Inputs!$D$26=0,0,IF($R200&lt;=Inputs!$C$26,0,IF($R200&gt;=INDEX(LE_Curves!$F$5:$F$205,201),INDEX(LE_Curves!$B$5:$B$205,201),INDEX(LE_Curves!$B$5:$B$205,MATCH($R200,LE_Curves!$F$5:$F$205,1))+($R200-INDEX(LE_Curves!$F$5:$F$205,MATCH($R200,LE_Curves!$F$5:$F$205,1)))*(INDEX(LE_Curves!$B$5:$B$205,MATCH($R200,LE_Curves!$F$5:$F$205,1)+1)-INDEX(LE_Curves!$B$5:$B$205,MATCH($R200,LE_Curves!$F$5:$F$205,1)))/(INDEX(LE_Curves!$F$5:$F$205,MATCH($R200,LE_Curves!$F$5:$F$205,1)+1)-INDEX(LE_Curves!$F$5:$F$205,MATCH($R200,LE_Curves!$F$5:$F$205,1))))))</f>
        <v/>
      </c>
      <c r="W200" s="11">
        <f>IF(Inputs!$D$27=0,0,IF($R200&lt;=Inputs!$C$27,0,IF($R200&gt;=INDEX(LE_Curves!$G$5:$G$205,201),INDEX(LE_Curves!$B$5:$B$205,201),INDEX(LE_Curves!$B$5:$B$205,MATCH($R200,LE_Curves!$G$5:$G$205,1))+($R200-INDEX(LE_Curves!$G$5:$G$205,MATCH($R200,LE_Curves!$G$5:$G$205,1)))*(INDEX(LE_Curves!$B$5:$B$205,MATCH($R200,LE_Curves!$G$5:$G$205,1)+1)-INDEX(LE_Curves!$B$5:$B$205,MATCH($R200,LE_Curves!$G$5:$G$205,1)))/(INDEX(LE_Curves!$G$5:$G$205,MATCH($R200,LE_Curves!$G$5:$G$205,1)+1)-INDEX(LE_Curves!$G$5:$G$205,MATCH($R200,LE_Curves!$G$5:$G$205,1))))))</f>
        <v/>
      </c>
      <c r="X200" s="11">
        <f>IF(Inputs!$D$28=0,0,IF($R200&lt;=Inputs!$C$28,0,IF($R200&gt;=INDEX(LE_Curves!$H$5:$H$205,201),INDEX(LE_Curves!$B$5:$B$205,201),INDEX(LE_Curves!$B$5:$B$205,MATCH($R200,LE_Curves!$H$5:$H$205,1))+($R200-INDEX(LE_Curves!$H$5:$H$205,MATCH($R200,LE_Curves!$H$5:$H$205,1)))*(INDEX(LE_Curves!$B$5:$B$205,MATCH($R200,LE_Curves!$H$5:$H$205,1)+1)-INDEX(LE_Curves!$B$5:$B$205,MATCH($R200,LE_Curves!$H$5:$H$205,1)))/(INDEX(LE_Curves!$H$5:$H$205,MATCH($R200,LE_Curves!$H$5:$H$205,1)+1)-INDEX(LE_Curves!$H$5:$H$205,MATCH($R200,LE_Curves!$H$5:$H$205,1))))))</f>
        <v/>
      </c>
      <c r="Y200" s="11">
        <f>IF(Inputs!$D$29=0,0,IF($R200&lt;=Inputs!$C$29,0,IF($R200&gt;=INDEX(LE_Curves!$I$5:$I$205,201),INDEX(LE_Curves!$B$5:$B$205,201),INDEX(LE_Curves!$B$5:$B$205,MATCH($R200,LE_Curves!$I$5:$I$205,1))+($R200-INDEX(LE_Curves!$I$5:$I$205,MATCH($R200,LE_Curves!$I$5:$I$205,1)))*(INDEX(LE_Curves!$B$5:$B$205,MATCH($R200,LE_Curves!$I$5:$I$205,1)+1)-INDEX(LE_Curves!$B$5:$B$205,MATCH($R200,LE_Curves!$I$5:$I$205,1)))/(INDEX(LE_Curves!$I$5:$I$205,MATCH($R200,LE_Curves!$I$5:$I$205,1)+1)-INDEX(LE_Curves!$I$5:$I$205,MATCH($R200,LE_Curves!$I$5:$I$205,1))))))</f>
        <v/>
      </c>
      <c r="Z200" s="11">
        <f>IF(Inputs!$D$30=0,0,IF($R200&lt;=Inputs!$C$30,0,IF($R200&gt;=INDEX(LE_Curves!$J$5:$J$205,201),INDEX(LE_Curves!$B$5:$B$205,201),INDEX(LE_Curves!$B$5:$B$205,MATCH($R200,LE_Curves!$J$5:$J$205,1))+($R200-INDEX(LE_Curves!$J$5:$J$205,MATCH($R200,LE_Curves!$J$5:$J$205,1)))*(INDEX(LE_Curves!$B$5:$B$205,MATCH($R200,LE_Curves!$J$5:$J$205,1)+1)-INDEX(LE_Curves!$B$5:$B$205,MATCH($R200,LE_Curves!$J$5:$J$205,1)))/(INDEX(LE_Curves!$J$5:$J$205,MATCH($R200,LE_Curves!$J$5:$J$205,1)+1)-INDEX(LE_Curves!$J$5:$J$205,MATCH($R200,LE_Curves!$J$5:$J$205,1))))))</f>
        <v/>
      </c>
      <c r="AA200" s="11">
        <f>IF(Inputs!$D$31=0,0,IF($R200&lt;=Inputs!$C$31,0,IF($R200&gt;=INDEX(LE_Curves!$K$5:$K$205,201),INDEX(LE_Curves!$B$5:$B$205,201),INDEX(LE_Curves!$B$5:$B$205,MATCH($R200,LE_Curves!$K$5:$K$205,1))+($R200-INDEX(LE_Curves!$K$5:$K$205,MATCH($R200,LE_Curves!$K$5:$K$205,1)))*(INDEX(LE_Curves!$B$5:$B$205,MATCH($R200,LE_Curves!$K$5:$K$205,1)+1)-INDEX(LE_Curves!$B$5:$B$205,MATCH($R200,LE_Curves!$K$5:$K$205,1)))/(INDEX(LE_Curves!$K$5:$K$205,MATCH($R200,LE_Curves!$K$5:$K$205,1)+1)-INDEX(LE_Curves!$K$5:$K$205,MATCH($R200,LE_Curves!$K$5:$K$205,1))))))</f>
        <v/>
      </c>
      <c r="AB200" s="11">
        <f>IF(Inputs!$D$32=0,0,IF($R200&lt;=Inputs!$C$32,0,IF($R200&gt;=INDEX(LE_Curves!$L$5:$L$205,201),INDEX(LE_Curves!$B$5:$B$205,201),INDEX(LE_Curves!$B$5:$B$205,MATCH($R200,LE_Curves!$L$5:$L$205,1))+($R200-INDEX(LE_Curves!$L$5:$L$205,MATCH($R200,LE_Curves!$L$5:$L$205,1)))*(INDEX(LE_Curves!$B$5:$B$205,MATCH($R200,LE_Curves!$L$5:$L$205,1)+1)-INDEX(LE_Curves!$B$5:$B$205,MATCH($R200,LE_Curves!$L$5:$L$205,1)))/(INDEX(LE_Curves!$L$5:$L$205,MATCH($R200,LE_Curves!$L$5:$L$205,1)+1)-INDEX(LE_Curves!$L$5:$L$205,MATCH($R200,LE_Curves!$L$5:$L$205,1))))))</f>
        <v/>
      </c>
      <c r="AC200" s="11">
        <f>IF(Inputs!$D$33=0,0,IF($R200&lt;=Inputs!$C$33,0,IF($R200&gt;=INDEX(LE_Curves!$M$5:$M$205,201),INDEX(LE_Curves!$B$5:$B$205,201),INDEX(LE_Curves!$B$5:$B$205,MATCH($R200,LE_Curves!$M$5:$M$205,1))+($R200-INDEX(LE_Curves!$M$5:$M$205,MATCH($R200,LE_Curves!$M$5:$M$205,1)))*(INDEX(LE_Curves!$B$5:$B$205,MATCH($R200,LE_Curves!$M$5:$M$205,1)+1)-INDEX(LE_Curves!$B$5:$B$205,MATCH($R200,LE_Curves!$M$5:$M$205,1)))/(INDEX(LE_Curves!$M$5:$M$205,MATCH($R200,LE_Curves!$M$5:$M$205,1)+1)-INDEX(LE_Curves!$M$5:$M$205,MATCH($R200,LE_Curves!$M$5:$M$205,1))))))</f>
        <v/>
      </c>
      <c r="AD200" s="11">
        <f>IF(Inputs!$D$34=0,0,IF($R200&lt;=Inputs!$C$34,0,IF($R200&gt;=INDEX(LE_Curves!$N$5:$N$205,201),INDEX(LE_Curves!$B$5:$B$205,201),INDEX(LE_Curves!$B$5:$B$205,MATCH($R200,LE_Curves!$N$5:$N$205,1))+($R200-INDEX(LE_Curves!$N$5:$N$205,MATCH($R200,LE_Curves!$N$5:$N$205,1)))*(INDEX(LE_Curves!$B$5:$B$205,MATCH($R200,LE_Curves!$N$5:$N$205,1)+1)-INDEX(LE_Curves!$B$5:$B$205,MATCH($R200,LE_Curves!$N$5:$N$205,1)))/(INDEX(LE_Curves!$N$5:$N$205,MATCH($R200,LE_Curves!$N$5:$N$205,1)+1)-INDEX(LE_Curves!$N$5:$N$205,MATCH($R200,LE_Curves!$N$5:$N$205,1))))))</f>
        <v/>
      </c>
      <c r="AE200" s="37">
        <f>SUM(S200:AD200)</f>
        <v/>
      </c>
    </row>
    <row r="201">
      <c r="A201" s="7" t="n">
        <v>170</v>
      </c>
      <c r="B201" s="37">
        <f>$B$3+($B$4-$B$3)*A201/200</f>
        <v/>
      </c>
      <c r="C201" s="11">
        <f>IF(Inputs!$D$23=0,0,IF($B201&lt;=Inputs!$C$23,0,IF($B201&gt;=INDEX(LE_Curves!$C$5:$C$205,201),INDEX(LE_Curves!$B$5:$B$205,201),INDEX(LE_Curves!$B$5:$B$205,MATCH($B201,LE_Curves!$C$5:$C$205,1))+($B201-INDEX(LE_Curves!$C$5:$C$205,MATCH($B201,LE_Curves!$C$5:$C$205,1)))*(INDEX(LE_Curves!$B$5:$B$205,MATCH($B201,LE_Curves!$C$5:$C$205,1)+1)-INDEX(LE_Curves!$B$5:$B$205,MATCH($B201,LE_Curves!$C$5:$C$205,1)))/(INDEX(LE_Curves!$C$5:$C$205,MATCH($B201,LE_Curves!$C$5:$C$205,1)+1)-INDEX(LE_Curves!$C$5:$C$205,MATCH($B201,LE_Curves!$C$5:$C$205,1))))))</f>
        <v/>
      </c>
      <c r="D201" s="11">
        <f>IF(Inputs!$D$24=0,0,IF($B201&lt;=Inputs!$C$24,0,IF($B201&gt;=INDEX(LE_Curves!$D$5:$D$205,201),INDEX(LE_Curves!$B$5:$B$205,201),INDEX(LE_Curves!$B$5:$B$205,MATCH($B201,LE_Curves!$D$5:$D$205,1))+($B201-INDEX(LE_Curves!$D$5:$D$205,MATCH($B201,LE_Curves!$D$5:$D$205,1)))*(INDEX(LE_Curves!$B$5:$B$205,MATCH($B201,LE_Curves!$D$5:$D$205,1)+1)-INDEX(LE_Curves!$B$5:$B$205,MATCH($B201,LE_Curves!$D$5:$D$205,1)))/(INDEX(LE_Curves!$D$5:$D$205,MATCH($B201,LE_Curves!$D$5:$D$205,1)+1)-INDEX(LE_Curves!$D$5:$D$205,MATCH($B201,LE_Curves!$D$5:$D$205,1))))))</f>
        <v/>
      </c>
      <c r="E201" s="11">
        <f>IF(Inputs!$D$25=0,0,IF($B201&lt;=Inputs!$C$25,0,IF($B201&gt;=INDEX(LE_Curves!$E$5:$E$205,201),INDEX(LE_Curves!$B$5:$B$205,201),INDEX(LE_Curves!$B$5:$B$205,MATCH($B201,LE_Curves!$E$5:$E$205,1))+($B201-INDEX(LE_Curves!$E$5:$E$205,MATCH($B201,LE_Curves!$E$5:$E$205,1)))*(INDEX(LE_Curves!$B$5:$B$205,MATCH($B201,LE_Curves!$E$5:$E$205,1)+1)-INDEX(LE_Curves!$B$5:$B$205,MATCH($B201,LE_Curves!$E$5:$E$205,1)))/(INDEX(LE_Curves!$E$5:$E$205,MATCH($B201,LE_Curves!$E$5:$E$205,1)+1)-INDEX(LE_Curves!$E$5:$E$205,MATCH($B201,LE_Curves!$E$5:$E$205,1))))))</f>
        <v/>
      </c>
      <c r="F201" s="11">
        <f>IF(Inputs!$D$26=0,0,IF($B201&lt;=Inputs!$C$26,0,IF($B201&gt;=INDEX(LE_Curves!$F$5:$F$205,201),INDEX(LE_Curves!$B$5:$B$205,201),INDEX(LE_Curves!$B$5:$B$205,MATCH($B201,LE_Curves!$F$5:$F$205,1))+($B201-INDEX(LE_Curves!$F$5:$F$205,MATCH($B201,LE_Curves!$F$5:$F$205,1)))*(INDEX(LE_Curves!$B$5:$B$205,MATCH($B201,LE_Curves!$F$5:$F$205,1)+1)-INDEX(LE_Curves!$B$5:$B$205,MATCH($B201,LE_Curves!$F$5:$F$205,1)))/(INDEX(LE_Curves!$F$5:$F$205,MATCH($B201,LE_Curves!$F$5:$F$205,1)+1)-INDEX(LE_Curves!$F$5:$F$205,MATCH($B201,LE_Curves!$F$5:$F$205,1))))))</f>
        <v/>
      </c>
      <c r="G201" s="11">
        <f>IF(Inputs!$D$27=0,0,IF($B201&lt;=Inputs!$C$27,0,IF($B201&gt;=INDEX(LE_Curves!$G$5:$G$205,201),INDEX(LE_Curves!$B$5:$B$205,201),INDEX(LE_Curves!$B$5:$B$205,MATCH($B201,LE_Curves!$G$5:$G$205,1))+($B201-INDEX(LE_Curves!$G$5:$G$205,MATCH($B201,LE_Curves!$G$5:$G$205,1)))*(INDEX(LE_Curves!$B$5:$B$205,MATCH($B201,LE_Curves!$G$5:$G$205,1)+1)-INDEX(LE_Curves!$B$5:$B$205,MATCH($B201,LE_Curves!$G$5:$G$205,1)))/(INDEX(LE_Curves!$G$5:$G$205,MATCH($B201,LE_Curves!$G$5:$G$205,1)+1)-INDEX(LE_Curves!$G$5:$G$205,MATCH($B201,LE_Curves!$G$5:$G$205,1))))))</f>
        <v/>
      </c>
      <c r="H201" s="11">
        <f>IF(Inputs!$D$28=0,0,IF($B201&lt;=Inputs!$C$28,0,IF($B201&gt;=INDEX(LE_Curves!$H$5:$H$205,201),INDEX(LE_Curves!$B$5:$B$205,201),INDEX(LE_Curves!$B$5:$B$205,MATCH($B201,LE_Curves!$H$5:$H$205,1))+($B201-INDEX(LE_Curves!$H$5:$H$205,MATCH($B201,LE_Curves!$H$5:$H$205,1)))*(INDEX(LE_Curves!$B$5:$B$205,MATCH($B201,LE_Curves!$H$5:$H$205,1)+1)-INDEX(LE_Curves!$B$5:$B$205,MATCH($B201,LE_Curves!$H$5:$H$205,1)))/(INDEX(LE_Curves!$H$5:$H$205,MATCH($B201,LE_Curves!$H$5:$H$205,1)+1)-INDEX(LE_Curves!$H$5:$H$205,MATCH($B201,LE_Curves!$H$5:$H$205,1))))))</f>
        <v/>
      </c>
      <c r="I201" s="11">
        <f>IF(Inputs!$D$29=0,0,IF($B201&lt;=Inputs!$C$29,0,IF($B201&gt;=INDEX(LE_Curves!$I$5:$I$205,201),INDEX(LE_Curves!$B$5:$B$205,201),INDEX(LE_Curves!$B$5:$B$205,MATCH($B201,LE_Curves!$I$5:$I$205,1))+($B201-INDEX(LE_Curves!$I$5:$I$205,MATCH($B201,LE_Curves!$I$5:$I$205,1)))*(INDEX(LE_Curves!$B$5:$B$205,MATCH($B201,LE_Curves!$I$5:$I$205,1)+1)-INDEX(LE_Curves!$B$5:$B$205,MATCH($B201,LE_Curves!$I$5:$I$205,1)))/(INDEX(LE_Curves!$I$5:$I$205,MATCH($B201,LE_Curves!$I$5:$I$205,1)+1)-INDEX(LE_Curves!$I$5:$I$205,MATCH($B201,LE_Curves!$I$5:$I$205,1))))))</f>
        <v/>
      </c>
      <c r="J201" s="11">
        <f>IF(Inputs!$D$30=0,0,IF($B201&lt;=Inputs!$C$30,0,IF($B201&gt;=INDEX(LE_Curves!$J$5:$J$205,201),INDEX(LE_Curves!$B$5:$B$205,201),INDEX(LE_Curves!$B$5:$B$205,MATCH($B201,LE_Curves!$J$5:$J$205,1))+($B201-INDEX(LE_Curves!$J$5:$J$205,MATCH($B201,LE_Curves!$J$5:$J$205,1)))*(INDEX(LE_Curves!$B$5:$B$205,MATCH($B201,LE_Curves!$J$5:$J$205,1)+1)-INDEX(LE_Curves!$B$5:$B$205,MATCH($B201,LE_Curves!$J$5:$J$205,1)))/(INDEX(LE_Curves!$J$5:$J$205,MATCH($B201,LE_Curves!$J$5:$J$205,1)+1)-INDEX(LE_Curves!$J$5:$J$205,MATCH($B201,LE_Curves!$J$5:$J$205,1))))))</f>
        <v/>
      </c>
      <c r="K201" s="11">
        <f>IF(Inputs!$D$31=0,0,IF($B201&lt;=Inputs!$C$31,0,IF($B201&gt;=INDEX(LE_Curves!$K$5:$K$205,201),INDEX(LE_Curves!$B$5:$B$205,201),INDEX(LE_Curves!$B$5:$B$205,MATCH($B201,LE_Curves!$K$5:$K$205,1))+($B201-INDEX(LE_Curves!$K$5:$K$205,MATCH($B201,LE_Curves!$K$5:$K$205,1)))*(INDEX(LE_Curves!$B$5:$B$205,MATCH($B201,LE_Curves!$K$5:$K$205,1)+1)-INDEX(LE_Curves!$B$5:$B$205,MATCH($B201,LE_Curves!$K$5:$K$205,1)))/(INDEX(LE_Curves!$K$5:$K$205,MATCH($B201,LE_Curves!$K$5:$K$205,1)+1)-INDEX(LE_Curves!$K$5:$K$205,MATCH($B201,LE_Curves!$K$5:$K$205,1))))))</f>
        <v/>
      </c>
      <c r="L201" s="11">
        <f>IF(Inputs!$D$32=0,0,IF($B201&lt;=Inputs!$C$32,0,IF($B201&gt;=INDEX(LE_Curves!$L$5:$L$205,201),INDEX(LE_Curves!$B$5:$B$205,201),INDEX(LE_Curves!$B$5:$B$205,MATCH($B201,LE_Curves!$L$5:$L$205,1))+($B201-INDEX(LE_Curves!$L$5:$L$205,MATCH($B201,LE_Curves!$L$5:$L$205,1)))*(INDEX(LE_Curves!$B$5:$B$205,MATCH($B201,LE_Curves!$L$5:$L$205,1)+1)-INDEX(LE_Curves!$B$5:$B$205,MATCH($B201,LE_Curves!$L$5:$L$205,1)))/(INDEX(LE_Curves!$L$5:$L$205,MATCH($B201,LE_Curves!$L$5:$L$205,1)+1)-INDEX(LE_Curves!$L$5:$L$205,MATCH($B201,LE_Curves!$L$5:$L$205,1))))))</f>
        <v/>
      </c>
      <c r="M201" s="11">
        <f>IF(Inputs!$D$33=0,0,IF($B201&lt;=Inputs!$C$33,0,IF($B201&gt;=INDEX(LE_Curves!$M$5:$M$205,201),INDEX(LE_Curves!$B$5:$B$205,201),INDEX(LE_Curves!$B$5:$B$205,MATCH($B201,LE_Curves!$M$5:$M$205,1))+($B201-INDEX(LE_Curves!$M$5:$M$205,MATCH($B201,LE_Curves!$M$5:$M$205,1)))*(INDEX(LE_Curves!$B$5:$B$205,MATCH($B201,LE_Curves!$M$5:$M$205,1)+1)-INDEX(LE_Curves!$B$5:$B$205,MATCH($B201,LE_Curves!$M$5:$M$205,1)))/(INDEX(LE_Curves!$M$5:$M$205,MATCH($B201,LE_Curves!$M$5:$M$205,1)+1)-INDEX(LE_Curves!$M$5:$M$205,MATCH($B201,LE_Curves!$M$5:$M$205,1))))))</f>
        <v/>
      </c>
      <c r="N201" s="11">
        <f>IF(Inputs!$D$34=0,0,IF($B201&lt;=Inputs!$C$34,0,IF($B201&gt;=INDEX(LE_Curves!$N$5:$N$205,201),INDEX(LE_Curves!$B$5:$B$205,201),INDEX(LE_Curves!$B$5:$B$205,MATCH($B201,LE_Curves!$N$5:$N$205,1))+($B201-INDEX(LE_Curves!$N$5:$N$205,MATCH($B201,LE_Curves!$N$5:$N$205,1)))*(INDEX(LE_Curves!$B$5:$B$205,MATCH($B201,LE_Curves!$N$5:$N$205,1)+1)-INDEX(LE_Curves!$B$5:$B$205,MATCH($B201,LE_Curves!$N$5:$N$205,1)))/(INDEX(LE_Curves!$N$5:$N$205,MATCH($B201,LE_Curves!$N$5:$N$205,1)+1)-INDEX(LE_Curves!$N$5:$N$205,MATCH($B201,LE_Curves!$N$5:$N$205,1))))))</f>
        <v/>
      </c>
      <c r="O201" s="11">
        <f>SUM(C201:N201)</f>
        <v/>
      </c>
      <c r="Q201" s="7" t="n">
        <v>170</v>
      </c>
      <c r="R201" s="23">
        <f>$B$6+($B$7-$B$6)*Q201/200</f>
        <v/>
      </c>
      <c r="S201" s="11">
        <f>IF(Inputs!$D$23=0,0,IF($R201&lt;=Inputs!$C$23,0,IF($R201&gt;=INDEX(LE_Curves!$C$5:$C$205,201),INDEX(LE_Curves!$B$5:$B$205,201),INDEX(LE_Curves!$B$5:$B$205,MATCH($R201,LE_Curves!$C$5:$C$205,1))+($R201-INDEX(LE_Curves!$C$5:$C$205,MATCH($R201,LE_Curves!$C$5:$C$205,1)))*(INDEX(LE_Curves!$B$5:$B$205,MATCH($R201,LE_Curves!$C$5:$C$205,1)+1)-INDEX(LE_Curves!$B$5:$B$205,MATCH($R201,LE_Curves!$C$5:$C$205,1)))/(INDEX(LE_Curves!$C$5:$C$205,MATCH($R201,LE_Curves!$C$5:$C$205,1)+1)-INDEX(LE_Curves!$C$5:$C$205,MATCH($R201,LE_Curves!$C$5:$C$205,1))))))</f>
        <v/>
      </c>
      <c r="T201" s="11">
        <f>IF(Inputs!$D$24=0,0,IF($R201&lt;=Inputs!$C$24,0,IF($R201&gt;=INDEX(LE_Curves!$D$5:$D$205,201),INDEX(LE_Curves!$B$5:$B$205,201),INDEX(LE_Curves!$B$5:$B$205,MATCH($R201,LE_Curves!$D$5:$D$205,1))+($R201-INDEX(LE_Curves!$D$5:$D$205,MATCH($R201,LE_Curves!$D$5:$D$205,1)))*(INDEX(LE_Curves!$B$5:$B$205,MATCH($R201,LE_Curves!$D$5:$D$205,1)+1)-INDEX(LE_Curves!$B$5:$B$205,MATCH($R201,LE_Curves!$D$5:$D$205,1)))/(INDEX(LE_Curves!$D$5:$D$205,MATCH($R201,LE_Curves!$D$5:$D$205,1)+1)-INDEX(LE_Curves!$D$5:$D$205,MATCH($R201,LE_Curves!$D$5:$D$205,1))))))</f>
        <v/>
      </c>
      <c r="U201" s="11">
        <f>IF(Inputs!$D$25=0,0,IF($R201&lt;=Inputs!$C$25,0,IF($R201&gt;=INDEX(LE_Curves!$E$5:$E$205,201),INDEX(LE_Curves!$B$5:$B$205,201),INDEX(LE_Curves!$B$5:$B$205,MATCH($R201,LE_Curves!$E$5:$E$205,1))+($R201-INDEX(LE_Curves!$E$5:$E$205,MATCH($R201,LE_Curves!$E$5:$E$205,1)))*(INDEX(LE_Curves!$B$5:$B$205,MATCH($R201,LE_Curves!$E$5:$E$205,1)+1)-INDEX(LE_Curves!$B$5:$B$205,MATCH($R201,LE_Curves!$E$5:$E$205,1)))/(INDEX(LE_Curves!$E$5:$E$205,MATCH($R201,LE_Curves!$E$5:$E$205,1)+1)-INDEX(LE_Curves!$E$5:$E$205,MATCH($R201,LE_Curves!$E$5:$E$205,1))))))</f>
        <v/>
      </c>
      <c r="V201" s="11">
        <f>IF(Inputs!$D$26=0,0,IF($R201&lt;=Inputs!$C$26,0,IF($R201&gt;=INDEX(LE_Curves!$F$5:$F$205,201),INDEX(LE_Curves!$B$5:$B$205,201),INDEX(LE_Curves!$B$5:$B$205,MATCH($R201,LE_Curves!$F$5:$F$205,1))+($R201-INDEX(LE_Curves!$F$5:$F$205,MATCH($R201,LE_Curves!$F$5:$F$205,1)))*(INDEX(LE_Curves!$B$5:$B$205,MATCH($R201,LE_Curves!$F$5:$F$205,1)+1)-INDEX(LE_Curves!$B$5:$B$205,MATCH($R201,LE_Curves!$F$5:$F$205,1)))/(INDEX(LE_Curves!$F$5:$F$205,MATCH($R201,LE_Curves!$F$5:$F$205,1)+1)-INDEX(LE_Curves!$F$5:$F$205,MATCH($R201,LE_Curves!$F$5:$F$205,1))))))</f>
        <v/>
      </c>
      <c r="W201" s="11">
        <f>IF(Inputs!$D$27=0,0,IF($R201&lt;=Inputs!$C$27,0,IF($R201&gt;=INDEX(LE_Curves!$G$5:$G$205,201),INDEX(LE_Curves!$B$5:$B$205,201),INDEX(LE_Curves!$B$5:$B$205,MATCH($R201,LE_Curves!$G$5:$G$205,1))+($R201-INDEX(LE_Curves!$G$5:$G$205,MATCH($R201,LE_Curves!$G$5:$G$205,1)))*(INDEX(LE_Curves!$B$5:$B$205,MATCH($R201,LE_Curves!$G$5:$G$205,1)+1)-INDEX(LE_Curves!$B$5:$B$205,MATCH($R201,LE_Curves!$G$5:$G$205,1)))/(INDEX(LE_Curves!$G$5:$G$205,MATCH($R201,LE_Curves!$G$5:$G$205,1)+1)-INDEX(LE_Curves!$G$5:$G$205,MATCH($R201,LE_Curves!$G$5:$G$205,1))))))</f>
        <v/>
      </c>
      <c r="X201" s="11">
        <f>IF(Inputs!$D$28=0,0,IF($R201&lt;=Inputs!$C$28,0,IF($R201&gt;=INDEX(LE_Curves!$H$5:$H$205,201),INDEX(LE_Curves!$B$5:$B$205,201),INDEX(LE_Curves!$B$5:$B$205,MATCH($R201,LE_Curves!$H$5:$H$205,1))+($R201-INDEX(LE_Curves!$H$5:$H$205,MATCH($R201,LE_Curves!$H$5:$H$205,1)))*(INDEX(LE_Curves!$B$5:$B$205,MATCH($R201,LE_Curves!$H$5:$H$205,1)+1)-INDEX(LE_Curves!$B$5:$B$205,MATCH($R201,LE_Curves!$H$5:$H$205,1)))/(INDEX(LE_Curves!$H$5:$H$205,MATCH($R201,LE_Curves!$H$5:$H$205,1)+1)-INDEX(LE_Curves!$H$5:$H$205,MATCH($R201,LE_Curves!$H$5:$H$205,1))))))</f>
        <v/>
      </c>
      <c r="Y201" s="11">
        <f>IF(Inputs!$D$29=0,0,IF($R201&lt;=Inputs!$C$29,0,IF($R201&gt;=INDEX(LE_Curves!$I$5:$I$205,201),INDEX(LE_Curves!$B$5:$B$205,201),INDEX(LE_Curves!$B$5:$B$205,MATCH($R201,LE_Curves!$I$5:$I$205,1))+($R201-INDEX(LE_Curves!$I$5:$I$205,MATCH($R201,LE_Curves!$I$5:$I$205,1)))*(INDEX(LE_Curves!$B$5:$B$205,MATCH($R201,LE_Curves!$I$5:$I$205,1)+1)-INDEX(LE_Curves!$B$5:$B$205,MATCH($R201,LE_Curves!$I$5:$I$205,1)))/(INDEX(LE_Curves!$I$5:$I$205,MATCH($R201,LE_Curves!$I$5:$I$205,1)+1)-INDEX(LE_Curves!$I$5:$I$205,MATCH($R201,LE_Curves!$I$5:$I$205,1))))))</f>
        <v/>
      </c>
      <c r="Z201" s="11">
        <f>IF(Inputs!$D$30=0,0,IF($R201&lt;=Inputs!$C$30,0,IF($R201&gt;=INDEX(LE_Curves!$J$5:$J$205,201),INDEX(LE_Curves!$B$5:$B$205,201),INDEX(LE_Curves!$B$5:$B$205,MATCH($R201,LE_Curves!$J$5:$J$205,1))+($R201-INDEX(LE_Curves!$J$5:$J$205,MATCH($R201,LE_Curves!$J$5:$J$205,1)))*(INDEX(LE_Curves!$B$5:$B$205,MATCH($R201,LE_Curves!$J$5:$J$205,1)+1)-INDEX(LE_Curves!$B$5:$B$205,MATCH($R201,LE_Curves!$J$5:$J$205,1)))/(INDEX(LE_Curves!$J$5:$J$205,MATCH($R201,LE_Curves!$J$5:$J$205,1)+1)-INDEX(LE_Curves!$J$5:$J$205,MATCH($R201,LE_Curves!$J$5:$J$205,1))))))</f>
        <v/>
      </c>
      <c r="AA201" s="11">
        <f>IF(Inputs!$D$31=0,0,IF($R201&lt;=Inputs!$C$31,0,IF($R201&gt;=INDEX(LE_Curves!$K$5:$K$205,201),INDEX(LE_Curves!$B$5:$B$205,201),INDEX(LE_Curves!$B$5:$B$205,MATCH($R201,LE_Curves!$K$5:$K$205,1))+($R201-INDEX(LE_Curves!$K$5:$K$205,MATCH($R201,LE_Curves!$K$5:$K$205,1)))*(INDEX(LE_Curves!$B$5:$B$205,MATCH($R201,LE_Curves!$K$5:$K$205,1)+1)-INDEX(LE_Curves!$B$5:$B$205,MATCH($R201,LE_Curves!$K$5:$K$205,1)))/(INDEX(LE_Curves!$K$5:$K$205,MATCH($R201,LE_Curves!$K$5:$K$205,1)+1)-INDEX(LE_Curves!$K$5:$K$205,MATCH($R201,LE_Curves!$K$5:$K$205,1))))))</f>
        <v/>
      </c>
      <c r="AB201" s="11">
        <f>IF(Inputs!$D$32=0,0,IF($R201&lt;=Inputs!$C$32,0,IF($R201&gt;=INDEX(LE_Curves!$L$5:$L$205,201),INDEX(LE_Curves!$B$5:$B$205,201),INDEX(LE_Curves!$B$5:$B$205,MATCH($R201,LE_Curves!$L$5:$L$205,1))+($R201-INDEX(LE_Curves!$L$5:$L$205,MATCH($R201,LE_Curves!$L$5:$L$205,1)))*(INDEX(LE_Curves!$B$5:$B$205,MATCH($R201,LE_Curves!$L$5:$L$205,1)+1)-INDEX(LE_Curves!$B$5:$B$205,MATCH($R201,LE_Curves!$L$5:$L$205,1)))/(INDEX(LE_Curves!$L$5:$L$205,MATCH($R201,LE_Curves!$L$5:$L$205,1)+1)-INDEX(LE_Curves!$L$5:$L$205,MATCH($R201,LE_Curves!$L$5:$L$205,1))))))</f>
        <v/>
      </c>
      <c r="AC201" s="11">
        <f>IF(Inputs!$D$33=0,0,IF($R201&lt;=Inputs!$C$33,0,IF($R201&gt;=INDEX(LE_Curves!$M$5:$M$205,201),INDEX(LE_Curves!$B$5:$B$205,201),INDEX(LE_Curves!$B$5:$B$205,MATCH($R201,LE_Curves!$M$5:$M$205,1))+($R201-INDEX(LE_Curves!$M$5:$M$205,MATCH($R201,LE_Curves!$M$5:$M$205,1)))*(INDEX(LE_Curves!$B$5:$B$205,MATCH($R201,LE_Curves!$M$5:$M$205,1)+1)-INDEX(LE_Curves!$B$5:$B$205,MATCH($R201,LE_Curves!$M$5:$M$205,1)))/(INDEX(LE_Curves!$M$5:$M$205,MATCH($R201,LE_Curves!$M$5:$M$205,1)+1)-INDEX(LE_Curves!$M$5:$M$205,MATCH($R201,LE_Curves!$M$5:$M$205,1))))))</f>
        <v/>
      </c>
      <c r="AD201" s="11">
        <f>IF(Inputs!$D$34=0,0,IF($R201&lt;=Inputs!$C$34,0,IF($R201&gt;=INDEX(LE_Curves!$N$5:$N$205,201),INDEX(LE_Curves!$B$5:$B$205,201),INDEX(LE_Curves!$B$5:$B$205,MATCH($R201,LE_Curves!$N$5:$N$205,1))+($R201-INDEX(LE_Curves!$N$5:$N$205,MATCH($R201,LE_Curves!$N$5:$N$205,1)))*(INDEX(LE_Curves!$B$5:$B$205,MATCH($R201,LE_Curves!$N$5:$N$205,1)+1)-INDEX(LE_Curves!$B$5:$B$205,MATCH($R201,LE_Curves!$N$5:$N$205,1)))/(INDEX(LE_Curves!$N$5:$N$205,MATCH($R201,LE_Curves!$N$5:$N$205,1)+1)-INDEX(LE_Curves!$N$5:$N$205,MATCH($R201,LE_Curves!$N$5:$N$205,1))))))</f>
        <v/>
      </c>
      <c r="AE201" s="37">
        <f>SUM(S201:AD201)</f>
        <v/>
      </c>
    </row>
    <row r="202">
      <c r="A202" s="7" t="n">
        <v>171</v>
      </c>
      <c r="B202" s="37">
        <f>$B$3+($B$4-$B$3)*A202/200</f>
        <v/>
      </c>
      <c r="C202" s="11">
        <f>IF(Inputs!$D$23=0,0,IF($B202&lt;=Inputs!$C$23,0,IF($B202&gt;=INDEX(LE_Curves!$C$5:$C$205,201),INDEX(LE_Curves!$B$5:$B$205,201),INDEX(LE_Curves!$B$5:$B$205,MATCH($B202,LE_Curves!$C$5:$C$205,1))+($B202-INDEX(LE_Curves!$C$5:$C$205,MATCH($B202,LE_Curves!$C$5:$C$205,1)))*(INDEX(LE_Curves!$B$5:$B$205,MATCH($B202,LE_Curves!$C$5:$C$205,1)+1)-INDEX(LE_Curves!$B$5:$B$205,MATCH($B202,LE_Curves!$C$5:$C$205,1)))/(INDEX(LE_Curves!$C$5:$C$205,MATCH($B202,LE_Curves!$C$5:$C$205,1)+1)-INDEX(LE_Curves!$C$5:$C$205,MATCH($B202,LE_Curves!$C$5:$C$205,1))))))</f>
        <v/>
      </c>
      <c r="D202" s="11">
        <f>IF(Inputs!$D$24=0,0,IF($B202&lt;=Inputs!$C$24,0,IF($B202&gt;=INDEX(LE_Curves!$D$5:$D$205,201),INDEX(LE_Curves!$B$5:$B$205,201),INDEX(LE_Curves!$B$5:$B$205,MATCH($B202,LE_Curves!$D$5:$D$205,1))+($B202-INDEX(LE_Curves!$D$5:$D$205,MATCH($B202,LE_Curves!$D$5:$D$205,1)))*(INDEX(LE_Curves!$B$5:$B$205,MATCH($B202,LE_Curves!$D$5:$D$205,1)+1)-INDEX(LE_Curves!$B$5:$B$205,MATCH($B202,LE_Curves!$D$5:$D$205,1)))/(INDEX(LE_Curves!$D$5:$D$205,MATCH($B202,LE_Curves!$D$5:$D$205,1)+1)-INDEX(LE_Curves!$D$5:$D$205,MATCH($B202,LE_Curves!$D$5:$D$205,1))))))</f>
        <v/>
      </c>
      <c r="E202" s="11">
        <f>IF(Inputs!$D$25=0,0,IF($B202&lt;=Inputs!$C$25,0,IF($B202&gt;=INDEX(LE_Curves!$E$5:$E$205,201),INDEX(LE_Curves!$B$5:$B$205,201),INDEX(LE_Curves!$B$5:$B$205,MATCH($B202,LE_Curves!$E$5:$E$205,1))+($B202-INDEX(LE_Curves!$E$5:$E$205,MATCH($B202,LE_Curves!$E$5:$E$205,1)))*(INDEX(LE_Curves!$B$5:$B$205,MATCH($B202,LE_Curves!$E$5:$E$205,1)+1)-INDEX(LE_Curves!$B$5:$B$205,MATCH($B202,LE_Curves!$E$5:$E$205,1)))/(INDEX(LE_Curves!$E$5:$E$205,MATCH($B202,LE_Curves!$E$5:$E$205,1)+1)-INDEX(LE_Curves!$E$5:$E$205,MATCH($B202,LE_Curves!$E$5:$E$205,1))))))</f>
        <v/>
      </c>
      <c r="F202" s="11">
        <f>IF(Inputs!$D$26=0,0,IF($B202&lt;=Inputs!$C$26,0,IF($B202&gt;=INDEX(LE_Curves!$F$5:$F$205,201),INDEX(LE_Curves!$B$5:$B$205,201),INDEX(LE_Curves!$B$5:$B$205,MATCH($B202,LE_Curves!$F$5:$F$205,1))+($B202-INDEX(LE_Curves!$F$5:$F$205,MATCH($B202,LE_Curves!$F$5:$F$205,1)))*(INDEX(LE_Curves!$B$5:$B$205,MATCH($B202,LE_Curves!$F$5:$F$205,1)+1)-INDEX(LE_Curves!$B$5:$B$205,MATCH($B202,LE_Curves!$F$5:$F$205,1)))/(INDEX(LE_Curves!$F$5:$F$205,MATCH($B202,LE_Curves!$F$5:$F$205,1)+1)-INDEX(LE_Curves!$F$5:$F$205,MATCH($B202,LE_Curves!$F$5:$F$205,1))))))</f>
        <v/>
      </c>
      <c r="G202" s="11">
        <f>IF(Inputs!$D$27=0,0,IF($B202&lt;=Inputs!$C$27,0,IF($B202&gt;=INDEX(LE_Curves!$G$5:$G$205,201),INDEX(LE_Curves!$B$5:$B$205,201),INDEX(LE_Curves!$B$5:$B$205,MATCH($B202,LE_Curves!$G$5:$G$205,1))+($B202-INDEX(LE_Curves!$G$5:$G$205,MATCH($B202,LE_Curves!$G$5:$G$205,1)))*(INDEX(LE_Curves!$B$5:$B$205,MATCH($B202,LE_Curves!$G$5:$G$205,1)+1)-INDEX(LE_Curves!$B$5:$B$205,MATCH($B202,LE_Curves!$G$5:$G$205,1)))/(INDEX(LE_Curves!$G$5:$G$205,MATCH($B202,LE_Curves!$G$5:$G$205,1)+1)-INDEX(LE_Curves!$G$5:$G$205,MATCH($B202,LE_Curves!$G$5:$G$205,1))))))</f>
        <v/>
      </c>
      <c r="H202" s="11">
        <f>IF(Inputs!$D$28=0,0,IF($B202&lt;=Inputs!$C$28,0,IF($B202&gt;=INDEX(LE_Curves!$H$5:$H$205,201),INDEX(LE_Curves!$B$5:$B$205,201),INDEX(LE_Curves!$B$5:$B$205,MATCH($B202,LE_Curves!$H$5:$H$205,1))+($B202-INDEX(LE_Curves!$H$5:$H$205,MATCH($B202,LE_Curves!$H$5:$H$205,1)))*(INDEX(LE_Curves!$B$5:$B$205,MATCH($B202,LE_Curves!$H$5:$H$205,1)+1)-INDEX(LE_Curves!$B$5:$B$205,MATCH($B202,LE_Curves!$H$5:$H$205,1)))/(INDEX(LE_Curves!$H$5:$H$205,MATCH($B202,LE_Curves!$H$5:$H$205,1)+1)-INDEX(LE_Curves!$H$5:$H$205,MATCH($B202,LE_Curves!$H$5:$H$205,1))))))</f>
        <v/>
      </c>
      <c r="I202" s="11">
        <f>IF(Inputs!$D$29=0,0,IF($B202&lt;=Inputs!$C$29,0,IF($B202&gt;=INDEX(LE_Curves!$I$5:$I$205,201),INDEX(LE_Curves!$B$5:$B$205,201),INDEX(LE_Curves!$B$5:$B$205,MATCH($B202,LE_Curves!$I$5:$I$205,1))+($B202-INDEX(LE_Curves!$I$5:$I$205,MATCH($B202,LE_Curves!$I$5:$I$205,1)))*(INDEX(LE_Curves!$B$5:$B$205,MATCH($B202,LE_Curves!$I$5:$I$205,1)+1)-INDEX(LE_Curves!$B$5:$B$205,MATCH($B202,LE_Curves!$I$5:$I$205,1)))/(INDEX(LE_Curves!$I$5:$I$205,MATCH($B202,LE_Curves!$I$5:$I$205,1)+1)-INDEX(LE_Curves!$I$5:$I$205,MATCH($B202,LE_Curves!$I$5:$I$205,1))))))</f>
        <v/>
      </c>
      <c r="J202" s="11">
        <f>IF(Inputs!$D$30=0,0,IF($B202&lt;=Inputs!$C$30,0,IF($B202&gt;=INDEX(LE_Curves!$J$5:$J$205,201),INDEX(LE_Curves!$B$5:$B$205,201),INDEX(LE_Curves!$B$5:$B$205,MATCH($B202,LE_Curves!$J$5:$J$205,1))+($B202-INDEX(LE_Curves!$J$5:$J$205,MATCH($B202,LE_Curves!$J$5:$J$205,1)))*(INDEX(LE_Curves!$B$5:$B$205,MATCH($B202,LE_Curves!$J$5:$J$205,1)+1)-INDEX(LE_Curves!$B$5:$B$205,MATCH($B202,LE_Curves!$J$5:$J$205,1)))/(INDEX(LE_Curves!$J$5:$J$205,MATCH($B202,LE_Curves!$J$5:$J$205,1)+1)-INDEX(LE_Curves!$J$5:$J$205,MATCH($B202,LE_Curves!$J$5:$J$205,1))))))</f>
        <v/>
      </c>
      <c r="K202" s="11">
        <f>IF(Inputs!$D$31=0,0,IF($B202&lt;=Inputs!$C$31,0,IF($B202&gt;=INDEX(LE_Curves!$K$5:$K$205,201),INDEX(LE_Curves!$B$5:$B$205,201),INDEX(LE_Curves!$B$5:$B$205,MATCH($B202,LE_Curves!$K$5:$K$205,1))+($B202-INDEX(LE_Curves!$K$5:$K$205,MATCH($B202,LE_Curves!$K$5:$K$205,1)))*(INDEX(LE_Curves!$B$5:$B$205,MATCH($B202,LE_Curves!$K$5:$K$205,1)+1)-INDEX(LE_Curves!$B$5:$B$205,MATCH($B202,LE_Curves!$K$5:$K$205,1)))/(INDEX(LE_Curves!$K$5:$K$205,MATCH($B202,LE_Curves!$K$5:$K$205,1)+1)-INDEX(LE_Curves!$K$5:$K$205,MATCH($B202,LE_Curves!$K$5:$K$205,1))))))</f>
        <v/>
      </c>
      <c r="L202" s="11">
        <f>IF(Inputs!$D$32=0,0,IF($B202&lt;=Inputs!$C$32,0,IF($B202&gt;=INDEX(LE_Curves!$L$5:$L$205,201),INDEX(LE_Curves!$B$5:$B$205,201),INDEX(LE_Curves!$B$5:$B$205,MATCH($B202,LE_Curves!$L$5:$L$205,1))+($B202-INDEX(LE_Curves!$L$5:$L$205,MATCH($B202,LE_Curves!$L$5:$L$205,1)))*(INDEX(LE_Curves!$B$5:$B$205,MATCH($B202,LE_Curves!$L$5:$L$205,1)+1)-INDEX(LE_Curves!$B$5:$B$205,MATCH($B202,LE_Curves!$L$5:$L$205,1)))/(INDEX(LE_Curves!$L$5:$L$205,MATCH($B202,LE_Curves!$L$5:$L$205,1)+1)-INDEX(LE_Curves!$L$5:$L$205,MATCH($B202,LE_Curves!$L$5:$L$205,1))))))</f>
        <v/>
      </c>
      <c r="M202" s="11">
        <f>IF(Inputs!$D$33=0,0,IF($B202&lt;=Inputs!$C$33,0,IF($B202&gt;=INDEX(LE_Curves!$M$5:$M$205,201),INDEX(LE_Curves!$B$5:$B$205,201),INDEX(LE_Curves!$B$5:$B$205,MATCH($B202,LE_Curves!$M$5:$M$205,1))+($B202-INDEX(LE_Curves!$M$5:$M$205,MATCH($B202,LE_Curves!$M$5:$M$205,1)))*(INDEX(LE_Curves!$B$5:$B$205,MATCH($B202,LE_Curves!$M$5:$M$205,1)+1)-INDEX(LE_Curves!$B$5:$B$205,MATCH($B202,LE_Curves!$M$5:$M$205,1)))/(INDEX(LE_Curves!$M$5:$M$205,MATCH($B202,LE_Curves!$M$5:$M$205,1)+1)-INDEX(LE_Curves!$M$5:$M$205,MATCH($B202,LE_Curves!$M$5:$M$205,1))))))</f>
        <v/>
      </c>
      <c r="N202" s="11">
        <f>IF(Inputs!$D$34=0,0,IF($B202&lt;=Inputs!$C$34,0,IF($B202&gt;=INDEX(LE_Curves!$N$5:$N$205,201),INDEX(LE_Curves!$B$5:$B$205,201),INDEX(LE_Curves!$B$5:$B$205,MATCH($B202,LE_Curves!$N$5:$N$205,1))+($B202-INDEX(LE_Curves!$N$5:$N$205,MATCH($B202,LE_Curves!$N$5:$N$205,1)))*(INDEX(LE_Curves!$B$5:$B$205,MATCH($B202,LE_Curves!$N$5:$N$205,1)+1)-INDEX(LE_Curves!$B$5:$B$205,MATCH($B202,LE_Curves!$N$5:$N$205,1)))/(INDEX(LE_Curves!$N$5:$N$205,MATCH($B202,LE_Curves!$N$5:$N$205,1)+1)-INDEX(LE_Curves!$N$5:$N$205,MATCH($B202,LE_Curves!$N$5:$N$205,1))))))</f>
        <v/>
      </c>
      <c r="O202" s="11">
        <f>SUM(C202:N202)</f>
        <v/>
      </c>
      <c r="Q202" s="7" t="n">
        <v>171</v>
      </c>
      <c r="R202" s="23">
        <f>$B$6+($B$7-$B$6)*Q202/200</f>
        <v/>
      </c>
      <c r="S202" s="11">
        <f>IF(Inputs!$D$23=0,0,IF($R202&lt;=Inputs!$C$23,0,IF($R202&gt;=INDEX(LE_Curves!$C$5:$C$205,201),INDEX(LE_Curves!$B$5:$B$205,201),INDEX(LE_Curves!$B$5:$B$205,MATCH($R202,LE_Curves!$C$5:$C$205,1))+($R202-INDEX(LE_Curves!$C$5:$C$205,MATCH($R202,LE_Curves!$C$5:$C$205,1)))*(INDEX(LE_Curves!$B$5:$B$205,MATCH($R202,LE_Curves!$C$5:$C$205,1)+1)-INDEX(LE_Curves!$B$5:$B$205,MATCH($R202,LE_Curves!$C$5:$C$205,1)))/(INDEX(LE_Curves!$C$5:$C$205,MATCH($R202,LE_Curves!$C$5:$C$205,1)+1)-INDEX(LE_Curves!$C$5:$C$205,MATCH($R202,LE_Curves!$C$5:$C$205,1))))))</f>
        <v/>
      </c>
      <c r="T202" s="11">
        <f>IF(Inputs!$D$24=0,0,IF($R202&lt;=Inputs!$C$24,0,IF($R202&gt;=INDEX(LE_Curves!$D$5:$D$205,201),INDEX(LE_Curves!$B$5:$B$205,201),INDEX(LE_Curves!$B$5:$B$205,MATCH($R202,LE_Curves!$D$5:$D$205,1))+($R202-INDEX(LE_Curves!$D$5:$D$205,MATCH($R202,LE_Curves!$D$5:$D$205,1)))*(INDEX(LE_Curves!$B$5:$B$205,MATCH($R202,LE_Curves!$D$5:$D$205,1)+1)-INDEX(LE_Curves!$B$5:$B$205,MATCH($R202,LE_Curves!$D$5:$D$205,1)))/(INDEX(LE_Curves!$D$5:$D$205,MATCH($R202,LE_Curves!$D$5:$D$205,1)+1)-INDEX(LE_Curves!$D$5:$D$205,MATCH($R202,LE_Curves!$D$5:$D$205,1))))))</f>
        <v/>
      </c>
      <c r="U202" s="11">
        <f>IF(Inputs!$D$25=0,0,IF($R202&lt;=Inputs!$C$25,0,IF($R202&gt;=INDEX(LE_Curves!$E$5:$E$205,201),INDEX(LE_Curves!$B$5:$B$205,201),INDEX(LE_Curves!$B$5:$B$205,MATCH($R202,LE_Curves!$E$5:$E$205,1))+($R202-INDEX(LE_Curves!$E$5:$E$205,MATCH($R202,LE_Curves!$E$5:$E$205,1)))*(INDEX(LE_Curves!$B$5:$B$205,MATCH($R202,LE_Curves!$E$5:$E$205,1)+1)-INDEX(LE_Curves!$B$5:$B$205,MATCH($R202,LE_Curves!$E$5:$E$205,1)))/(INDEX(LE_Curves!$E$5:$E$205,MATCH($R202,LE_Curves!$E$5:$E$205,1)+1)-INDEX(LE_Curves!$E$5:$E$205,MATCH($R202,LE_Curves!$E$5:$E$205,1))))))</f>
        <v/>
      </c>
      <c r="V202" s="11">
        <f>IF(Inputs!$D$26=0,0,IF($R202&lt;=Inputs!$C$26,0,IF($R202&gt;=INDEX(LE_Curves!$F$5:$F$205,201),INDEX(LE_Curves!$B$5:$B$205,201),INDEX(LE_Curves!$B$5:$B$205,MATCH($R202,LE_Curves!$F$5:$F$205,1))+($R202-INDEX(LE_Curves!$F$5:$F$205,MATCH($R202,LE_Curves!$F$5:$F$205,1)))*(INDEX(LE_Curves!$B$5:$B$205,MATCH($R202,LE_Curves!$F$5:$F$205,1)+1)-INDEX(LE_Curves!$B$5:$B$205,MATCH($R202,LE_Curves!$F$5:$F$205,1)))/(INDEX(LE_Curves!$F$5:$F$205,MATCH($R202,LE_Curves!$F$5:$F$205,1)+1)-INDEX(LE_Curves!$F$5:$F$205,MATCH($R202,LE_Curves!$F$5:$F$205,1))))))</f>
        <v/>
      </c>
      <c r="W202" s="11">
        <f>IF(Inputs!$D$27=0,0,IF($R202&lt;=Inputs!$C$27,0,IF($R202&gt;=INDEX(LE_Curves!$G$5:$G$205,201),INDEX(LE_Curves!$B$5:$B$205,201),INDEX(LE_Curves!$B$5:$B$205,MATCH($R202,LE_Curves!$G$5:$G$205,1))+($R202-INDEX(LE_Curves!$G$5:$G$205,MATCH($R202,LE_Curves!$G$5:$G$205,1)))*(INDEX(LE_Curves!$B$5:$B$205,MATCH($R202,LE_Curves!$G$5:$G$205,1)+1)-INDEX(LE_Curves!$B$5:$B$205,MATCH($R202,LE_Curves!$G$5:$G$205,1)))/(INDEX(LE_Curves!$G$5:$G$205,MATCH($R202,LE_Curves!$G$5:$G$205,1)+1)-INDEX(LE_Curves!$G$5:$G$205,MATCH($R202,LE_Curves!$G$5:$G$205,1))))))</f>
        <v/>
      </c>
      <c r="X202" s="11">
        <f>IF(Inputs!$D$28=0,0,IF($R202&lt;=Inputs!$C$28,0,IF($R202&gt;=INDEX(LE_Curves!$H$5:$H$205,201),INDEX(LE_Curves!$B$5:$B$205,201),INDEX(LE_Curves!$B$5:$B$205,MATCH($R202,LE_Curves!$H$5:$H$205,1))+($R202-INDEX(LE_Curves!$H$5:$H$205,MATCH($R202,LE_Curves!$H$5:$H$205,1)))*(INDEX(LE_Curves!$B$5:$B$205,MATCH($R202,LE_Curves!$H$5:$H$205,1)+1)-INDEX(LE_Curves!$B$5:$B$205,MATCH($R202,LE_Curves!$H$5:$H$205,1)))/(INDEX(LE_Curves!$H$5:$H$205,MATCH($R202,LE_Curves!$H$5:$H$205,1)+1)-INDEX(LE_Curves!$H$5:$H$205,MATCH($R202,LE_Curves!$H$5:$H$205,1))))))</f>
        <v/>
      </c>
      <c r="Y202" s="11">
        <f>IF(Inputs!$D$29=0,0,IF($R202&lt;=Inputs!$C$29,0,IF($R202&gt;=INDEX(LE_Curves!$I$5:$I$205,201),INDEX(LE_Curves!$B$5:$B$205,201),INDEX(LE_Curves!$B$5:$B$205,MATCH($R202,LE_Curves!$I$5:$I$205,1))+($R202-INDEX(LE_Curves!$I$5:$I$205,MATCH($R202,LE_Curves!$I$5:$I$205,1)))*(INDEX(LE_Curves!$B$5:$B$205,MATCH($R202,LE_Curves!$I$5:$I$205,1)+1)-INDEX(LE_Curves!$B$5:$B$205,MATCH($R202,LE_Curves!$I$5:$I$205,1)))/(INDEX(LE_Curves!$I$5:$I$205,MATCH($R202,LE_Curves!$I$5:$I$205,1)+1)-INDEX(LE_Curves!$I$5:$I$205,MATCH($R202,LE_Curves!$I$5:$I$205,1))))))</f>
        <v/>
      </c>
      <c r="Z202" s="11">
        <f>IF(Inputs!$D$30=0,0,IF($R202&lt;=Inputs!$C$30,0,IF($R202&gt;=INDEX(LE_Curves!$J$5:$J$205,201),INDEX(LE_Curves!$B$5:$B$205,201),INDEX(LE_Curves!$B$5:$B$205,MATCH($R202,LE_Curves!$J$5:$J$205,1))+($R202-INDEX(LE_Curves!$J$5:$J$205,MATCH($R202,LE_Curves!$J$5:$J$205,1)))*(INDEX(LE_Curves!$B$5:$B$205,MATCH($R202,LE_Curves!$J$5:$J$205,1)+1)-INDEX(LE_Curves!$B$5:$B$205,MATCH($R202,LE_Curves!$J$5:$J$205,1)))/(INDEX(LE_Curves!$J$5:$J$205,MATCH($R202,LE_Curves!$J$5:$J$205,1)+1)-INDEX(LE_Curves!$J$5:$J$205,MATCH($R202,LE_Curves!$J$5:$J$205,1))))))</f>
        <v/>
      </c>
      <c r="AA202" s="11">
        <f>IF(Inputs!$D$31=0,0,IF($R202&lt;=Inputs!$C$31,0,IF($R202&gt;=INDEX(LE_Curves!$K$5:$K$205,201),INDEX(LE_Curves!$B$5:$B$205,201),INDEX(LE_Curves!$B$5:$B$205,MATCH($R202,LE_Curves!$K$5:$K$205,1))+($R202-INDEX(LE_Curves!$K$5:$K$205,MATCH($R202,LE_Curves!$K$5:$K$205,1)))*(INDEX(LE_Curves!$B$5:$B$205,MATCH($R202,LE_Curves!$K$5:$K$205,1)+1)-INDEX(LE_Curves!$B$5:$B$205,MATCH($R202,LE_Curves!$K$5:$K$205,1)))/(INDEX(LE_Curves!$K$5:$K$205,MATCH($R202,LE_Curves!$K$5:$K$205,1)+1)-INDEX(LE_Curves!$K$5:$K$205,MATCH($R202,LE_Curves!$K$5:$K$205,1))))))</f>
        <v/>
      </c>
      <c r="AB202" s="11">
        <f>IF(Inputs!$D$32=0,0,IF($R202&lt;=Inputs!$C$32,0,IF($R202&gt;=INDEX(LE_Curves!$L$5:$L$205,201),INDEX(LE_Curves!$B$5:$B$205,201),INDEX(LE_Curves!$B$5:$B$205,MATCH($R202,LE_Curves!$L$5:$L$205,1))+($R202-INDEX(LE_Curves!$L$5:$L$205,MATCH($R202,LE_Curves!$L$5:$L$205,1)))*(INDEX(LE_Curves!$B$5:$B$205,MATCH($R202,LE_Curves!$L$5:$L$205,1)+1)-INDEX(LE_Curves!$B$5:$B$205,MATCH($R202,LE_Curves!$L$5:$L$205,1)))/(INDEX(LE_Curves!$L$5:$L$205,MATCH($R202,LE_Curves!$L$5:$L$205,1)+1)-INDEX(LE_Curves!$L$5:$L$205,MATCH($R202,LE_Curves!$L$5:$L$205,1))))))</f>
        <v/>
      </c>
      <c r="AC202" s="11">
        <f>IF(Inputs!$D$33=0,0,IF($R202&lt;=Inputs!$C$33,0,IF($R202&gt;=INDEX(LE_Curves!$M$5:$M$205,201),INDEX(LE_Curves!$B$5:$B$205,201),INDEX(LE_Curves!$B$5:$B$205,MATCH($R202,LE_Curves!$M$5:$M$205,1))+($R202-INDEX(LE_Curves!$M$5:$M$205,MATCH($R202,LE_Curves!$M$5:$M$205,1)))*(INDEX(LE_Curves!$B$5:$B$205,MATCH($R202,LE_Curves!$M$5:$M$205,1)+1)-INDEX(LE_Curves!$B$5:$B$205,MATCH($R202,LE_Curves!$M$5:$M$205,1)))/(INDEX(LE_Curves!$M$5:$M$205,MATCH($R202,LE_Curves!$M$5:$M$205,1)+1)-INDEX(LE_Curves!$M$5:$M$205,MATCH($R202,LE_Curves!$M$5:$M$205,1))))))</f>
        <v/>
      </c>
      <c r="AD202" s="11">
        <f>IF(Inputs!$D$34=0,0,IF($R202&lt;=Inputs!$C$34,0,IF($R202&gt;=INDEX(LE_Curves!$N$5:$N$205,201),INDEX(LE_Curves!$B$5:$B$205,201),INDEX(LE_Curves!$B$5:$B$205,MATCH($R202,LE_Curves!$N$5:$N$205,1))+($R202-INDEX(LE_Curves!$N$5:$N$205,MATCH($R202,LE_Curves!$N$5:$N$205,1)))*(INDEX(LE_Curves!$B$5:$B$205,MATCH($R202,LE_Curves!$N$5:$N$205,1)+1)-INDEX(LE_Curves!$B$5:$B$205,MATCH($R202,LE_Curves!$N$5:$N$205,1)))/(INDEX(LE_Curves!$N$5:$N$205,MATCH($R202,LE_Curves!$N$5:$N$205,1)+1)-INDEX(LE_Curves!$N$5:$N$205,MATCH($R202,LE_Curves!$N$5:$N$205,1))))))</f>
        <v/>
      </c>
      <c r="AE202" s="37">
        <f>SUM(S202:AD202)</f>
        <v/>
      </c>
    </row>
    <row r="203">
      <c r="A203" s="7" t="n">
        <v>172</v>
      </c>
      <c r="B203" s="37">
        <f>$B$3+($B$4-$B$3)*A203/200</f>
        <v/>
      </c>
      <c r="C203" s="11">
        <f>IF(Inputs!$D$23=0,0,IF($B203&lt;=Inputs!$C$23,0,IF($B203&gt;=INDEX(LE_Curves!$C$5:$C$205,201),INDEX(LE_Curves!$B$5:$B$205,201),INDEX(LE_Curves!$B$5:$B$205,MATCH($B203,LE_Curves!$C$5:$C$205,1))+($B203-INDEX(LE_Curves!$C$5:$C$205,MATCH($B203,LE_Curves!$C$5:$C$205,1)))*(INDEX(LE_Curves!$B$5:$B$205,MATCH($B203,LE_Curves!$C$5:$C$205,1)+1)-INDEX(LE_Curves!$B$5:$B$205,MATCH($B203,LE_Curves!$C$5:$C$205,1)))/(INDEX(LE_Curves!$C$5:$C$205,MATCH($B203,LE_Curves!$C$5:$C$205,1)+1)-INDEX(LE_Curves!$C$5:$C$205,MATCH($B203,LE_Curves!$C$5:$C$205,1))))))</f>
        <v/>
      </c>
      <c r="D203" s="11">
        <f>IF(Inputs!$D$24=0,0,IF($B203&lt;=Inputs!$C$24,0,IF($B203&gt;=INDEX(LE_Curves!$D$5:$D$205,201),INDEX(LE_Curves!$B$5:$B$205,201),INDEX(LE_Curves!$B$5:$B$205,MATCH($B203,LE_Curves!$D$5:$D$205,1))+($B203-INDEX(LE_Curves!$D$5:$D$205,MATCH($B203,LE_Curves!$D$5:$D$205,1)))*(INDEX(LE_Curves!$B$5:$B$205,MATCH($B203,LE_Curves!$D$5:$D$205,1)+1)-INDEX(LE_Curves!$B$5:$B$205,MATCH($B203,LE_Curves!$D$5:$D$205,1)))/(INDEX(LE_Curves!$D$5:$D$205,MATCH($B203,LE_Curves!$D$5:$D$205,1)+1)-INDEX(LE_Curves!$D$5:$D$205,MATCH($B203,LE_Curves!$D$5:$D$205,1))))))</f>
        <v/>
      </c>
      <c r="E203" s="11">
        <f>IF(Inputs!$D$25=0,0,IF($B203&lt;=Inputs!$C$25,0,IF($B203&gt;=INDEX(LE_Curves!$E$5:$E$205,201),INDEX(LE_Curves!$B$5:$B$205,201),INDEX(LE_Curves!$B$5:$B$205,MATCH($B203,LE_Curves!$E$5:$E$205,1))+($B203-INDEX(LE_Curves!$E$5:$E$205,MATCH($B203,LE_Curves!$E$5:$E$205,1)))*(INDEX(LE_Curves!$B$5:$B$205,MATCH($B203,LE_Curves!$E$5:$E$205,1)+1)-INDEX(LE_Curves!$B$5:$B$205,MATCH($B203,LE_Curves!$E$5:$E$205,1)))/(INDEX(LE_Curves!$E$5:$E$205,MATCH($B203,LE_Curves!$E$5:$E$205,1)+1)-INDEX(LE_Curves!$E$5:$E$205,MATCH($B203,LE_Curves!$E$5:$E$205,1))))))</f>
        <v/>
      </c>
      <c r="F203" s="11">
        <f>IF(Inputs!$D$26=0,0,IF($B203&lt;=Inputs!$C$26,0,IF($B203&gt;=INDEX(LE_Curves!$F$5:$F$205,201),INDEX(LE_Curves!$B$5:$B$205,201),INDEX(LE_Curves!$B$5:$B$205,MATCH($B203,LE_Curves!$F$5:$F$205,1))+($B203-INDEX(LE_Curves!$F$5:$F$205,MATCH($B203,LE_Curves!$F$5:$F$205,1)))*(INDEX(LE_Curves!$B$5:$B$205,MATCH($B203,LE_Curves!$F$5:$F$205,1)+1)-INDEX(LE_Curves!$B$5:$B$205,MATCH($B203,LE_Curves!$F$5:$F$205,1)))/(INDEX(LE_Curves!$F$5:$F$205,MATCH($B203,LE_Curves!$F$5:$F$205,1)+1)-INDEX(LE_Curves!$F$5:$F$205,MATCH($B203,LE_Curves!$F$5:$F$205,1))))))</f>
        <v/>
      </c>
      <c r="G203" s="11">
        <f>IF(Inputs!$D$27=0,0,IF($B203&lt;=Inputs!$C$27,0,IF($B203&gt;=INDEX(LE_Curves!$G$5:$G$205,201),INDEX(LE_Curves!$B$5:$B$205,201),INDEX(LE_Curves!$B$5:$B$205,MATCH($B203,LE_Curves!$G$5:$G$205,1))+($B203-INDEX(LE_Curves!$G$5:$G$205,MATCH($B203,LE_Curves!$G$5:$G$205,1)))*(INDEX(LE_Curves!$B$5:$B$205,MATCH($B203,LE_Curves!$G$5:$G$205,1)+1)-INDEX(LE_Curves!$B$5:$B$205,MATCH($B203,LE_Curves!$G$5:$G$205,1)))/(INDEX(LE_Curves!$G$5:$G$205,MATCH($B203,LE_Curves!$G$5:$G$205,1)+1)-INDEX(LE_Curves!$G$5:$G$205,MATCH($B203,LE_Curves!$G$5:$G$205,1))))))</f>
        <v/>
      </c>
      <c r="H203" s="11">
        <f>IF(Inputs!$D$28=0,0,IF($B203&lt;=Inputs!$C$28,0,IF($B203&gt;=INDEX(LE_Curves!$H$5:$H$205,201),INDEX(LE_Curves!$B$5:$B$205,201),INDEX(LE_Curves!$B$5:$B$205,MATCH($B203,LE_Curves!$H$5:$H$205,1))+($B203-INDEX(LE_Curves!$H$5:$H$205,MATCH($B203,LE_Curves!$H$5:$H$205,1)))*(INDEX(LE_Curves!$B$5:$B$205,MATCH($B203,LE_Curves!$H$5:$H$205,1)+1)-INDEX(LE_Curves!$B$5:$B$205,MATCH($B203,LE_Curves!$H$5:$H$205,1)))/(INDEX(LE_Curves!$H$5:$H$205,MATCH($B203,LE_Curves!$H$5:$H$205,1)+1)-INDEX(LE_Curves!$H$5:$H$205,MATCH($B203,LE_Curves!$H$5:$H$205,1))))))</f>
        <v/>
      </c>
      <c r="I203" s="11">
        <f>IF(Inputs!$D$29=0,0,IF($B203&lt;=Inputs!$C$29,0,IF($B203&gt;=INDEX(LE_Curves!$I$5:$I$205,201),INDEX(LE_Curves!$B$5:$B$205,201),INDEX(LE_Curves!$B$5:$B$205,MATCH($B203,LE_Curves!$I$5:$I$205,1))+($B203-INDEX(LE_Curves!$I$5:$I$205,MATCH($B203,LE_Curves!$I$5:$I$205,1)))*(INDEX(LE_Curves!$B$5:$B$205,MATCH($B203,LE_Curves!$I$5:$I$205,1)+1)-INDEX(LE_Curves!$B$5:$B$205,MATCH($B203,LE_Curves!$I$5:$I$205,1)))/(INDEX(LE_Curves!$I$5:$I$205,MATCH($B203,LE_Curves!$I$5:$I$205,1)+1)-INDEX(LE_Curves!$I$5:$I$205,MATCH($B203,LE_Curves!$I$5:$I$205,1))))))</f>
        <v/>
      </c>
      <c r="J203" s="11">
        <f>IF(Inputs!$D$30=0,0,IF($B203&lt;=Inputs!$C$30,0,IF($B203&gt;=INDEX(LE_Curves!$J$5:$J$205,201),INDEX(LE_Curves!$B$5:$B$205,201),INDEX(LE_Curves!$B$5:$B$205,MATCH($B203,LE_Curves!$J$5:$J$205,1))+($B203-INDEX(LE_Curves!$J$5:$J$205,MATCH($B203,LE_Curves!$J$5:$J$205,1)))*(INDEX(LE_Curves!$B$5:$B$205,MATCH($B203,LE_Curves!$J$5:$J$205,1)+1)-INDEX(LE_Curves!$B$5:$B$205,MATCH($B203,LE_Curves!$J$5:$J$205,1)))/(INDEX(LE_Curves!$J$5:$J$205,MATCH($B203,LE_Curves!$J$5:$J$205,1)+1)-INDEX(LE_Curves!$J$5:$J$205,MATCH($B203,LE_Curves!$J$5:$J$205,1))))))</f>
        <v/>
      </c>
      <c r="K203" s="11">
        <f>IF(Inputs!$D$31=0,0,IF($B203&lt;=Inputs!$C$31,0,IF($B203&gt;=INDEX(LE_Curves!$K$5:$K$205,201),INDEX(LE_Curves!$B$5:$B$205,201),INDEX(LE_Curves!$B$5:$B$205,MATCH($B203,LE_Curves!$K$5:$K$205,1))+($B203-INDEX(LE_Curves!$K$5:$K$205,MATCH($B203,LE_Curves!$K$5:$K$205,1)))*(INDEX(LE_Curves!$B$5:$B$205,MATCH($B203,LE_Curves!$K$5:$K$205,1)+1)-INDEX(LE_Curves!$B$5:$B$205,MATCH($B203,LE_Curves!$K$5:$K$205,1)))/(INDEX(LE_Curves!$K$5:$K$205,MATCH($B203,LE_Curves!$K$5:$K$205,1)+1)-INDEX(LE_Curves!$K$5:$K$205,MATCH($B203,LE_Curves!$K$5:$K$205,1))))))</f>
        <v/>
      </c>
      <c r="L203" s="11">
        <f>IF(Inputs!$D$32=0,0,IF($B203&lt;=Inputs!$C$32,0,IF($B203&gt;=INDEX(LE_Curves!$L$5:$L$205,201),INDEX(LE_Curves!$B$5:$B$205,201),INDEX(LE_Curves!$B$5:$B$205,MATCH($B203,LE_Curves!$L$5:$L$205,1))+($B203-INDEX(LE_Curves!$L$5:$L$205,MATCH($B203,LE_Curves!$L$5:$L$205,1)))*(INDEX(LE_Curves!$B$5:$B$205,MATCH($B203,LE_Curves!$L$5:$L$205,1)+1)-INDEX(LE_Curves!$B$5:$B$205,MATCH($B203,LE_Curves!$L$5:$L$205,1)))/(INDEX(LE_Curves!$L$5:$L$205,MATCH($B203,LE_Curves!$L$5:$L$205,1)+1)-INDEX(LE_Curves!$L$5:$L$205,MATCH($B203,LE_Curves!$L$5:$L$205,1))))))</f>
        <v/>
      </c>
      <c r="M203" s="11">
        <f>IF(Inputs!$D$33=0,0,IF($B203&lt;=Inputs!$C$33,0,IF($B203&gt;=INDEX(LE_Curves!$M$5:$M$205,201),INDEX(LE_Curves!$B$5:$B$205,201),INDEX(LE_Curves!$B$5:$B$205,MATCH($B203,LE_Curves!$M$5:$M$205,1))+($B203-INDEX(LE_Curves!$M$5:$M$205,MATCH($B203,LE_Curves!$M$5:$M$205,1)))*(INDEX(LE_Curves!$B$5:$B$205,MATCH($B203,LE_Curves!$M$5:$M$205,1)+1)-INDEX(LE_Curves!$B$5:$B$205,MATCH($B203,LE_Curves!$M$5:$M$205,1)))/(INDEX(LE_Curves!$M$5:$M$205,MATCH($B203,LE_Curves!$M$5:$M$205,1)+1)-INDEX(LE_Curves!$M$5:$M$205,MATCH($B203,LE_Curves!$M$5:$M$205,1))))))</f>
        <v/>
      </c>
      <c r="N203" s="11">
        <f>IF(Inputs!$D$34=0,0,IF($B203&lt;=Inputs!$C$34,0,IF($B203&gt;=INDEX(LE_Curves!$N$5:$N$205,201),INDEX(LE_Curves!$B$5:$B$205,201),INDEX(LE_Curves!$B$5:$B$205,MATCH($B203,LE_Curves!$N$5:$N$205,1))+($B203-INDEX(LE_Curves!$N$5:$N$205,MATCH($B203,LE_Curves!$N$5:$N$205,1)))*(INDEX(LE_Curves!$B$5:$B$205,MATCH($B203,LE_Curves!$N$5:$N$205,1)+1)-INDEX(LE_Curves!$B$5:$B$205,MATCH($B203,LE_Curves!$N$5:$N$205,1)))/(INDEX(LE_Curves!$N$5:$N$205,MATCH($B203,LE_Curves!$N$5:$N$205,1)+1)-INDEX(LE_Curves!$N$5:$N$205,MATCH($B203,LE_Curves!$N$5:$N$205,1))))))</f>
        <v/>
      </c>
      <c r="O203" s="11">
        <f>SUM(C203:N203)</f>
        <v/>
      </c>
      <c r="Q203" s="7" t="n">
        <v>172</v>
      </c>
      <c r="R203" s="23">
        <f>$B$6+($B$7-$B$6)*Q203/200</f>
        <v/>
      </c>
      <c r="S203" s="11">
        <f>IF(Inputs!$D$23=0,0,IF($R203&lt;=Inputs!$C$23,0,IF($R203&gt;=INDEX(LE_Curves!$C$5:$C$205,201),INDEX(LE_Curves!$B$5:$B$205,201),INDEX(LE_Curves!$B$5:$B$205,MATCH($R203,LE_Curves!$C$5:$C$205,1))+($R203-INDEX(LE_Curves!$C$5:$C$205,MATCH($R203,LE_Curves!$C$5:$C$205,1)))*(INDEX(LE_Curves!$B$5:$B$205,MATCH($R203,LE_Curves!$C$5:$C$205,1)+1)-INDEX(LE_Curves!$B$5:$B$205,MATCH($R203,LE_Curves!$C$5:$C$205,1)))/(INDEX(LE_Curves!$C$5:$C$205,MATCH($R203,LE_Curves!$C$5:$C$205,1)+1)-INDEX(LE_Curves!$C$5:$C$205,MATCH($R203,LE_Curves!$C$5:$C$205,1))))))</f>
        <v/>
      </c>
      <c r="T203" s="11">
        <f>IF(Inputs!$D$24=0,0,IF($R203&lt;=Inputs!$C$24,0,IF($R203&gt;=INDEX(LE_Curves!$D$5:$D$205,201),INDEX(LE_Curves!$B$5:$B$205,201),INDEX(LE_Curves!$B$5:$B$205,MATCH($R203,LE_Curves!$D$5:$D$205,1))+($R203-INDEX(LE_Curves!$D$5:$D$205,MATCH($R203,LE_Curves!$D$5:$D$205,1)))*(INDEX(LE_Curves!$B$5:$B$205,MATCH($R203,LE_Curves!$D$5:$D$205,1)+1)-INDEX(LE_Curves!$B$5:$B$205,MATCH($R203,LE_Curves!$D$5:$D$205,1)))/(INDEX(LE_Curves!$D$5:$D$205,MATCH($R203,LE_Curves!$D$5:$D$205,1)+1)-INDEX(LE_Curves!$D$5:$D$205,MATCH($R203,LE_Curves!$D$5:$D$205,1))))))</f>
        <v/>
      </c>
      <c r="U203" s="11">
        <f>IF(Inputs!$D$25=0,0,IF($R203&lt;=Inputs!$C$25,0,IF($R203&gt;=INDEX(LE_Curves!$E$5:$E$205,201),INDEX(LE_Curves!$B$5:$B$205,201),INDEX(LE_Curves!$B$5:$B$205,MATCH($R203,LE_Curves!$E$5:$E$205,1))+($R203-INDEX(LE_Curves!$E$5:$E$205,MATCH($R203,LE_Curves!$E$5:$E$205,1)))*(INDEX(LE_Curves!$B$5:$B$205,MATCH($R203,LE_Curves!$E$5:$E$205,1)+1)-INDEX(LE_Curves!$B$5:$B$205,MATCH($R203,LE_Curves!$E$5:$E$205,1)))/(INDEX(LE_Curves!$E$5:$E$205,MATCH($R203,LE_Curves!$E$5:$E$205,1)+1)-INDEX(LE_Curves!$E$5:$E$205,MATCH($R203,LE_Curves!$E$5:$E$205,1))))))</f>
        <v/>
      </c>
      <c r="V203" s="11">
        <f>IF(Inputs!$D$26=0,0,IF($R203&lt;=Inputs!$C$26,0,IF($R203&gt;=INDEX(LE_Curves!$F$5:$F$205,201),INDEX(LE_Curves!$B$5:$B$205,201),INDEX(LE_Curves!$B$5:$B$205,MATCH($R203,LE_Curves!$F$5:$F$205,1))+($R203-INDEX(LE_Curves!$F$5:$F$205,MATCH($R203,LE_Curves!$F$5:$F$205,1)))*(INDEX(LE_Curves!$B$5:$B$205,MATCH($R203,LE_Curves!$F$5:$F$205,1)+1)-INDEX(LE_Curves!$B$5:$B$205,MATCH($R203,LE_Curves!$F$5:$F$205,1)))/(INDEX(LE_Curves!$F$5:$F$205,MATCH($R203,LE_Curves!$F$5:$F$205,1)+1)-INDEX(LE_Curves!$F$5:$F$205,MATCH($R203,LE_Curves!$F$5:$F$205,1))))))</f>
        <v/>
      </c>
      <c r="W203" s="11">
        <f>IF(Inputs!$D$27=0,0,IF($R203&lt;=Inputs!$C$27,0,IF($R203&gt;=INDEX(LE_Curves!$G$5:$G$205,201),INDEX(LE_Curves!$B$5:$B$205,201),INDEX(LE_Curves!$B$5:$B$205,MATCH($R203,LE_Curves!$G$5:$G$205,1))+($R203-INDEX(LE_Curves!$G$5:$G$205,MATCH($R203,LE_Curves!$G$5:$G$205,1)))*(INDEX(LE_Curves!$B$5:$B$205,MATCH($R203,LE_Curves!$G$5:$G$205,1)+1)-INDEX(LE_Curves!$B$5:$B$205,MATCH($R203,LE_Curves!$G$5:$G$205,1)))/(INDEX(LE_Curves!$G$5:$G$205,MATCH($R203,LE_Curves!$G$5:$G$205,1)+1)-INDEX(LE_Curves!$G$5:$G$205,MATCH($R203,LE_Curves!$G$5:$G$205,1))))))</f>
        <v/>
      </c>
      <c r="X203" s="11">
        <f>IF(Inputs!$D$28=0,0,IF($R203&lt;=Inputs!$C$28,0,IF($R203&gt;=INDEX(LE_Curves!$H$5:$H$205,201),INDEX(LE_Curves!$B$5:$B$205,201),INDEX(LE_Curves!$B$5:$B$205,MATCH($R203,LE_Curves!$H$5:$H$205,1))+($R203-INDEX(LE_Curves!$H$5:$H$205,MATCH($R203,LE_Curves!$H$5:$H$205,1)))*(INDEX(LE_Curves!$B$5:$B$205,MATCH($R203,LE_Curves!$H$5:$H$205,1)+1)-INDEX(LE_Curves!$B$5:$B$205,MATCH($R203,LE_Curves!$H$5:$H$205,1)))/(INDEX(LE_Curves!$H$5:$H$205,MATCH($R203,LE_Curves!$H$5:$H$205,1)+1)-INDEX(LE_Curves!$H$5:$H$205,MATCH($R203,LE_Curves!$H$5:$H$205,1))))))</f>
        <v/>
      </c>
      <c r="Y203" s="11">
        <f>IF(Inputs!$D$29=0,0,IF($R203&lt;=Inputs!$C$29,0,IF($R203&gt;=INDEX(LE_Curves!$I$5:$I$205,201),INDEX(LE_Curves!$B$5:$B$205,201),INDEX(LE_Curves!$B$5:$B$205,MATCH($R203,LE_Curves!$I$5:$I$205,1))+($R203-INDEX(LE_Curves!$I$5:$I$205,MATCH($R203,LE_Curves!$I$5:$I$205,1)))*(INDEX(LE_Curves!$B$5:$B$205,MATCH($R203,LE_Curves!$I$5:$I$205,1)+1)-INDEX(LE_Curves!$B$5:$B$205,MATCH($R203,LE_Curves!$I$5:$I$205,1)))/(INDEX(LE_Curves!$I$5:$I$205,MATCH($R203,LE_Curves!$I$5:$I$205,1)+1)-INDEX(LE_Curves!$I$5:$I$205,MATCH($R203,LE_Curves!$I$5:$I$205,1))))))</f>
        <v/>
      </c>
      <c r="Z203" s="11">
        <f>IF(Inputs!$D$30=0,0,IF($R203&lt;=Inputs!$C$30,0,IF($R203&gt;=INDEX(LE_Curves!$J$5:$J$205,201),INDEX(LE_Curves!$B$5:$B$205,201),INDEX(LE_Curves!$B$5:$B$205,MATCH($R203,LE_Curves!$J$5:$J$205,1))+($R203-INDEX(LE_Curves!$J$5:$J$205,MATCH($R203,LE_Curves!$J$5:$J$205,1)))*(INDEX(LE_Curves!$B$5:$B$205,MATCH($R203,LE_Curves!$J$5:$J$205,1)+1)-INDEX(LE_Curves!$B$5:$B$205,MATCH($R203,LE_Curves!$J$5:$J$205,1)))/(INDEX(LE_Curves!$J$5:$J$205,MATCH($R203,LE_Curves!$J$5:$J$205,1)+1)-INDEX(LE_Curves!$J$5:$J$205,MATCH($R203,LE_Curves!$J$5:$J$205,1))))))</f>
        <v/>
      </c>
      <c r="AA203" s="11">
        <f>IF(Inputs!$D$31=0,0,IF($R203&lt;=Inputs!$C$31,0,IF($R203&gt;=INDEX(LE_Curves!$K$5:$K$205,201),INDEX(LE_Curves!$B$5:$B$205,201),INDEX(LE_Curves!$B$5:$B$205,MATCH($R203,LE_Curves!$K$5:$K$205,1))+($R203-INDEX(LE_Curves!$K$5:$K$205,MATCH($R203,LE_Curves!$K$5:$K$205,1)))*(INDEX(LE_Curves!$B$5:$B$205,MATCH($R203,LE_Curves!$K$5:$K$205,1)+1)-INDEX(LE_Curves!$B$5:$B$205,MATCH($R203,LE_Curves!$K$5:$K$205,1)))/(INDEX(LE_Curves!$K$5:$K$205,MATCH($R203,LE_Curves!$K$5:$K$205,1)+1)-INDEX(LE_Curves!$K$5:$K$205,MATCH($R203,LE_Curves!$K$5:$K$205,1))))))</f>
        <v/>
      </c>
      <c r="AB203" s="11">
        <f>IF(Inputs!$D$32=0,0,IF($R203&lt;=Inputs!$C$32,0,IF($R203&gt;=INDEX(LE_Curves!$L$5:$L$205,201),INDEX(LE_Curves!$B$5:$B$205,201),INDEX(LE_Curves!$B$5:$B$205,MATCH($R203,LE_Curves!$L$5:$L$205,1))+($R203-INDEX(LE_Curves!$L$5:$L$205,MATCH($R203,LE_Curves!$L$5:$L$205,1)))*(INDEX(LE_Curves!$B$5:$B$205,MATCH($R203,LE_Curves!$L$5:$L$205,1)+1)-INDEX(LE_Curves!$B$5:$B$205,MATCH($R203,LE_Curves!$L$5:$L$205,1)))/(INDEX(LE_Curves!$L$5:$L$205,MATCH($R203,LE_Curves!$L$5:$L$205,1)+1)-INDEX(LE_Curves!$L$5:$L$205,MATCH($R203,LE_Curves!$L$5:$L$205,1))))))</f>
        <v/>
      </c>
      <c r="AC203" s="11">
        <f>IF(Inputs!$D$33=0,0,IF($R203&lt;=Inputs!$C$33,0,IF($R203&gt;=INDEX(LE_Curves!$M$5:$M$205,201),INDEX(LE_Curves!$B$5:$B$205,201),INDEX(LE_Curves!$B$5:$B$205,MATCH($R203,LE_Curves!$M$5:$M$205,1))+($R203-INDEX(LE_Curves!$M$5:$M$205,MATCH($R203,LE_Curves!$M$5:$M$205,1)))*(INDEX(LE_Curves!$B$5:$B$205,MATCH($R203,LE_Curves!$M$5:$M$205,1)+1)-INDEX(LE_Curves!$B$5:$B$205,MATCH($R203,LE_Curves!$M$5:$M$205,1)))/(INDEX(LE_Curves!$M$5:$M$205,MATCH($R203,LE_Curves!$M$5:$M$205,1)+1)-INDEX(LE_Curves!$M$5:$M$205,MATCH($R203,LE_Curves!$M$5:$M$205,1))))))</f>
        <v/>
      </c>
      <c r="AD203" s="11">
        <f>IF(Inputs!$D$34=0,0,IF($R203&lt;=Inputs!$C$34,0,IF($R203&gt;=INDEX(LE_Curves!$N$5:$N$205,201),INDEX(LE_Curves!$B$5:$B$205,201),INDEX(LE_Curves!$B$5:$B$205,MATCH($R203,LE_Curves!$N$5:$N$205,1))+($R203-INDEX(LE_Curves!$N$5:$N$205,MATCH($R203,LE_Curves!$N$5:$N$205,1)))*(INDEX(LE_Curves!$B$5:$B$205,MATCH($R203,LE_Curves!$N$5:$N$205,1)+1)-INDEX(LE_Curves!$B$5:$B$205,MATCH($R203,LE_Curves!$N$5:$N$205,1)))/(INDEX(LE_Curves!$N$5:$N$205,MATCH($R203,LE_Curves!$N$5:$N$205,1)+1)-INDEX(LE_Curves!$N$5:$N$205,MATCH($R203,LE_Curves!$N$5:$N$205,1))))))</f>
        <v/>
      </c>
      <c r="AE203" s="37">
        <f>SUM(S203:AD203)</f>
        <v/>
      </c>
    </row>
    <row r="204">
      <c r="A204" s="7" t="n">
        <v>173</v>
      </c>
      <c r="B204" s="37">
        <f>$B$3+($B$4-$B$3)*A204/200</f>
        <v/>
      </c>
      <c r="C204" s="11">
        <f>IF(Inputs!$D$23=0,0,IF($B204&lt;=Inputs!$C$23,0,IF($B204&gt;=INDEX(LE_Curves!$C$5:$C$205,201),INDEX(LE_Curves!$B$5:$B$205,201),INDEX(LE_Curves!$B$5:$B$205,MATCH($B204,LE_Curves!$C$5:$C$205,1))+($B204-INDEX(LE_Curves!$C$5:$C$205,MATCH($B204,LE_Curves!$C$5:$C$205,1)))*(INDEX(LE_Curves!$B$5:$B$205,MATCH($B204,LE_Curves!$C$5:$C$205,1)+1)-INDEX(LE_Curves!$B$5:$B$205,MATCH($B204,LE_Curves!$C$5:$C$205,1)))/(INDEX(LE_Curves!$C$5:$C$205,MATCH($B204,LE_Curves!$C$5:$C$205,1)+1)-INDEX(LE_Curves!$C$5:$C$205,MATCH($B204,LE_Curves!$C$5:$C$205,1))))))</f>
        <v/>
      </c>
      <c r="D204" s="11">
        <f>IF(Inputs!$D$24=0,0,IF($B204&lt;=Inputs!$C$24,0,IF($B204&gt;=INDEX(LE_Curves!$D$5:$D$205,201),INDEX(LE_Curves!$B$5:$B$205,201),INDEX(LE_Curves!$B$5:$B$205,MATCH($B204,LE_Curves!$D$5:$D$205,1))+($B204-INDEX(LE_Curves!$D$5:$D$205,MATCH($B204,LE_Curves!$D$5:$D$205,1)))*(INDEX(LE_Curves!$B$5:$B$205,MATCH($B204,LE_Curves!$D$5:$D$205,1)+1)-INDEX(LE_Curves!$B$5:$B$205,MATCH($B204,LE_Curves!$D$5:$D$205,1)))/(INDEX(LE_Curves!$D$5:$D$205,MATCH($B204,LE_Curves!$D$5:$D$205,1)+1)-INDEX(LE_Curves!$D$5:$D$205,MATCH($B204,LE_Curves!$D$5:$D$205,1))))))</f>
        <v/>
      </c>
      <c r="E204" s="11">
        <f>IF(Inputs!$D$25=0,0,IF($B204&lt;=Inputs!$C$25,0,IF($B204&gt;=INDEX(LE_Curves!$E$5:$E$205,201),INDEX(LE_Curves!$B$5:$B$205,201),INDEX(LE_Curves!$B$5:$B$205,MATCH($B204,LE_Curves!$E$5:$E$205,1))+($B204-INDEX(LE_Curves!$E$5:$E$205,MATCH($B204,LE_Curves!$E$5:$E$205,1)))*(INDEX(LE_Curves!$B$5:$B$205,MATCH($B204,LE_Curves!$E$5:$E$205,1)+1)-INDEX(LE_Curves!$B$5:$B$205,MATCH($B204,LE_Curves!$E$5:$E$205,1)))/(INDEX(LE_Curves!$E$5:$E$205,MATCH($B204,LE_Curves!$E$5:$E$205,1)+1)-INDEX(LE_Curves!$E$5:$E$205,MATCH($B204,LE_Curves!$E$5:$E$205,1))))))</f>
        <v/>
      </c>
      <c r="F204" s="11">
        <f>IF(Inputs!$D$26=0,0,IF($B204&lt;=Inputs!$C$26,0,IF($B204&gt;=INDEX(LE_Curves!$F$5:$F$205,201),INDEX(LE_Curves!$B$5:$B$205,201),INDEX(LE_Curves!$B$5:$B$205,MATCH($B204,LE_Curves!$F$5:$F$205,1))+($B204-INDEX(LE_Curves!$F$5:$F$205,MATCH($B204,LE_Curves!$F$5:$F$205,1)))*(INDEX(LE_Curves!$B$5:$B$205,MATCH($B204,LE_Curves!$F$5:$F$205,1)+1)-INDEX(LE_Curves!$B$5:$B$205,MATCH($B204,LE_Curves!$F$5:$F$205,1)))/(INDEX(LE_Curves!$F$5:$F$205,MATCH($B204,LE_Curves!$F$5:$F$205,1)+1)-INDEX(LE_Curves!$F$5:$F$205,MATCH($B204,LE_Curves!$F$5:$F$205,1))))))</f>
        <v/>
      </c>
      <c r="G204" s="11">
        <f>IF(Inputs!$D$27=0,0,IF($B204&lt;=Inputs!$C$27,0,IF($B204&gt;=INDEX(LE_Curves!$G$5:$G$205,201),INDEX(LE_Curves!$B$5:$B$205,201),INDEX(LE_Curves!$B$5:$B$205,MATCH($B204,LE_Curves!$G$5:$G$205,1))+($B204-INDEX(LE_Curves!$G$5:$G$205,MATCH($B204,LE_Curves!$G$5:$G$205,1)))*(INDEX(LE_Curves!$B$5:$B$205,MATCH($B204,LE_Curves!$G$5:$G$205,1)+1)-INDEX(LE_Curves!$B$5:$B$205,MATCH($B204,LE_Curves!$G$5:$G$205,1)))/(INDEX(LE_Curves!$G$5:$G$205,MATCH($B204,LE_Curves!$G$5:$G$205,1)+1)-INDEX(LE_Curves!$G$5:$G$205,MATCH($B204,LE_Curves!$G$5:$G$205,1))))))</f>
        <v/>
      </c>
      <c r="H204" s="11">
        <f>IF(Inputs!$D$28=0,0,IF($B204&lt;=Inputs!$C$28,0,IF($B204&gt;=INDEX(LE_Curves!$H$5:$H$205,201),INDEX(LE_Curves!$B$5:$B$205,201),INDEX(LE_Curves!$B$5:$B$205,MATCH($B204,LE_Curves!$H$5:$H$205,1))+($B204-INDEX(LE_Curves!$H$5:$H$205,MATCH($B204,LE_Curves!$H$5:$H$205,1)))*(INDEX(LE_Curves!$B$5:$B$205,MATCH($B204,LE_Curves!$H$5:$H$205,1)+1)-INDEX(LE_Curves!$B$5:$B$205,MATCH($B204,LE_Curves!$H$5:$H$205,1)))/(INDEX(LE_Curves!$H$5:$H$205,MATCH($B204,LE_Curves!$H$5:$H$205,1)+1)-INDEX(LE_Curves!$H$5:$H$205,MATCH($B204,LE_Curves!$H$5:$H$205,1))))))</f>
        <v/>
      </c>
      <c r="I204" s="11">
        <f>IF(Inputs!$D$29=0,0,IF($B204&lt;=Inputs!$C$29,0,IF($B204&gt;=INDEX(LE_Curves!$I$5:$I$205,201),INDEX(LE_Curves!$B$5:$B$205,201),INDEX(LE_Curves!$B$5:$B$205,MATCH($B204,LE_Curves!$I$5:$I$205,1))+($B204-INDEX(LE_Curves!$I$5:$I$205,MATCH($B204,LE_Curves!$I$5:$I$205,1)))*(INDEX(LE_Curves!$B$5:$B$205,MATCH($B204,LE_Curves!$I$5:$I$205,1)+1)-INDEX(LE_Curves!$B$5:$B$205,MATCH($B204,LE_Curves!$I$5:$I$205,1)))/(INDEX(LE_Curves!$I$5:$I$205,MATCH($B204,LE_Curves!$I$5:$I$205,1)+1)-INDEX(LE_Curves!$I$5:$I$205,MATCH($B204,LE_Curves!$I$5:$I$205,1))))))</f>
        <v/>
      </c>
      <c r="J204" s="11">
        <f>IF(Inputs!$D$30=0,0,IF($B204&lt;=Inputs!$C$30,0,IF($B204&gt;=INDEX(LE_Curves!$J$5:$J$205,201),INDEX(LE_Curves!$B$5:$B$205,201),INDEX(LE_Curves!$B$5:$B$205,MATCH($B204,LE_Curves!$J$5:$J$205,1))+($B204-INDEX(LE_Curves!$J$5:$J$205,MATCH($B204,LE_Curves!$J$5:$J$205,1)))*(INDEX(LE_Curves!$B$5:$B$205,MATCH($B204,LE_Curves!$J$5:$J$205,1)+1)-INDEX(LE_Curves!$B$5:$B$205,MATCH($B204,LE_Curves!$J$5:$J$205,1)))/(INDEX(LE_Curves!$J$5:$J$205,MATCH($B204,LE_Curves!$J$5:$J$205,1)+1)-INDEX(LE_Curves!$J$5:$J$205,MATCH($B204,LE_Curves!$J$5:$J$205,1))))))</f>
        <v/>
      </c>
      <c r="K204" s="11">
        <f>IF(Inputs!$D$31=0,0,IF($B204&lt;=Inputs!$C$31,0,IF($B204&gt;=INDEX(LE_Curves!$K$5:$K$205,201),INDEX(LE_Curves!$B$5:$B$205,201),INDEX(LE_Curves!$B$5:$B$205,MATCH($B204,LE_Curves!$K$5:$K$205,1))+($B204-INDEX(LE_Curves!$K$5:$K$205,MATCH($B204,LE_Curves!$K$5:$K$205,1)))*(INDEX(LE_Curves!$B$5:$B$205,MATCH($B204,LE_Curves!$K$5:$K$205,1)+1)-INDEX(LE_Curves!$B$5:$B$205,MATCH($B204,LE_Curves!$K$5:$K$205,1)))/(INDEX(LE_Curves!$K$5:$K$205,MATCH($B204,LE_Curves!$K$5:$K$205,1)+1)-INDEX(LE_Curves!$K$5:$K$205,MATCH($B204,LE_Curves!$K$5:$K$205,1))))))</f>
        <v/>
      </c>
      <c r="L204" s="11">
        <f>IF(Inputs!$D$32=0,0,IF($B204&lt;=Inputs!$C$32,0,IF($B204&gt;=INDEX(LE_Curves!$L$5:$L$205,201),INDEX(LE_Curves!$B$5:$B$205,201),INDEX(LE_Curves!$B$5:$B$205,MATCH($B204,LE_Curves!$L$5:$L$205,1))+($B204-INDEX(LE_Curves!$L$5:$L$205,MATCH($B204,LE_Curves!$L$5:$L$205,1)))*(INDEX(LE_Curves!$B$5:$B$205,MATCH($B204,LE_Curves!$L$5:$L$205,1)+1)-INDEX(LE_Curves!$B$5:$B$205,MATCH($B204,LE_Curves!$L$5:$L$205,1)))/(INDEX(LE_Curves!$L$5:$L$205,MATCH($B204,LE_Curves!$L$5:$L$205,1)+1)-INDEX(LE_Curves!$L$5:$L$205,MATCH($B204,LE_Curves!$L$5:$L$205,1))))))</f>
        <v/>
      </c>
      <c r="M204" s="11">
        <f>IF(Inputs!$D$33=0,0,IF($B204&lt;=Inputs!$C$33,0,IF($B204&gt;=INDEX(LE_Curves!$M$5:$M$205,201),INDEX(LE_Curves!$B$5:$B$205,201),INDEX(LE_Curves!$B$5:$B$205,MATCH($B204,LE_Curves!$M$5:$M$205,1))+($B204-INDEX(LE_Curves!$M$5:$M$205,MATCH($B204,LE_Curves!$M$5:$M$205,1)))*(INDEX(LE_Curves!$B$5:$B$205,MATCH($B204,LE_Curves!$M$5:$M$205,1)+1)-INDEX(LE_Curves!$B$5:$B$205,MATCH($B204,LE_Curves!$M$5:$M$205,1)))/(INDEX(LE_Curves!$M$5:$M$205,MATCH($B204,LE_Curves!$M$5:$M$205,1)+1)-INDEX(LE_Curves!$M$5:$M$205,MATCH($B204,LE_Curves!$M$5:$M$205,1))))))</f>
        <v/>
      </c>
      <c r="N204" s="11">
        <f>IF(Inputs!$D$34=0,0,IF($B204&lt;=Inputs!$C$34,0,IF($B204&gt;=INDEX(LE_Curves!$N$5:$N$205,201),INDEX(LE_Curves!$B$5:$B$205,201),INDEX(LE_Curves!$B$5:$B$205,MATCH($B204,LE_Curves!$N$5:$N$205,1))+($B204-INDEX(LE_Curves!$N$5:$N$205,MATCH($B204,LE_Curves!$N$5:$N$205,1)))*(INDEX(LE_Curves!$B$5:$B$205,MATCH($B204,LE_Curves!$N$5:$N$205,1)+1)-INDEX(LE_Curves!$B$5:$B$205,MATCH($B204,LE_Curves!$N$5:$N$205,1)))/(INDEX(LE_Curves!$N$5:$N$205,MATCH($B204,LE_Curves!$N$5:$N$205,1)+1)-INDEX(LE_Curves!$N$5:$N$205,MATCH($B204,LE_Curves!$N$5:$N$205,1))))))</f>
        <v/>
      </c>
      <c r="O204" s="11">
        <f>SUM(C204:N204)</f>
        <v/>
      </c>
      <c r="Q204" s="7" t="n">
        <v>173</v>
      </c>
      <c r="R204" s="23">
        <f>$B$6+($B$7-$B$6)*Q204/200</f>
        <v/>
      </c>
      <c r="S204" s="11">
        <f>IF(Inputs!$D$23=0,0,IF($R204&lt;=Inputs!$C$23,0,IF($R204&gt;=INDEX(LE_Curves!$C$5:$C$205,201),INDEX(LE_Curves!$B$5:$B$205,201),INDEX(LE_Curves!$B$5:$B$205,MATCH($R204,LE_Curves!$C$5:$C$205,1))+($R204-INDEX(LE_Curves!$C$5:$C$205,MATCH($R204,LE_Curves!$C$5:$C$205,1)))*(INDEX(LE_Curves!$B$5:$B$205,MATCH($R204,LE_Curves!$C$5:$C$205,1)+1)-INDEX(LE_Curves!$B$5:$B$205,MATCH($R204,LE_Curves!$C$5:$C$205,1)))/(INDEX(LE_Curves!$C$5:$C$205,MATCH($R204,LE_Curves!$C$5:$C$205,1)+1)-INDEX(LE_Curves!$C$5:$C$205,MATCH($R204,LE_Curves!$C$5:$C$205,1))))))</f>
        <v/>
      </c>
      <c r="T204" s="11">
        <f>IF(Inputs!$D$24=0,0,IF($R204&lt;=Inputs!$C$24,0,IF($R204&gt;=INDEX(LE_Curves!$D$5:$D$205,201),INDEX(LE_Curves!$B$5:$B$205,201),INDEX(LE_Curves!$B$5:$B$205,MATCH($R204,LE_Curves!$D$5:$D$205,1))+($R204-INDEX(LE_Curves!$D$5:$D$205,MATCH($R204,LE_Curves!$D$5:$D$205,1)))*(INDEX(LE_Curves!$B$5:$B$205,MATCH($R204,LE_Curves!$D$5:$D$205,1)+1)-INDEX(LE_Curves!$B$5:$B$205,MATCH($R204,LE_Curves!$D$5:$D$205,1)))/(INDEX(LE_Curves!$D$5:$D$205,MATCH($R204,LE_Curves!$D$5:$D$205,1)+1)-INDEX(LE_Curves!$D$5:$D$205,MATCH($R204,LE_Curves!$D$5:$D$205,1))))))</f>
        <v/>
      </c>
      <c r="U204" s="11">
        <f>IF(Inputs!$D$25=0,0,IF($R204&lt;=Inputs!$C$25,0,IF($R204&gt;=INDEX(LE_Curves!$E$5:$E$205,201),INDEX(LE_Curves!$B$5:$B$205,201),INDEX(LE_Curves!$B$5:$B$205,MATCH($R204,LE_Curves!$E$5:$E$205,1))+($R204-INDEX(LE_Curves!$E$5:$E$205,MATCH($R204,LE_Curves!$E$5:$E$205,1)))*(INDEX(LE_Curves!$B$5:$B$205,MATCH($R204,LE_Curves!$E$5:$E$205,1)+1)-INDEX(LE_Curves!$B$5:$B$205,MATCH($R204,LE_Curves!$E$5:$E$205,1)))/(INDEX(LE_Curves!$E$5:$E$205,MATCH($R204,LE_Curves!$E$5:$E$205,1)+1)-INDEX(LE_Curves!$E$5:$E$205,MATCH($R204,LE_Curves!$E$5:$E$205,1))))))</f>
        <v/>
      </c>
      <c r="V204" s="11">
        <f>IF(Inputs!$D$26=0,0,IF($R204&lt;=Inputs!$C$26,0,IF($R204&gt;=INDEX(LE_Curves!$F$5:$F$205,201),INDEX(LE_Curves!$B$5:$B$205,201),INDEX(LE_Curves!$B$5:$B$205,MATCH($R204,LE_Curves!$F$5:$F$205,1))+($R204-INDEX(LE_Curves!$F$5:$F$205,MATCH($R204,LE_Curves!$F$5:$F$205,1)))*(INDEX(LE_Curves!$B$5:$B$205,MATCH($R204,LE_Curves!$F$5:$F$205,1)+1)-INDEX(LE_Curves!$B$5:$B$205,MATCH($R204,LE_Curves!$F$5:$F$205,1)))/(INDEX(LE_Curves!$F$5:$F$205,MATCH($R204,LE_Curves!$F$5:$F$205,1)+1)-INDEX(LE_Curves!$F$5:$F$205,MATCH($R204,LE_Curves!$F$5:$F$205,1))))))</f>
        <v/>
      </c>
      <c r="W204" s="11">
        <f>IF(Inputs!$D$27=0,0,IF($R204&lt;=Inputs!$C$27,0,IF($R204&gt;=INDEX(LE_Curves!$G$5:$G$205,201),INDEX(LE_Curves!$B$5:$B$205,201),INDEX(LE_Curves!$B$5:$B$205,MATCH($R204,LE_Curves!$G$5:$G$205,1))+($R204-INDEX(LE_Curves!$G$5:$G$205,MATCH($R204,LE_Curves!$G$5:$G$205,1)))*(INDEX(LE_Curves!$B$5:$B$205,MATCH($R204,LE_Curves!$G$5:$G$205,1)+1)-INDEX(LE_Curves!$B$5:$B$205,MATCH($R204,LE_Curves!$G$5:$G$205,1)))/(INDEX(LE_Curves!$G$5:$G$205,MATCH($R204,LE_Curves!$G$5:$G$205,1)+1)-INDEX(LE_Curves!$G$5:$G$205,MATCH($R204,LE_Curves!$G$5:$G$205,1))))))</f>
        <v/>
      </c>
      <c r="X204" s="11">
        <f>IF(Inputs!$D$28=0,0,IF($R204&lt;=Inputs!$C$28,0,IF($R204&gt;=INDEX(LE_Curves!$H$5:$H$205,201),INDEX(LE_Curves!$B$5:$B$205,201),INDEX(LE_Curves!$B$5:$B$205,MATCH($R204,LE_Curves!$H$5:$H$205,1))+($R204-INDEX(LE_Curves!$H$5:$H$205,MATCH($R204,LE_Curves!$H$5:$H$205,1)))*(INDEX(LE_Curves!$B$5:$B$205,MATCH($R204,LE_Curves!$H$5:$H$205,1)+1)-INDEX(LE_Curves!$B$5:$B$205,MATCH($R204,LE_Curves!$H$5:$H$205,1)))/(INDEX(LE_Curves!$H$5:$H$205,MATCH($R204,LE_Curves!$H$5:$H$205,1)+1)-INDEX(LE_Curves!$H$5:$H$205,MATCH($R204,LE_Curves!$H$5:$H$205,1))))))</f>
        <v/>
      </c>
      <c r="Y204" s="11">
        <f>IF(Inputs!$D$29=0,0,IF($R204&lt;=Inputs!$C$29,0,IF($R204&gt;=INDEX(LE_Curves!$I$5:$I$205,201),INDEX(LE_Curves!$B$5:$B$205,201),INDEX(LE_Curves!$B$5:$B$205,MATCH($R204,LE_Curves!$I$5:$I$205,1))+($R204-INDEX(LE_Curves!$I$5:$I$205,MATCH($R204,LE_Curves!$I$5:$I$205,1)))*(INDEX(LE_Curves!$B$5:$B$205,MATCH($R204,LE_Curves!$I$5:$I$205,1)+1)-INDEX(LE_Curves!$B$5:$B$205,MATCH($R204,LE_Curves!$I$5:$I$205,1)))/(INDEX(LE_Curves!$I$5:$I$205,MATCH($R204,LE_Curves!$I$5:$I$205,1)+1)-INDEX(LE_Curves!$I$5:$I$205,MATCH($R204,LE_Curves!$I$5:$I$205,1))))))</f>
        <v/>
      </c>
      <c r="Z204" s="11">
        <f>IF(Inputs!$D$30=0,0,IF($R204&lt;=Inputs!$C$30,0,IF($R204&gt;=INDEX(LE_Curves!$J$5:$J$205,201),INDEX(LE_Curves!$B$5:$B$205,201),INDEX(LE_Curves!$B$5:$B$205,MATCH($R204,LE_Curves!$J$5:$J$205,1))+($R204-INDEX(LE_Curves!$J$5:$J$205,MATCH($R204,LE_Curves!$J$5:$J$205,1)))*(INDEX(LE_Curves!$B$5:$B$205,MATCH($R204,LE_Curves!$J$5:$J$205,1)+1)-INDEX(LE_Curves!$B$5:$B$205,MATCH($R204,LE_Curves!$J$5:$J$205,1)))/(INDEX(LE_Curves!$J$5:$J$205,MATCH($R204,LE_Curves!$J$5:$J$205,1)+1)-INDEX(LE_Curves!$J$5:$J$205,MATCH($R204,LE_Curves!$J$5:$J$205,1))))))</f>
        <v/>
      </c>
      <c r="AA204" s="11">
        <f>IF(Inputs!$D$31=0,0,IF($R204&lt;=Inputs!$C$31,0,IF($R204&gt;=INDEX(LE_Curves!$K$5:$K$205,201),INDEX(LE_Curves!$B$5:$B$205,201),INDEX(LE_Curves!$B$5:$B$205,MATCH($R204,LE_Curves!$K$5:$K$205,1))+($R204-INDEX(LE_Curves!$K$5:$K$205,MATCH($R204,LE_Curves!$K$5:$K$205,1)))*(INDEX(LE_Curves!$B$5:$B$205,MATCH($R204,LE_Curves!$K$5:$K$205,1)+1)-INDEX(LE_Curves!$B$5:$B$205,MATCH($R204,LE_Curves!$K$5:$K$205,1)))/(INDEX(LE_Curves!$K$5:$K$205,MATCH($R204,LE_Curves!$K$5:$K$205,1)+1)-INDEX(LE_Curves!$K$5:$K$205,MATCH($R204,LE_Curves!$K$5:$K$205,1))))))</f>
        <v/>
      </c>
      <c r="AB204" s="11">
        <f>IF(Inputs!$D$32=0,0,IF($R204&lt;=Inputs!$C$32,0,IF($R204&gt;=INDEX(LE_Curves!$L$5:$L$205,201),INDEX(LE_Curves!$B$5:$B$205,201),INDEX(LE_Curves!$B$5:$B$205,MATCH($R204,LE_Curves!$L$5:$L$205,1))+($R204-INDEX(LE_Curves!$L$5:$L$205,MATCH($R204,LE_Curves!$L$5:$L$205,1)))*(INDEX(LE_Curves!$B$5:$B$205,MATCH($R204,LE_Curves!$L$5:$L$205,1)+1)-INDEX(LE_Curves!$B$5:$B$205,MATCH($R204,LE_Curves!$L$5:$L$205,1)))/(INDEX(LE_Curves!$L$5:$L$205,MATCH($R204,LE_Curves!$L$5:$L$205,1)+1)-INDEX(LE_Curves!$L$5:$L$205,MATCH($R204,LE_Curves!$L$5:$L$205,1))))))</f>
        <v/>
      </c>
      <c r="AC204" s="11">
        <f>IF(Inputs!$D$33=0,0,IF($R204&lt;=Inputs!$C$33,0,IF($R204&gt;=INDEX(LE_Curves!$M$5:$M$205,201),INDEX(LE_Curves!$B$5:$B$205,201),INDEX(LE_Curves!$B$5:$B$205,MATCH($R204,LE_Curves!$M$5:$M$205,1))+($R204-INDEX(LE_Curves!$M$5:$M$205,MATCH($R204,LE_Curves!$M$5:$M$205,1)))*(INDEX(LE_Curves!$B$5:$B$205,MATCH($R204,LE_Curves!$M$5:$M$205,1)+1)-INDEX(LE_Curves!$B$5:$B$205,MATCH($R204,LE_Curves!$M$5:$M$205,1)))/(INDEX(LE_Curves!$M$5:$M$205,MATCH($R204,LE_Curves!$M$5:$M$205,1)+1)-INDEX(LE_Curves!$M$5:$M$205,MATCH($R204,LE_Curves!$M$5:$M$205,1))))))</f>
        <v/>
      </c>
      <c r="AD204" s="11">
        <f>IF(Inputs!$D$34=0,0,IF($R204&lt;=Inputs!$C$34,0,IF($R204&gt;=INDEX(LE_Curves!$N$5:$N$205,201),INDEX(LE_Curves!$B$5:$B$205,201),INDEX(LE_Curves!$B$5:$B$205,MATCH($R204,LE_Curves!$N$5:$N$205,1))+($R204-INDEX(LE_Curves!$N$5:$N$205,MATCH($R204,LE_Curves!$N$5:$N$205,1)))*(INDEX(LE_Curves!$B$5:$B$205,MATCH($R204,LE_Curves!$N$5:$N$205,1)+1)-INDEX(LE_Curves!$B$5:$B$205,MATCH($R204,LE_Curves!$N$5:$N$205,1)))/(INDEX(LE_Curves!$N$5:$N$205,MATCH($R204,LE_Curves!$N$5:$N$205,1)+1)-INDEX(LE_Curves!$N$5:$N$205,MATCH($R204,LE_Curves!$N$5:$N$205,1))))))</f>
        <v/>
      </c>
      <c r="AE204" s="37">
        <f>SUM(S204:AD204)</f>
        <v/>
      </c>
    </row>
    <row r="205">
      <c r="A205" s="7" t="n">
        <v>174</v>
      </c>
      <c r="B205" s="37">
        <f>$B$3+($B$4-$B$3)*A205/200</f>
        <v/>
      </c>
      <c r="C205" s="11">
        <f>IF(Inputs!$D$23=0,0,IF($B205&lt;=Inputs!$C$23,0,IF($B205&gt;=INDEX(LE_Curves!$C$5:$C$205,201),INDEX(LE_Curves!$B$5:$B$205,201),INDEX(LE_Curves!$B$5:$B$205,MATCH($B205,LE_Curves!$C$5:$C$205,1))+($B205-INDEX(LE_Curves!$C$5:$C$205,MATCH($B205,LE_Curves!$C$5:$C$205,1)))*(INDEX(LE_Curves!$B$5:$B$205,MATCH($B205,LE_Curves!$C$5:$C$205,1)+1)-INDEX(LE_Curves!$B$5:$B$205,MATCH($B205,LE_Curves!$C$5:$C$205,1)))/(INDEX(LE_Curves!$C$5:$C$205,MATCH($B205,LE_Curves!$C$5:$C$205,1)+1)-INDEX(LE_Curves!$C$5:$C$205,MATCH($B205,LE_Curves!$C$5:$C$205,1))))))</f>
        <v/>
      </c>
      <c r="D205" s="11">
        <f>IF(Inputs!$D$24=0,0,IF($B205&lt;=Inputs!$C$24,0,IF($B205&gt;=INDEX(LE_Curves!$D$5:$D$205,201),INDEX(LE_Curves!$B$5:$B$205,201),INDEX(LE_Curves!$B$5:$B$205,MATCH($B205,LE_Curves!$D$5:$D$205,1))+($B205-INDEX(LE_Curves!$D$5:$D$205,MATCH($B205,LE_Curves!$D$5:$D$205,1)))*(INDEX(LE_Curves!$B$5:$B$205,MATCH($B205,LE_Curves!$D$5:$D$205,1)+1)-INDEX(LE_Curves!$B$5:$B$205,MATCH($B205,LE_Curves!$D$5:$D$205,1)))/(INDEX(LE_Curves!$D$5:$D$205,MATCH($B205,LE_Curves!$D$5:$D$205,1)+1)-INDEX(LE_Curves!$D$5:$D$205,MATCH($B205,LE_Curves!$D$5:$D$205,1))))))</f>
        <v/>
      </c>
      <c r="E205" s="11">
        <f>IF(Inputs!$D$25=0,0,IF($B205&lt;=Inputs!$C$25,0,IF($B205&gt;=INDEX(LE_Curves!$E$5:$E$205,201),INDEX(LE_Curves!$B$5:$B$205,201),INDEX(LE_Curves!$B$5:$B$205,MATCH($B205,LE_Curves!$E$5:$E$205,1))+($B205-INDEX(LE_Curves!$E$5:$E$205,MATCH($B205,LE_Curves!$E$5:$E$205,1)))*(INDEX(LE_Curves!$B$5:$B$205,MATCH($B205,LE_Curves!$E$5:$E$205,1)+1)-INDEX(LE_Curves!$B$5:$B$205,MATCH($B205,LE_Curves!$E$5:$E$205,1)))/(INDEX(LE_Curves!$E$5:$E$205,MATCH($B205,LE_Curves!$E$5:$E$205,1)+1)-INDEX(LE_Curves!$E$5:$E$205,MATCH($B205,LE_Curves!$E$5:$E$205,1))))))</f>
        <v/>
      </c>
      <c r="F205" s="11">
        <f>IF(Inputs!$D$26=0,0,IF($B205&lt;=Inputs!$C$26,0,IF($B205&gt;=INDEX(LE_Curves!$F$5:$F$205,201),INDEX(LE_Curves!$B$5:$B$205,201),INDEX(LE_Curves!$B$5:$B$205,MATCH($B205,LE_Curves!$F$5:$F$205,1))+($B205-INDEX(LE_Curves!$F$5:$F$205,MATCH($B205,LE_Curves!$F$5:$F$205,1)))*(INDEX(LE_Curves!$B$5:$B$205,MATCH($B205,LE_Curves!$F$5:$F$205,1)+1)-INDEX(LE_Curves!$B$5:$B$205,MATCH($B205,LE_Curves!$F$5:$F$205,1)))/(INDEX(LE_Curves!$F$5:$F$205,MATCH($B205,LE_Curves!$F$5:$F$205,1)+1)-INDEX(LE_Curves!$F$5:$F$205,MATCH($B205,LE_Curves!$F$5:$F$205,1))))))</f>
        <v/>
      </c>
      <c r="G205" s="11">
        <f>IF(Inputs!$D$27=0,0,IF($B205&lt;=Inputs!$C$27,0,IF($B205&gt;=INDEX(LE_Curves!$G$5:$G$205,201),INDEX(LE_Curves!$B$5:$B$205,201),INDEX(LE_Curves!$B$5:$B$205,MATCH($B205,LE_Curves!$G$5:$G$205,1))+($B205-INDEX(LE_Curves!$G$5:$G$205,MATCH($B205,LE_Curves!$G$5:$G$205,1)))*(INDEX(LE_Curves!$B$5:$B$205,MATCH($B205,LE_Curves!$G$5:$G$205,1)+1)-INDEX(LE_Curves!$B$5:$B$205,MATCH($B205,LE_Curves!$G$5:$G$205,1)))/(INDEX(LE_Curves!$G$5:$G$205,MATCH($B205,LE_Curves!$G$5:$G$205,1)+1)-INDEX(LE_Curves!$G$5:$G$205,MATCH($B205,LE_Curves!$G$5:$G$205,1))))))</f>
        <v/>
      </c>
      <c r="H205" s="11">
        <f>IF(Inputs!$D$28=0,0,IF($B205&lt;=Inputs!$C$28,0,IF($B205&gt;=INDEX(LE_Curves!$H$5:$H$205,201),INDEX(LE_Curves!$B$5:$B$205,201),INDEX(LE_Curves!$B$5:$B$205,MATCH($B205,LE_Curves!$H$5:$H$205,1))+($B205-INDEX(LE_Curves!$H$5:$H$205,MATCH($B205,LE_Curves!$H$5:$H$205,1)))*(INDEX(LE_Curves!$B$5:$B$205,MATCH($B205,LE_Curves!$H$5:$H$205,1)+1)-INDEX(LE_Curves!$B$5:$B$205,MATCH($B205,LE_Curves!$H$5:$H$205,1)))/(INDEX(LE_Curves!$H$5:$H$205,MATCH($B205,LE_Curves!$H$5:$H$205,1)+1)-INDEX(LE_Curves!$H$5:$H$205,MATCH($B205,LE_Curves!$H$5:$H$205,1))))))</f>
        <v/>
      </c>
      <c r="I205" s="11">
        <f>IF(Inputs!$D$29=0,0,IF($B205&lt;=Inputs!$C$29,0,IF($B205&gt;=INDEX(LE_Curves!$I$5:$I$205,201),INDEX(LE_Curves!$B$5:$B$205,201),INDEX(LE_Curves!$B$5:$B$205,MATCH($B205,LE_Curves!$I$5:$I$205,1))+($B205-INDEX(LE_Curves!$I$5:$I$205,MATCH($B205,LE_Curves!$I$5:$I$205,1)))*(INDEX(LE_Curves!$B$5:$B$205,MATCH($B205,LE_Curves!$I$5:$I$205,1)+1)-INDEX(LE_Curves!$B$5:$B$205,MATCH($B205,LE_Curves!$I$5:$I$205,1)))/(INDEX(LE_Curves!$I$5:$I$205,MATCH($B205,LE_Curves!$I$5:$I$205,1)+1)-INDEX(LE_Curves!$I$5:$I$205,MATCH($B205,LE_Curves!$I$5:$I$205,1))))))</f>
        <v/>
      </c>
      <c r="J205" s="11">
        <f>IF(Inputs!$D$30=0,0,IF($B205&lt;=Inputs!$C$30,0,IF($B205&gt;=INDEX(LE_Curves!$J$5:$J$205,201),INDEX(LE_Curves!$B$5:$B$205,201),INDEX(LE_Curves!$B$5:$B$205,MATCH($B205,LE_Curves!$J$5:$J$205,1))+($B205-INDEX(LE_Curves!$J$5:$J$205,MATCH($B205,LE_Curves!$J$5:$J$205,1)))*(INDEX(LE_Curves!$B$5:$B$205,MATCH($B205,LE_Curves!$J$5:$J$205,1)+1)-INDEX(LE_Curves!$B$5:$B$205,MATCH($B205,LE_Curves!$J$5:$J$205,1)))/(INDEX(LE_Curves!$J$5:$J$205,MATCH($B205,LE_Curves!$J$5:$J$205,1)+1)-INDEX(LE_Curves!$J$5:$J$205,MATCH($B205,LE_Curves!$J$5:$J$205,1))))))</f>
        <v/>
      </c>
      <c r="K205" s="11">
        <f>IF(Inputs!$D$31=0,0,IF($B205&lt;=Inputs!$C$31,0,IF($B205&gt;=INDEX(LE_Curves!$K$5:$K$205,201),INDEX(LE_Curves!$B$5:$B$205,201),INDEX(LE_Curves!$B$5:$B$205,MATCH($B205,LE_Curves!$K$5:$K$205,1))+($B205-INDEX(LE_Curves!$K$5:$K$205,MATCH($B205,LE_Curves!$K$5:$K$205,1)))*(INDEX(LE_Curves!$B$5:$B$205,MATCH($B205,LE_Curves!$K$5:$K$205,1)+1)-INDEX(LE_Curves!$B$5:$B$205,MATCH($B205,LE_Curves!$K$5:$K$205,1)))/(INDEX(LE_Curves!$K$5:$K$205,MATCH($B205,LE_Curves!$K$5:$K$205,1)+1)-INDEX(LE_Curves!$K$5:$K$205,MATCH($B205,LE_Curves!$K$5:$K$205,1))))))</f>
        <v/>
      </c>
      <c r="L205" s="11">
        <f>IF(Inputs!$D$32=0,0,IF($B205&lt;=Inputs!$C$32,0,IF($B205&gt;=INDEX(LE_Curves!$L$5:$L$205,201),INDEX(LE_Curves!$B$5:$B$205,201),INDEX(LE_Curves!$B$5:$B$205,MATCH($B205,LE_Curves!$L$5:$L$205,1))+($B205-INDEX(LE_Curves!$L$5:$L$205,MATCH($B205,LE_Curves!$L$5:$L$205,1)))*(INDEX(LE_Curves!$B$5:$B$205,MATCH($B205,LE_Curves!$L$5:$L$205,1)+1)-INDEX(LE_Curves!$B$5:$B$205,MATCH($B205,LE_Curves!$L$5:$L$205,1)))/(INDEX(LE_Curves!$L$5:$L$205,MATCH($B205,LE_Curves!$L$5:$L$205,1)+1)-INDEX(LE_Curves!$L$5:$L$205,MATCH($B205,LE_Curves!$L$5:$L$205,1))))))</f>
        <v/>
      </c>
      <c r="M205" s="11">
        <f>IF(Inputs!$D$33=0,0,IF($B205&lt;=Inputs!$C$33,0,IF($B205&gt;=INDEX(LE_Curves!$M$5:$M$205,201),INDEX(LE_Curves!$B$5:$B$205,201),INDEX(LE_Curves!$B$5:$B$205,MATCH($B205,LE_Curves!$M$5:$M$205,1))+($B205-INDEX(LE_Curves!$M$5:$M$205,MATCH($B205,LE_Curves!$M$5:$M$205,1)))*(INDEX(LE_Curves!$B$5:$B$205,MATCH($B205,LE_Curves!$M$5:$M$205,1)+1)-INDEX(LE_Curves!$B$5:$B$205,MATCH($B205,LE_Curves!$M$5:$M$205,1)))/(INDEX(LE_Curves!$M$5:$M$205,MATCH($B205,LE_Curves!$M$5:$M$205,1)+1)-INDEX(LE_Curves!$M$5:$M$205,MATCH($B205,LE_Curves!$M$5:$M$205,1))))))</f>
        <v/>
      </c>
      <c r="N205" s="11">
        <f>IF(Inputs!$D$34=0,0,IF($B205&lt;=Inputs!$C$34,0,IF($B205&gt;=INDEX(LE_Curves!$N$5:$N$205,201),INDEX(LE_Curves!$B$5:$B$205,201),INDEX(LE_Curves!$B$5:$B$205,MATCH($B205,LE_Curves!$N$5:$N$205,1))+($B205-INDEX(LE_Curves!$N$5:$N$205,MATCH($B205,LE_Curves!$N$5:$N$205,1)))*(INDEX(LE_Curves!$B$5:$B$205,MATCH($B205,LE_Curves!$N$5:$N$205,1)+1)-INDEX(LE_Curves!$B$5:$B$205,MATCH($B205,LE_Curves!$N$5:$N$205,1)))/(INDEX(LE_Curves!$N$5:$N$205,MATCH($B205,LE_Curves!$N$5:$N$205,1)+1)-INDEX(LE_Curves!$N$5:$N$205,MATCH($B205,LE_Curves!$N$5:$N$205,1))))))</f>
        <v/>
      </c>
      <c r="O205" s="11">
        <f>SUM(C205:N205)</f>
        <v/>
      </c>
      <c r="Q205" s="7" t="n">
        <v>174</v>
      </c>
      <c r="R205" s="23">
        <f>$B$6+($B$7-$B$6)*Q205/200</f>
        <v/>
      </c>
      <c r="S205" s="11">
        <f>IF(Inputs!$D$23=0,0,IF($R205&lt;=Inputs!$C$23,0,IF($R205&gt;=INDEX(LE_Curves!$C$5:$C$205,201),INDEX(LE_Curves!$B$5:$B$205,201),INDEX(LE_Curves!$B$5:$B$205,MATCH($R205,LE_Curves!$C$5:$C$205,1))+($R205-INDEX(LE_Curves!$C$5:$C$205,MATCH($R205,LE_Curves!$C$5:$C$205,1)))*(INDEX(LE_Curves!$B$5:$B$205,MATCH($R205,LE_Curves!$C$5:$C$205,1)+1)-INDEX(LE_Curves!$B$5:$B$205,MATCH($R205,LE_Curves!$C$5:$C$205,1)))/(INDEX(LE_Curves!$C$5:$C$205,MATCH($R205,LE_Curves!$C$5:$C$205,1)+1)-INDEX(LE_Curves!$C$5:$C$205,MATCH($R205,LE_Curves!$C$5:$C$205,1))))))</f>
        <v/>
      </c>
      <c r="T205" s="11">
        <f>IF(Inputs!$D$24=0,0,IF($R205&lt;=Inputs!$C$24,0,IF($R205&gt;=INDEX(LE_Curves!$D$5:$D$205,201),INDEX(LE_Curves!$B$5:$B$205,201),INDEX(LE_Curves!$B$5:$B$205,MATCH($R205,LE_Curves!$D$5:$D$205,1))+($R205-INDEX(LE_Curves!$D$5:$D$205,MATCH($R205,LE_Curves!$D$5:$D$205,1)))*(INDEX(LE_Curves!$B$5:$B$205,MATCH($R205,LE_Curves!$D$5:$D$205,1)+1)-INDEX(LE_Curves!$B$5:$B$205,MATCH($R205,LE_Curves!$D$5:$D$205,1)))/(INDEX(LE_Curves!$D$5:$D$205,MATCH($R205,LE_Curves!$D$5:$D$205,1)+1)-INDEX(LE_Curves!$D$5:$D$205,MATCH($R205,LE_Curves!$D$5:$D$205,1))))))</f>
        <v/>
      </c>
      <c r="U205" s="11">
        <f>IF(Inputs!$D$25=0,0,IF($R205&lt;=Inputs!$C$25,0,IF($R205&gt;=INDEX(LE_Curves!$E$5:$E$205,201),INDEX(LE_Curves!$B$5:$B$205,201),INDEX(LE_Curves!$B$5:$B$205,MATCH($R205,LE_Curves!$E$5:$E$205,1))+($R205-INDEX(LE_Curves!$E$5:$E$205,MATCH($R205,LE_Curves!$E$5:$E$205,1)))*(INDEX(LE_Curves!$B$5:$B$205,MATCH($R205,LE_Curves!$E$5:$E$205,1)+1)-INDEX(LE_Curves!$B$5:$B$205,MATCH($R205,LE_Curves!$E$5:$E$205,1)))/(INDEX(LE_Curves!$E$5:$E$205,MATCH($R205,LE_Curves!$E$5:$E$205,1)+1)-INDEX(LE_Curves!$E$5:$E$205,MATCH($R205,LE_Curves!$E$5:$E$205,1))))))</f>
        <v/>
      </c>
      <c r="V205" s="11">
        <f>IF(Inputs!$D$26=0,0,IF($R205&lt;=Inputs!$C$26,0,IF($R205&gt;=INDEX(LE_Curves!$F$5:$F$205,201),INDEX(LE_Curves!$B$5:$B$205,201),INDEX(LE_Curves!$B$5:$B$205,MATCH($R205,LE_Curves!$F$5:$F$205,1))+($R205-INDEX(LE_Curves!$F$5:$F$205,MATCH($R205,LE_Curves!$F$5:$F$205,1)))*(INDEX(LE_Curves!$B$5:$B$205,MATCH($R205,LE_Curves!$F$5:$F$205,1)+1)-INDEX(LE_Curves!$B$5:$B$205,MATCH($R205,LE_Curves!$F$5:$F$205,1)))/(INDEX(LE_Curves!$F$5:$F$205,MATCH($R205,LE_Curves!$F$5:$F$205,1)+1)-INDEX(LE_Curves!$F$5:$F$205,MATCH($R205,LE_Curves!$F$5:$F$205,1))))))</f>
        <v/>
      </c>
      <c r="W205" s="11">
        <f>IF(Inputs!$D$27=0,0,IF($R205&lt;=Inputs!$C$27,0,IF($R205&gt;=INDEX(LE_Curves!$G$5:$G$205,201),INDEX(LE_Curves!$B$5:$B$205,201),INDEX(LE_Curves!$B$5:$B$205,MATCH($R205,LE_Curves!$G$5:$G$205,1))+($R205-INDEX(LE_Curves!$G$5:$G$205,MATCH($R205,LE_Curves!$G$5:$G$205,1)))*(INDEX(LE_Curves!$B$5:$B$205,MATCH($R205,LE_Curves!$G$5:$G$205,1)+1)-INDEX(LE_Curves!$B$5:$B$205,MATCH($R205,LE_Curves!$G$5:$G$205,1)))/(INDEX(LE_Curves!$G$5:$G$205,MATCH($R205,LE_Curves!$G$5:$G$205,1)+1)-INDEX(LE_Curves!$G$5:$G$205,MATCH($R205,LE_Curves!$G$5:$G$205,1))))))</f>
        <v/>
      </c>
      <c r="X205" s="11">
        <f>IF(Inputs!$D$28=0,0,IF($R205&lt;=Inputs!$C$28,0,IF($R205&gt;=INDEX(LE_Curves!$H$5:$H$205,201),INDEX(LE_Curves!$B$5:$B$205,201),INDEX(LE_Curves!$B$5:$B$205,MATCH($R205,LE_Curves!$H$5:$H$205,1))+($R205-INDEX(LE_Curves!$H$5:$H$205,MATCH($R205,LE_Curves!$H$5:$H$205,1)))*(INDEX(LE_Curves!$B$5:$B$205,MATCH($R205,LE_Curves!$H$5:$H$205,1)+1)-INDEX(LE_Curves!$B$5:$B$205,MATCH($R205,LE_Curves!$H$5:$H$205,1)))/(INDEX(LE_Curves!$H$5:$H$205,MATCH($R205,LE_Curves!$H$5:$H$205,1)+1)-INDEX(LE_Curves!$H$5:$H$205,MATCH($R205,LE_Curves!$H$5:$H$205,1))))))</f>
        <v/>
      </c>
      <c r="Y205" s="11">
        <f>IF(Inputs!$D$29=0,0,IF($R205&lt;=Inputs!$C$29,0,IF($R205&gt;=INDEX(LE_Curves!$I$5:$I$205,201),INDEX(LE_Curves!$B$5:$B$205,201),INDEX(LE_Curves!$B$5:$B$205,MATCH($R205,LE_Curves!$I$5:$I$205,1))+($R205-INDEX(LE_Curves!$I$5:$I$205,MATCH($R205,LE_Curves!$I$5:$I$205,1)))*(INDEX(LE_Curves!$B$5:$B$205,MATCH($R205,LE_Curves!$I$5:$I$205,1)+1)-INDEX(LE_Curves!$B$5:$B$205,MATCH($R205,LE_Curves!$I$5:$I$205,1)))/(INDEX(LE_Curves!$I$5:$I$205,MATCH($R205,LE_Curves!$I$5:$I$205,1)+1)-INDEX(LE_Curves!$I$5:$I$205,MATCH($R205,LE_Curves!$I$5:$I$205,1))))))</f>
        <v/>
      </c>
      <c r="Z205" s="11">
        <f>IF(Inputs!$D$30=0,0,IF($R205&lt;=Inputs!$C$30,0,IF($R205&gt;=INDEX(LE_Curves!$J$5:$J$205,201),INDEX(LE_Curves!$B$5:$B$205,201),INDEX(LE_Curves!$B$5:$B$205,MATCH($R205,LE_Curves!$J$5:$J$205,1))+($R205-INDEX(LE_Curves!$J$5:$J$205,MATCH($R205,LE_Curves!$J$5:$J$205,1)))*(INDEX(LE_Curves!$B$5:$B$205,MATCH($R205,LE_Curves!$J$5:$J$205,1)+1)-INDEX(LE_Curves!$B$5:$B$205,MATCH($R205,LE_Curves!$J$5:$J$205,1)))/(INDEX(LE_Curves!$J$5:$J$205,MATCH($R205,LE_Curves!$J$5:$J$205,1)+1)-INDEX(LE_Curves!$J$5:$J$205,MATCH($R205,LE_Curves!$J$5:$J$205,1))))))</f>
        <v/>
      </c>
      <c r="AA205" s="11">
        <f>IF(Inputs!$D$31=0,0,IF($R205&lt;=Inputs!$C$31,0,IF($R205&gt;=INDEX(LE_Curves!$K$5:$K$205,201),INDEX(LE_Curves!$B$5:$B$205,201),INDEX(LE_Curves!$B$5:$B$205,MATCH($R205,LE_Curves!$K$5:$K$205,1))+($R205-INDEX(LE_Curves!$K$5:$K$205,MATCH($R205,LE_Curves!$K$5:$K$205,1)))*(INDEX(LE_Curves!$B$5:$B$205,MATCH($R205,LE_Curves!$K$5:$K$205,1)+1)-INDEX(LE_Curves!$B$5:$B$205,MATCH($R205,LE_Curves!$K$5:$K$205,1)))/(INDEX(LE_Curves!$K$5:$K$205,MATCH($R205,LE_Curves!$K$5:$K$205,1)+1)-INDEX(LE_Curves!$K$5:$K$205,MATCH($R205,LE_Curves!$K$5:$K$205,1))))))</f>
        <v/>
      </c>
      <c r="AB205" s="11">
        <f>IF(Inputs!$D$32=0,0,IF($R205&lt;=Inputs!$C$32,0,IF($R205&gt;=INDEX(LE_Curves!$L$5:$L$205,201),INDEX(LE_Curves!$B$5:$B$205,201),INDEX(LE_Curves!$B$5:$B$205,MATCH($R205,LE_Curves!$L$5:$L$205,1))+($R205-INDEX(LE_Curves!$L$5:$L$205,MATCH($R205,LE_Curves!$L$5:$L$205,1)))*(INDEX(LE_Curves!$B$5:$B$205,MATCH($R205,LE_Curves!$L$5:$L$205,1)+1)-INDEX(LE_Curves!$B$5:$B$205,MATCH($R205,LE_Curves!$L$5:$L$205,1)))/(INDEX(LE_Curves!$L$5:$L$205,MATCH($R205,LE_Curves!$L$5:$L$205,1)+1)-INDEX(LE_Curves!$L$5:$L$205,MATCH($R205,LE_Curves!$L$5:$L$205,1))))))</f>
        <v/>
      </c>
      <c r="AC205" s="11">
        <f>IF(Inputs!$D$33=0,0,IF($R205&lt;=Inputs!$C$33,0,IF($R205&gt;=INDEX(LE_Curves!$M$5:$M$205,201),INDEX(LE_Curves!$B$5:$B$205,201),INDEX(LE_Curves!$B$5:$B$205,MATCH($R205,LE_Curves!$M$5:$M$205,1))+($R205-INDEX(LE_Curves!$M$5:$M$205,MATCH($R205,LE_Curves!$M$5:$M$205,1)))*(INDEX(LE_Curves!$B$5:$B$205,MATCH($R205,LE_Curves!$M$5:$M$205,1)+1)-INDEX(LE_Curves!$B$5:$B$205,MATCH($R205,LE_Curves!$M$5:$M$205,1)))/(INDEX(LE_Curves!$M$5:$M$205,MATCH($R205,LE_Curves!$M$5:$M$205,1)+1)-INDEX(LE_Curves!$M$5:$M$205,MATCH($R205,LE_Curves!$M$5:$M$205,1))))))</f>
        <v/>
      </c>
      <c r="AD205" s="11">
        <f>IF(Inputs!$D$34=0,0,IF($R205&lt;=Inputs!$C$34,0,IF($R205&gt;=INDEX(LE_Curves!$N$5:$N$205,201),INDEX(LE_Curves!$B$5:$B$205,201),INDEX(LE_Curves!$B$5:$B$205,MATCH($R205,LE_Curves!$N$5:$N$205,1))+($R205-INDEX(LE_Curves!$N$5:$N$205,MATCH($R205,LE_Curves!$N$5:$N$205,1)))*(INDEX(LE_Curves!$B$5:$B$205,MATCH($R205,LE_Curves!$N$5:$N$205,1)+1)-INDEX(LE_Curves!$B$5:$B$205,MATCH($R205,LE_Curves!$N$5:$N$205,1)))/(INDEX(LE_Curves!$N$5:$N$205,MATCH($R205,LE_Curves!$N$5:$N$205,1)+1)-INDEX(LE_Curves!$N$5:$N$205,MATCH($R205,LE_Curves!$N$5:$N$205,1))))))</f>
        <v/>
      </c>
      <c r="AE205" s="37">
        <f>SUM(S205:AD205)</f>
        <v/>
      </c>
    </row>
    <row r="206">
      <c r="A206" s="7" t="n">
        <v>175</v>
      </c>
      <c r="B206" s="37">
        <f>$B$3+($B$4-$B$3)*A206/200</f>
        <v/>
      </c>
      <c r="C206" s="11">
        <f>IF(Inputs!$D$23=0,0,IF($B206&lt;=Inputs!$C$23,0,IF($B206&gt;=INDEX(LE_Curves!$C$5:$C$205,201),INDEX(LE_Curves!$B$5:$B$205,201),INDEX(LE_Curves!$B$5:$B$205,MATCH($B206,LE_Curves!$C$5:$C$205,1))+($B206-INDEX(LE_Curves!$C$5:$C$205,MATCH($B206,LE_Curves!$C$5:$C$205,1)))*(INDEX(LE_Curves!$B$5:$B$205,MATCH($B206,LE_Curves!$C$5:$C$205,1)+1)-INDEX(LE_Curves!$B$5:$B$205,MATCH($B206,LE_Curves!$C$5:$C$205,1)))/(INDEX(LE_Curves!$C$5:$C$205,MATCH($B206,LE_Curves!$C$5:$C$205,1)+1)-INDEX(LE_Curves!$C$5:$C$205,MATCH($B206,LE_Curves!$C$5:$C$205,1))))))</f>
        <v/>
      </c>
      <c r="D206" s="11">
        <f>IF(Inputs!$D$24=0,0,IF($B206&lt;=Inputs!$C$24,0,IF($B206&gt;=INDEX(LE_Curves!$D$5:$D$205,201),INDEX(LE_Curves!$B$5:$B$205,201),INDEX(LE_Curves!$B$5:$B$205,MATCH($B206,LE_Curves!$D$5:$D$205,1))+($B206-INDEX(LE_Curves!$D$5:$D$205,MATCH($B206,LE_Curves!$D$5:$D$205,1)))*(INDEX(LE_Curves!$B$5:$B$205,MATCH($B206,LE_Curves!$D$5:$D$205,1)+1)-INDEX(LE_Curves!$B$5:$B$205,MATCH($B206,LE_Curves!$D$5:$D$205,1)))/(INDEX(LE_Curves!$D$5:$D$205,MATCH($B206,LE_Curves!$D$5:$D$205,1)+1)-INDEX(LE_Curves!$D$5:$D$205,MATCH($B206,LE_Curves!$D$5:$D$205,1))))))</f>
        <v/>
      </c>
      <c r="E206" s="11">
        <f>IF(Inputs!$D$25=0,0,IF($B206&lt;=Inputs!$C$25,0,IF($B206&gt;=INDEX(LE_Curves!$E$5:$E$205,201),INDEX(LE_Curves!$B$5:$B$205,201),INDEX(LE_Curves!$B$5:$B$205,MATCH($B206,LE_Curves!$E$5:$E$205,1))+($B206-INDEX(LE_Curves!$E$5:$E$205,MATCH($B206,LE_Curves!$E$5:$E$205,1)))*(INDEX(LE_Curves!$B$5:$B$205,MATCH($B206,LE_Curves!$E$5:$E$205,1)+1)-INDEX(LE_Curves!$B$5:$B$205,MATCH($B206,LE_Curves!$E$5:$E$205,1)))/(INDEX(LE_Curves!$E$5:$E$205,MATCH($B206,LE_Curves!$E$5:$E$205,1)+1)-INDEX(LE_Curves!$E$5:$E$205,MATCH($B206,LE_Curves!$E$5:$E$205,1))))))</f>
        <v/>
      </c>
      <c r="F206" s="11">
        <f>IF(Inputs!$D$26=0,0,IF($B206&lt;=Inputs!$C$26,0,IF($B206&gt;=INDEX(LE_Curves!$F$5:$F$205,201),INDEX(LE_Curves!$B$5:$B$205,201),INDEX(LE_Curves!$B$5:$B$205,MATCH($B206,LE_Curves!$F$5:$F$205,1))+($B206-INDEX(LE_Curves!$F$5:$F$205,MATCH($B206,LE_Curves!$F$5:$F$205,1)))*(INDEX(LE_Curves!$B$5:$B$205,MATCH($B206,LE_Curves!$F$5:$F$205,1)+1)-INDEX(LE_Curves!$B$5:$B$205,MATCH($B206,LE_Curves!$F$5:$F$205,1)))/(INDEX(LE_Curves!$F$5:$F$205,MATCH($B206,LE_Curves!$F$5:$F$205,1)+1)-INDEX(LE_Curves!$F$5:$F$205,MATCH($B206,LE_Curves!$F$5:$F$205,1))))))</f>
        <v/>
      </c>
      <c r="G206" s="11">
        <f>IF(Inputs!$D$27=0,0,IF($B206&lt;=Inputs!$C$27,0,IF($B206&gt;=INDEX(LE_Curves!$G$5:$G$205,201),INDEX(LE_Curves!$B$5:$B$205,201),INDEX(LE_Curves!$B$5:$B$205,MATCH($B206,LE_Curves!$G$5:$G$205,1))+($B206-INDEX(LE_Curves!$G$5:$G$205,MATCH($B206,LE_Curves!$G$5:$G$205,1)))*(INDEX(LE_Curves!$B$5:$B$205,MATCH($B206,LE_Curves!$G$5:$G$205,1)+1)-INDEX(LE_Curves!$B$5:$B$205,MATCH($B206,LE_Curves!$G$5:$G$205,1)))/(INDEX(LE_Curves!$G$5:$G$205,MATCH($B206,LE_Curves!$G$5:$G$205,1)+1)-INDEX(LE_Curves!$G$5:$G$205,MATCH($B206,LE_Curves!$G$5:$G$205,1))))))</f>
        <v/>
      </c>
      <c r="H206" s="11">
        <f>IF(Inputs!$D$28=0,0,IF($B206&lt;=Inputs!$C$28,0,IF($B206&gt;=INDEX(LE_Curves!$H$5:$H$205,201),INDEX(LE_Curves!$B$5:$B$205,201),INDEX(LE_Curves!$B$5:$B$205,MATCH($B206,LE_Curves!$H$5:$H$205,1))+($B206-INDEX(LE_Curves!$H$5:$H$205,MATCH($B206,LE_Curves!$H$5:$H$205,1)))*(INDEX(LE_Curves!$B$5:$B$205,MATCH($B206,LE_Curves!$H$5:$H$205,1)+1)-INDEX(LE_Curves!$B$5:$B$205,MATCH($B206,LE_Curves!$H$5:$H$205,1)))/(INDEX(LE_Curves!$H$5:$H$205,MATCH($B206,LE_Curves!$H$5:$H$205,1)+1)-INDEX(LE_Curves!$H$5:$H$205,MATCH($B206,LE_Curves!$H$5:$H$205,1))))))</f>
        <v/>
      </c>
      <c r="I206" s="11">
        <f>IF(Inputs!$D$29=0,0,IF($B206&lt;=Inputs!$C$29,0,IF($B206&gt;=INDEX(LE_Curves!$I$5:$I$205,201),INDEX(LE_Curves!$B$5:$B$205,201),INDEX(LE_Curves!$B$5:$B$205,MATCH($B206,LE_Curves!$I$5:$I$205,1))+($B206-INDEX(LE_Curves!$I$5:$I$205,MATCH($B206,LE_Curves!$I$5:$I$205,1)))*(INDEX(LE_Curves!$B$5:$B$205,MATCH($B206,LE_Curves!$I$5:$I$205,1)+1)-INDEX(LE_Curves!$B$5:$B$205,MATCH($B206,LE_Curves!$I$5:$I$205,1)))/(INDEX(LE_Curves!$I$5:$I$205,MATCH($B206,LE_Curves!$I$5:$I$205,1)+1)-INDEX(LE_Curves!$I$5:$I$205,MATCH($B206,LE_Curves!$I$5:$I$205,1))))))</f>
        <v/>
      </c>
      <c r="J206" s="11">
        <f>IF(Inputs!$D$30=0,0,IF($B206&lt;=Inputs!$C$30,0,IF($B206&gt;=INDEX(LE_Curves!$J$5:$J$205,201),INDEX(LE_Curves!$B$5:$B$205,201),INDEX(LE_Curves!$B$5:$B$205,MATCH($B206,LE_Curves!$J$5:$J$205,1))+($B206-INDEX(LE_Curves!$J$5:$J$205,MATCH($B206,LE_Curves!$J$5:$J$205,1)))*(INDEX(LE_Curves!$B$5:$B$205,MATCH($B206,LE_Curves!$J$5:$J$205,1)+1)-INDEX(LE_Curves!$B$5:$B$205,MATCH($B206,LE_Curves!$J$5:$J$205,1)))/(INDEX(LE_Curves!$J$5:$J$205,MATCH($B206,LE_Curves!$J$5:$J$205,1)+1)-INDEX(LE_Curves!$J$5:$J$205,MATCH($B206,LE_Curves!$J$5:$J$205,1))))))</f>
        <v/>
      </c>
      <c r="K206" s="11">
        <f>IF(Inputs!$D$31=0,0,IF($B206&lt;=Inputs!$C$31,0,IF($B206&gt;=INDEX(LE_Curves!$K$5:$K$205,201),INDEX(LE_Curves!$B$5:$B$205,201),INDEX(LE_Curves!$B$5:$B$205,MATCH($B206,LE_Curves!$K$5:$K$205,1))+($B206-INDEX(LE_Curves!$K$5:$K$205,MATCH($B206,LE_Curves!$K$5:$K$205,1)))*(INDEX(LE_Curves!$B$5:$B$205,MATCH($B206,LE_Curves!$K$5:$K$205,1)+1)-INDEX(LE_Curves!$B$5:$B$205,MATCH($B206,LE_Curves!$K$5:$K$205,1)))/(INDEX(LE_Curves!$K$5:$K$205,MATCH($B206,LE_Curves!$K$5:$K$205,1)+1)-INDEX(LE_Curves!$K$5:$K$205,MATCH($B206,LE_Curves!$K$5:$K$205,1))))))</f>
        <v/>
      </c>
      <c r="L206" s="11">
        <f>IF(Inputs!$D$32=0,0,IF($B206&lt;=Inputs!$C$32,0,IF($B206&gt;=INDEX(LE_Curves!$L$5:$L$205,201),INDEX(LE_Curves!$B$5:$B$205,201),INDEX(LE_Curves!$B$5:$B$205,MATCH($B206,LE_Curves!$L$5:$L$205,1))+($B206-INDEX(LE_Curves!$L$5:$L$205,MATCH($B206,LE_Curves!$L$5:$L$205,1)))*(INDEX(LE_Curves!$B$5:$B$205,MATCH($B206,LE_Curves!$L$5:$L$205,1)+1)-INDEX(LE_Curves!$B$5:$B$205,MATCH($B206,LE_Curves!$L$5:$L$205,1)))/(INDEX(LE_Curves!$L$5:$L$205,MATCH($B206,LE_Curves!$L$5:$L$205,1)+1)-INDEX(LE_Curves!$L$5:$L$205,MATCH($B206,LE_Curves!$L$5:$L$205,1))))))</f>
        <v/>
      </c>
      <c r="M206" s="11">
        <f>IF(Inputs!$D$33=0,0,IF($B206&lt;=Inputs!$C$33,0,IF($B206&gt;=INDEX(LE_Curves!$M$5:$M$205,201),INDEX(LE_Curves!$B$5:$B$205,201),INDEX(LE_Curves!$B$5:$B$205,MATCH($B206,LE_Curves!$M$5:$M$205,1))+($B206-INDEX(LE_Curves!$M$5:$M$205,MATCH($B206,LE_Curves!$M$5:$M$205,1)))*(INDEX(LE_Curves!$B$5:$B$205,MATCH($B206,LE_Curves!$M$5:$M$205,1)+1)-INDEX(LE_Curves!$B$5:$B$205,MATCH($B206,LE_Curves!$M$5:$M$205,1)))/(INDEX(LE_Curves!$M$5:$M$205,MATCH($B206,LE_Curves!$M$5:$M$205,1)+1)-INDEX(LE_Curves!$M$5:$M$205,MATCH($B206,LE_Curves!$M$5:$M$205,1))))))</f>
        <v/>
      </c>
      <c r="N206" s="11">
        <f>IF(Inputs!$D$34=0,0,IF($B206&lt;=Inputs!$C$34,0,IF($B206&gt;=INDEX(LE_Curves!$N$5:$N$205,201),INDEX(LE_Curves!$B$5:$B$205,201),INDEX(LE_Curves!$B$5:$B$205,MATCH($B206,LE_Curves!$N$5:$N$205,1))+($B206-INDEX(LE_Curves!$N$5:$N$205,MATCH($B206,LE_Curves!$N$5:$N$205,1)))*(INDEX(LE_Curves!$B$5:$B$205,MATCH($B206,LE_Curves!$N$5:$N$205,1)+1)-INDEX(LE_Curves!$B$5:$B$205,MATCH($B206,LE_Curves!$N$5:$N$205,1)))/(INDEX(LE_Curves!$N$5:$N$205,MATCH($B206,LE_Curves!$N$5:$N$205,1)+1)-INDEX(LE_Curves!$N$5:$N$205,MATCH($B206,LE_Curves!$N$5:$N$205,1))))))</f>
        <v/>
      </c>
      <c r="O206" s="11">
        <f>SUM(C206:N206)</f>
        <v/>
      </c>
      <c r="Q206" s="7" t="n">
        <v>175</v>
      </c>
      <c r="R206" s="23">
        <f>$B$6+($B$7-$B$6)*Q206/200</f>
        <v/>
      </c>
      <c r="S206" s="11">
        <f>IF(Inputs!$D$23=0,0,IF($R206&lt;=Inputs!$C$23,0,IF($R206&gt;=INDEX(LE_Curves!$C$5:$C$205,201),INDEX(LE_Curves!$B$5:$B$205,201),INDEX(LE_Curves!$B$5:$B$205,MATCH($R206,LE_Curves!$C$5:$C$205,1))+($R206-INDEX(LE_Curves!$C$5:$C$205,MATCH($R206,LE_Curves!$C$5:$C$205,1)))*(INDEX(LE_Curves!$B$5:$B$205,MATCH($R206,LE_Curves!$C$5:$C$205,1)+1)-INDEX(LE_Curves!$B$5:$B$205,MATCH($R206,LE_Curves!$C$5:$C$205,1)))/(INDEX(LE_Curves!$C$5:$C$205,MATCH($R206,LE_Curves!$C$5:$C$205,1)+1)-INDEX(LE_Curves!$C$5:$C$205,MATCH($R206,LE_Curves!$C$5:$C$205,1))))))</f>
        <v/>
      </c>
      <c r="T206" s="11">
        <f>IF(Inputs!$D$24=0,0,IF($R206&lt;=Inputs!$C$24,0,IF($R206&gt;=INDEX(LE_Curves!$D$5:$D$205,201),INDEX(LE_Curves!$B$5:$B$205,201),INDEX(LE_Curves!$B$5:$B$205,MATCH($R206,LE_Curves!$D$5:$D$205,1))+($R206-INDEX(LE_Curves!$D$5:$D$205,MATCH($R206,LE_Curves!$D$5:$D$205,1)))*(INDEX(LE_Curves!$B$5:$B$205,MATCH($R206,LE_Curves!$D$5:$D$205,1)+1)-INDEX(LE_Curves!$B$5:$B$205,MATCH($R206,LE_Curves!$D$5:$D$205,1)))/(INDEX(LE_Curves!$D$5:$D$205,MATCH($R206,LE_Curves!$D$5:$D$205,1)+1)-INDEX(LE_Curves!$D$5:$D$205,MATCH($R206,LE_Curves!$D$5:$D$205,1))))))</f>
        <v/>
      </c>
      <c r="U206" s="11">
        <f>IF(Inputs!$D$25=0,0,IF($R206&lt;=Inputs!$C$25,0,IF($R206&gt;=INDEX(LE_Curves!$E$5:$E$205,201),INDEX(LE_Curves!$B$5:$B$205,201),INDEX(LE_Curves!$B$5:$B$205,MATCH($R206,LE_Curves!$E$5:$E$205,1))+($R206-INDEX(LE_Curves!$E$5:$E$205,MATCH($R206,LE_Curves!$E$5:$E$205,1)))*(INDEX(LE_Curves!$B$5:$B$205,MATCH($R206,LE_Curves!$E$5:$E$205,1)+1)-INDEX(LE_Curves!$B$5:$B$205,MATCH($R206,LE_Curves!$E$5:$E$205,1)))/(INDEX(LE_Curves!$E$5:$E$205,MATCH($R206,LE_Curves!$E$5:$E$205,1)+1)-INDEX(LE_Curves!$E$5:$E$205,MATCH($R206,LE_Curves!$E$5:$E$205,1))))))</f>
        <v/>
      </c>
      <c r="V206" s="11">
        <f>IF(Inputs!$D$26=0,0,IF($R206&lt;=Inputs!$C$26,0,IF($R206&gt;=INDEX(LE_Curves!$F$5:$F$205,201),INDEX(LE_Curves!$B$5:$B$205,201),INDEX(LE_Curves!$B$5:$B$205,MATCH($R206,LE_Curves!$F$5:$F$205,1))+($R206-INDEX(LE_Curves!$F$5:$F$205,MATCH($R206,LE_Curves!$F$5:$F$205,1)))*(INDEX(LE_Curves!$B$5:$B$205,MATCH($R206,LE_Curves!$F$5:$F$205,1)+1)-INDEX(LE_Curves!$B$5:$B$205,MATCH($R206,LE_Curves!$F$5:$F$205,1)))/(INDEX(LE_Curves!$F$5:$F$205,MATCH($R206,LE_Curves!$F$5:$F$205,1)+1)-INDEX(LE_Curves!$F$5:$F$205,MATCH($R206,LE_Curves!$F$5:$F$205,1))))))</f>
        <v/>
      </c>
      <c r="W206" s="11">
        <f>IF(Inputs!$D$27=0,0,IF($R206&lt;=Inputs!$C$27,0,IF($R206&gt;=INDEX(LE_Curves!$G$5:$G$205,201),INDEX(LE_Curves!$B$5:$B$205,201),INDEX(LE_Curves!$B$5:$B$205,MATCH($R206,LE_Curves!$G$5:$G$205,1))+($R206-INDEX(LE_Curves!$G$5:$G$205,MATCH($R206,LE_Curves!$G$5:$G$205,1)))*(INDEX(LE_Curves!$B$5:$B$205,MATCH($R206,LE_Curves!$G$5:$G$205,1)+1)-INDEX(LE_Curves!$B$5:$B$205,MATCH($R206,LE_Curves!$G$5:$G$205,1)))/(INDEX(LE_Curves!$G$5:$G$205,MATCH($R206,LE_Curves!$G$5:$G$205,1)+1)-INDEX(LE_Curves!$G$5:$G$205,MATCH($R206,LE_Curves!$G$5:$G$205,1))))))</f>
        <v/>
      </c>
      <c r="X206" s="11">
        <f>IF(Inputs!$D$28=0,0,IF($R206&lt;=Inputs!$C$28,0,IF($R206&gt;=INDEX(LE_Curves!$H$5:$H$205,201),INDEX(LE_Curves!$B$5:$B$205,201),INDEX(LE_Curves!$B$5:$B$205,MATCH($R206,LE_Curves!$H$5:$H$205,1))+($R206-INDEX(LE_Curves!$H$5:$H$205,MATCH($R206,LE_Curves!$H$5:$H$205,1)))*(INDEX(LE_Curves!$B$5:$B$205,MATCH($R206,LE_Curves!$H$5:$H$205,1)+1)-INDEX(LE_Curves!$B$5:$B$205,MATCH($R206,LE_Curves!$H$5:$H$205,1)))/(INDEX(LE_Curves!$H$5:$H$205,MATCH($R206,LE_Curves!$H$5:$H$205,1)+1)-INDEX(LE_Curves!$H$5:$H$205,MATCH($R206,LE_Curves!$H$5:$H$205,1))))))</f>
        <v/>
      </c>
      <c r="Y206" s="11">
        <f>IF(Inputs!$D$29=0,0,IF($R206&lt;=Inputs!$C$29,0,IF($R206&gt;=INDEX(LE_Curves!$I$5:$I$205,201),INDEX(LE_Curves!$B$5:$B$205,201),INDEX(LE_Curves!$B$5:$B$205,MATCH($R206,LE_Curves!$I$5:$I$205,1))+($R206-INDEX(LE_Curves!$I$5:$I$205,MATCH($R206,LE_Curves!$I$5:$I$205,1)))*(INDEX(LE_Curves!$B$5:$B$205,MATCH($R206,LE_Curves!$I$5:$I$205,1)+1)-INDEX(LE_Curves!$B$5:$B$205,MATCH($R206,LE_Curves!$I$5:$I$205,1)))/(INDEX(LE_Curves!$I$5:$I$205,MATCH($R206,LE_Curves!$I$5:$I$205,1)+1)-INDEX(LE_Curves!$I$5:$I$205,MATCH($R206,LE_Curves!$I$5:$I$205,1))))))</f>
        <v/>
      </c>
      <c r="Z206" s="11">
        <f>IF(Inputs!$D$30=0,0,IF($R206&lt;=Inputs!$C$30,0,IF($R206&gt;=INDEX(LE_Curves!$J$5:$J$205,201),INDEX(LE_Curves!$B$5:$B$205,201),INDEX(LE_Curves!$B$5:$B$205,MATCH($R206,LE_Curves!$J$5:$J$205,1))+($R206-INDEX(LE_Curves!$J$5:$J$205,MATCH($R206,LE_Curves!$J$5:$J$205,1)))*(INDEX(LE_Curves!$B$5:$B$205,MATCH($R206,LE_Curves!$J$5:$J$205,1)+1)-INDEX(LE_Curves!$B$5:$B$205,MATCH($R206,LE_Curves!$J$5:$J$205,1)))/(INDEX(LE_Curves!$J$5:$J$205,MATCH($R206,LE_Curves!$J$5:$J$205,1)+1)-INDEX(LE_Curves!$J$5:$J$205,MATCH($R206,LE_Curves!$J$5:$J$205,1))))))</f>
        <v/>
      </c>
      <c r="AA206" s="11">
        <f>IF(Inputs!$D$31=0,0,IF($R206&lt;=Inputs!$C$31,0,IF($R206&gt;=INDEX(LE_Curves!$K$5:$K$205,201),INDEX(LE_Curves!$B$5:$B$205,201),INDEX(LE_Curves!$B$5:$B$205,MATCH($R206,LE_Curves!$K$5:$K$205,1))+($R206-INDEX(LE_Curves!$K$5:$K$205,MATCH($R206,LE_Curves!$K$5:$K$205,1)))*(INDEX(LE_Curves!$B$5:$B$205,MATCH($R206,LE_Curves!$K$5:$K$205,1)+1)-INDEX(LE_Curves!$B$5:$B$205,MATCH($R206,LE_Curves!$K$5:$K$205,1)))/(INDEX(LE_Curves!$K$5:$K$205,MATCH($R206,LE_Curves!$K$5:$K$205,1)+1)-INDEX(LE_Curves!$K$5:$K$205,MATCH($R206,LE_Curves!$K$5:$K$205,1))))))</f>
        <v/>
      </c>
      <c r="AB206" s="11">
        <f>IF(Inputs!$D$32=0,0,IF($R206&lt;=Inputs!$C$32,0,IF($R206&gt;=INDEX(LE_Curves!$L$5:$L$205,201),INDEX(LE_Curves!$B$5:$B$205,201),INDEX(LE_Curves!$B$5:$B$205,MATCH($R206,LE_Curves!$L$5:$L$205,1))+($R206-INDEX(LE_Curves!$L$5:$L$205,MATCH($R206,LE_Curves!$L$5:$L$205,1)))*(INDEX(LE_Curves!$B$5:$B$205,MATCH($R206,LE_Curves!$L$5:$L$205,1)+1)-INDEX(LE_Curves!$B$5:$B$205,MATCH($R206,LE_Curves!$L$5:$L$205,1)))/(INDEX(LE_Curves!$L$5:$L$205,MATCH($R206,LE_Curves!$L$5:$L$205,1)+1)-INDEX(LE_Curves!$L$5:$L$205,MATCH($R206,LE_Curves!$L$5:$L$205,1))))))</f>
        <v/>
      </c>
      <c r="AC206" s="11">
        <f>IF(Inputs!$D$33=0,0,IF($R206&lt;=Inputs!$C$33,0,IF($R206&gt;=INDEX(LE_Curves!$M$5:$M$205,201),INDEX(LE_Curves!$B$5:$B$205,201),INDEX(LE_Curves!$B$5:$B$205,MATCH($R206,LE_Curves!$M$5:$M$205,1))+($R206-INDEX(LE_Curves!$M$5:$M$205,MATCH($R206,LE_Curves!$M$5:$M$205,1)))*(INDEX(LE_Curves!$B$5:$B$205,MATCH($R206,LE_Curves!$M$5:$M$205,1)+1)-INDEX(LE_Curves!$B$5:$B$205,MATCH($R206,LE_Curves!$M$5:$M$205,1)))/(INDEX(LE_Curves!$M$5:$M$205,MATCH($R206,LE_Curves!$M$5:$M$205,1)+1)-INDEX(LE_Curves!$M$5:$M$205,MATCH($R206,LE_Curves!$M$5:$M$205,1))))))</f>
        <v/>
      </c>
      <c r="AD206" s="11">
        <f>IF(Inputs!$D$34=0,0,IF($R206&lt;=Inputs!$C$34,0,IF($R206&gt;=INDEX(LE_Curves!$N$5:$N$205,201),INDEX(LE_Curves!$B$5:$B$205,201),INDEX(LE_Curves!$B$5:$B$205,MATCH($R206,LE_Curves!$N$5:$N$205,1))+($R206-INDEX(LE_Curves!$N$5:$N$205,MATCH($R206,LE_Curves!$N$5:$N$205,1)))*(INDEX(LE_Curves!$B$5:$B$205,MATCH($R206,LE_Curves!$N$5:$N$205,1)+1)-INDEX(LE_Curves!$B$5:$B$205,MATCH($R206,LE_Curves!$N$5:$N$205,1)))/(INDEX(LE_Curves!$N$5:$N$205,MATCH($R206,LE_Curves!$N$5:$N$205,1)+1)-INDEX(LE_Curves!$N$5:$N$205,MATCH($R206,LE_Curves!$N$5:$N$205,1))))))</f>
        <v/>
      </c>
      <c r="AE206" s="37">
        <f>SUM(S206:AD206)</f>
        <v/>
      </c>
    </row>
    <row r="207">
      <c r="A207" s="7" t="n">
        <v>176</v>
      </c>
      <c r="B207" s="37">
        <f>$B$3+($B$4-$B$3)*A207/200</f>
        <v/>
      </c>
      <c r="C207" s="11">
        <f>IF(Inputs!$D$23=0,0,IF($B207&lt;=Inputs!$C$23,0,IF($B207&gt;=INDEX(LE_Curves!$C$5:$C$205,201),INDEX(LE_Curves!$B$5:$B$205,201),INDEX(LE_Curves!$B$5:$B$205,MATCH($B207,LE_Curves!$C$5:$C$205,1))+($B207-INDEX(LE_Curves!$C$5:$C$205,MATCH($B207,LE_Curves!$C$5:$C$205,1)))*(INDEX(LE_Curves!$B$5:$B$205,MATCH($B207,LE_Curves!$C$5:$C$205,1)+1)-INDEX(LE_Curves!$B$5:$B$205,MATCH($B207,LE_Curves!$C$5:$C$205,1)))/(INDEX(LE_Curves!$C$5:$C$205,MATCH($B207,LE_Curves!$C$5:$C$205,1)+1)-INDEX(LE_Curves!$C$5:$C$205,MATCH($B207,LE_Curves!$C$5:$C$205,1))))))</f>
        <v/>
      </c>
      <c r="D207" s="11">
        <f>IF(Inputs!$D$24=0,0,IF($B207&lt;=Inputs!$C$24,0,IF($B207&gt;=INDEX(LE_Curves!$D$5:$D$205,201),INDEX(LE_Curves!$B$5:$B$205,201),INDEX(LE_Curves!$B$5:$B$205,MATCH($B207,LE_Curves!$D$5:$D$205,1))+($B207-INDEX(LE_Curves!$D$5:$D$205,MATCH($B207,LE_Curves!$D$5:$D$205,1)))*(INDEX(LE_Curves!$B$5:$B$205,MATCH($B207,LE_Curves!$D$5:$D$205,1)+1)-INDEX(LE_Curves!$B$5:$B$205,MATCH($B207,LE_Curves!$D$5:$D$205,1)))/(INDEX(LE_Curves!$D$5:$D$205,MATCH($B207,LE_Curves!$D$5:$D$205,1)+1)-INDEX(LE_Curves!$D$5:$D$205,MATCH($B207,LE_Curves!$D$5:$D$205,1))))))</f>
        <v/>
      </c>
      <c r="E207" s="11">
        <f>IF(Inputs!$D$25=0,0,IF($B207&lt;=Inputs!$C$25,0,IF($B207&gt;=INDEX(LE_Curves!$E$5:$E$205,201),INDEX(LE_Curves!$B$5:$B$205,201),INDEX(LE_Curves!$B$5:$B$205,MATCH($B207,LE_Curves!$E$5:$E$205,1))+($B207-INDEX(LE_Curves!$E$5:$E$205,MATCH($B207,LE_Curves!$E$5:$E$205,1)))*(INDEX(LE_Curves!$B$5:$B$205,MATCH($B207,LE_Curves!$E$5:$E$205,1)+1)-INDEX(LE_Curves!$B$5:$B$205,MATCH($B207,LE_Curves!$E$5:$E$205,1)))/(INDEX(LE_Curves!$E$5:$E$205,MATCH($B207,LE_Curves!$E$5:$E$205,1)+1)-INDEX(LE_Curves!$E$5:$E$205,MATCH($B207,LE_Curves!$E$5:$E$205,1))))))</f>
        <v/>
      </c>
      <c r="F207" s="11">
        <f>IF(Inputs!$D$26=0,0,IF($B207&lt;=Inputs!$C$26,0,IF($B207&gt;=INDEX(LE_Curves!$F$5:$F$205,201),INDEX(LE_Curves!$B$5:$B$205,201),INDEX(LE_Curves!$B$5:$B$205,MATCH($B207,LE_Curves!$F$5:$F$205,1))+($B207-INDEX(LE_Curves!$F$5:$F$205,MATCH($B207,LE_Curves!$F$5:$F$205,1)))*(INDEX(LE_Curves!$B$5:$B$205,MATCH($B207,LE_Curves!$F$5:$F$205,1)+1)-INDEX(LE_Curves!$B$5:$B$205,MATCH($B207,LE_Curves!$F$5:$F$205,1)))/(INDEX(LE_Curves!$F$5:$F$205,MATCH($B207,LE_Curves!$F$5:$F$205,1)+1)-INDEX(LE_Curves!$F$5:$F$205,MATCH($B207,LE_Curves!$F$5:$F$205,1))))))</f>
        <v/>
      </c>
      <c r="G207" s="11">
        <f>IF(Inputs!$D$27=0,0,IF($B207&lt;=Inputs!$C$27,0,IF($B207&gt;=INDEX(LE_Curves!$G$5:$G$205,201),INDEX(LE_Curves!$B$5:$B$205,201),INDEX(LE_Curves!$B$5:$B$205,MATCH($B207,LE_Curves!$G$5:$G$205,1))+($B207-INDEX(LE_Curves!$G$5:$G$205,MATCH($B207,LE_Curves!$G$5:$G$205,1)))*(INDEX(LE_Curves!$B$5:$B$205,MATCH($B207,LE_Curves!$G$5:$G$205,1)+1)-INDEX(LE_Curves!$B$5:$B$205,MATCH($B207,LE_Curves!$G$5:$G$205,1)))/(INDEX(LE_Curves!$G$5:$G$205,MATCH($B207,LE_Curves!$G$5:$G$205,1)+1)-INDEX(LE_Curves!$G$5:$G$205,MATCH($B207,LE_Curves!$G$5:$G$205,1))))))</f>
        <v/>
      </c>
      <c r="H207" s="11">
        <f>IF(Inputs!$D$28=0,0,IF($B207&lt;=Inputs!$C$28,0,IF($B207&gt;=INDEX(LE_Curves!$H$5:$H$205,201),INDEX(LE_Curves!$B$5:$B$205,201),INDEX(LE_Curves!$B$5:$B$205,MATCH($B207,LE_Curves!$H$5:$H$205,1))+($B207-INDEX(LE_Curves!$H$5:$H$205,MATCH($B207,LE_Curves!$H$5:$H$205,1)))*(INDEX(LE_Curves!$B$5:$B$205,MATCH($B207,LE_Curves!$H$5:$H$205,1)+1)-INDEX(LE_Curves!$B$5:$B$205,MATCH($B207,LE_Curves!$H$5:$H$205,1)))/(INDEX(LE_Curves!$H$5:$H$205,MATCH($B207,LE_Curves!$H$5:$H$205,1)+1)-INDEX(LE_Curves!$H$5:$H$205,MATCH($B207,LE_Curves!$H$5:$H$205,1))))))</f>
        <v/>
      </c>
      <c r="I207" s="11">
        <f>IF(Inputs!$D$29=0,0,IF($B207&lt;=Inputs!$C$29,0,IF($B207&gt;=INDEX(LE_Curves!$I$5:$I$205,201),INDEX(LE_Curves!$B$5:$B$205,201),INDEX(LE_Curves!$B$5:$B$205,MATCH($B207,LE_Curves!$I$5:$I$205,1))+($B207-INDEX(LE_Curves!$I$5:$I$205,MATCH($B207,LE_Curves!$I$5:$I$205,1)))*(INDEX(LE_Curves!$B$5:$B$205,MATCH($B207,LE_Curves!$I$5:$I$205,1)+1)-INDEX(LE_Curves!$B$5:$B$205,MATCH($B207,LE_Curves!$I$5:$I$205,1)))/(INDEX(LE_Curves!$I$5:$I$205,MATCH($B207,LE_Curves!$I$5:$I$205,1)+1)-INDEX(LE_Curves!$I$5:$I$205,MATCH($B207,LE_Curves!$I$5:$I$205,1))))))</f>
        <v/>
      </c>
      <c r="J207" s="11">
        <f>IF(Inputs!$D$30=0,0,IF($B207&lt;=Inputs!$C$30,0,IF($B207&gt;=INDEX(LE_Curves!$J$5:$J$205,201),INDEX(LE_Curves!$B$5:$B$205,201),INDEX(LE_Curves!$B$5:$B$205,MATCH($B207,LE_Curves!$J$5:$J$205,1))+($B207-INDEX(LE_Curves!$J$5:$J$205,MATCH($B207,LE_Curves!$J$5:$J$205,1)))*(INDEX(LE_Curves!$B$5:$B$205,MATCH($B207,LE_Curves!$J$5:$J$205,1)+1)-INDEX(LE_Curves!$B$5:$B$205,MATCH($B207,LE_Curves!$J$5:$J$205,1)))/(INDEX(LE_Curves!$J$5:$J$205,MATCH($B207,LE_Curves!$J$5:$J$205,1)+1)-INDEX(LE_Curves!$J$5:$J$205,MATCH($B207,LE_Curves!$J$5:$J$205,1))))))</f>
        <v/>
      </c>
      <c r="K207" s="11">
        <f>IF(Inputs!$D$31=0,0,IF($B207&lt;=Inputs!$C$31,0,IF($B207&gt;=INDEX(LE_Curves!$K$5:$K$205,201),INDEX(LE_Curves!$B$5:$B$205,201),INDEX(LE_Curves!$B$5:$B$205,MATCH($B207,LE_Curves!$K$5:$K$205,1))+($B207-INDEX(LE_Curves!$K$5:$K$205,MATCH($B207,LE_Curves!$K$5:$K$205,1)))*(INDEX(LE_Curves!$B$5:$B$205,MATCH($B207,LE_Curves!$K$5:$K$205,1)+1)-INDEX(LE_Curves!$B$5:$B$205,MATCH($B207,LE_Curves!$K$5:$K$205,1)))/(INDEX(LE_Curves!$K$5:$K$205,MATCH($B207,LE_Curves!$K$5:$K$205,1)+1)-INDEX(LE_Curves!$K$5:$K$205,MATCH($B207,LE_Curves!$K$5:$K$205,1))))))</f>
        <v/>
      </c>
      <c r="L207" s="11">
        <f>IF(Inputs!$D$32=0,0,IF($B207&lt;=Inputs!$C$32,0,IF($B207&gt;=INDEX(LE_Curves!$L$5:$L$205,201),INDEX(LE_Curves!$B$5:$B$205,201),INDEX(LE_Curves!$B$5:$B$205,MATCH($B207,LE_Curves!$L$5:$L$205,1))+($B207-INDEX(LE_Curves!$L$5:$L$205,MATCH($B207,LE_Curves!$L$5:$L$205,1)))*(INDEX(LE_Curves!$B$5:$B$205,MATCH($B207,LE_Curves!$L$5:$L$205,1)+1)-INDEX(LE_Curves!$B$5:$B$205,MATCH($B207,LE_Curves!$L$5:$L$205,1)))/(INDEX(LE_Curves!$L$5:$L$205,MATCH($B207,LE_Curves!$L$5:$L$205,1)+1)-INDEX(LE_Curves!$L$5:$L$205,MATCH($B207,LE_Curves!$L$5:$L$205,1))))))</f>
        <v/>
      </c>
      <c r="M207" s="11">
        <f>IF(Inputs!$D$33=0,0,IF($B207&lt;=Inputs!$C$33,0,IF($B207&gt;=INDEX(LE_Curves!$M$5:$M$205,201),INDEX(LE_Curves!$B$5:$B$205,201),INDEX(LE_Curves!$B$5:$B$205,MATCH($B207,LE_Curves!$M$5:$M$205,1))+($B207-INDEX(LE_Curves!$M$5:$M$205,MATCH($B207,LE_Curves!$M$5:$M$205,1)))*(INDEX(LE_Curves!$B$5:$B$205,MATCH($B207,LE_Curves!$M$5:$M$205,1)+1)-INDEX(LE_Curves!$B$5:$B$205,MATCH($B207,LE_Curves!$M$5:$M$205,1)))/(INDEX(LE_Curves!$M$5:$M$205,MATCH($B207,LE_Curves!$M$5:$M$205,1)+1)-INDEX(LE_Curves!$M$5:$M$205,MATCH($B207,LE_Curves!$M$5:$M$205,1))))))</f>
        <v/>
      </c>
      <c r="N207" s="11">
        <f>IF(Inputs!$D$34=0,0,IF($B207&lt;=Inputs!$C$34,0,IF($B207&gt;=INDEX(LE_Curves!$N$5:$N$205,201),INDEX(LE_Curves!$B$5:$B$205,201),INDEX(LE_Curves!$B$5:$B$205,MATCH($B207,LE_Curves!$N$5:$N$205,1))+($B207-INDEX(LE_Curves!$N$5:$N$205,MATCH($B207,LE_Curves!$N$5:$N$205,1)))*(INDEX(LE_Curves!$B$5:$B$205,MATCH($B207,LE_Curves!$N$5:$N$205,1)+1)-INDEX(LE_Curves!$B$5:$B$205,MATCH($B207,LE_Curves!$N$5:$N$205,1)))/(INDEX(LE_Curves!$N$5:$N$205,MATCH($B207,LE_Curves!$N$5:$N$205,1)+1)-INDEX(LE_Curves!$N$5:$N$205,MATCH($B207,LE_Curves!$N$5:$N$205,1))))))</f>
        <v/>
      </c>
      <c r="O207" s="11">
        <f>SUM(C207:N207)</f>
        <v/>
      </c>
      <c r="Q207" s="7" t="n">
        <v>176</v>
      </c>
      <c r="R207" s="23">
        <f>$B$6+($B$7-$B$6)*Q207/200</f>
        <v/>
      </c>
      <c r="S207" s="11">
        <f>IF(Inputs!$D$23=0,0,IF($R207&lt;=Inputs!$C$23,0,IF($R207&gt;=INDEX(LE_Curves!$C$5:$C$205,201),INDEX(LE_Curves!$B$5:$B$205,201),INDEX(LE_Curves!$B$5:$B$205,MATCH($R207,LE_Curves!$C$5:$C$205,1))+($R207-INDEX(LE_Curves!$C$5:$C$205,MATCH($R207,LE_Curves!$C$5:$C$205,1)))*(INDEX(LE_Curves!$B$5:$B$205,MATCH($R207,LE_Curves!$C$5:$C$205,1)+1)-INDEX(LE_Curves!$B$5:$B$205,MATCH($R207,LE_Curves!$C$5:$C$205,1)))/(INDEX(LE_Curves!$C$5:$C$205,MATCH($R207,LE_Curves!$C$5:$C$205,1)+1)-INDEX(LE_Curves!$C$5:$C$205,MATCH($R207,LE_Curves!$C$5:$C$205,1))))))</f>
        <v/>
      </c>
      <c r="T207" s="11">
        <f>IF(Inputs!$D$24=0,0,IF($R207&lt;=Inputs!$C$24,0,IF($R207&gt;=INDEX(LE_Curves!$D$5:$D$205,201),INDEX(LE_Curves!$B$5:$B$205,201),INDEX(LE_Curves!$B$5:$B$205,MATCH($R207,LE_Curves!$D$5:$D$205,1))+($R207-INDEX(LE_Curves!$D$5:$D$205,MATCH($R207,LE_Curves!$D$5:$D$205,1)))*(INDEX(LE_Curves!$B$5:$B$205,MATCH($R207,LE_Curves!$D$5:$D$205,1)+1)-INDEX(LE_Curves!$B$5:$B$205,MATCH($R207,LE_Curves!$D$5:$D$205,1)))/(INDEX(LE_Curves!$D$5:$D$205,MATCH($R207,LE_Curves!$D$5:$D$205,1)+1)-INDEX(LE_Curves!$D$5:$D$205,MATCH($R207,LE_Curves!$D$5:$D$205,1))))))</f>
        <v/>
      </c>
      <c r="U207" s="11">
        <f>IF(Inputs!$D$25=0,0,IF($R207&lt;=Inputs!$C$25,0,IF($R207&gt;=INDEX(LE_Curves!$E$5:$E$205,201),INDEX(LE_Curves!$B$5:$B$205,201),INDEX(LE_Curves!$B$5:$B$205,MATCH($R207,LE_Curves!$E$5:$E$205,1))+($R207-INDEX(LE_Curves!$E$5:$E$205,MATCH($R207,LE_Curves!$E$5:$E$205,1)))*(INDEX(LE_Curves!$B$5:$B$205,MATCH($R207,LE_Curves!$E$5:$E$205,1)+1)-INDEX(LE_Curves!$B$5:$B$205,MATCH($R207,LE_Curves!$E$5:$E$205,1)))/(INDEX(LE_Curves!$E$5:$E$205,MATCH($R207,LE_Curves!$E$5:$E$205,1)+1)-INDEX(LE_Curves!$E$5:$E$205,MATCH($R207,LE_Curves!$E$5:$E$205,1))))))</f>
        <v/>
      </c>
      <c r="V207" s="11">
        <f>IF(Inputs!$D$26=0,0,IF($R207&lt;=Inputs!$C$26,0,IF($R207&gt;=INDEX(LE_Curves!$F$5:$F$205,201),INDEX(LE_Curves!$B$5:$B$205,201),INDEX(LE_Curves!$B$5:$B$205,MATCH($R207,LE_Curves!$F$5:$F$205,1))+($R207-INDEX(LE_Curves!$F$5:$F$205,MATCH($R207,LE_Curves!$F$5:$F$205,1)))*(INDEX(LE_Curves!$B$5:$B$205,MATCH($R207,LE_Curves!$F$5:$F$205,1)+1)-INDEX(LE_Curves!$B$5:$B$205,MATCH($R207,LE_Curves!$F$5:$F$205,1)))/(INDEX(LE_Curves!$F$5:$F$205,MATCH($R207,LE_Curves!$F$5:$F$205,1)+1)-INDEX(LE_Curves!$F$5:$F$205,MATCH($R207,LE_Curves!$F$5:$F$205,1))))))</f>
        <v/>
      </c>
      <c r="W207" s="11">
        <f>IF(Inputs!$D$27=0,0,IF($R207&lt;=Inputs!$C$27,0,IF($R207&gt;=INDEX(LE_Curves!$G$5:$G$205,201),INDEX(LE_Curves!$B$5:$B$205,201),INDEX(LE_Curves!$B$5:$B$205,MATCH($R207,LE_Curves!$G$5:$G$205,1))+($R207-INDEX(LE_Curves!$G$5:$G$205,MATCH($R207,LE_Curves!$G$5:$G$205,1)))*(INDEX(LE_Curves!$B$5:$B$205,MATCH($R207,LE_Curves!$G$5:$G$205,1)+1)-INDEX(LE_Curves!$B$5:$B$205,MATCH($R207,LE_Curves!$G$5:$G$205,1)))/(INDEX(LE_Curves!$G$5:$G$205,MATCH($R207,LE_Curves!$G$5:$G$205,1)+1)-INDEX(LE_Curves!$G$5:$G$205,MATCH($R207,LE_Curves!$G$5:$G$205,1))))))</f>
        <v/>
      </c>
      <c r="X207" s="11">
        <f>IF(Inputs!$D$28=0,0,IF($R207&lt;=Inputs!$C$28,0,IF($R207&gt;=INDEX(LE_Curves!$H$5:$H$205,201),INDEX(LE_Curves!$B$5:$B$205,201),INDEX(LE_Curves!$B$5:$B$205,MATCH($R207,LE_Curves!$H$5:$H$205,1))+($R207-INDEX(LE_Curves!$H$5:$H$205,MATCH($R207,LE_Curves!$H$5:$H$205,1)))*(INDEX(LE_Curves!$B$5:$B$205,MATCH($R207,LE_Curves!$H$5:$H$205,1)+1)-INDEX(LE_Curves!$B$5:$B$205,MATCH($R207,LE_Curves!$H$5:$H$205,1)))/(INDEX(LE_Curves!$H$5:$H$205,MATCH($R207,LE_Curves!$H$5:$H$205,1)+1)-INDEX(LE_Curves!$H$5:$H$205,MATCH($R207,LE_Curves!$H$5:$H$205,1))))))</f>
        <v/>
      </c>
      <c r="Y207" s="11">
        <f>IF(Inputs!$D$29=0,0,IF($R207&lt;=Inputs!$C$29,0,IF($R207&gt;=INDEX(LE_Curves!$I$5:$I$205,201),INDEX(LE_Curves!$B$5:$B$205,201),INDEX(LE_Curves!$B$5:$B$205,MATCH($R207,LE_Curves!$I$5:$I$205,1))+($R207-INDEX(LE_Curves!$I$5:$I$205,MATCH($R207,LE_Curves!$I$5:$I$205,1)))*(INDEX(LE_Curves!$B$5:$B$205,MATCH($R207,LE_Curves!$I$5:$I$205,1)+1)-INDEX(LE_Curves!$B$5:$B$205,MATCH($R207,LE_Curves!$I$5:$I$205,1)))/(INDEX(LE_Curves!$I$5:$I$205,MATCH($R207,LE_Curves!$I$5:$I$205,1)+1)-INDEX(LE_Curves!$I$5:$I$205,MATCH($R207,LE_Curves!$I$5:$I$205,1))))))</f>
        <v/>
      </c>
      <c r="Z207" s="11">
        <f>IF(Inputs!$D$30=0,0,IF($R207&lt;=Inputs!$C$30,0,IF($R207&gt;=INDEX(LE_Curves!$J$5:$J$205,201),INDEX(LE_Curves!$B$5:$B$205,201),INDEX(LE_Curves!$B$5:$B$205,MATCH($R207,LE_Curves!$J$5:$J$205,1))+($R207-INDEX(LE_Curves!$J$5:$J$205,MATCH($R207,LE_Curves!$J$5:$J$205,1)))*(INDEX(LE_Curves!$B$5:$B$205,MATCH($R207,LE_Curves!$J$5:$J$205,1)+1)-INDEX(LE_Curves!$B$5:$B$205,MATCH($R207,LE_Curves!$J$5:$J$205,1)))/(INDEX(LE_Curves!$J$5:$J$205,MATCH($R207,LE_Curves!$J$5:$J$205,1)+1)-INDEX(LE_Curves!$J$5:$J$205,MATCH($R207,LE_Curves!$J$5:$J$205,1))))))</f>
        <v/>
      </c>
      <c r="AA207" s="11">
        <f>IF(Inputs!$D$31=0,0,IF($R207&lt;=Inputs!$C$31,0,IF($R207&gt;=INDEX(LE_Curves!$K$5:$K$205,201),INDEX(LE_Curves!$B$5:$B$205,201),INDEX(LE_Curves!$B$5:$B$205,MATCH($R207,LE_Curves!$K$5:$K$205,1))+($R207-INDEX(LE_Curves!$K$5:$K$205,MATCH($R207,LE_Curves!$K$5:$K$205,1)))*(INDEX(LE_Curves!$B$5:$B$205,MATCH($R207,LE_Curves!$K$5:$K$205,1)+1)-INDEX(LE_Curves!$B$5:$B$205,MATCH($R207,LE_Curves!$K$5:$K$205,1)))/(INDEX(LE_Curves!$K$5:$K$205,MATCH($R207,LE_Curves!$K$5:$K$205,1)+1)-INDEX(LE_Curves!$K$5:$K$205,MATCH($R207,LE_Curves!$K$5:$K$205,1))))))</f>
        <v/>
      </c>
      <c r="AB207" s="11">
        <f>IF(Inputs!$D$32=0,0,IF($R207&lt;=Inputs!$C$32,0,IF($R207&gt;=INDEX(LE_Curves!$L$5:$L$205,201),INDEX(LE_Curves!$B$5:$B$205,201),INDEX(LE_Curves!$B$5:$B$205,MATCH($R207,LE_Curves!$L$5:$L$205,1))+($R207-INDEX(LE_Curves!$L$5:$L$205,MATCH($R207,LE_Curves!$L$5:$L$205,1)))*(INDEX(LE_Curves!$B$5:$B$205,MATCH($R207,LE_Curves!$L$5:$L$205,1)+1)-INDEX(LE_Curves!$B$5:$B$205,MATCH($R207,LE_Curves!$L$5:$L$205,1)))/(INDEX(LE_Curves!$L$5:$L$205,MATCH($R207,LE_Curves!$L$5:$L$205,1)+1)-INDEX(LE_Curves!$L$5:$L$205,MATCH($R207,LE_Curves!$L$5:$L$205,1))))))</f>
        <v/>
      </c>
      <c r="AC207" s="11">
        <f>IF(Inputs!$D$33=0,0,IF($R207&lt;=Inputs!$C$33,0,IF($R207&gt;=INDEX(LE_Curves!$M$5:$M$205,201),INDEX(LE_Curves!$B$5:$B$205,201),INDEX(LE_Curves!$B$5:$B$205,MATCH($R207,LE_Curves!$M$5:$M$205,1))+($R207-INDEX(LE_Curves!$M$5:$M$205,MATCH($R207,LE_Curves!$M$5:$M$205,1)))*(INDEX(LE_Curves!$B$5:$B$205,MATCH($R207,LE_Curves!$M$5:$M$205,1)+1)-INDEX(LE_Curves!$B$5:$B$205,MATCH($R207,LE_Curves!$M$5:$M$205,1)))/(INDEX(LE_Curves!$M$5:$M$205,MATCH($R207,LE_Curves!$M$5:$M$205,1)+1)-INDEX(LE_Curves!$M$5:$M$205,MATCH($R207,LE_Curves!$M$5:$M$205,1))))))</f>
        <v/>
      </c>
      <c r="AD207" s="11">
        <f>IF(Inputs!$D$34=0,0,IF($R207&lt;=Inputs!$C$34,0,IF($R207&gt;=INDEX(LE_Curves!$N$5:$N$205,201),INDEX(LE_Curves!$B$5:$B$205,201),INDEX(LE_Curves!$B$5:$B$205,MATCH($R207,LE_Curves!$N$5:$N$205,1))+($R207-INDEX(LE_Curves!$N$5:$N$205,MATCH($R207,LE_Curves!$N$5:$N$205,1)))*(INDEX(LE_Curves!$B$5:$B$205,MATCH($R207,LE_Curves!$N$5:$N$205,1)+1)-INDEX(LE_Curves!$B$5:$B$205,MATCH($R207,LE_Curves!$N$5:$N$205,1)))/(INDEX(LE_Curves!$N$5:$N$205,MATCH($R207,LE_Curves!$N$5:$N$205,1)+1)-INDEX(LE_Curves!$N$5:$N$205,MATCH($R207,LE_Curves!$N$5:$N$205,1))))))</f>
        <v/>
      </c>
      <c r="AE207" s="37">
        <f>SUM(S207:AD207)</f>
        <v/>
      </c>
    </row>
    <row r="208">
      <c r="A208" s="7" t="n">
        <v>177</v>
      </c>
      <c r="B208" s="37">
        <f>$B$3+($B$4-$B$3)*A208/200</f>
        <v/>
      </c>
      <c r="C208" s="11">
        <f>IF(Inputs!$D$23=0,0,IF($B208&lt;=Inputs!$C$23,0,IF($B208&gt;=INDEX(LE_Curves!$C$5:$C$205,201),INDEX(LE_Curves!$B$5:$B$205,201),INDEX(LE_Curves!$B$5:$B$205,MATCH($B208,LE_Curves!$C$5:$C$205,1))+($B208-INDEX(LE_Curves!$C$5:$C$205,MATCH($B208,LE_Curves!$C$5:$C$205,1)))*(INDEX(LE_Curves!$B$5:$B$205,MATCH($B208,LE_Curves!$C$5:$C$205,1)+1)-INDEX(LE_Curves!$B$5:$B$205,MATCH($B208,LE_Curves!$C$5:$C$205,1)))/(INDEX(LE_Curves!$C$5:$C$205,MATCH($B208,LE_Curves!$C$5:$C$205,1)+1)-INDEX(LE_Curves!$C$5:$C$205,MATCH($B208,LE_Curves!$C$5:$C$205,1))))))</f>
        <v/>
      </c>
      <c r="D208" s="11">
        <f>IF(Inputs!$D$24=0,0,IF($B208&lt;=Inputs!$C$24,0,IF($B208&gt;=INDEX(LE_Curves!$D$5:$D$205,201),INDEX(LE_Curves!$B$5:$B$205,201),INDEX(LE_Curves!$B$5:$B$205,MATCH($B208,LE_Curves!$D$5:$D$205,1))+($B208-INDEX(LE_Curves!$D$5:$D$205,MATCH($B208,LE_Curves!$D$5:$D$205,1)))*(INDEX(LE_Curves!$B$5:$B$205,MATCH($B208,LE_Curves!$D$5:$D$205,1)+1)-INDEX(LE_Curves!$B$5:$B$205,MATCH($B208,LE_Curves!$D$5:$D$205,1)))/(INDEX(LE_Curves!$D$5:$D$205,MATCH($B208,LE_Curves!$D$5:$D$205,1)+1)-INDEX(LE_Curves!$D$5:$D$205,MATCH($B208,LE_Curves!$D$5:$D$205,1))))))</f>
        <v/>
      </c>
      <c r="E208" s="11">
        <f>IF(Inputs!$D$25=0,0,IF($B208&lt;=Inputs!$C$25,0,IF($B208&gt;=INDEX(LE_Curves!$E$5:$E$205,201),INDEX(LE_Curves!$B$5:$B$205,201),INDEX(LE_Curves!$B$5:$B$205,MATCH($B208,LE_Curves!$E$5:$E$205,1))+($B208-INDEX(LE_Curves!$E$5:$E$205,MATCH($B208,LE_Curves!$E$5:$E$205,1)))*(INDEX(LE_Curves!$B$5:$B$205,MATCH($B208,LE_Curves!$E$5:$E$205,1)+1)-INDEX(LE_Curves!$B$5:$B$205,MATCH($B208,LE_Curves!$E$5:$E$205,1)))/(INDEX(LE_Curves!$E$5:$E$205,MATCH($B208,LE_Curves!$E$5:$E$205,1)+1)-INDEX(LE_Curves!$E$5:$E$205,MATCH($B208,LE_Curves!$E$5:$E$205,1))))))</f>
        <v/>
      </c>
      <c r="F208" s="11">
        <f>IF(Inputs!$D$26=0,0,IF($B208&lt;=Inputs!$C$26,0,IF($B208&gt;=INDEX(LE_Curves!$F$5:$F$205,201),INDEX(LE_Curves!$B$5:$B$205,201),INDEX(LE_Curves!$B$5:$B$205,MATCH($B208,LE_Curves!$F$5:$F$205,1))+($B208-INDEX(LE_Curves!$F$5:$F$205,MATCH($B208,LE_Curves!$F$5:$F$205,1)))*(INDEX(LE_Curves!$B$5:$B$205,MATCH($B208,LE_Curves!$F$5:$F$205,1)+1)-INDEX(LE_Curves!$B$5:$B$205,MATCH($B208,LE_Curves!$F$5:$F$205,1)))/(INDEX(LE_Curves!$F$5:$F$205,MATCH($B208,LE_Curves!$F$5:$F$205,1)+1)-INDEX(LE_Curves!$F$5:$F$205,MATCH($B208,LE_Curves!$F$5:$F$205,1))))))</f>
        <v/>
      </c>
      <c r="G208" s="11">
        <f>IF(Inputs!$D$27=0,0,IF($B208&lt;=Inputs!$C$27,0,IF($B208&gt;=INDEX(LE_Curves!$G$5:$G$205,201),INDEX(LE_Curves!$B$5:$B$205,201),INDEX(LE_Curves!$B$5:$B$205,MATCH($B208,LE_Curves!$G$5:$G$205,1))+($B208-INDEX(LE_Curves!$G$5:$G$205,MATCH($B208,LE_Curves!$G$5:$G$205,1)))*(INDEX(LE_Curves!$B$5:$B$205,MATCH($B208,LE_Curves!$G$5:$G$205,1)+1)-INDEX(LE_Curves!$B$5:$B$205,MATCH($B208,LE_Curves!$G$5:$G$205,1)))/(INDEX(LE_Curves!$G$5:$G$205,MATCH($B208,LE_Curves!$G$5:$G$205,1)+1)-INDEX(LE_Curves!$G$5:$G$205,MATCH($B208,LE_Curves!$G$5:$G$205,1))))))</f>
        <v/>
      </c>
      <c r="H208" s="11">
        <f>IF(Inputs!$D$28=0,0,IF($B208&lt;=Inputs!$C$28,0,IF($B208&gt;=INDEX(LE_Curves!$H$5:$H$205,201),INDEX(LE_Curves!$B$5:$B$205,201),INDEX(LE_Curves!$B$5:$B$205,MATCH($B208,LE_Curves!$H$5:$H$205,1))+($B208-INDEX(LE_Curves!$H$5:$H$205,MATCH($B208,LE_Curves!$H$5:$H$205,1)))*(INDEX(LE_Curves!$B$5:$B$205,MATCH($B208,LE_Curves!$H$5:$H$205,1)+1)-INDEX(LE_Curves!$B$5:$B$205,MATCH($B208,LE_Curves!$H$5:$H$205,1)))/(INDEX(LE_Curves!$H$5:$H$205,MATCH($B208,LE_Curves!$H$5:$H$205,1)+1)-INDEX(LE_Curves!$H$5:$H$205,MATCH($B208,LE_Curves!$H$5:$H$205,1))))))</f>
        <v/>
      </c>
      <c r="I208" s="11">
        <f>IF(Inputs!$D$29=0,0,IF($B208&lt;=Inputs!$C$29,0,IF($B208&gt;=INDEX(LE_Curves!$I$5:$I$205,201),INDEX(LE_Curves!$B$5:$B$205,201),INDEX(LE_Curves!$B$5:$B$205,MATCH($B208,LE_Curves!$I$5:$I$205,1))+($B208-INDEX(LE_Curves!$I$5:$I$205,MATCH($B208,LE_Curves!$I$5:$I$205,1)))*(INDEX(LE_Curves!$B$5:$B$205,MATCH($B208,LE_Curves!$I$5:$I$205,1)+1)-INDEX(LE_Curves!$B$5:$B$205,MATCH($B208,LE_Curves!$I$5:$I$205,1)))/(INDEX(LE_Curves!$I$5:$I$205,MATCH($B208,LE_Curves!$I$5:$I$205,1)+1)-INDEX(LE_Curves!$I$5:$I$205,MATCH($B208,LE_Curves!$I$5:$I$205,1))))))</f>
        <v/>
      </c>
      <c r="J208" s="11">
        <f>IF(Inputs!$D$30=0,0,IF($B208&lt;=Inputs!$C$30,0,IF($B208&gt;=INDEX(LE_Curves!$J$5:$J$205,201),INDEX(LE_Curves!$B$5:$B$205,201),INDEX(LE_Curves!$B$5:$B$205,MATCH($B208,LE_Curves!$J$5:$J$205,1))+($B208-INDEX(LE_Curves!$J$5:$J$205,MATCH($B208,LE_Curves!$J$5:$J$205,1)))*(INDEX(LE_Curves!$B$5:$B$205,MATCH($B208,LE_Curves!$J$5:$J$205,1)+1)-INDEX(LE_Curves!$B$5:$B$205,MATCH($B208,LE_Curves!$J$5:$J$205,1)))/(INDEX(LE_Curves!$J$5:$J$205,MATCH($B208,LE_Curves!$J$5:$J$205,1)+1)-INDEX(LE_Curves!$J$5:$J$205,MATCH($B208,LE_Curves!$J$5:$J$205,1))))))</f>
        <v/>
      </c>
      <c r="K208" s="11">
        <f>IF(Inputs!$D$31=0,0,IF($B208&lt;=Inputs!$C$31,0,IF($B208&gt;=INDEX(LE_Curves!$K$5:$K$205,201),INDEX(LE_Curves!$B$5:$B$205,201),INDEX(LE_Curves!$B$5:$B$205,MATCH($B208,LE_Curves!$K$5:$K$205,1))+($B208-INDEX(LE_Curves!$K$5:$K$205,MATCH($B208,LE_Curves!$K$5:$K$205,1)))*(INDEX(LE_Curves!$B$5:$B$205,MATCH($B208,LE_Curves!$K$5:$K$205,1)+1)-INDEX(LE_Curves!$B$5:$B$205,MATCH($B208,LE_Curves!$K$5:$K$205,1)))/(INDEX(LE_Curves!$K$5:$K$205,MATCH($B208,LE_Curves!$K$5:$K$205,1)+1)-INDEX(LE_Curves!$K$5:$K$205,MATCH($B208,LE_Curves!$K$5:$K$205,1))))))</f>
        <v/>
      </c>
      <c r="L208" s="11">
        <f>IF(Inputs!$D$32=0,0,IF($B208&lt;=Inputs!$C$32,0,IF($B208&gt;=INDEX(LE_Curves!$L$5:$L$205,201),INDEX(LE_Curves!$B$5:$B$205,201),INDEX(LE_Curves!$B$5:$B$205,MATCH($B208,LE_Curves!$L$5:$L$205,1))+($B208-INDEX(LE_Curves!$L$5:$L$205,MATCH($B208,LE_Curves!$L$5:$L$205,1)))*(INDEX(LE_Curves!$B$5:$B$205,MATCH($B208,LE_Curves!$L$5:$L$205,1)+1)-INDEX(LE_Curves!$B$5:$B$205,MATCH($B208,LE_Curves!$L$5:$L$205,1)))/(INDEX(LE_Curves!$L$5:$L$205,MATCH($B208,LE_Curves!$L$5:$L$205,1)+1)-INDEX(LE_Curves!$L$5:$L$205,MATCH($B208,LE_Curves!$L$5:$L$205,1))))))</f>
        <v/>
      </c>
      <c r="M208" s="11">
        <f>IF(Inputs!$D$33=0,0,IF($B208&lt;=Inputs!$C$33,0,IF($B208&gt;=INDEX(LE_Curves!$M$5:$M$205,201),INDEX(LE_Curves!$B$5:$B$205,201),INDEX(LE_Curves!$B$5:$B$205,MATCH($B208,LE_Curves!$M$5:$M$205,1))+($B208-INDEX(LE_Curves!$M$5:$M$205,MATCH($B208,LE_Curves!$M$5:$M$205,1)))*(INDEX(LE_Curves!$B$5:$B$205,MATCH($B208,LE_Curves!$M$5:$M$205,1)+1)-INDEX(LE_Curves!$B$5:$B$205,MATCH($B208,LE_Curves!$M$5:$M$205,1)))/(INDEX(LE_Curves!$M$5:$M$205,MATCH($B208,LE_Curves!$M$5:$M$205,1)+1)-INDEX(LE_Curves!$M$5:$M$205,MATCH($B208,LE_Curves!$M$5:$M$205,1))))))</f>
        <v/>
      </c>
      <c r="N208" s="11">
        <f>IF(Inputs!$D$34=0,0,IF($B208&lt;=Inputs!$C$34,0,IF($B208&gt;=INDEX(LE_Curves!$N$5:$N$205,201),INDEX(LE_Curves!$B$5:$B$205,201),INDEX(LE_Curves!$B$5:$B$205,MATCH($B208,LE_Curves!$N$5:$N$205,1))+($B208-INDEX(LE_Curves!$N$5:$N$205,MATCH($B208,LE_Curves!$N$5:$N$205,1)))*(INDEX(LE_Curves!$B$5:$B$205,MATCH($B208,LE_Curves!$N$5:$N$205,1)+1)-INDEX(LE_Curves!$B$5:$B$205,MATCH($B208,LE_Curves!$N$5:$N$205,1)))/(INDEX(LE_Curves!$N$5:$N$205,MATCH($B208,LE_Curves!$N$5:$N$205,1)+1)-INDEX(LE_Curves!$N$5:$N$205,MATCH($B208,LE_Curves!$N$5:$N$205,1))))))</f>
        <v/>
      </c>
      <c r="O208" s="11">
        <f>SUM(C208:N208)</f>
        <v/>
      </c>
      <c r="Q208" s="7" t="n">
        <v>177</v>
      </c>
      <c r="R208" s="23">
        <f>$B$6+($B$7-$B$6)*Q208/200</f>
        <v/>
      </c>
      <c r="S208" s="11">
        <f>IF(Inputs!$D$23=0,0,IF($R208&lt;=Inputs!$C$23,0,IF($R208&gt;=INDEX(LE_Curves!$C$5:$C$205,201),INDEX(LE_Curves!$B$5:$B$205,201),INDEX(LE_Curves!$B$5:$B$205,MATCH($R208,LE_Curves!$C$5:$C$205,1))+($R208-INDEX(LE_Curves!$C$5:$C$205,MATCH($R208,LE_Curves!$C$5:$C$205,1)))*(INDEX(LE_Curves!$B$5:$B$205,MATCH($R208,LE_Curves!$C$5:$C$205,1)+1)-INDEX(LE_Curves!$B$5:$B$205,MATCH($R208,LE_Curves!$C$5:$C$205,1)))/(INDEX(LE_Curves!$C$5:$C$205,MATCH($R208,LE_Curves!$C$5:$C$205,1)+1)-INDEX(LE_Curves!$C$5:$C$205,MATCH($R208,LE_Curves!$C$5:$C$205,1))))))</f>
        <v/>
      </c>
      <c r="T208" s="11">
        <f>IF(Inputs!$D$24=0,0,IF($R208&lt;=Inputs!$C$24,0,IF($R208&gt;=INDEX(LE_Curves!$D$5:$D$205,201),INDEX(LE_Curves!$B$5:$B$205,201),INDEX(LE_Curves!$B$5:$B$205,MATCH($R208,LE_Curves!$D$5:$D$205,1))+($R208-INDEX(LE_Curves!$D$5:$D$205,MATCH($R208,LE_Curves!$D$5:$D$205,1)))*(INDEX(LE_Curves!$B$5:$B$205,MATCH($R208,LE_Curves!$D$5:$D$205,1)+1)-INDEX(LE_Curves!$B$5:$B$205,MATCH($R208,LE_Curves!$D$5:$D$205,1)))/(INDEX(LE_Curves!$D$5:$D$205,MATCH($R208,LE_Curves!$D$5:$D$205,1)+1)-INDEX(LE_Curves!$D$5:$D$205,MATCH($R208,LE_Curves!$D$5:$D$205,1))))))</f>
        <v/>
      </c>
      <c r="U208" s="11">
        <f>IF(Inputs!$D$25=0,0,IF($R208&lt;=Inputs!$C$25,0,IF($R208&gt;=INDEX(LE_Curves!$E$5:$E$205,201),INDEX(LE_Curves!$B$5:$B$205,201),INDEX(LE_Curves!$B$5:$B$205,MATCH($R208,LE_Curves!$E$5:$E$205,1))+($R208-INDEX(LE_Curves!$E$5:$E$205,MATCH($R208,LE_Curves!$E$5:$E$205,1)))*(INDEX(LE_Curves!$B$5:$B$205,MATCH($R208,LE_Curves!$E$5:$E$205,1)+1)-INDEX(LE_Curves!$B$5:$B$205,MATCH($R208,LE_Curves!$E$5:$E$205,1)))/(INDEX(LE_Curves!$E$5:$E$205,MATCH($R208,LE_Curves!$E$5:$E$205,1)+1)-INDEX(LE_Curves!$E$5:$E$205,MATCH($R208,LE_Curves!$E$5:$E$205,1))))))</f>
        <v/>
      </c>
      <c r="V208" s="11">
        <f>IF(Inputs!$D$26=0,0,IF($R208&lt;=Inputs!$C$26,0,IF($R208&gt;=INDEX(LE_Curves!$F$5:$F$205,201),INDEX(LE_Curves!$B$5:$B$205,201),INDEX(LE_Curves!$B$5:$B$205,MATCH($R208,LE_Curves!$F$5:$F$205,1))+($R208-INDEX(LE_Curves!$F$5:$F$205,MATCH($R208,LE_Curves!$F$5:$F$205,1)))*(INDEX(LE_Curves!$B$5:$B$205,MATCH($R208,LE_Curves!$F$5:$F$205,1)+1)-INDEX(LE_Curves!$B$5:$B$205,MATCH($R208,LE_Curves!$F$5:$F$205,1)))/(INDEX(LE_Curves!$F$5:$F$205,MATCH($R208,LE_Curves!$F$5:$F$205,1)+1)-INDEX(LE_Curves!$F$5:$F$205,MATCH($R208,LE_Curves!$F$5:$F$205,1))))))</f>
        <v/>
      </c>
      <c r="W208" s="11">
        <f>IF(Inputs!$D$27=0,0,IF($R208&lt;=Inputs!$C$27,0,IF($R208&gt;=INDEX(LE_Curves!$G$5:$G$205,201),INDEX(LE_Curves!$B$5:$B$205,201),INDEX(LE_Curves!$B$5:$B$205,MATCH($R208,LE_Curves!$G$5:$G$205,1))+($R208-INDEX(LE_Curves!$G$5:$G$205,MATCH($R208,LE_Curves!$G$5:$G$205,1)))*(INDEX(LE_Curves!$B$5:$B$205,MATCH($R208,LE_Curves!$G$5:$G$205,1)+1)-INDEX(LE_Curves!$B$5:$B$205,MATCH($R208,LE_Curves!$G$5:$G$205,1)))/(INDEX(LE_Curves!$G$5:$G$205,MATCH($R208,LE_Curves!$G$5:$G$205,1)+1)-INDEX(LE_Curves!$G$5:$G$205,MATCH($R208,LE_Curves!$G$5:$G$205,1))))))</f>
        <v/>
      </c>
      <c r="X208" s="11">
        <f>IF(Inputs!$D$28=0,0,IF($R208&lt;=Inputs!$C$28,0,IF($R208&gt;=INDEX(LE_Curves!$H$5:$H$205,201),INDEX(LE_Curves!$B$5:$B$205,201),INDEX(LE_Curves!$B$5:$B$205,MATCH($R208,LE_Curves!$H$5:$H$205,1))+($R208-INDEX(LE_Curves!$H$5:$H$205,MATCH($R208,LE_Curves!$H$5:$H$205,1)))*(INDEX(LE_Curves!$B$5:$B$205,MATCH($R208,LE_Curves!$H$5:$H$205,1)+1)-INDEX(LE_Curves!$B$5:$B$205,MATCH($R208,LE_Curves!$H$5:$H$205,1)))/(INDEX(LE_Curves!$H$5:$H$205,MATCH($R208,LE_Curves!$H$5:$H$205,1)+1)-INDEX(LE_Curves!$H$5:$H$205,MATCH($R208,LE_Curves!$H$5:$H$205,1))))))</f>
        <v/>
      </c>
      <c r="Y208" s="11">
        <f>IF(Inputs!$D$29=0,0,IF($R208&lt;=Inputs!$C$29,0,IF($R208&gt;=INDEX(LE_Curves!$I$5:$I$205,201),INDEX(LE_Curves!$B$5:$B$205,201),INDEX(LE_Curves!$B$5:$B$205,MATCH($R208,LE_Curves!$I$5:$I$205,1))+($R208-INDEX(LE_Curves!$I$5:$I$205,MATCH($R208,LE_Curves!$I$5:$I$205,1)))*(INDEX(LE_Curves!$B$5:$B$205,MATCH($R208,LE_Curves!$I$5:$I$205,1)+1)-INDEX(LE_Curves!$B$5:$B$205,MATCH($R208,LE_Curves!$I$5:$I$205,1)))/(INDEX(LE_Curves!$I$5:$I$205,MATCH($R208,LE_Curves!$I$5:$I$205,1)+1)-INDEX(LE_Curves!$I$5:$I$205,MATCH($R208,LE_Curves!$I$5:$I$205,1))))))</f>
        <v/>
      </c>
      <c r="Z208" s="11">
        <f>IF(Inputs!$D$30=0,0,IF($R208&lt;=Inputs!$C$30,0,IF($R208&gt;=INDEX(LE_Curves!$J$5:$J$205,201),INDEX(LE_Curves!$B$5:$B$205,201),INDEX(LE_Curves!$B$5:$B$205,MATCH($R208,LE_Curves!$J$5:$J$205,1))+($R208-INDEX(LE_Curves!$J$5:$J$205,MATCH($R208,LE_Curves!$J$5:$J$205,1)))*(INDEX(LE_Curves!$B$5:$B$205,MATCH($R208,LE_Curves!$J$5:$J$205,1)+1)-INDEX(LE_Curves!$B$5:$B$205,MATCH($R208,LE_Curves!$J$5:$J$205,1)))/(INDEX(LE_Curves!$J$5:$J$205,MATCH($R208,LE_Curves!$J$5:$J$205,1)+1)-INDEX(LE_Curves!$J$5:$J$205,MATCH($R208,LE_Curves!$J$5:$J$205,1))))))</f>
        <v/>
      </c>
      <c r="AA208" s="11">
        <f>IF(Inputs!$D$31=0,0,IF($R208&lt;=Inputs!$C$31,0,IF($R208&gt;=INDEX(LE_Curves!$K$5:$K$205,201),INDEX(LE_Curves!$B$5:$B$205,201),INDEX(LE_Curves!$B$5:$B$205,MATCH($R208,LE_Curves!$K$5:$K$205,1))+($R208-INDEX(LE_Curves!$K$5:$K$205,MATCH($R208,LE_Curves!$K$5:$K$205,1)))*(INDEX(LE_Curves!$B$5:$B$205,MATCH($R208,LE_Curves!$K$5:$K$205,1)+1)-INDEX(LE_Curves!$B$5:$B$205,MATCH($R208,LE_Curves!$K$5:$K$205,1)))/(INDEX(LE_Curves!$K$5:$K$205,MATCH($R208,LE_Curves!$K$5:$K$205,1)+1)-INDEX(LE_Curves!$K$5:$K$205,MATCH($R208,LE_Curves!$K$5:$K$205,1))))))</f>
        <v/>
      </c>
      <c r="AB208" s="11">
        <f>IF(Inputs!$D$32=0,0,IF($R208&lt;=Inputs!$C$32,0,IF($R208&gt;=INDEX(LE_Curves!$L$5:$L$205,201),INDEX(LE_Curves!$B$5:$B$205,201),INDEX(LE_Curves!$B$5:$B$205,MATCH($R208,LE_Curves!$L$5:$L$205,1))+($R208-INDEX(LE_Curves!$L$5:$L$205,MATCH($R208,LE_Curves!$L$5:$L$205,1)))*(INDEX(LE_Curves!$B$5:$B$205,MATCH($R208,LE_Curves!$L$5:$L$205,1)+1)-INDEX(LE_Curves!$B$5:$B$205,MATCH($R208,LE_Curves!$L$5:$L$205,1)))/(INDEX(LE_Curves!$L$5:$L$205,MATCH($R208,LE_Curves!$L$5:$L$205,1)+1)-INDEX(LE_Curves!$L$5:$L$205,MATCH($R208,LE_Curves!$L$5:$L$205,1))))))</f>
        <v/>
      </c>
      <c r="AC208" s="11">
        <f>IF(Inputs!$D$33=0,0,IF($R208&lt;=Inputs!$C$33,0,IF($R208&gt;=INDEX(LE_Curves!$M$5:$M$205,201),INDEX(LE_Curves!$B$5:$B$205,201),INDEX(LE_Curves!$B$5:$B$205,MATCH($R208,LE_Curves!$M$5:$M$205,1))+($R208-INDEX(LE_Curves!$M$5:$M$205,MATCH($R208,LE_Curves!$M$5:$M$205,1)))*(INDEX(LE_Curves!$B$5:$B$205,MATCH($R208,LE_Curves!$M$5:$M$205,1)+1)-INDEX(LE_Curves!$B$5:$B$205,MATCH($R208,LE_Curves!$M$5:$M$205,1)))/(INDEX(LE_Curves!$M$5:$M$205,MATCH($R208,LE_Curves!$M$5:$M$205,1)+1)-INDEX(LE_Curves!$M$5:$M$205,MATCH($R208,LE_Curves!$M$5:$M$205,1))))))</f>
        <v/>
      </c>
      <c r="AD208" s="11">
        <f>IF(Inputs!$D$34=0,0,IF($R208&lt;=Inputs!$C$34,0,IF($R208&gt;=INDEX(LE_Curves!$N$5:$N$205,201),INDEX(LE_Curves!$B$5:$B$205,201),INDEX(LE_Curves!$B$5:$B$205,MATCH($R208,LE_Curves!$N$5:$N$205,1))+($R208-INDEX(LE_Curves!$N$5:$N$205,MATCH($R208,LE_Curves!$N$5:$N$205,1)))*(INDEX(LE_Curves!$B$5:$B$205,MATCH($R208,LE_Curves!$N$5:$N$205,1)+1)-INDEX(LE_Curves!$B$5:$B$205,MATCH($R208,LE_Curves!$N$5:$N$205,1)))/(INDEX(LE_Curves!$N$5:$N$205,MATCH($R208,LE_Curves!$N$5:$N$205,1)+1)-INDEX(LE_Curves!$N$5:$N$205,MATCH($R208,LE_Curves!$N$5:$N$205,1))))))</f>
        <v/>
      </c>
      <c r="AE208" s="37">
        <f>SUM(S208:AD208)</f>
        <v/>
      </c>
    </row>
    <row r="209">
      <c r="A209" s="7" t="n">
        <v>178</v>
      </c>
      <c r="B209" s="37">
        <f>$B$3+($B$4-$B$3)*A209/200</f>
        <v/>
      </c>
      <c r="C209" s="11">
        <f>IF(Inputs!$D$23=0,0,IF($B209&lt;=Inputs!$C$23,0,IF($B209&gt;=INDEX(LE_Curves!$C$5:$C$205,201),INDEX(LE_Curves!$B$5:$B$205,201),INDEX(LE_Curves!$B$5:$B$205,MATCH($B209,LE_Curves!$C$5:$C$205,1))+($B209-INDEX(LE_Curves!$C$5:$C$205,MATCH($B209,LE_Curves!$C$5:$C$205,1)))*(INDEX(LE_Curves!$B$5:$B$205,MATCH($B209,LE_Curves!$C$5:$C$205,1)+1)-INDEX(LE_Curves!$B$5:$B$205,MATCH($B209,LE_Curves!$C$5:$C$205,1)))/(INDEX(LE_Curves!$C$5:$C$205,MATCH($B209,LE_Curves!$C$5:$C$205,1)+1)-INDEX(LE_Curves!$C$5:$C$205,MATCH($B209,LE_Curves!$C$5:$C$205,1))))))</f>
        <v/>
      </c>
      <c r="D209" s="11">
        <f>IF(Inputs!$D$24=0,0,IF($B209&lt;=Inputs!$C$24,0,IF($B209&gt;=INDEX(LE_Curves!$D$5:$D$205,201),INDEX(LE_Curves!$B$5:$B$205,201),INDEX(LE_Curves!$B$5:$B$205,MATCH($B209,LE_Curves!$D$5:$D$205,1))+($B209-INDEX(LE_Curves!$D$5:$D$205,MATCH($B209,LE_Curves!$D$5:$D$205,1)))*(INDEX(LE_Curves!$B$5:$B$205,MATCH($B209,LE_Curves!$D$5:$D$205,1)+1)-INDEX(LE_Curves!$B$5:$B$205,MATCH($B209,LE_Curves!$D$5:$D$205,1)))/(INDEX(LE_Curves!$D$5:$D$205,MATCH($B209,LE_Curves!$D$5:$D$205,1)+1)-INDEX(LE_Curves!$D$5:$D$205,MATCH($B209,LE_Curves!$D$5:$D$205,1))))))</f>
        <v/>
      </c>
      <c r="E209" s="11">
        <f>IF(Inputs!$D$25=0,0,IF($B209&lt;=Inputs!$C$25,0,IF($B209&gt;=INDEX(LE_Curves!$E$5:$E$205,201),INDEX(LE_Curves!$B$5:$B$205,201),INDEX(LE_Curves!$B$5:$B$205,MATCH($B209,LE_Curves!$E$5:$E$205,1))+($B209-INDEX(LE_Curves!$E$5:$E$205,MATCH($B209,LE_Curves!$E$5:$E$205,1)))*(INDEX(LE_Curves!$B$5:$B$205,MATCH($B209,LE_Curves!$E$5:$E$205,1)+1)-INDEX(LE_Curves!$B$5:$B$205,MATCH($B209,LE_Curves!$E$5:$E$205,1)))/(INDEX(LE_Curves!$E$5:$E$205,MATCH($B209,LE_Curves!$E$5:$E$205,1)+1)-INDEX(LE_Curves!$E$5:$E$205,MATCH($B209,LE_Curves!$E$5:$E$205,1))))))</f>
        <v/>
      </c>
      <c r="F209" s="11">
        <f>IF(Inputs!$D$26=0,0,IF($B209&lt;=Inputs!$C$26,0,IF($B209&gt;=INDEX(LE_Curves!$F$5:$F$205,201),INDEX(LE_Curves!$B$5:$B$205,201),INDEX(LE_Curves!$B$5:$B$205,MATCH($B209,LE_Curves!$F$5:$F$205,1))+($B209-INDEX(LE_Curves!$F$5:$F$205,MATCH($B209,LE_Curves!$F$5:$F$205,1)))*(INDEX(LE_Curves!$B$5:$B$205,MATCH($B209,LE_Curves!$F$5:$F$205,1)+1)-INDEX(LE_Curves!$B$5:$B$205,MATCH($B209,LE_Curves!$F$5:$F$205,1)))/(INDEX(LE_Curves!$F$5:$F$205,MATCH($B209,LE_Curves!$F$5:$F$205,1)+1)-INDEX(LE_Curves!$F$5:$F$205,MATCH($B209,LE_Curves!$F$5:$F$205,1))))))</f>
        <v/>
      </c>
      <c r="G209" s="11">
        <f>IF(Inputs!$D$27=0,0,IF($B209&lt;=Inputs!$C$27,0,IF($B209&gt;=INDEX(LE_Curves!$G$5:$G$205,201),INDEX(LE_Curves!$B$5:$B$205,201),INDEX(LE_Curves!$B$5:$B$205,MATCH($B209,LE_Curves!$G$5:$G$205,1))+($B209-INDEX(LE_Curves!$G$5:$G$205,MATCH($B209,LE_Curves!$G$5:$G$205,1)))*(INDEX(LE_Curves!$B$5:$B$205,MATCH($B209,LE_Curves!$G$5:$G$205,1)+1)-INDEX(LE_Curves!$B$5:$B$205,MATCH($B209,LE_Curves!$G$5:$G$205,1)))/(INDEX(LE_Curves!$G$5:$G$205,MATCH($B209,LE_Curves!$G$5:$G$205,1)+1)-INDEX(LE_Curves!$G$5:$G$205,MATCH($B209,LE_Curves!$G$5:$G$205,1))))))</f>
        <v/>
      </c>
      <c r="H209" s="11">
        <f>IF(Inputs!$D$28=0,0,IF($B209&lt;=Inputs!$C$28,0,IF($B209&gt;=INDEX(LE_Curves!$H$5:$H$205,201),INDEX(LE_Curves!$B$5:$B$205,201),INDEX(LE_Curves!$B$5:$B$205,MATCH($B209,LE_Curves!$H$5:$H$205,1))+($B209-INDEX(LE_Curves!$H$5:$H$205,MATCH($B209,LE_Curves!$H$5:$H$205,1)))*(INDEX(LE_Curves!$B$5:$B$205,MATCH($B209,LE_Curves!$H$5:$H$205,1)+1)-INDEX(LE_Curves!$B$5:$B$205,MATCH($B209,LE_Curves!$H$5:$H$205,1)))/(INDEX(LE_Curves!$H$5:$H$205,MATCH($B209,LE_Curves!$H$5:$H$205,1)+1)-INDEX(LE_Curves!$H$5:$H$205,MATCH($B209,LE_Curves!$H$5:$H$205,1))))))</f>
        <v/>
      </c>
      <c r="I209" s="11">
        <f>IF(Inputs!$D$29=0,0,IF($B209&lt;=Inputs!$C$29,0,IF($B209&gt;=INDEX(LE_Curves!$I$5:$I$205,201),INDEX(LE_Curves!$B$5:$B$205,201),INDEX(LE_Curves!$B$5:$B$205,MATCH($B209,LE_Curves!$I$5:$I$205,1))+($B209-INDEX(LE_Curves!$I$5:$I$205,MATCH($B209,LE_Curves!$I$5:$I$205,1)))*(INDEX(LE_Curves!$B$5:$B$205,MATCH($B209,LE_Curves!$I$5:$I$205,1)+1)-INDEX(LE_Curves!$B$5:$B$205,MATCH($B209,LE_Curves!$I$5:$I$205,1)))/(INDEX(LE_Curves!$I$5:$I$205,MATCH($B209,LE_Curves!$I$5:$I$205,1)+1)-INDEX(LE_Curves!$I$5:$I$205,MATCH($B209,LE_Curves!$I$5:$I$205,1))))))</f>
        <v/>
      </c>
      <c r="J209" s="11">
        <f>IF(Inputs!$D$30=0,0,IF($B209&lt;=Inputs!$C$30,0,IF($B209&gt;=INDEX(LE_Curves!$J$5:$J$205,201),INDEX(LE_Curves!$B$5:$B$205,201),INDEX(LE_Curves!$B$5:$B$205,MATCH($B209,LE_Curves!$J$5:$J$205,1))+($B209-INDEX(LE_Curves!$J$5:$J$205,MATCH($B209,LE_Curves!$J$5:$J$205,1)))*(INDEX(LE_Curves!$B$5:$B$205,MATCH($B209,LE_Curves!$J$5:$J$205,1)+1)-INDEX(LE_Curves!$B$5:$B$205,MATCH($B209,LE_Curves!$J$5:$J$205,1)))/(INDEX(LE_Curves!$J$5:$J$205,MATCH($B209,LE_Curves!$J$5:$J$205,1)+1)-INDEX(LE_Curves!$J$5:$J$205,MATCH($B209,LE_Curves!$J$5:$J$205,1))))))</f>
        <v/>
      </c>
      <c r="K209" s="11">
        <f>IF(Inputs!$D$31=0,0,IF($B209&lt;=Inputs!$C$31,0,IF($B209&gt;=INDEX(LE_Curves!$K$5:$K$205,201),INDEX(LE_Curves!$B$5:$B$205,201),INDEX(LE_Curves!$B$5:$B$205,MATCH($B209,LE_Curves!$K$5:$K$205,1))+($B209-INDEX(LE_Curves!$K$5:$K$205,MATCH($B209,LE_Curves!$K$5:$K$205,1)))*(INDEX(LE_Curves!$B$5:$B$205,MATCH($B209,LE_Curves!$K$5:$K$205,1)+1)-INDEX(LE_Curves!$B$5:$B$205,MATCH($B209,LE_Curves!$K$5:$K$205,1)))/(INDEX(LE_Curves!$K$5:$K$205,MATCH($B209,LE_Curves!$K$5:$K$205,1)+1)-INDEX(LE_Curves!$K$5:$K$205,MATCH($B209,LE_Curves!$K$5:$K$205,1))))))</f>
        <v/>
      </c>
      <c r="L209" s="11">
        <f>IF(Inputs!$D$32=0,0,IF($B209&lt;=Inputs!$C$32,0,IF($B209&gt;=INDEX(LE_Curves!$L$5:$L$205,201),INDEX(LE_Curves!$B$5:$B$205,201),INDEX(LE_Curves!$B$5:$B$205,MATCH($B209,LE_Curves!$L$5:$L$205,1))+($B209-INDEX(LE_Curves!$L$5:$L$205,MATCH($B209,LE_Curves!$L$5:$L$205,1)))*(INDEX(LE_Curves!$B$5:$B$205,MATCH($B209,LE_Curves!$L$5:$L$205,1)+1)-INDEX(LE_Curves!$B$5:$B$205,MATCH($B209,LE_Curves!$L$5:$L$205,1)))/(INDEX(LE_Curves!$L$5:$L$205,MATCH($B209,LE_Curves!$L$5:$L$205,1)+1)-INDEX(LE_Curves!$L$5:$L$205,MATCH($B209,LE_Curves!$L$5:$L$205,1))))))</f>
        <v/>
      </c>
      <c r="M209" s="11">
        <f>IF(Inputs!$D$33=0,0,IF($B209&lt;=Inputs!$C$33,0,IF($B209&gt;=INDEX(LE_Curves!$M$5:$M$205,201),INDEX(LE_Curves!$B$5:$B$205,201),INDEX(LE_Curves!$B$5:$B$205,MATCH($B209,LE_Curves!$M$5:$M$205,1))+($B209-INDEX(LE_Curves!$M$5:$M$205,MATCH($B209,LE_Curves!$M$5:$M$205,1)))*(INDEX(LE_Curves!$B$5:$B$205,MATCH($B209,LE_Curves!$M$5:$M$205,1)+1)-INDEX(LE_Curves!$B$5:$B$205,MATCH($B209,LE_Curves!$M$5:$M$205,1)))/(INDEX(LE_Curves!$M$5:$M$205,MATCH($B209,LE_Curves!$M$5:$M$205,1)+1)-INDEX(LE_Curves!$M$5:$M$205,MATCH($B209,LE_Curves!$M$5:$M$205,1))))))</f>
        <v/>
      </c>
      <c r="N209" s="11">
        <f>IF(Inputs!$D$34=0,0,IF($B209&lt;=Inputs!$C$34,0,IF($B209&gt;=INDEX(LE_Curves!$N$5:$N$205,201),INDEX(LE_Curves!$B$5:$B$205,201),INDEX(LE_Curves!$B$5:$B$205,MATCH($B209,LE_Curves!$N$5:$N$205,1))+($B209-INDEX(LE_Curves!$N$5:$N$205,MATCH($B209,LE_Curves!$N$5:$N$205,1)))*(INDEX(LE_Curves!$B$5:$B$205,MATCH($B209,LE_Curves!$N$5:$N$205,1)+1)-INDEX(LE_Curves!$B$5:$B$205,MATCH($B209,LE_Curves!$N$5:$N$205,1)))/(INDEX(LE_Curves!$N$5:$N$205,MATCH($B209,LE_Curves!$N$5:$N$205,1)+1)-INDEX(LE_Curves!$N$5:$N$205,MATCH($B209,LE_Curves!$N$5:$N$205,1))))))</f>
        <v/>
      </c>
      <c r="O209" s="11">
        <f>SUM(C209:N209)</f>
        <v/>
      </c>
      <c r="Q209" s="7" t="n">
        <v>178</v>
      </c>
      <c r="R209" s="23">
        <f>$B$6+($B$7-$B$6)*Q209/200</f>
        <v/>
      </c>
      <c r="S209" s="11">
        <f>IF(Inputs!$D$23=0,0,IF($R209&lt;=Inputs!$C$23,0,IF($R209&gt;=INDEX(LE_Curves!$C$5:$C$205,201),INDEX(LE_Curves!$B$5:$B$205,201),INDEX(LE_Curves!$B$5:$B$205,MATCH($R209,LE_Curves!$C$5:$C$205,1))+($R209-INDEX(LE_Curves!$C$5:$C$205,MATCH($R209,LE_Curves!$C$5:$C$205,1)))*(INDEX(LE_Curves!$B$5:$B$205,MATCH($R209,LE_Curves!$C$5:$C$205,1)+1)-INDEX(LE_Curves!$B$5:$B$205,MATCH($R209,LE_Curves!$C$5:$C$205,1)))/(INDEX(LE_Curves!$C$5:$C$205,MATCH($R209,LE_Curves!$C$5:$C$205,1)+1)-INDEX(LE_Curves!$C$5:$C$205,MATCH($R209,LE_Curves!$C$5:$C$205,1))))))</f>
        <v/>
      </c>
      <c r="T209" s="11">
        <f>IF(Inputs!$D$24=0,0,IF($R209&lt;=Inputs!$C$24,0,IF($R209&gt;=INDEX(LE_Curves!$D$5:$D$205,201),INDEX(LE_Curves!$B$5:$B$205,201),INDEX(LE_Curves!$B$5:$B$205,MATCH($R209,LE_Curves!$D$5:$D$205,1))+($R209-INDEX(LE_Curves!$D$5:$D$205,MATCH($R209,LE_Curves!$D$5:$D$205,1)))*(INDEX(LE_Curves!$B$5:$B$205,MATCH($R209,LE_Curves!$D$5:$D$205,1)+1)-INDEX(LE_Curves!$B$5:$B$205,MATCH($R209,LE_Curves!$D$5:$D$205,1)))/(INDEX(LE_Curves!$D$5:$D$205,MATCH($R209,LE_Curves!$D$5:$D$205,1)+1)-INDEX(LE_Curves!$D$5:$D$205,MATCH($R209,LE_Curves!$D$5:$D$205,1))))))</f>
        <v/>
      </c>
      <c r="U209" s="11">
        <f>IF(Inputs!$D$25=0,0,IF($R209&lt;=Inputs!$C$25,0,IF($R209&gt;=INDEX(LE_Curves!$E$5:$E$205,201),INDEX(LE_Curves!$B$5:$B$205,201),INDEX(LE_Curves!$B$5:$B$205,MATCH($R209,LE_Curves!$E$5:$E$205,1))+($R209-INDEX(LE_Curves!$E$5:$E$205,MATCH($R209,LE_Curves!$E$5:$E$205,1)))*(INDEX(LE_Curves!$B$5:$B$205,MATCH($R209,LE_Curves!$E$5:$E$205,1)+1)-INDEX(LE_Curves!$B$5:$B$205,MATCH($R209,LE_Curves!$E$5:$E$205,1)))/(INDEX(LE_Curves!$E$5:$E$205,MATCH($R209,LE_Curves!$E$5:$E$205,1)+1)-INDEX(LE_Curves!$E$5:$E$205,MATCH($R209,LE_Curves!$E$5:$E$205,1))))))</f>
        <v/>
      </c>
      <c r="V209" s="11">
        <f>IF(Inputs!$D$26=0,0,IF($R209&lt;=Inputs!$C$26,0,IF($R209&gt;=INDEX(LE_Curves!$F$5:$F$205,201),INDEX(LE_Curves!$B$5:$B$205,201),INDEX(LE_Curves!$B$5:$B$205,MATCH($R209,LE_Curves!$F$5:$F$205,1))+($R209-INDEX(LE_Curves!$F$5:$F$205,MATCH($R209,LE_Curves!$F$5:$F$205,1)))*(INDEX(LE_Curves!$B$5:$B$205,MATCH($R209,LE_Curves!$F$5:$F$205,1)+1)-INDEX(LE_Curves!$B$5:$B$205,MATCH($R209,LE_Curves!$F$5:$F$205,1)))/(INDEX(LE_Curves!$F$5:$F$205,MATCH($R209,LE_Curves!$F$5:$F$205,1)+1)-INDEX(LE_Curves!$F$5:$F$205,MATCH($R209,LE_Curves!$F$5:$F$205,1))))))</f>
        <v/>
      </c>
      <c r="W209" s="11">
        <f>IF(Inputs!$D$27=0,0,IF($R209&lt;=Inputs!$C$27,0,IF($R209&gt;=INDEX(LE_Curves!$G$5:$G$205,201),INDEX(LE_Curves!$B$5:$B$205,201),INDEX(LE_Curves!$B$5:$B$205,MATCH($R209,LE_Curves!$G$5:$G$205,1))+($R209-INDEX(LE_Curves!$G$5:$G$205,MATCH($R209,LE_Curves!$G$5:$G$205,1)))*(INDEX(LE_Curves!$B$5:$B$205,MATCH($R209,LE_Curves!$G$5:$G$205,1)+1)-INDEX(LE_Curves!$B$5:$B$205,MATCH($R209,LE_Curves!$G$5:$G$205,1)))/(INDEX(LE_Curves!$G$5:$G$205,MATCH($R209,LE_Curves!$G$5:$G$205,1)+1)-INDEX(LE_Curves!$G$5:$G$205,MATCH($R209,LE_Curves!$G$5:$G$205,1))))))</f>
        <v/>
      </c>
      <c r="X209" s="11">
        <f>IF(Inputs!$D$28=0,0,IF($R209&lt;=Inputs!$C$28,0,IF($R209&gt;=INDEX(LE_Curves!$H$5:$H$205,201),INDEX(LE_Curves!$B$5:$B$205,201),INDEX(LE_Curves!$B$5:$B$205,MATCH($R209,LE_Curves!$H$5:$H$205,1))+($R209-INDEX(LE_Curves!$H$5:$H$205,MATCH($R209,LE_Curves!$H$5:$H$205,1)))*(INDEX(LE_Curves!$B$5:$B$205,MATCH($R209,LE_Curves!$H$5:$H$205,1)+1)-INDEX(LE_Curves!$B$5:$B$205,MATCH($R209,LE_Curves!$H$5:$H$205,1)))/(INDEX(LE_Curves!$H$5:$H$205,MATCH($R209,LE_Curves!$H$5:$H$205,1)+1)-INDEX(LE_Curves!$H$5:$H$205,MATCH($R209,LE_Curves!$H$5:$H$205,1))))))</f>
        <v/>
      </c>
      <c r="Y209" s="11">
        <f>IF(Inputs!$D$29=0,0,IF($R209&lt;=Inputs!$C$29,0,IF($R209&gt;=INDEX(LE_Curves!$I$5:$I$205,201),INDEX(LE_Curves!$B$5:$B$205,201),INDEX(LE_Curves!$B$5:$B$205,MATCH($R209,LE_Curves!$I$5:$I$205,1))+($R209-INDEX(LE_Curves!$I$5:$I$205,MATCH($R209,LE_Curves!$I$5:$I$205,1)))*(INDEX(LE_Curves!$B$5:$B$205,MATCH($R209,LE_Curves!$I$5:$I$205,1)+1)-INDEX(LE_Curves!$B$5:$B$205,MATCH($R209,LE_Curves!$I$5:$I$205,1)))/(INDEX(LE_Curves!$I$5:$I$205,MATCH($R209,LE_Curves!$I$5:$I$205,1)+1)-INDEX(LE_Curves!$I$5:$I$205,MATCH($R209,LE_Curves!$I$5:$I$205,1))))))</f>
        <v/>
      </c>
      <c r="Z209" s="11">
        <f>IF(Inputs!$D$30=0,0,IF($R209&lt;=Inputs!$C$30,0,IF($R209&gt;=INDEX(LE_Curves!$J$5:$J$205,201),INDEX(LE_Curves!$B$5:$B$205,201),INDEX(LE_Curves!$B$5:$B$205,MATCH($R209,LE_Curves!$J$5:$J$205,1))+($R209-INDEX(LE_Curves!$J$5:$J$205,MATCH($R209,LE_Curves!$J$5:$J$205,1)))*(INDEX(LE_Curves!$B$5:$B$205,MATCH($R209,LE_Curves!$J$5:$J$205,1)+1)-INDEX(LE_Curves!$B$5:$B$205,MATCH($R209,LE_Curves!$J$5:$J$205,1)))/(INDEX(LE_Curves!$J$5:$J$205,MATCH($R209,LE_Curves!$J$5:$J$205,1)+1)-INDEX(LE_Curves!$J$5:$J$205,MATCH($R209,LE_Curves!$J$5:$J$205,1))))))</f>
        <v/>
      </c>
      <c r="AA209" s="11">
        <f>IF(Inputs!$D$31=0,0,IF($R209&lt;=Inputs!$C$31,0,IF($R209&gt;=INDEX(LE_Curves!$K$5:$K$205,201),INDEX(LE_Curves!$B$5:$B$205,201),INDEX(LE_Curves!$B$5:$B$205,MATCH($R209,LE_Curves!$K$5:$K$205,1))+($R209-INDEX(LE_Curves!$K$5:$K$205,MATCH($R209,LE_Curves!$K$5:$K$205,1)))*(INDEX(LE_Curves!$B$5:$B$205,MATCH($R209,LE_Curves!$K$5:$K$205,1)+1)-INDEX(LE_Curves!$B$5:$B$205,MATCH($R209,LE_Curves!$K$5:$K$205,1)))/(INDEX(LE_Curves!$K$5:$K$205,MATCH($R209,LE_Curves!$K$5:$K$205,1)+1)-INDEX(LE_Curves!$K$5:$K$205,MATCH($R209,LE_Curves!$K$5:$K$205,1))))))</f>
        <v/>
      </c>
      <c r="AB209" s="11">
        <f>IF(Inputs!$D$32=0,0,IF($R209&lt;=Inputs!$C$32,0,IF($R209&gt;=INDEX(LE_Curves!$L$5:$L$205,201),INDEX(LE_Curves!$B$5:$B$205,201),INDEX(LE_Curves!$B$5:$B$205,MATCH($R209,LE_Curves!$L$5:$L$205,1))+($R209-INDEX(LE_Curves!$L$5:$L$205,MATCH($R209,LE_Curves!$L$5:$L$205,1)))*(INDEX(LE_Curves!$B$5:$B$205,MATCH($R209,LE_Curves!$L$5:$L$205,1)+1)-INDEX(LE_Curves!$B$5:$B$205,MATCH($R209,LE_Curves!$L$5:$L$205,1)))/(INDEX(LE_Curves!$L$5:$L$205,MATCH($R209,LE_Curves!$L$5:$L$205,1)+1)-INDEX(LE_Curves!$L$5:$L$205,MATCH($R209,LE_Curves!$L$5:$L$205,1))))))</f>
        <v/>
      </c>
      <c r="AC209" s="11">
        <f>IF(Inputs!$D$33=0,0,IF($R209&lt;=Inputs!$C$33,0,IF($R209&gt;=INDEX(LE_Curves!$M$5:$M$205,201),INDEX(LE_Curves!$B$5:$B$205,201),INDEX(LE_Curves!$B$5:$B$205,MATCH($R209,LE_Curves!$M$5:$M$205,1))+($R209-INDEX(LE_Curves!$M$5:$M$205,MATCH($R209,LE_Curves!$M$5:$M$205,1)))*(INDEX(LE_Curves!$B$5:$B$205,MATCH($R209,LE_Curves!$M$5:$M$205,1)+1)-INDEX(LE_Curves!$B$5:$B$205,MATCH($R209,LE_Curves!$M$5:$M$205,1)))/(INDEX(LE_Curves!$M$5:$M$205,MATCH($R209,LE_Curves!$M$5:$M$205,1)+1)-INDEX(LE_Curves!$M$5:$M$205,MATCH($R209,LE_Curves!$M$5:$M$205,1))))))</f>
        <v/>
      </c>
      <c r="AD209" s="11">
        <f>IF(Inputs!$D$34=0,0,IF($R209&lt;=Inputs!$C$34,0,IF($R209&gt;=INDEX(LE_Curves!$N$5:$N$205,201),INDEX(LE_Curves!$B$5:$B$205,201),INDEX(LE_Curves!$B$5:$B$205,MATCH($R209,LE_Curves!$N$5:$N$205,1))+($R209-INDEX(LE_Curves!$N$5:$N$205,MATCH($R209,LE_Curves!$N$5:$N$205,1)))*(INDEX(LE_Curves!$B$5:$B$205,MATCH($R209,LE_Curves!$N$5:$N$205,1)+1)-INDEX(LE_Curves!$B$5:$B$205,MATCH($R209,LE_Curves!$N$5:$N$205,1)))/(INDEX(LE_Curves!$N$5:$N$205,MATCH($R209,LE_Curves!$N$5:$N$205,1)+1)-INDEX(LE_Curves!$N$5:$N$205,MATCH($R209,LE_Curves!$N$5:$N$205,1))))))</f>
        <v/>
      </c>
      <c r="AE209" s="37">
        <f>SUM(S209:AD209)</f>
        <v/>
      </c>
    </row>
    <row r="210">
      <c r="A210" s="7" t="n">
        <v>179</v>
      </c>
      <c r="B210" s="37">
        <f>$B$3+($B$4-$B$3)*A210/200</f>
        <v/>
      </c>
      <c r="C210" s="11">
        <f>IF(Inputs!$D$23=0,0,IF($B210&lt;=Inputs!$C$23,0,IF($B210&gt;=INDEX(LE_Curves!$C$5:$C$205,201),INDEX(LE_Curves!$B$5:$B$205,201),INDEX(LE_Curves!$B$5:$B$205,MATCH($B210,LE_Curves!$C$5:$C$205,1))+($B210-INDEX(LE_Curves!$C$5:$C$205,MATCH($B210,LE_Curves!$C$5:$C$205,1)))*(INDEX(LE_Curves!$B$5:$B$205,MATCH($B210,LE_Curves!$C$5:$C$205,1)+1)-INDEX(LE_Curves!$B$5:$B$205,MATCH($B210,LE_Curves!$C$5:$C$205,1)))/(INDEX(LE_Curves!$C$5:$C$205,MATCH($B210,LE_Curves!$C$5:$C$205,1)+1)-INDEX(LE_Curves!$C$5:$C$205,MATCH($B210,LE_Curves!$C$5:$C$205,1))))))</f>
        <v/>
      </c>
      <c r="D210" s="11">
        <f>IF(Inputs!$D$24=0,0,IF($B210&lt;=Inputs!$C$24,0,IF($B210&gt;=INDEX(LE_Curves!$D$5:$D$205,201),INDEX(LE_Curves!$B$5:$B$205,201),INDEX(LE_Curves!$B$5:$B$205,MATCH($B210,LE_Curves!$D$5:$D$205,1))+($B210-INDEX(LE_Curves!$D$5:$D$205,MATCH($B210,LE_Curves!$D$5:$D$205,1)))*(INDEX(LE_Curves!$B$5:$B$205,MATCH($B210,LE_Curves!$D$5:$D$205,1)+1)-INDEX(LE_Curves!$B$5:$B$205,MATCH($B210,LE_Curves!$D$5:$D$205,1)))/(INDEX(LE_Curves!$D$5:$D$205,MATCH($B210,LE_Curves!$D$5:$D$205,1)+1)-INDEX(LE_Curves!$D$5:$D$205,MATCH($B210,LE_Curves!$D$5:$D$205,1))))))</f>
        <v/>
      </c>
      <c r="E210" s="11">
        <f>IF(Inputs!$D$25=0,0,IF($B210&lt;=Inputs!$C$25,0,IF($B210&gt;=INDEX(LE_Curves!$E$5:$E$205,201),INDEX(LE_Curves!$B$5:$B$205,201),INDEX(LE_Curves!$B$5:$B$205,MATCH($B210,LE_Curves!$E$5:$E$205,1))+($B210-INDEX(LE_Curves!$E$5:$E$205,MATCH($B210,LE_Curves!$E$5:$E$205,1)))*(INDEX(LE_Curves!$B$5:$B$205,MATCH($B210,LE_Curves!$E$5:$E$205,1)+1)-INDEX(LE_Curves!$B$5:$B$205,MATCH($B210,LE_Curves!$E$5:$E$205,1)))/(INDEX(LE_Curves!$E$5:$E$205,MATCH($B210,LE_Curves!$E$5:$E$205,1)+1)-INDEX(LE_Curves!$E$5:$E$205,MATCH($B210,LE_Curves!$E$5:$E$205,1))))))</f>
        <v/>
      </c>
      <c r="F210" s="11">
        <f>IF(Inputs!$D$26=0,0,IF($B210&lt;=Inputs!$C$26,0,IF($B210&gt;=INDEX(LE_Curves!$F$5:$F$205,201),INDEX(LE_Curves!$B$5:$B$205,201),INDEX(LE_Curves!$B$5:$B$205,MATCH($B210,LE_Curves!$F$5:$F$205,1))+($B210-INDEX(LE_Curves!$F$5:$F$205,MATCH($B210,LE_Curves!$F$5:$F$205,1)))*(INDEX(LE_Curves!$B$5:$B$205,MATCH($B210,LE_Curves!$F$5:$F$205,1)+1)-INDEX(LE_Curves!$B$5:$B$205,MATCH($B210,LE_Curves!$F$5:$F$205,1)))/(INDEX(LE_Curves!$F$5:$F$205,MATCH($B210,LE_Curves!$F$5:$F$205,1)+1)-INDEX(LE_Curves!$F$5:$F$205,MATCH($B210,LE_Curves!$F$5:$F$205,1))))))</f>
        <v/>
      </c>
      <c r="G210" s="11">
        <f>IF(Inputs!$D$27=0,0,IF($B210&lt;=Inputs!$C$27,0,IF($B210&gt;=INDEX(LE_Curves!$G$5:$G$205,201),INDEX(LE_Curves!$B$5:$B$205,201),INDEX(LE_Curves!$B$5:$B$205,MATCH($B210,LE_Curves!$G$5:$G$205,1))+($B210-INDEX(LE_Curves!$G$5:$G$205,MATCH($B210,LE_Curves!$G$5:$G$205,1)))*(INDEX(LE_Curves!$B$5:$B$205,MATCH($B210,LE_Curves!$G$5:$G$205,1)+1)-INDEX(LE_Curves!$B$5:$B$205,MATCH($B210,LE_Curves!$G$5:$G$205,1)))/(INDEX(LE_Curves!$G$5:$G$205,MATCH($B210,LE_Curves!$G$5:$G$205,1)+1)-INDEX(LE_Curves!$G$5:$G$205,MATCH($B210,LE_Curves!$G$5:$G$205,1))))))</f>
        <v/>
      </c>
      <c r="H210" s="11">
        <f>IF(Inputs!$D$28=0,0,IF($B210&lt;=Inputs!$C$28,0,IF($B210&gt;=INDEX(LE_Curves!$H$5:$H$205,201),INDEX(LE_Curves!$B$5:$B$205,201),INDEX(LE_Curves!$B$5:$B$205,MATCH($B210,LE_Curves!$H$5:$H$205,1))+($B210-INDEX(LE_Curves!$H$5:$H$205,MATCH($B210,LE_Curves!$H$5:$H$205,1)))*(INDEX(LE_Curves!$B$5:$B$205,MATCH($B210,LE_Curves!$H$5:$H$205,1)+1)-INDEX(LE_Curves!$B$5:$B$205,MATCH($B210,LE_Curves!$H$5:$H$205,1)))/(INDEX(LE_Curves!$H$5:$H$205,MATCH($B210,LE_Curves!$H$5:$H$205,1)+1)-INDEX(LE_Curves!$H$5:$H$205,MATCH($B210,LE_Curves!$H$5:$H$205,1))))))</f>
        <v/>
      </c>
      <c r="I210" s="11">
        <f>IF(Inputs!$D$29=0,0,IF($B210&lt;=Inputs!$C$29,0,IF($B210&gt;=INDEX(LE_Curves!$I$5:$I$205,201),INDEX(LE_Curves!$B$5:$B$205,201),INDEX(LE_Curves!$B$5:$B$205,MATCH($B210,LE_Curves!$I$5:$I$205,1))+($B210-INDEX(LE_Curves!$I$5:$I$205,MATCH($B210,LE_Curves!$I$5:$I$205,1)))*(INDEX(LE_Curves!$B$5:$B$205,MATCH($B210,LE_Curves!$I$5:$I$205,1)+1)-INDEX(LE_Curves!$B$5:$B$205,MATCH($B210,LE_Curves!$I$5:$I$205,1)))/(INDEX(LE_Curves!$I$5:$I$205,MATCH($B210,LE_Curves!$I$5:$I$205,1)+1)-INDEX(LE_Curves!$I$5:$I$205,MATCH($B210,LE_Curves!$I$5:$I$205,1))))))</f>
        <v/>
      </c>
      <c r="J210" s="11">
        <f>IF(Inputs!$D$30=0,0,IF($B210&lt;=Inputs!$C$30,0,IF($B210&gt;=INDEX(LE_Curves!$J$5:$J$205,201),INDEX(LE_Curves!$B$5:$B$205,201),INDEX(LE_Curves!$B$5:$B$205,MATCH($B210,LE_Curves!$J$5:$J$205,1))+($B210-INDEX(LE_Curves!$J$5:$J$205,MATCH($B210,LE_Curves!$J$5:$J$205,1)))*(INDEX(LE_Curves!$B$5:$B$205,MATCH($B210,LE_Curves!$J$5:$J$205,1)+1)-INDEX(LE_Curves!$B$5:$B$205,MATCH($B210,LE_Curves!$J$5:$J$205,1)))/(INDEX(LE_Curves!$J$5:$J$205,MATCH($B210,LE_Curves!$J$5:$J$205,1)+1)-INDEX(LE_Curves!$J$5:$J$205,MATCH($B210,LE_Curves!$J$5:$J$205,1))))))</f>
        <v/>
      </c>
      <c r="K210" s="11">
        <f>IF(Inputs!$D$31=0,0,IF($B210&lt;=Inputs!$C$31,0,IF($B210&gt;=INDEX(LE_Curves!$K$5:$K$205,201),INDEX(LE_Curves!$B$5:$B$205,201),INDEX(LE_Curves!$B$5:$B$205,MATCH($B210,LE_Curves!$K$5:$K$205,1))+($B210-INDEX(LE_Curves!$K$5:$K$205,MATCH($B210,LE_Curves!$K$5:$K$205,1)))*(INDEX(LE_Curves!$B$5:$B$205,MATCH($B210,LE_Curves!$K$5:$K$205,1)+1)-INDEX(LE_Curves!$B$5:$B$205,MATCH($B210,LE_Curves!$K$5:$K$205,1)))/(INDEX(LE_Curves!$K$5:$K$205,MATCH($B210,LE_Curves!$K$5:$K$205,1)+1)-INDEX(LE_Curves!$K$5:$K$205,MATCH($B210,LE_Curves!$K$5:$K$205,1))))))</f>
        <v/>
      </c>
      <c r="L210" s="11">
        <f>IF(Inputs!$D$32=0,0,IF($B210&lt;=Inputs!$C$32,0,IF($B210&gt;=INDEX(LE_Curves!$L$5:$L$205,201),INDEX(LE_Curves!$B$5:$B$205,201),INDEX(LE_Curves!$B$5:$B$205,MATCH($B210,LE_Curves!$L$5:$L$205,1))+($B210-INDEX(LE_Curves!$L$5:$L$205,MATCH($B210,LE_Curves!$L$5:$L$205,1)))*(INDEX(LE_Curves!$B$5:$B$205,MATCH($B210,LE_Curves!$L$5:$L$205,1)+1)-INDEX(LE_Curves!$B$5:$B$205,MATCH($B210,LE_Curves!$L$5:$L$205,1)))/(INDEX(LE_Curves!$L$5:$L$205,MATCH($B210,LE_Curves!$L$5:$L$205,1)+1)-INDEX(LE_Curves!$L$5:$L$205,MATCH($B210,LE_Curves!$L$5:$L$205,1))))))</f>
        <v/>
      </c>
      <c r="M210" s="11">
        <f>IF(Inputs!$D$33=0,0,IF($B210&lt;=Inputs!$C$33,0,IF($B210&gt;=INDEX(LE_Curves!$M$5:$M$205,201),INDEX(LE_Curves!$B$5:$B$205,201),INDEX(LE_Curves!$B$5:$B$205,MATCH($B210,LE_Curves!$M$5:$M$205,1))+($B210-INDEX(LE_Curves!$M$5:$M$205,MATCH($B210,LE_Curves!$M$5:$M$205,1)))*(INDEX(LE_Curves!$B$5:$B$205,MATCH($B210,LE_Curves!$M$5:$M$205,1)+1)-INDEX(LE_Curves!$B$5:$B$205,MATCH($B210,LE_Curves!$M$5:$M$205,1)))/(INDEX(LE_Curves!$M$5:$M$205,MATCH($B210,LE_Curves!$M$5:$M$205,1)+1)-INDEX(LE_Curves!$M$5:$M$205,MATCH($B210,LE_Curves!$M$5:$M$205,1))))))</f>
        <v/>
      </c>
      <c r="N210" s="11">
        <f>IF(Inputs!$D$34=0,0,IF($B210&lt;=Inputs!$C$34,0,IF($B210&gt;=INDEX(LE_Curves!$N$5:$N$205,201),INDEX(LE_Curves!$B$5:$B$205,201),INDEX(LE_Curves!$B$5:$B$205,MATCH($B210,LE_Curves!$N$5:$N$205,1))+($B210-INDEX(LE_Curves!$N$5:$N$205,MATCH($B210,LE_Curves!$N$5:$N$205,1)))*(INDEX(LE_Curves!$B$5:$B$205,MATCH($B210,LE_Curves!$N$5:$N$205,1)+1)-INDEX(LE_Curves!$B$5:$B$205,MATCH($B210,LE_Curves!$N$5:$N$205,1)))/(INDEX(LE_Curves!$N$5:$N$205,MATCH($B210,LE_Curves!$N$5:$N$205,1)+1)-INDEX(LE_Curves!$N$5:$N$205,MATCH($B210,LE_Curves!$N$5:$N$205,1))))))</f>
        <v/>
      </c>
      <c r="O210" s="11">
        <f>SUM(C210:N210)</f>
        <v/>
      </c>
      <c r="Q210" s="7" t="n">
        <v>179</v>
      </c>
      <c r="R210" s="23">
        <f>$B$6+($B$7-$B$6)*Q210/200</f>
        <v/>
      </c>
      <c r="S210" s="11">
        <f>IF(Inputs!$D$23=0,0,IF($R210&lt;=Inputs!$C$23,0,IF($R210&gt;=INDEX(LE_Curves!$C$5:$C$205,201),INDEX(LE_Curves!$B$5:$B$205,201),INDEX(LE_Curves!$B$5:$B$205,MATCH($R210,LE_Curves!$C$5:$C$205,1))+($R210-INDEX(LE_Curves!$C$5:$C$205,MATCH($R210,LE_Curves!$C$5:$C$205,1)))*(INDEX(LE_Curves!$B$5:$B$205,MATCH($R210,LE_Curves!$C$5:$C$205,1)+1)-INDEX(LE_Curves!$B$5:$B$205,MATCH($R210,LE_Curves!$C$5:$C$205,1)))/(INDEX(LE_Curves!$C$5:$C$205,MATCH($R210,LE_Curves!$C$5:$C$205,1)+1)-INDEX(LE_Curves!$C$5:$C$205,MATCH($R210,LE_Curves!$C$5:$C$205,1))))))</f>
        <v/>
      </c>
      <c r="T210" s="11">
        <f>IF(Inputs!$D$24=0,0,IF($R210&lt;=Inputs!$C$24,0,IF($R210&gt;=INDEX(LE_Curves!$D$5:$D$205,201),INDEX(LE_Curves!$B$5:$B$205,201),INDEX(LE_Curves!$B$5:$B$205,MATCH($R210,LE_Curves!$D$5:$D$205,1))+($R210-INDEX(LE_Curves!$D$5:$D$205,MATCH($R210,LE_Curves!$D$5:$D$205,1)))*(INDEX(LE_Curves!$B$5:$B$205,MATCH($R210,LE_Curves!$D$5:$D$205,1)+1)-INDEX(LE_Curves!$B$5:$B$205,MATCH($R210,LE_Curves!$D$5:$D$205,1)))/(INDEX(LE_Curves!$D$5:$D$205,MATCH($R210,LE_Curves!$D$5:$D$205,1)+1)-INDEX(LE_Curves!$D$5:$D$205,MATCH($R210,LE_Curves!$D$5:$D$205,1))))))</f>
        <v/>
      </c>
      <c r="U210" s="11">
        <f>IF(Inputs!$D$25=0,0,IF($R210&lt;=Inputs!$C$25,0,IF($R210&gt;=INDEX(LE_Curves!$E$5:$E$205,201),INDEX(LE_Curves!$B$5:$B$205,201),INDEX(LE_Curves!$B$5:$B$205,MATCH($R210,LE_Curves!$E$5:$E$205,1))+($R210-INDEX(LE_Curves!$E$5:$E$205,MATCH($R210,LE_Curves!$E$5:$E$205,1)))*(INDEX(LE_Curves!$B$5:$B$205,MATCH($R210,LE_Curves!$E$5:$E$205,1)+1)-INDEX(LE_Curves!$B$5:$B$205,MATCH($R210,LE_Curves!$E$5:$E$205,1)))/(INDEX(LE_Curves!$E$5:$E$205,MATCH($R210,LE_Curves!$E$5:$E$205,1)+1)-INDEX(LE_Curves!$E$5:$E$205,MATCH($R210,LE_Curves!$E$5:$E$205,1))))))</f>
        <v/>
      </c>
      <c r="V210" s="11">
        <f>IF(Inputs!$D$26=0,0,IF($R210&lt;=Inputs!$C$26,0,IF($R210&gt;=INDEX(LE_Curves!$F$5:$F$205,201),INDEX(LE_Curves!$B$5:$B$205,201),INDEX(LE_Curves!$B$5:$B$205,MATCH($R210,LE_Curves!$F$5:$F$205,1))+($R210-INDEX(LE_Curves!$F$5:$F$205,MATCH($R210,LE_Curves!$F$5:$F$205,1)))*(INDEX(LE_Curves!$B$5:$B$205,MATCH($R210,LE_Curves!$F$5:$F$205,1)+1)-INDEX(LE_Curves!$B$5:$B$205,MATCH($R210,LE_Curves!$F$5:$F$205,1)))/(INDEX(LE_Curves!$F$5:$F$205,MATCH($R210,LE_Curves!$F$5:$F$205,1)+1)-INDEX(LE_Curves!$F$5:$F$205,MATCH($R210,LE_Curves!$F$5:$F$205,1))))))</f>
        <v/>
      </c>
      <c r="W210" s="11">
        <f>IF(Inputs!$D$27=0,0,IF($R210&lt;=Inputs!$C$27,0,IF($R210&gt;=INDEX(LE_Curves!$G$5:$G$205,201),INDEX(LE_Curves!$B$5:$B$205,201),INDEX(LE_Curves!$B$5:$B$205,MATCH($R210,LE_Curves!$G$5:$G$205,1))+($R210-INDEX(LE_Curves!$G$5:$G$205,MATCH($R210,LE_Curves!$G$5:$G$205,1)))*(INDEX(LE_Curves!$B$5:$B$205,MATCH($R210,LE_Curves!$G$5:$G$205,1)+1)-INDEX(LE_Curves!$B$5:$B$205,MATCH($R210,LE_Curves!$G$5:$G$205,1)))/(INDEX(LE_Curves!$G$5:$G$205,MATCH($R210,LE_Curves!$G$5:$G$205,1)+1)-INDEX(LE_Curves!$G$5:$G$205,MATCH($R210,LE_Curves!$G$5:$G$205,1))))))</f>
        <v/>
      </c>
      <c r="X210" s="11">
        <f>IF(Inputs!$D$28=0,0,IF($R210&lt;=Inputs!$C$28,0,IF($R210&gt;=INDEX(LE_Curves!$H$5:$H$205,201),INDEX(LE_Curves!$B$5:$B$205,201),INDEX(LE_Curves!$B$5:$B$205,MATCH($R210,LE_Curves!$H$5:$H$205,1))+($R210-INDEX(LE_Curves!$H$5:$H$205,MATCH($R210,LE_Curves!$H$5:$H$205,1)))*(INDEX(LE_Curves!$B$5:$B$205,MATCH($R210,LE_Curves!$H$5:$H$205,1)+1)-INDEX(LE_Curves!$B$5:$B$205,MATCH($R210,LE_Curves!$H$5:$H$205,1)))/(INDEX(LE_Curves!$H$5:$H$205,MATCH($R210,LE_Curves!$H$5:$H$205,1)+1)-INDEX(LE_Curves!$H$5:$H$205,MATCH($R210,LE_Curves!$H$5:$H$205,1))))))</f>
        <v/>
      </c>
      <c r="Y210" s="11">
        <f>IF(Inputs!$D$29=0,0,IF($R210&lt;=Inputs!$C$29,0,IF($R210&gt;=INDEX(LE_Curves!$I$5:$I$205,201),INDEX(LE_Curves!$B$5:$B$205,201),INDEX(LE_Curves!$B$5:$B$205,MATCH($R210,LE_Curves!$I$5:$I$205,1))+($R210-INDEX(LE_Curves!$I$5:$I$205,MATCH($R210,LE_Curves!$I$5:$I$205,1)))*(INDEX(LE_Curves!$B$5:$B$205,MATCH($R210,LE_Curves!$I$5:$I$205,1)+1)-INDEX(LE_Curves!$B$5:$B$205,MATCH($R210,LE_Curves!$I$5:$I$205,1)))/(INDEX(LE_Curves!$I$5:$I$205,MATCH($R210,LE_Curves!$I$5:$I$205,1)+1)-INDEX(LE_Curves!$I$5:$I$205,MATCH($R210,LE_Curves!$I$5:$I$205,1))))))</f>
        <v/>
      </c>
      <c r="Z210" s="11">
        <f>IF(Inputs!$D$30=0,0,IF($R210&lt;=Inputs!$C$30,0,IF($R210&gt;=INDEX(LE_Curves!$J$5:$J$205,201),INDEX(LE_Curves!$B$5:$B$205,201),INDEX(LE_Curves!$B$5:$B$205,MATCH($R210,LE_Curves!$J$5:$J$205,1))+($R210-INDEX(LE_Curves!$J$5:$J$205,MATCH($R210,LE_Curves!$J$5:$J$205,1)))*(INDEX(LE_Curves!$B$5:$B$205,MATCH($R210,LE_Curves!$J$5:$J$205,1)+1)-INDEX(LE_Curves!$B$5:$B$205,MATCH($R210,LE_Curves!$J$5:$J$205,1)))/(INDEX(LE_Curves!$J$5:$J$205,MATCH($R210,LE_Curves!$J$5:$J$205,1)+1)-INDEX(LE_Curves!$J$5:$J$205,MATCH($R210,LE_Curves!$J$5:$J$205,1))))))</f>
        <v/>
      </c>
      <c r="AA210" s="11">
        <f>IF(Inputs!$D$31=0,0,IF($R210&lt;=Inputs!$C$31,0,IF($R210&gt;=INDEX(LE_Curves!$K$5:$K$205,201),INDEX(LE_Curves!$B$5:$B$205,201),INDEX(LE_Curves!$B$5:$B$205,MATCH($R210,LE_Curves!$K$5:$K$205,1))+($R210-INDEX(LE_Curves!$K$5:$K$205,MATCH($R210,LE_Curves!$K$5:$K$205,1)))*(INDEX(LE_Curves!$B$5:$B$205,MATCH($R210,LE_Curves!$K$5:$K$205,1)+1)-INDEX(LE_Curves!$B$5:$B$205,MATCH($R210,LE_Curves!$K$5:$K$205,1)))/(INDEX(LE_Curves!$K$5:$K$205,MATCH($R210,LE_Curves!$K$5:$K$205,1)+1)-INDEX(LE_Curves!$K$5:$K$205,MATCH($R210,LE_Curves!$K$5:$K$205,1))))))</f>
        <v/>
      </c>
      <c r="AB210" s="11">
        <f>IF(Inputs!$D$32=0,0,IF($R210&lt;=Inputs!$C$32,0,IF($R210&gt;=INDEX(LE_Curves!$L$5:$L$205,201),INDEX(LE_Curves!$B$5:$B$205,201),INDEX(LE_Curves!$B$5:$B$205,MATCH($R210,LE_Curves!$L$5:$L$205,1))+($R210-INDEX(LE_Curves!$L$5:$L$205,MATCH($R210,LE_Curves!$L$5:$L$205,1)))*(INDEX(LE_Curves!$B$5:$B$205,MATCH($R210,LE_Curves!$L$5:$L$205,1)+1)-INDEX(LE_Curves!$B$5:$B$205,MATCH($R210,LE_Curves!$L$5:$L$205,1)))/(INDEX(LE_Curves!$L$5:$L$205,MATCH($R210,LE_Curves!$L$5:$L$205,1)+1)-INDEX(LE_Curves!$L$5:$L$205,MATCH($R210,LE_Curves!$L$5:$L$205,1))))))</f>
        <v/>
      </c>
      <c r="AC210" s="11">
        <f>IF(Inputs!$D$33=0,0,IF($R210&lt;=Inputs!$C$33,0,IF($R210&gt;=INDEX(LE_Curves!$M$5:$M$205,201),INDEX(LE_Curves!$B$5:$B$205,201),INDEX(LE_Curves!$B$5:$B$205,MATCH($R210,LE_Curves!$M$5:$M$205,1))+($R210-INDEX(LE_Curves!$M$5:$M$205,MATCH($R210,LE_Curves!$M$5:$M$205,1)))*(INDEX(LE_Curves!$B$5:$B$205,MATCH($R210,LE_Curves!$M$5:$M$205,1)+1)-INDEX(LE_Curves!$B$5:$B$205,MATCH($R210,LE_Curves!$M$5:$M$205,1)))/(INDEX(LE_Curves!$M$5:$M$205,MATCH($R210,LE_Curves!$M$5:$M$205,1)+1)-INDEX(LE_Curves!$M$5:$M$205,MATCH($R210,LE_Curves!$M$5:$M$205,1))))))</f>
        <v/>
      </c>
      <c r="AD210" s="11">
        <f>IF(Inputs!$D$34=0,0,IF($R210&lt;=Inputs!$C$34,0,IF($R210&gt;=INDEX(LE_Curves!$N$5:$N$205,201),INDEX(LE_Curves!$B$5:$B$205,201),INDEX(LE_Curves!$B$5:$B$205,MATCH($R210,LE_Curves!$N$5:$N$205,1))+($R210-INDEX(LE_Curves!$N$5:$N$205,MATCH($R210,LE_Curves!$N$5:$N$205,1)))*(INDEX(LE_Curves!$B$5:$B$205,MATCH($R210,LE_Curves!$N$5:$N$205,1)+1)-INDEX(LE_Curves!$B$5:$B$205,MATCH($R210,LE_Curves!$N$5:$N$205,1)))/(INDEX(LE_Curves!$N$5:$N$205,MATCH($R210,LE_Curves!$N$5:$N$205,1)+1)-INDEX(LE_Curves!$N$5:$N$205,MATCH($R210,LE_Curves!$N$5:$N$205,1))))))</f>
        <v/>
      </c>
      <c r="AE210" s="37">
        <f>SUM(S210:AD210)</f>
        <v/>
      </c>
    </row>
    <row r="211">
      <c r="A211" s="7" t="n">
        <v>180</v>
      </c>
      <c r="B211" s="37">
        <f>$B$3+($B$4-$B$3)*A211/200</f>
        <v/>
      </c>
      <c r="C211" s="11">
        <f>IF(Inputs!$D$23=0,0,IF($B211&lt;=Inputs!$C$23,0,IF($B211&gt;=INDEX(LE_Curves!$C$5:$C$205,201),INDEX(LE_Curves!$B$5:$B$205,201),INDEX(LE_Curves!$B$5:$B$205,MATCH($B211,LE_Curves!$C$5:$C$205,1))+($B211-INDEX(LE_Curves!$C$5:$C$205,MATCH($B211,LE_Curves!$C$5:$C$205,1)))*(INDEX(LE_Curves!$B$5:$B$205,MATCH($B211,LE_Curves!$C$5:$C$205,1)+1)-INDEX(LE_Curves!$B$5:$B$205,MATCH($B211,LE_Curves!$C$5:$C$205,1)))/(INDEX(LE_Curves!$C$5:$C$205,MATCH($B211,LE_Curves!$C$5:$C$205,1)+1)-INDEX(LE_Curves!$C$5:$C$205,MATCH($B211,LE_Curves!$C$5:$C$205,1))))))</f>
        <v/>
      </c>
      <c r="D211" s="11">
        <f>IF(Inputs!$D$24=0,0,IF($B211&lt;=Inputs!$C$24,0,IF($B211&gt;=INDEX(LE_Curves!$D$5:$D$205,201),INDEX(LE_Curves!$B$5:$B$205,201),INDEX(LE_Curves!$B$5:$B$205,MATCH($B211,LE_Curves!$D$5:$D$205,1))+($B211-INDEX(LE_Curves!$D$5:$D$205,MATCH($B211,LE_Curves!$D$5:$D$205,1)))*(INDEX(LE_Curves!$B$5:$B$205,MATCH($B211,LE_Curves!$D$5:$D$205,1)+1)-INDEX(LE_Curves!$B$5:$B$205,MATCH($B211,LE_Curves!$D$5:$D$205,1)))/(INDEX(LE_Curves!$D$5:$D$205,MATCH($B211,LE_Curves!$D$5:$D$205,1)+1)-INDEX(LE_Curves!$D$5:$D$205,MATCH($B211,LE_Curves!$D$5:$D$205,1))))))</f>
        <v/>
      </c>
      <c r="E211" s="11">
        <f>IF(Inputs!$D$25=0,0,IF($B211&lt;=Inputs!$C$25,0,IF($B211&gt;=INDEX(LE_Curves!$E$5:$E$205,201),INDEX(LE_Curves!$B$5:$B$205,201),INDEX(LE_Curves!$B$5:$B$205,MATCH($B211,LE_Curves!$E$5:$E$205,1))+($B211-INDEX(LE_Curves!$E$5:$E$205,MATCH($B211,LE_Curves!$E$5:$E$205,1)))*(INDEX(LE_Curves!$B$5:$B$205,MATCH($B211,LE_Curves!$E$5:$E$205,1)+1)-INDEX(LE_Curves!$B$5:$B$205,MATCH($B211,LE_Curves!$E$5:$E$205,1)))/(INDEX(LE_Curves!$E$5:$E$205,MATCH($B211,LE_Curves!$E$5:$E$205,1)+1)-INDEX(LE_Curves!$E$5:$E$205,MATCH($B211,LE_Curves!$E$5:$E$205,1))))))</f>
        <v/>
      </c>
      <c r="F211" s="11">
        <f>IF(Inputs!$D$26=0,0,IF($B211&lt;=Inputs!$C$26,0,IF($B211&gt;=INDEX(LE_Curves!$F$5:$F$205,201),INDEX(LE_Curves!$B$5:$B$205,201),INDEX(LE_Curves!$B$5:$B$205,MATCH($B211,LE_Curves!$F$5:$F$205,1))+($B211-INDEX(LE_Curves!$F$5:$F$205,MATCH($B211,LE_Curves!$F$5:$F$205,1)))*(INDEX(LE_Curves!$B$5:$B$205,MATCH($B211,LE_Curves!$F$5:$F$205,1)+1)-INDEX(LE_Curves!$B$5:$B$205,MATCH($B211,LE_Curves!$F$5:$F$205,1)))/(INDEX(LE_Curves!$F$5:$F$205,MATCH($B211,LE_Curves!$F$5:$F$205,1)+1)-INDEX(LE_Curves!$F$5:$F$205,MATCH($B211,LE_Curves!$F$5:$F$205,1))))))</f>
        <v/>
      </c>
      <c r="G211" s="11">
        <f>IF(Inputs!$D$27=0,0,IF($B211&lt;=Inputs!$C$27,0,IF($B211&gt;=INDEX(LE_Curves!$G$5:$G$205,201),INDEX(LE_Curves!$B$5:$B$205,201),INDEX(LE_Curves!$B$5:$B$205,MATCH($B211,LE_Curves!$G$5:$G$205,1))+($B211-INDEX(LE_Curves!$G$5:$G$205,MATCH($B211,LE_Curves!$G$5:$G$205,1)))*(INDEX(LE_Curves!$B$5:$B$205,MATCH($B211,LE_Curves!$G$5:$G$205,1)+1)-INDEX(LE_Curves!$B$5:$B$205,MATCH($B211,LE_Curves!$G$5:$G$205,1)))/(INDEX(LE_Curves!$G$5:$G$205,MATCH($B211,LE_Curves!$G$5:$G$205,1)+1)-INDEX(LE_Curves!$G$5:$G$205,MATCH($B211,LE_Curves!$G$5:$G$205,1))))))</f>
        <v/>
      </c>
      <c r="H211" s="11">
        <f>IF(Inputs!$D$28=0,0,IF($B211&lt;=Inputs!$C$28,0,IF($B211&gt;=INDEX(LE_Curves!$H$5:$H$205,201),INDEX(LE_Curves!$B$5:$B$205,201),INDEX(LE_Curves!$B$5:$B$205,MATCH($B211,LE_Curves!$H$5:$H$205,1))+($B211-INDEX(LE_Curves!$H$5:$H$205,MATCH($B211,LE_Curves!$H$5:$H$205,1)))*(INDEX(LE_Curves!$B$5:$B$205,MATCH($B211,LE_Curves!$H$5:$H$205,1)+1)-INDEX(LE_Curves!$B$5:$B$205,MATCH($B211,LE_Curves!$H$5:$H$205,1)))/(INDEX(LE_Curves!$H$5:$H$205,MATCH($B211,LE_Curves!$H$5:$H$205,1)+1)-INDEX(LE_Curves!$H$5:$H$205,MATCH($B211,LE_Curves!$H$5:$H$205,1))))))</f>
        <v/>
      </c>
      <c r="I211" s="11">
        <f>IF(Inputs!$D$29=0,0,IF($B211&lt;=Inputs!$C$29,0,IF($B211&gt;=INDEX(LE_Curves!$I$5:$I$205,201),INDEX(LE_Curves!$B$5:$B$205,201),INDEX(LE_Curves!$B$5:$B$205,MATCH($B211,LE_Curves!$I$5:$I$205,1))+($B211-INDEX(LE_Curves!$I$5:$I$205,MATCH($B211,LE_Curves!$I$5:$I$205,1)))*(INDEX(LE_Curves!$B$5:$B$205,MATCH($B211,LE_Curves!$I$5:$I$205,1)+1)-INDEX(LE_Curves!$B$5:$B$205,MATCH($B211,LE_Curves!$I$5:$I$205,1)))/(INDEX(LE_Curves!$I$5:$I$205,MATCH($B211,LE_Curves!$I$5:$I$205,1)+1)-INDEX(LE_Curves!$I$5:$I$205,MATCH($B211,LE_Curves!$I$5:$I$205,1))))))</f>
        <v/>
      </c>
      <c r="J211" s="11">
        <f>IF(Inputs!$D$30=0,0,IF($B211&lt;=Inputs!$C$30,0,IF($B211&gt;=INDEX(LE_Curves!$J$5:$J$205,201),INDEX(LE_Curves!$B$5:$B$205,201),INDEX(LE_Curves!$B$5:$B$205,MATCH($B211,LE_Curves!$J$5:$J$205,1))+($B211-INDEX(LE_Curves!$J$5:$J$205,MATCH($B211,LE_Curves!$J$5:$J$205,1)))*(INDEX(LE_Curves!$B$5:$B$205,MATCH($B211,LE_Curves!$J$5:$J$205,1)+1)-INDEX(LE_Curves!$B$5:$B$205,MATCH($B211,LE_Curves!$J$5:$J$205,1)))/(INDEX(LE_Curves!$J$5:$J$205,MATCH($B211,LE_Curves!$J$5:$J$205,1)+1)-INDEX(LE_Curves!$J$5:$J$205,MATCH($B211,LE_Curves!$J$5:$J$205,1))))))</f>
        <v/>
      </c>
      <c r="K211" s="11">
        <f>IF(Inputs!$D$31=0,0,IF($B211&lt;=Inputs!$C$31,0,IF($B211&gt;=INDEX(LE_Curves!$K$5:$K$205,201),INDEX(LE_Curves!$B$5:$B$205,201),INDEX(LE_Curves!$B$5:$B$205,MATCH($B211,LE_Curves!$K$5:$K$205,1))+($B211-INDEX(LE_Curves!$K$5:$K$205,MATCH($B211,LE_Curves!$K$5:$K$205,1)))*(INDEX(LE_Curves!$B$5:$B$205,MATCH($B211,LE_Curves!$K$5:$K$205,1)+1)-INDEX(LE_Curves!$B$5:$B$205,MATCH($B211,LE_Curves!$K$5:$K$205,1)))/(INDEX(LE_Curves!$K$5:$K$205,MATCH($B211,LE_Curves!$K$5:$K$205,1)+1)-INDEX(LE_Curves!$K$5:$K$205,MATCH($B211,LE_Curves!$K$5:$K$205,1))))))</f>
        <v/>
      </c>
      <c r="L211" s="11">
        <f>IF(Inputs!$D$32=0,0,IF($B211&lt;=Inputs!$C$32,0,IF($B211&gt;=INDEX(LE_Curves!$L$5:$L$205,201),INDEX(LE_Curves!$B$5:$B$205,201),INDEX(LE_Curves!$B$5:$B$205,MATCH($B211,LE_Curves!$L$5:$L$205,1))+($B211-INDEX(LE_Curves!$L$5:$L$205,MATCH($B211,LE_Curves!$L$5:$L$205,1)))*(INDEX(LE_Curves!$B$5:$B$205,MATCH($B211,LE_Curves!$L$5:$L$205,1)+1)-INDEX(LE_Curves!$B$5:$B$205,MATCH($B211,LE_Curves!$L$5:$L$205,1)))/(INDEX(LE_Curves!$L$5:$L$205,MATCH($B211,LE_Curves!$L$5:$L$205,1)+1)-INDEX(LE_Curves!$L$5:$L$205,MATCH($B211,LE_Curves!$L$5:$L$205,1))))))</f>
        <v/>
      </c>
      <c r="M211" s="11">
        <f>IF(Inputs!$D$33=0,0,IF($B211&lt;=Inputs!$C$33,0,IF($B211&gt;=INDEX(LE_Curves!$M$5:$M$205,201),INDEX(LE_Curves!$B$5:$B$205,201),INDEX(LE_Curves!$B$5:$B$205,MATCH($B211,LE_Curves!$M$5:$M$205,1))+($B211-INDEX(LE_Curves!$M$5:$M$205,MATCH($B211,LE_Curves!$M$5:$M$205,1)))*(INDEX(LE_Curves!$B$5:$B$205,MATCH($B211,LE_Curves!$M$5:$M$205,1)+1)-INDEX(LE_Curves!$B$5:$B$205,MATCH($B211,LE_Curves!$M$5:$M$205,1)))/(INDEX(LE_Curves!$M$5:$M$205,MATCH($B211,LE_Curves!$M$5:$M$205,1)+1)-INDEX(LE_Curves!$M$5:$M$205,MATCH($B211,LE_Curves!$M$5:$M$205,1))))))</f>
        <v/>
      </c>
      <c r="N211" s="11">
        <f>IF(Inputs!$D$34=0,0,IF($B211&lt;=Inputs!$C$34,0,IF($B211&gt;=INDEX(LE_Curves!$N$5:$N$205,201),INDEX(LE_Curves!$B$5:$B$205,201),INDEX(LE_Curves!$B$5:$B$205,MATCH($B211,LE_Curves!$N$5:$N$205,1))+($B211-INDEX(LE_Curves!$N$5:$N$205,MATCH($B211,LE_Curves!$N$5:$N$205,1)))*(INDEX(LE_Curves!$B$5:$B$205,MATCH($B211,LE_Curves!$N$5:$N$205,1)+1)-INDEX(LE_Curves!$B$5:$B$205,MATCH($B211,LE_Curves!$N$5:$N$205,1)))/(INDEX(LE_Curves!$N$5:$N$205,MATCH($B211,LE_Curves!$N$5:$N$205,1)+1)-INDEX(LE_Curves!$N$5:$N$205,MATCH($B211,LE_Curves!$N$5:$N$205,1))))))</f>
        <v/>
      </c>
      <c r="O211" s="11">
        <f>SUM(C211:N211)</f>
        <v/>
      </c>
      <c r="Q211" s="7" t="n">
        <v>180</v>
      </c>
      <c r="R211" s="23">
        <f>$B$6+($B$7-$B$6)*Q211/200</f>
        <v/>
      </c>
      <c r="S211" s="11">
        <f>IF(Inputs!$D$23=0,0,IF($R211&lt;=Inputs!$C$23,0,IF($R211&gt;=INDEX(LE_Curves!$C$5:$C$205,201),INDEX(LE_Curves!$B$5:$B$205,201),INDEX(LE_Curves!$B$5:$B$205,MATCH($R211,LE_Curves!$C$5:$C$205,1))+($R211-INDEX(LE_Curves!$C$5:$C$205,MATCH($R211,LE_Curves!$C$5:$C$205,1)))*(INDEX(LE_Curves!$B$5:$B$205,MATCH($R211,LE_Curves!$C$5:$C$205,1)+1)-INDEX(LE_Curves!$B$5:$B$205,MATCH($R211,LE_Curves!$C$5:$C$205,1)))/(INDEX(LE_Curves!$C$5:$C$205,MATCH($R211,LE_Curves!$C$5:$C$205,1)+1)-INDEX(LE_Curves!$C$5:$C$205,MATCH($R211,LE_Curves!$C$5:$C$205,1))))))</f>
        <v/>
      </c>
      <c r="T211" s="11">
        <f>IF(Inputs!$D$24=0,0,IF($R211&lt;=Inputs!$C$24,0,IF($R211&gt;=INDEX(LE_Curves!$D$5:$D$205,201),INDEX(LE_Curves!$B$5:$B$205,201),INDEX(LE_Curves!$B$5:$B$205,MATCH($R211,LE_Curves!$D$5:$D$205,1))+($R211-INDEX(LE_Curves!$D$5:$D$205,MATCH($R211,LE_Curves!$D$5:$D$205,1)))*(INDEX(LE_Curves!$B$5:$B$205,MATCH($R211,LE_Curves!$D$5:$D$205,1)+1)-INDEX(LE_Curves!$B$5:$B$205,MATCH($R211,LE_Curves!$D$5:$D$205,1)))/(INDEX(LE_Curves!$D$5:$D$205,MATCH($R211,LE_Curves!$D$5:$D$205,1)+1)-INDEX(LE_Curves!$D$5:$D$205,MATCH($R211,LE_Curves!$D$5:$D$205,1))))))</f>
        <v/>
      </c>
      <c r="U211" s="11">
        <f>IF(Inputs!$D$25=0,0,IF($R211&lt;=Inputs!$C$25,0,IF($R211&gt;=INDEX(LE_Curves!$E$5:$E$205,201),INDEX(LE_Curves!$B$5:$B$205,201),INDEX(LE_Curves!$B$5:$B$205,MATCH($R211,LE_Curves!$E$5:$E$205,1))+($R211-INDEX(LE_Curves!$E$5:$E$205,MATCH($R211,LE_Curves!$E$5:$E$205,1)))*(INDEX(LE_Curves!$B$5:$B$205,MATCH($R211,LE_Curves!$E$5:$E$205,1)+1)-INDEX(LE_Curves!$B$5:$B$205,MATCH($R211,LE_Curves!$E$5:$E$205,1)))/(INDEX(LE_Curves!$E$5:$E$205,MATCH($R211,LE_Curves!$E$5:$E$205,1)+1)-INDEX(LE_Curves!$E$5:$E$205,MATCH($R211,LE_Curves!$E$5:$E$205,1))))))</f>
        <v/>
      </c>
      <c r="V211" s="11">
        <f>IF(Inputs!$D$26=0,0,IF($R211&lt;=Inputs!$C$26,0,IF($R211&gt;=INDEX(LE_Curves!$F$5:$F$205,201),INDEX(LE_Curves!$B$5:$B$205,201),INDEX(LE_Curves!$B$5:$B$205,MATCH($R211,LE_Curves!$F$5:$F$205,1))+($R211-INDEX(LE_Curves!$F$5:$F$205,MATCH($R211,LE_Curves!$F$5:$F$205,1)))*(INDEX(LE_Curves!$B$5:$B$205,MATCH($R211,LE_Curves!$F$5:$F$205,1)+1)-INDEX(LE_Curves!$B$5:$B$205,MATCH($R211,LE_Curves!$F$5:$F$205,1)))/(INDEX(LE_Curves!$F$5:$F$205,MATCH($R211,LE_Curves!$F$5:$F$205,1)+1)-INDEX(LE_Curves!$F$5:$F$205,MATCH($R211,LE_Curves!$F$5:$F$205,1))))))</f>
        <v/>
      </c>
      <c r="W211" s="11">
        <f>IF(Inputs!$D$27=0,0,IF($R211&lt;=Inputs!$C$27,0,IF($R211&gt;=INDEX(LE_Curves!$G$5:$G$205,201),INDEX(LE_Curves!$B$5:$B$205,201),INDEX(LE_Curves!$B$5:$B$205,MATCH($R211,LE_Curves!$G$5:$G$205,1))+($R211-INDEX(LE_Curves!$G$5:$G$205,MATCH($R211,LE_Curves!$G$5:$G$205,1)))*(INDEX(LE_Curves!$B$5:$B$205,MATCH($R211,LE_Curves!$G$5:$G$205,1)+1)-INDEX(LE_Curves!$B$5:$B$205,MATCH($R211,LE_Curves!$G$5:$G$205,1)))/(INDEX(LE_Curves!$G$5:$G$205,MATCH($R211,LE_Curves!$G$5:$G$205,1)+1)-INDEX(LE_Curves!$G$5:$G$205,MATCH($R211,LE_Curves!$G$5:$G$205,1))))))</f>
        <v/>
      </c>
      <c r="X211" s="11">
        <f>IF(Inputs!$D$28=0,0,IF($R211&lt;=Inputs!$C$28,0,IF($R211&gt;=INDEX(LE_Curves!$H$5:$H$205,201),INDEX(LE_Curves!$B$5:$B$205,201),INDEX(LE_Curves!$B$5:$B$205,MATCH($R211,LE_Curves!$H$5:$H$205,1))+($R211-INDEX(LE_Curves!$H$5:$H$205,MATCH($R211,LE_Curves!$H$5:$H$205,1)))*(INDEX(LE_Curves!$B$5:$B$205,MATCH($R211,LE_Curves!$H$5:$H$205,1)+1)-INDEX(LE_Curves!$B$5:$B$205,MATCH($R211,LE_Curves!$H$5:$H$205,1)))/(INDEX(LE_Curves!$H$5:$H$205,MATCH($R211,LE_Curves!$H$5:$H$205,1)+1)-INDEX(LE_Curves!$H$5:$H$205,MATCH($R211,LE_Curves!$H$5:$H$205,1))))))</f>
        <v/>
      </c>
      <c r="Y211" s="11">
        <f>IF(Inputs!$D$29=0,0,IF($R211&lt;=Inputs!$C$29,0,IF($R211&gt;=INDEX(LE_Curves!$I$5:$I$205,201),INDEX(LE_Curves!$B$5:$B$205,201),INDEX(LE_Curves!$B$5:$B$205,MATCH($R211,LE_Curves!$I$5:$I$205,1))+($R211-INDEX(LE_Curves!$I$5:$I$205,MATCH($R211,LE_Curves!$I$5:$I$205,1)))*(INDEX(LE_Curves!$B$5:$B$205,MATCH($R211,LE_Curves!$I$5:$I$205,1)+1)-INDEX(LE_Curves!$B$5:$B$205,MATCH($R211,LE_Curves!$I$5:$I$205,1)))/(INDEX(LE_Curves!$I$5:$I$205,MATCH($R211,LE_Curves!$I$5:$I$205,1)+1)-INDEX(LE_Curves!$I$5:$I$205,MATCH($R211,LE_Curves!$I$5:$I$205,1))))))</f>
        <v/>
      </c>
      <c r="Z211" s="11">
        <f>IF(Inputs!$D$30=0,0,IF($R211&lt;=Inputs!$C$30,0,IF($R211&gt;=INDEX(LE_Curves!$J$5:$J$205,201),INDEX(LE_Curves!$B$5:$B$205,201),INDEX(LE_Curves!$B$5:$B$205,MATCH($R211,LE_Curves!$J$5:$J$205,1))+($R211-INDEX(LE_Curves!$J$5:$J$205,MATCH($R211,LE_Curves!$J$5:$J$205,1)))*(INDEX(LE_Curves!$B$5:$B$205,MATCH($R211,LE_Curves!$J$5:$J$205,1)+1)-INDEX(LE_Curves!$B$5:$B$205,MATCH($R211,LE_Curves!$J$5:$J$205,1)))/(INDEX(LE_Curves!$J$5:$J$205,MATCH($R211,LE_Curves!$J$5:$J$205,1)+1)-INDEX(LE_Curves!$J$5:$J$205,MATCH($R211,LE_Curves!$J$5:$J$205,1))))))</f>
        <v/>
      </c>
      <c r="AA211" s="11">
        <f>IF(Inputs!$D$31=0,0,IF($R211&lt;=Inputs!$C$31,0,IF($R211&gt;=INDEX(LE_Curves!$K$5:$K$205,201),INDEX(LE_Curves!$B$5:$B$205,201),INDEX(LE_Curves!$B$5:$B$205,MATCH($R211,LE_Curves!$K$5:$K$205,1))+($R211-INDEX(LE_Curves!$K$5:$K$205,MATCH($R211,LE_Curves!$K$5:$K$205,1)))*(INDEX(LE_Curves!$B$5:$B$205,MATCH($R211,LE_Curves!$K$5:$K$205,1)+1)-INDEX(LE_Curves!$B$5:$B$205,MATCH($R211,LE_Curves!$K$5:$K$205,1)))/(INDEX(LE_Curves!$K$5:$K$205,MATCH($R211,LE_Curves!$K$5:$K$205,1)+1)-INDEX(LE_Curves!$K$5:$K$205,MATCH($R211,LE_Curves!$K$5:$K$205,1))))))</f>
        <v/>
      </c>
      <c r="AB211" s="11">
        <f>IF(Inputs!$D$32=0,0,IF($R211&lt;=Inputs!$C$32,0,IF($R211&gt;=INDEX(LE_Curves!$L$5:$L$205,201),INDEX(LE_Curves!$B$5:$B$205,201),INDEX(LE_Curves!$B$5:$B$205,MATCH($R211,LE_Curves!$L$5:$L$205,1))+($R211-INDEX(LE_Curves!$L$5:$L$205,MATCH($R211,LE_Curves!$L$5:$L$205,1)))*(INDEX(LE_Curves!$B$5:$B$205,MATCH($R211,LE_Curves!$L$5:$L$205,1)+1)-INDEX(LE_Curves!$B$5:$B$205,MATCH($R211,LE_Curves!$L$5:$L$205,1)))/(INDEX(LE_Curves!$L$5:$L$205,MATCH($R211,LE_Curves!$L$5:$L$205,1)+1)-INDEX(LE_Curves!$L$5:$L$205,MATCH($R211,LE_Curves!$L$5:$L$205,1))))))</f>
        <v/>
      </c>
      <c r="AC211" s="11">
        <f>IF(Inputs!$D$33=0,0,IF($R211&lt;=Inputs!$C$33,0,IF($R211&gt;=INDEX(LE_Curves!$M$5:$M$205,201),INDEX(LE_Curves!$B$5:$B$205,201),INDEX(LE_Curves!$B$5:$B$205,MATCH($R211,LE_Curves!$M$5:$M$205,1))+($R211-INDEX(LE_Curves!$M$5:$M$205,MATCH($R211,LE_Curves!$M$5:$M$205,1)))*(INDEX(LE_Curves!$B$5:$B$205,MATCH($R211,LE_Curves!$M$5:$M$205,1)+1)-INDEX(LE_Curves!$B$5:$B$205,MATCH($R211,LE_Curves!$M$5:$M$205,1)))/(INDEX(LE_Curves!$M$5:$M$205,MATCH($R211,LE_Curves!$M$5:$M$205,1)+1)-INDEX(LE_Curves!$M$5:$M$205,MATCH($R211,LE_Curves!$M$5:$M$205,1))))))</f>
        <v/>
      </c>
      <c r="AD211" s="11">
        <f>IF(Inputs!$D$34=0,0,IF($R211&lt;=Inputs!$C$34,0,IF($R211&gt;=INDEX(LE_Curves!$N$5:$N$205,201),INDEX(LE_Curves!$B$5:$B$205,201),INDEX(LE_Curves!$B$5:$B$205,MATCH($R211,LE_Curves!$N$5:$N$205,1))+($R211-INDEX(LE_Curves!$N$5:$N$205,MATCH($R211,LE_Curves!$N$5:$N$205,1)))*(INDEX(LE_Curves!$B$5:$B$205,MATCH($R211,LE_Curves!$N$5:$N$205,1)+1)-INDEX(LE_Curves!$B$5:$B$205,MATCH($R211,LE_Curves!$N$5:$N$205,1)))/(INDEX(LE_Curves!$N$5:$N$205,MATCH($R211,LE_Curves!$N$5:$N$205,1)+1)-INDEX(LE_Curves!$N$5:$N$205,MATCH($R211,LE_Curves!$N$5:$N$205,1))))))</f>
        <v/>
      </c>
      <c r="AE211" s="37">
        <f>SUM(S211:AD211)</f>
        <v/>
      </c>
    </row>
    <row r="212">
      <c r="A212" s="7" t="n">
        <v>181</v>
      </c>
      <c r="B212" s="37">
        <f>$B$3+($B$4-$B$3)*A212/200</f>
        <v/>
      </c>
      <c r="C212" s="11">
        <f>IF(Inputs!$D$23=0,0,IF($B212&lt;=Inputs!$C$23,0,IF($B212&gt;=INDEX(LE_Curves!$C$5:$C$205,201),INDEX(LE_Curves!$B$5:$B$205,201),INDEX(LE_Curves!$B$5:$B$205,MATCH($B212,LE_Curves!$C$5:$C$205,1))+($B212-INDEX(LE_Curves!$C$5:$C$205,MATCH($B212,LE_Curves!$C$5:$C$205,1)))*(INDEX(LE_Curves!$B$5:$B$205,MATCH($B212,LE_Curves!$C$5:$C$205,1)+1)-INDEX(LE_Curves!$B$5:$B$205,MATCH($B212,LE_Curves!$C$5:$C$205,1)))/(INDEX(LE_Curves!$C$5:$C$205,MATCH($B212,LE_Curves!$C$5:$C$205,1)+1)-INDEX(LE_Curves!$C$5:$C$205,MATCH($B212,LE_Curves!$C$5:$C$205,1))))))</f>
        <v/>
      </c>
      <c r="D212" s="11">
        <f>IF(Inputs!$D$24=0,0,IF($B212&lt;=Inputs!$C$24,0,IF($B212&gt;=INDEX(LE_Curves!$D$5:$D$205,201),INDEX(LE_Curves!$B$5:$B$205,201),INDEX(LE_Curves!$B$5:$B$205,MATCH($B212,LE_Curves!$D$5:$D$205,1))+($B212-INDEX(LE_Curves!$D$5:$D$205,MATCH($B212,LE_Curves!$D$5:$D$205,1)))*(INDEX(LE_Curves!$B$5:$B$205,MATCH($B212,LE_Curves!$D$5:$D$205,1)+1)-INDEX(LE_Curves!$B$5:$B$205,MATCH($B212,LE_Curves!$D$5:$D$205,1)))/(INDEX(LE_Curves!$D$5:$D$205,MATCH($B212,LE_Curves!$D$5:$D$205,1)+1)-INDEX(LE_Curves!$D$5:$D$205,MATCH($B212,LE_Curves!$D$5:$D$205,1))))))</f>
        <v/>
      </c>
      <c r="E212" s="11">
        <f>IF(Inputs!$D$25=0,0,IF($B212&lt;=Inputs!$C$25,0,IF($B212&gt;=INDEX(LE_Curves!$E$5:$E$205,201),INDEX(LE_Curves!$B$5:$B$205,201),INDEX(LE_Curves!$B$5:$B$205,MATCH($B212,LE_Curves!$E$5:$E$205,1))+($B212-INDEX(LE_Curves!$E$5:$E$205,MATCH($B212,LE_Curves!$E$5:$E$205,1)))*(INDEX(LE_Curves!$B$5:$B$205,MATCH($B212,LE_Curves!$E$5:$E$205,1)+1)-INDEX(LE_Curves!$B$5:$B$205,MATCH($B212,LE_Curves!$E$5:$E$205,1)))/(INDEX(LE_Curves!$E$5:$E$205,MATCH($B212,LE_Curves!$E$5:$E$205,1)+1)-INDEX(LE_Curves!$E$5:$E$205,MATCH($B212,LE_Curves!$E$5:$E$205,1))))))</f>
        <v/>
      </c>
      <c r="F212" s="11">
        <f>IF(Inputs!$D$26=0,0,IF($B212&lt;=Inputs!$C$26,0,IF($B212&gt;=INDEX(LE_Curves!$F$5:$F$205,201),INDEX(LE_Curves!$B$5:$B$205,201),INDEX(LE_Curves!$B$5:$B$205,MATCH($B212,LE_Curves!$F$5:$F$205,1))+($B212-INDEX(LE_Curves!$F$5:$F$205,MATCH($B212,LE_Curves!$F$5:$F$205,1)))*(INDEX(LE_Curves!$B$5:$B$205,MATCH($B212,LE_Curves!$F$5:$F$205,1)+1)-INDEX(LE_Curves!$B$5:$B$205,MATCH($B212,LE_Curves!$F$5:$F$205,1)))/(INDEX(LE_Curves!$F$5:$F$205,MATCH($B212,LE_Curves!$F$5:$F$205,1)+1)-INDEX(LE_Curves!$F$5:$F$205,MATCH($B212,LE_Curves!$F$5:$F$205,1))))))</f>
        <v/>
      </c>
      <c r="G212" s="11">
        <f>IF(Inputs!$D$27=0,0,IF($B212&lt;=Inputs!$C$27,0,IF($B212&gt;=INDEX(LE_Curves!$G$5:$G$205,201),INDEX(LE_Curves!$B$5:$B$205,201),INDEX(LE_Curves!$B$5:$B$205,MATCH($B212,LE_Curves!$G$5:$G$205,1))+($B212-INDEX(LE_Curves!$G$5:$G$205,MATCH($B212,LE_Curves!$G$5:$G$205,1)))*(INDEX(LE_Curves!$B$5:$B$205,MATCH($B212,LE_Curves!$G$5:$G$205,1)+1)-INDEX(LE_Curves!$B$5:$B$205,MATCH($B212,LE_Curves!$G$5:$G$205,1)))/(INDEX(LE_Curves!$G$5:$G$205,MATCH($B212,LE_Curves!$G$5:$G$205,1)+1)-INDEX(LE_Curves!$G$5:$G$205,MATCH($B212,LE_Curves!$G$5:$G$205,1))))))</f>
        <v/>
      </c>
      <c r="H212" s="11">
        <f>IF(Inputs!$D$28=0,0,IF($B212&lt;=Inputs!$C$28,0,IF($B212&gt;=INDEX(LE_Curves!$H$5:$H$205,201),INDEX(LE_Curves!$B$5:$B$205,201),INDEX(LE_Curves!$B$5:$B$205,MATCH($B212,LE_Curves!$H$5:$H$205,1))+($B212-INDEX(LE_Curves!$H$5:$H$205,MATCH($B212,LE_Curves!$H$5:$H$205,1)))*(INDEX(LE_Curves!$B$5:$B$205,MATCH($B212,LE_Curves!$H$5:$H$205,1)+1)-INDEX(LE_Curves!$B$5:$B$205,MATCH($B212,LE_Curves!$H$5:$H$205,1)))/(INDEX(LE_Curves!$H$5:$H$205,MATCH($B212,LE_Curves!$H$5:$H$205,1)+1)-INDEX(LE_Curves!$H$5:$H$205,MATCH($B212,LE_Curves!$H$5:$H$205,1))))))</f>
        <v/>
      </c>
      <c r="I212" s="11">
        <f>IF(Inputs!$D$29=0,0,IF($B212&lt;=Inputs!$C$29,0,IF($B212&gt;=INDEX(LE_Curves!$I$5:$I$205,201),INDEX(LE_Curves!$B$5:$B$205,201),INDEX(LE_Curves!$B$5:$B$205,MATCH($B212,LE_Curves!$I$5:$I$205,1))+($B212-INDEX(LE_Curves!$I$5:$I$205,MATCH($B212,LE_Curves!$I$5:$I$205,1)))*(INDEX(LE_Curves!$B$5:$B$205,MATCH($B212,LE_Curves!$I$5:$I$205,1)+1)-INDEX(LE_Curves!$B$5:$B$205,MATCH($B212,LE_Curves!$I$5:$I$205,1)))/(INDEX(LE_Curves!$I$5:$I$205,MATCH($B212,LE_Curves!$I$5:$I$205,1)+1)-INDEX(LE_Curves!$I$5:$I$205,MATCH($B212,LE_Curves!$I$5:$I$205,1))))))</f>
        <v/>
      </c>
      <c r="J212" s="11">
        <f>IF(Inputs!$D$30=0,0,IF($B212&lt;=Inputs!$C$30,0,IF($B212&gt;=INDEX(LE_Curves!$J$5:$J$205,201),INDEX(LE_Curves!$B$5:$B$205,201),INDEX(LE_Curves!$B$5:$B$205,MATCH($B212,LE_Curves!$J$5:$J$205,1))+($B212-INDEX(LE_Curves!$J$5:$J$205,MATCH($B212,LE_Curves!$J$5:$J$205,1)))*(INDEX(LE_Curves!$B$5:$B$205,MATCH($B212,LE_Curves!$J$5:$J$205,1)+1)-INDEX(LE_Curves!$B$5:$B$205,MATCH($B212,LE_Curves!$J$5:$J$205,1)))/(INDEX(LE_Curves!$J$5:$J$205,MATCH($B212,LE_Curves!$J$5:$J$205,1)+1)-INDEX(LE_Curves!$J$5:$J$205,MATCH($B212,LE_Curves!$J$5:$J$205,1))))))</f>
        <v/>
      </c>
      <c r="K212" s="11">
        <f>IF(Inputs!$D$31=0,0,IF($B212&lt;=Inputs!$C$31,0,IF($B212&gt;=INDEX(LE_Curves!$K$5:$K$205,201),INDEX(LE_Curves!$B$5:$B$205,201),INDEX(LE_Curves!$B$5:$B$205,MATCH($B212,LE_Curves!$K$5:$K$205,1))+($B212-INDEX(LE_Curves!$K$5:$K$205,MATCH($B212,LE_Curves!$K$5:$K$205,1)))*(INDEX(LE_Curves!$B$5:$B$205,MATCH($B212,LE_Curves!$K$5:$K$205,1)+1)-INDEX(LE_Curves!$B$5:$B$205,MATCH($B212,LE_Curves!$K$5:$K$205,1)))/(INDEX(LE_Curves!$K$5:$K$205,MATCH($B212,LE_Curves!$K$5:$K$205,1)+1)-INDEX(LE_Curves!$K$5:$K$205,MATCH($B212,LE_Curves!$K$5:$K$205,1))))))</f>
        <v/>
      </c>
      <c r="L212" s="11">
        <f>IF(Inputs!$D$32=0,0,IF($B212&lt;=Inputs!$C$32,0,IF($B212&gt;=INDEX(LE_Curves!$L$5:$L$205,201),INDEX(LE_Curves!$B$5:$B$205,201),INDEX(LE_Curves!$B$5:$B$205,MATCH($B212,LE_Curves!$L$5:$L$205,1))+($B212-INDEX(LE_Curves!$L$5:$L$205,MATCH($B212,LE_Curves!$L$5:$L$205,1)))*(INDEX(LE_Curves!$B$5:$B$205,MATCH($B212,LE_Curves!$L$5:$L$205,1)+1)-INDEX(LE_Curves!$B$5:$B$205,MATCH($B212,LE_Curves!$L$5:$L$205,1)))/(INDEX(LE_Curves!$L$5:$L$205,MATCH($B212,LE_Curves!$L$5:$L$205,1)+1)-INDEX(LE_Curves!$L$5:$L$205,MATCH($B212,LE_Curves!$L$5:$L$205,1))))))</f>
        <v/>
      </c>
      <c r="M212" s="11">
        <f>IF(Inputs!$D$33=0,0,IF($B212&lt;=Inputs!$C$33,0,IF($B212&gt;=INDEX(LE_Curves!$M$5:$M$205,201),INDEX(LE_Curves!$B$5:$B$205,201),INDEX(LE_Curves!$B$5:$B$205,MATCH($B212,LE_Curves!$M$5:$M$205,1))+($B212-INDEX(LE_Curves!$M$5:$M$205,MATCH($B212,LE_Curves!$M$5:$M$205,1)))*(INDEX(LE_Curves!$B$5:$B$205,MATCH($B212,LE_Curves!$M$5:$M$205,1)+1)-INDEX(LE_Curves!$B$5:$B$205,MATCH($B212,LE_Curves!$M$5:$M$205,1)))/(INDEX(LE_Curves!$M$5:$M$205,MATCH($B212,LE_Curves!$M$5:$M$205,1)+1)-INDEX(LE_Curves!$M$5:$M$205,MATCH($B212,LE_Curves!$M$5:$M$205,1))))))</f>
        <v/>
      </c>
      <c r="N212" s="11">
        <f>IF(Inputs!$D$34=0,0,IF($B212&lt;=Inputs!$C$34,0,IF($B212&gt;=INDEX(LE_Curves!$N$5:$N$205,201),INDEX(LE_Curves!$B$5:$B$205,201),INDEX(LE_Curves!$B$5:$B$205,MATCH($B212,LE_Curves!$N$5:$N$205,1))+($B212-INDEX(LE_Curves!$N$5:$N$205,MATCH($B212,LE_Curves!$N$5:$N$205,1)))*(INDEX(LE_Curves!$B$5:$B$205,MATCH($B212,LE_Curves!$N$5:$N$205,1)+1)-INDEX(LE_Curves!$B$5:$B$205,MATCH($B212,LE_Curves!$N$5:$N$205,1)))/(INDEX(LE_Curves!$N$5:$N$205,MATCH($B212,LE_Curves!$N$5:$N$205,1)+1)-INDEX(LE_Curves!$N$5:$N$205,MATCH($B212,LE_Curves!$N$5:$N$205,1))))))</f>
        <v/>
      </c>
      <c r="O212" s="11">
        <f>SUM(C212:N212)</f>
        <v/>
      </c>
      <c r="Q212" s="7" t="n">
        <v>181</v>
      </c>
      <c r="R212" s="23">
        <f>$B$6+($B$7-$B$6)*Q212/200</f>
        <v/>
      </c>
      <c r="S212" s="11">
        <f>IF(Inputs!$D$23=0,0,IF($R212&lt;=Inputs!$C$23,0,IF($R212&gt;=INDEX(LE_Curves!$C$5:$C$205,201),INDEX(LE_Curves!$B$5:$B$205,201),INDEX(LE_Curves!$B$5:$B$205,MATCH($R212,LE_Curves!$C$5:$C$205,1))+($R212-INDEX(LE_Curves!$C$5:$C$205,MATCH($R212,LE_Curves!$C$5:$C$205,1)))*(INDEX(LE_Curves!$B$5:$B$205,MATCH($R212,LE_Curves!$C$5:$C$205,1)+1)-INDEX(LE_Curves!$B$5:$B$205,MATCH($R212,LE_Curves!$C$5:$C$205,1)))/(INDEX(LE_Curves!$C$5:$C$205,MATCH($R212,LE_Curves!$C$5:$C$205,1)+1)-INDEX(LE_Curves!$C$5:$C$205,MATCH($R212,LE_Curves!$C$5:$C$205,1))))))</f>
        <v/>
      </c>
      <c r="T212" s="11">
        <f>IF(Inputs!$D$24=0,0,IF($R212&lt;=Inputs!$C$24,0,IF($R212&gt;=INDEX(LE_Curves!$D$5:$D$205,201),INDEX(LE_Curves!$B$5:$B$205,201),INDEX(LE_Curves!$B$5:$B$205,MATCH($R212,LE_Curves!$D$5:$D$205,1))+($R212-INDEX(LE_Curves!$D$5:$D$205,MATCH($R212,LE_Curves!$D$5:$D$205,1)))*(INDEX(LE_Curves!$B$5:$B$205,MATCH($R212,LE_Curves!$D$5:$D$205,1)+1)-INDEX(LE_Curves!$B$5:$B$205,MATCH($R212,LE_Curves!$D$5:$D$205,1)))/(INDEX(LE_Curves!$D$5:$D$205,MATCH($R212,LE_Curves!$D$5:$D$205,1)+1)-INDEX(LE_Curves!$D$5:$D$205,MATCH($R212,LE_Curves!$D$5:$D$205,1))))))</f>
        <v/>
      </c>
      <c r="U212" s="11">
        <f>IF(Inputs!$D$25=0,0,IF($R212&lt;=Inputs!$C$25,0,IF($R212&gt;=INDEX(LE_Curves!$E$5:$E$205,201),INDEX(LE_Curves!$B$5:$B$205,201),INDEX(LE_Curves!$B$5:$B$205,MATCH($R212,LE_Curves!$E$5:$E$205,1))+($R212-INDEX(LE_Curves!$E$5:$E$205,MATCH($R212,LE_Curves!$E$5:$E$205,1)))*(INDEX(LE_Curves!$B$5:$B$205,MATCH($R212,LE_Curves!$E$5:$E$205,1)+1)-INDEX(LE_Curves!$B$5:$B$205,MATCH($R212,LE_Curves!$E$5:$E$205,1)))/(INDEX(LE_Curves!$E$5:$E$205,MATCH($R212,LE_Curves!$E$5:$E$205,1)+1)-INDEX(LE_Curves!$E$5:$E$205,MATCH($R212,LE_Curves!$E$5:$E$205,1))))))</f>
        <v/>
      </c>
      <c r="V212" s="11">
        <f>IF(Inputs!$D$26=0,0,IF($R212&lt;=Inputs!$C$26,0,IF($R212&gt;=INDEX(LE_Curves!$F$5:$F$205,201),INDEX(LE_Curves!$B$5:$B$205,201),INDEX(LE_Curves!$B$5:$B$205,MATCH($R212,LE_Curves!$F$5:$F$205,1))+($R212-INDEX(LE_Curves!$F$5:$F$205,MATCH($R212,LE_Curves!$F$5:$F$205,1)))*(INDEX(LE_Curves!$B$5:$B$205,MATCH($R212,LE_Curves!$F$5:$F$205,1)+1)-INDEX(LE_Curves!$B$5:$B$205,MATCH($R212,LE_Curves!$F$5:$F$205,1)))/(INDEX(LE_Curves!$F$5:$F$205,MATCH($R212,LE_Curves!$F$5:$F$205,1)+1)-INDEX(LE_Curves!$F$5:$F$205,MATCH($R212,LE_Curves!$F$5:$F$205,1))))))</f>
        <v/>
      </c>
      <c r="W212" s="11">
        <f>IF(Inputs!$D$27=0,0,IF($R212&lt;=Inputs!$C$27,0,IF($R212&gt;=INDEX(LE_Curves!$G$5:$G$205,201),INDEX(LE_Curves!$B$5:$B$205,201),INDEX(LE_Curves!$B$5:$B$205,MATCH($R212,LE_Curves!$G$5:$G$205,1))+($R212-INDEX(LE_Curves!$G$5:$G$205,MATCH($R212,LE_Curves!$G$5:$G$205,1)))*(INDEX(LE_Curves!$B$5:$B$205,MATCH($R212,LE_Curves!$G$5:$G$205,1)+1)-INDEX(LE_Curves!$B$5:$B$205,MATCH($R212,LE_Curves!$G$5:$G$205,1)))/(INDEX(LE_Curves!$G$5:$G$205,MATCH($R212,LE_Curves!$G$5:$G$205,1)+1)-INDEX(LE_Curves!$G$5:$G$205,MATCH($R212,LE_Curves!$G$5:$G$205,1))))))</f>
        <v/>
      </c>
      <c r="X212" s="11">
        <f>IF(Inputs!$D$28=0,0,IF($R212&lt;=Inputs!$C$28,0,IF($R212&gt;=INDEX(LE_Curves!$H$5:$H$205,201),INDEX(LE_Curves!$B$5:$B$205,201),INDEX(LE_Curves!$B$5:$B$205,MATCH($R212,LE_Curves!$H$5:$H$205,1))+($R212-INDEX(LE_Curves!$H$5:$H$205,MATCH($R212,LE_Curves!$H$5:$H$205,1)))*(INDEX(LE_Curves!$B$5:$B$205,MATCH($R212,LE_Curves!$H$5:$H$205,1)+1)-INDEX(LE_Curves!$B$5:$B$205,MATCH($R212,LE_Curves!$H$5:$H$205,1)))/(INDEX(LE_Curves!$H$5:$H$205,MATCH($R212,LE_Curves!$H$5:$H$205,1)+1)-INDEX(LE_Curves!$H$5:$H$205,MATCH($R212,LE_Curves!$H$5:$H$205,1))))))</f>
        <v/>
      </c>
      <c r="Y212" s="11">
        <f>IF(Inputs!$D$29=0,0,IF($R212&lt;=Inputs!$C$29,0,IF($R212&gt;=INDEX(LE_Curves!$I$5:$I$205,201),INDEX(LE_Curves!$B$5:$B$205,201),INDEX(LE_Curves!$B$5:$B$205,MATCH($R212,LE_Curves!$I$5:$I$205,1))+($R212-INDEX(LE_Curves!$I$5:$I$205,MATCH($R212,LE_Curves!$I$5:$I$205,1)))*(INDEX(LE_Curves!$B$5:$B$205,MATCH($R212,LE_Curves!$I$5:$I$205,1)+1)-INDEX(LE_Curves!$B$5:$B$205,MATCH($R212,LE_Curves!$I$5:$I$205,1)))/(INDEX(LE_Curves!$I$5:$I$205,MATCH($R212,LE_Curves!$I$5:$I$205,1)+1)-INDEX(LE_Curves!$I$5:$I$205,MATCH($R212,LE_Curves!$I$5:$I$205,1))))))</f>
        <v/>
      </c>
      <c r="Z212" s="11">
        <f>IF(Inputs!$D$30=0,0,IF($R212&lt;=Inputs!$C$30,0,IF($R212&gt;=INDEX(LE_Curves!$J$5:$J$205,201),INDEX(LE_Curves!$B$5:$B$205,201),INDEX(LE_Curves!$B$5:$B$205,MATCH($R212,LE_Curves!$J$5:$J$205,1))+($R212-INDEX(LE_Curves!$J$5:$J$205,MATCH($R212,LE_Curves!$J$5:$J$205,1)))*(INDEX(LE_Curves!$B$5:$B$205,MATCH($R212,LE_Curves!$J$5:$J$205,1)+1)-INDEX(LE_Curves!$B$5:$B$205,MATCH($R212,LE_Curves!$J$5:$J$205,1)))/(INDEX(LE_Curves!$J$5:$J$205,MATCH($R212,LE_Curves!$J$5:$J$205,1)+1)-INDEX(LE_Curves!$J$5:$J$205,MATCH($R212,LE_Curves!$J$5:$J$205,1))))))</f>
        <v/>
      </c>
      <c r="AA212" s="11">
        <f>IF(Inputs!$D$31=0,0,IF($R212&lt;=Inputs!$C$31,0,IF($R212&gt;=INDEX(LE_Curves!$K$5:$K$205,201),INDEX(LE_Curves!$B$5:$B$205,201),INDEX(LE_Curves!$B$5:$B$205,MATCH($R212,LE_Curves!$K$5:$K$205,1))+($R212-INDEX(LE_Curves!$K$5:$K$205,MATCH($R212,LE_Curves!$K$5:$K$205,1)))*(INDEX(LE_Curves!$B$5:$B$205,MATCH($R212,LE_Curves!$K$5:$K$205,1)+1)-INDEX(LE_Curves!$B$5:$B$205,MATCH($R212,LE_Curves!$K$5:$K$205,1)))/(INDEX(LE_Curves!$K$5:$K$205,MATCH($R212,LE_Curves!$K$5:$K$205,1)+1)-INDEX(LE_Curves!$K$5:$K$205,MATCH($R212,LE_Curves!$K$5:$K$205,1))))))</f>
        <v/>
      </c>
      <c r="AB212" s="11">
        <f>IF(Inputs!$D$32=0,0,IF($R212&lt;=Inputs!$C$32,0,IF($R212&gt;=INDEX(LE_Curves!$L$5:$L$205,201),INDEX(LE_Curves!$B$5:$B$205,201),INDEX(LE_Curves!$B$5:$B$205,MATCH($R212,LE_Curves!$L$5:$L$205,1))+($R212-INDEX(LE_Curves!$L$5:$L$205,MATCH($R212,LE_Curves!$L$5:$L$205,1)))*(INDEX(LE_Curves!$B$5:$B$205,MATCH($R212,LE_Curves!$L$5:$L$205,1)+1)-INDEX(LE_Curves!$B$5:$B$205,MATCH($R212,LE_Curves!$L$5:$L$205,1)))/(INDEX(LE_Curves!$L$5:$L$205,MATCH($R212,LE_Curves!$L$5:$L$205,1)+1)-INDEX(LE_Curves!$L$5:$L$205,MATCH($R212,LE_Curves!$L$5:$L$205,1))))))</f>
        <v/>
      </c>
      <c r="AC212" s="11">
        <f>IF(Inputs!$D$33=0,0,IF($R212&lt;=Inputs!$C$33,0,IF($R212&gt;=INDEX(LE_Curves!$M$5:$M$205,201),INDEX(LE_Curves!$B$5:$B$205,201),INDEX(LE_Curves!$B$5:$B$205,MATCH($R212,LE_Curves!$M$5:$M$205,1))+($R212-INDEX(LE_Curves!$M$5:$M$205,MATCH($R212,LE_Curves!$M$5:$M$205,1)))*(INDEX(LE_Curves!$B$5:$B$205,MATCH($R212,LE_Curves!$M$5:$M$205,1)+1)-INDEX(LE_Curves!$B$5:$B$205,MATCH($R212,LE_Curves!$M$5:$M$205,1)))/(INDEX(LE_Curves!$M$5:$M$205,MATCH($R212,LE_Curves!$M$5:$M$205,1)+1)-INDEX(LE_Curves!$M$5:$M$205,MATCH($R212,LE_Curves!$M$5:$M$205,1))))))</f>
        <v/>
      </c>
      <c r="AD212" s="11">
        <f>IF(Inputs!$D$34=0,0,IF($R212&lt;=Inputs!$C$34,0,IF($R212&gt;=INDEX(LE_Curves!$N$5:$N$205,201),INDEX(LE_Curves!$B$5:$B$205,201),INDEX(LE_Curves!$B$5:$B$205,MATCH($R212,LE_Curves!$N$5:$N$205,1))+($R212-INDEX(LE_Curves!$N$5:$N$205,MATCH($R212,LE_Curves!$N$5:$N$205,1)))*(INDEX(LE_Curves!$B$5:$B$205,MATCH($R212,LE_Curves!$N$5:$N$205,1)+1)-INDEX(LE_Curves!$B$5:$B$205,MATCH($R212,LE_Curves!$N$5:$N$205,1)))/(INDEX(LE_Curves!$N$5:$N$205,MATCH($R212,LE_Curves!$N$5:$N$205,1)+1)-INDEX(LE_Curves!$N$5:$N$205,MATCH($R212,LE_Curves!$N$5:$N$205,1))))))</f>
        <v/>
      </c>
      <c r="AE212" s="37">
        <f>SUM(S212:AD212)</f>
        <v/>
      </c>
    </row>
    <row r="213">
      <c r="A213" s="7" t="n">
        <v>182</v>
      </c>
      <c r="B213" s="37">
        <f>$B$3+($B$4-$B$3)*A213/200</f>
        <v/>
      </c>
      <c r="C213" s="11">
        <f>IF(Inputs!$D$23=0,0,IF($B213&lt;=Inputs!$C$23,0,IF($B213&gt;=INDEX(LE_Curves!$C$5:$C$205,201),INDEX(LE_Curves!$B$5:$B$205,201),INDEX(LE_Curves!$B$5:$B$205,MATCH($B213,LE_Curves!$C$5:$C$205,1))+($B213-INDEX(LE_Curves!$C$5:$C$205,MATCH($B213,LE_Curves!$C$5:$C$205,1)))*(INDEX(LE_Curves!$B$5:$B$205,MATCH($B213,LE_Curves!$C$5:$C$205,1)+1)-INDEX(LE_Curves!$B$5:$B$205,MATCH($B213,LE_Curves!$C$5:$C$205,1)))/(INDEX(LE_Curves!$C$5:$C$205,MATCH($B213,LE_Curves!$C$5:$C$205,1)+1)-INDEX(LE_Curves!$C$5:$C$205,MATCH($B213,LE_Curves!$C$5:$C$205,1))))))</f>
        <v/>
      </c>
      <c r="D213" s="11">
        <f>IF(Inputs!$D$24=0,0,IF($B213&lt;=Inputs!$C$24,0,IF($B213&gt;=INDEX(LE_Curves!$D$5:$D$205,201),INDEX(LE_Curves!$B$5:$B$205,201),INDEX(LE_Curves!$B$5:$B$205,MATCH($B213,LE_Curves!$D$5:$D$205,1))+($B213-INDEX(LE_Curves!$D$5:$D$205,MATCH($B213,LE_Curves!$D$5:$D$205,1)))*(INDEX(LE_Curves!$B$5:$B$205,MATCH($B213,LE_Curves!$D$5:$D$205,1)+1)-INDEX(LE_Curves!$B$5:$B$205,MATCH($B213,LE_Curves!$D$5:$D$205,1)))/(INDEX(LE_Curves!$D$5:$D$205,MATCH($B213,LE_Curves!$D$5:$D$205,1)+1)-INDEX(LE_Curves!$D$5:$D$205,MATCH($B213,LE_Curves!$D$5:$D$205,1))))))</f>
        <v/>
      </c>
      <c r="E213" s="11">
        <f>IF(Inputs!$D$25=0,0,IF($B213&lt;=Inputs!$C$25,0,IF($B213&gt;=INDEX(LE_Curves!$E$5:$E$205,201),INDEX(LE_Curves!$B$5:$B$205,201),INDEX(LE_Curves!$B$5:$B$205,MATCH($B213,LE_Curves!$E$5:$E$205,1))+($B213-INDEX(LE_Curves!$E$5:$E$205,MATCH($B213,LE_Curves!$E$5:$E$205,1)))*(INDEX(LE_Curves!$B$5:$B$205,MATCH($B213,LE_Curves!$E$5:$E$205,1)+1)-INDEX(LE_Curves!$B$5:$B$205,MATCH($B213,LE_Curves!$E$5:$E$205,1)))/(INDEX(LE_Curves!$E$5:$E$205,MATCH($B213,LE_Curves!$E$5:$E$205,1)+1)-INDEX(LE_Curves!$E$5:$E$205,MATCH($B213,LE_Curves!$E$5:$E$205,1))))))</f>
        <v/>
      </c>
      <c r="F213" s="11">
        <f>IF(Inputs!$D$26=0,0,IF($B213&lt;=Inputs!$C$26,0,IF($B213&gt;=INDEX(LE_Curves!$F$5:$F$205,201),INDEX(LE_Curves!$B$5:$B$205,201),INDEX(LE_Curves!$B$5:$B$205,MATCH($B213,LE_Curves!$F$5:$F$205,1))+($B213-INDEX(LE_Curves!$F$5:$F$205,MATCH($B213,LE_Curves!$F$5:$F$205,1)))*(INDEX(LE_Curves!$B$5:$B$205,MATCH($B213,LE_Curves!$F$5:$F$205,1)+1)-INDEX(LE_Curves!$B$5:$B$205,MATCH($B213,LE_Curves!$F$5:$F$205,1)))/(INDEX(LE_Curves!$F$5:$F$205,MATCH($B213,LE_Curves!$F$5:$F$205,1)+1)-INDEX(LE_Curves!$F$5:$F$205,MATCH($B213,LE_Curves!$F$5:$F$205,1))))))</f>
        <v/>
      </c>
      <c r="G213" s="11">
        <f>IF(Inputs!$D$27=0,0,IF($B213&lt;=Inputs!$C$27,0,IF($B213&gt;=INDEX(LE_Curves!$G$5:$G$205,201),INDEX(LE_Curves!$B$5:$B$205,201),INDEX(LE_Curves!$B$5:$B$205,MATCH($B213,LE_Curves!$G$5:$G$205,1))+($B213-INDEX(LE_Curves!$G$5:$G$205,MATCH($B213,LE_Curves!$G$5:$G$205,1)))*(INDEX(LE_Curves!$B$5:$B$205,MATCH($B213,LE_Curves!$G$5:$G$205,1)+1)-INDEX(LE_Curves!$B$5:$B$205,MATCH($B213,LE_Curves!$G$5:$G$205,1)))/(INDEX(LE_Curves!$G$5:$G$205,MATCH($B213,LE_Curves!$G$5:$G$205,1)+1)-INDEX(LE_Curves!$G$5:$G$205,MATCH($B213,LE_Curves!$G$5:$G$205,1))))))</f>
        <v/>
      </c>
      <c r="H213" s="11">
        <f>IF(Inputs!$D$28=0,0,IF($B213&lt;=Inputs!$C$28,0,IF($B213&gt;=INDEX(LE_Curves!$H$5:$H$205,201),INDEX(LE_Curves!$B$5:$B$205,201),INDEX(LE_Curves!$B$5:$B$205,MATCH($B213,LE_Curves!$H$5:$H$205,1))+($B213-INDEX(LE_Curves!$H$5:$H$205,MATCH($B213,LE_Curves!$H$5:$H$205,1)))*(INDEX(LE_Curves!$B$5:$B$205,MATCH($B213,LE_Curves!$H$5:$H$205,1)+1)-INDEX(LE_Curves!$B$5:$B$205,MATCH($B213,LE_Curves!$H$5:$H$205,1)))/(INDEX(LE_Curves!$H$5:$H$205,MATCH($B213,LE_Curves!$H$5:$H$205,1)+1)-INDEX(LE_Curves!$H$5:$H$205,MATCH($B213,LE_Curves!$H$5:$H$205,1))))))</f>
        <v/>
      </c>
      <c r="I213" s="11">
        <f>IF(Inputs!$D$29=0,0,IF($B213&lt;=Inputs!$C$29,0,IF($B213&gt;=INDEX(LE_Curves!$I$5:$I$205,201),INDEX(LE_Curves!$B$5:$B$205,201),INDEX(LE_Curves!$B$5:$B$205,MATCH($B213,LE_Curves!$I$5:$I$205,1))+($B213-INDEX(LE_Curves!$I$5:$I$205,MATCH($B213,LE_Curves!$I$5:$I$205,1)))*(INDEX(LE_Curves!$B$5:$B$205,MATCH($B213,LE_Curves!$I$5:$I$205,1)+1)-INDEX(LE_Curves!$B$5:$B$205,MATCH($B213,LE_Curves!$I$5:$I$205,1)))/(INDEX(LE_Curves!$I$5:$I$205,MATCH($B213,LE_Curves!$I$5:$I$205,1)+1)-INDEX(LE_Curves!$I$5:$I$205,MATCH($B213,LE_Curves!$I$5:$I$205,1))))))</f>
        <v/>
      </c>
      <c r="J213" s="11">
        <f>IF(Inputs!$D$30=0,0,IF($B213&lt;=Inputs!$C$30,0,IF($B213&gt;=INDEX(LE_Curves!$J$5:$J$205,201),INDEX(LE_Curves!$B$5:$B$205,201),INDEX(LE_Curves!$B$5:$B$205,MATCH($B213,LE_Curves!$J$5:$J$205,1))+($B213-INDEX(LE_Curves!$J$5:$J$205,MATCH($B213,LE_Curves!$J$5:$J$205,1)))*(INDEX(LE_Curves!$B$5:$B$205,MATCH($B213,LE_Curves!$J$5:$J$205,1)+1)-INDEX(LE_Curves!$B$5:$B$205,MATCH($B213,LE_Curves!$J$5:$J$205,1)))/(INDEX(LE_Curves!$J$5:$J$205,MATCH($B213,LE_Curves!$J$5:$J$205,1)+1)-INDEX(LE_Curves!$J$5:$J$205,MATCH($B213,LE_Curves!$J$5:$J$205,1))))))</f>
        <v/>
      </c>
      <c r="K213" s="11">
        <f>IF(Inputs!$D$31=0,0,IF($B213&lt;=Inputs!$C$31,0,IF($B213&gt;=INDEX(LE_Curves!$K$5:$K$205,201),INDEX(LE_Curves!$B$5:$B$205,201),INDEX(LE_Curves!$B$5:$B$205,MATCH($B213,LE_Curves!$K$5:$K$205,1))+($B213-INDEX(LE_Curves!$K$5:$K$205,MATCH($B213,LE_Curves!$K$5:$K$205,1)))*(INDEX(LE_Curves!$B$5:$B$205,MATCH($B213,LE_Curves!$K$5:$K$205,1)+1)-INDEX(LE_Curves!$B$5:$B$205,MATCH($B213,LE_Curves!$K$5:$K$205,1)))/(INDEX(LE_Curves!$K$5:$K$205,MATCH($B213,LE_Curves!$K$5:$K$205,1)+1)-INDEX(LE_Curves!$K$5:$K$205,MATCH($B213,LE_Curves!$K$5:$K$205,1))))))</f>
        <v/>
      </c>
      <c r="L213" s="11">
        <f>IF(Inputs!$D$32=0,0,IF($B213&lt;=Inputs!$C$32,0,IF($B213&gt;=INDEX(LE_Curves!$L$5:$L$205,201),INDEX(LE_Curves!$B$5:$B$205,201),INDEX(LE_Curves!$B$5:$B$205,MATCH($B213,LE_Curves!$L$5:$L$205,1))+($B213-INDEX(LE_Curves!$L$5:$L$205,MATCH($B213,LE_Curves!$L$5:$L$205,1)))*(INDEX(LE_Curves!$B$5:$B$205,MATCH($B213,LE_Curves!$L$5:$L$205,1)+1)-INDEX(LE_Curves!$B$5:$B$205,MATCH($B213,LE_Curves!$L$5:$L$205,1)))/(INDEX(LE_Curves!$L$5:$L$205,MATCH($B213,LE_Curves!$L$5:$L$205,1)+1)-INDEX(LE_Curves!$L$5:$L$205,MATCH($B213,LE_Curves!$L$5:$L$205,1))))))</f>
        <v/>
      </c>
      <c r="M213" s="11">
        <f>IF(Inputs!$D$33=0,0,IF($B213&lt;=Inputs!$C$33,0,IF($B213&gt;=INDEX(LE_Curves!$M$5:$M$205,201),INDEX(LE_Curves!$B$5:$B$205,201),INDEX(LE_Curves!$B$5:$B$205,MATCH($B213,LE_Curves!$M$5:$M$205,1))+($B213-INDEX(LE_Curves!$M$5:$M$205,MATCH($B213,LE_Curves!$M$5:$M$205,1)))*(INDEX(LE_Curves!$B$5:$B$205,MATCH($B213,LE_Curves!$M$5:$M$205,1)+1)-INDEX(LE_Curves!$B$5:$B$205,MATCH($B213,LE_Curves!$M$5:$M$205,1)))/(INDEX(LE_Curves!$M$5:$M$205,MATCH($B213,LE_Curves!$M$5:$M$205,1)+1)-INDEX(LE_Curves!$M$5:$M$205,MATCH($B213,LE_Curves!$M$5:$M$205,1))))))</f>
        <v/>
      </c>
      <c r="N213" s="11">
        <f>IF(Inputs!$D$34=0,0,IF($B213&lt;=Inputs!$C$34,0,IF($B213&gt;=INDEX(LE_Curves!$N$5:$N$205,201),INDEX(LE_Curves!$B$5:$B$205,201),INDEX(LE_Curves!$B$5:$B$205,MATCH($B213,LE_Curves!$N$5:$N$205,1))+($B213-INDEX(LE_Curves!$N$5:$N$205,MATCH($B213,LE_Curves!$N$5:$N$205,1)))*(INDEX(LE_Curves!$B$5:$B$205,MATCH($B213,LE_Curves!$N$5:$N$205,1)+1)-INDEX(LE_Curves!$B$5:$B$205,MATCH($B213,LE_Curves!$N$5:$N$205,1)))/(INDEX(LE_Curves!$N$5:$N$205,MATCH($B213,LE_Curves!$N$5:$N$205,1)+1)-INDEX(LE_Curves!$N$5:$N$205,MATCH($B213,LE_Curves!$N$5:$N$205,1))))))</f>
        <v/>
      </c>
      <c r="O213" s="11">
        <f>SUM(C213:N213)</f>
        <v/>
      </c>
      <c r="Q213" s="7" t="n">
        <v>182</v>
      </c>
      <c r="R213" s="23">
        <f>$B$6+($B$7-$B$6)*Q213/200</f>
        <v/>
      </c>
      <c r="S213" s="11">
        <f>IF(Inputs!$D$23=0,0,IF($R213&lt;=Inputs!$C$23,0,IF($R213&gt;=INDEX(LE_Curves!$C$5:$C$205,201),INDEX(LE_Curves!$B$5:$B$205,201),INDEX(LE_Curves!$B$5:$B$205,MATCH($R213,LE_Curves!$C$5:$C$205,1))+($R213-INDEX(LE_Curves!$C$5:$C$205,MATCH($R213,LE_Curves!$C$5:$C$205,1)))*(INDEX(LE_Curves!$B$5:$B$205,MATCH($R213,LE_Curves!$C$5:$C$205,1)+1)-INDEX(LE_Curves!$B$5:$B$205,MATCH($R213,LE_Curves!$C$5:$C$205,1)))/(INDEX(LE_Curves!$C$5:$C$205,MATCH($R213,LE_Curves!$C$5:$C$205,1)+1)-INDEX(LE_Curves!$C$5:$C$205,MATCH($R213,LE_Curves!$C$5:$C$205,1))))))</f>
        <v/>
      </c>
      <c r="T213" s="11">
        <f>IF(Inputs!$D$24=0,0,IF($R213&lt;=Inputs!$C$24,0,IF($R213&gt;=INDEX(LE_Curves!$D$5:$D$205,201),INDEX(LE_Curves!$B$5:$B$205,201),INDEX(LE_Curves!$B$5:$B$205,MATCH($R213,LE_Curves!$D$5:$D$205,1))+($R213-INDEX(LE_Curves!$D$5:$D$205,MATCH($R213,LE_Curves!$D$5:$D$205,1)))*(INDEX(LE_Curves!$B$5:$B$205,MATCH($R213,LE_Curves!$D$5:$D$205,1)+1)-INDEX(LE_Curves!$B$5:$B$205,MATCH($R213,LE_Curves!$D$5:$D$205,1)))/(INDEX(LE_Curves!$D$5:$D$205,MATCH($R213,LE_Curves!$D$5:$D$205,1)+1)-INDEX(LE_Curves!$D$5:$D$205,MATCH($R213,LE_Curves!$D$5:$D$205,1))))))</f>
        <v/>
      </c>
      <c r="U213" s="11">
        <f>IF(Inputs!$D$25=0,0,IF($R213&lt;=Inputs!$C$25,0,IF($R213&gt;=INDEX(LE_Curves!$E$5:$E$205,201),INDEX(LE_Curves!$B$5:$B$205,201),INDEX(LE_Curves!$B$5:$B$205,MATCH($R213,LE_Curves!$E$5:$E$205,1))+($R213-INDEX(LE_Curves!$E$5:$E$205,MATCH($R213,LE_Curves!$E$5:$E$205,1)))*(INDEX(LE_Curves!$B$5:$B$205,MATCH($R213,LE_Curves!$E$5:$E$205,1)+1)-INDEX(LE_Curves!$B$5:$B$205,MATCH($R213,LE_Curves!$E$5:$E$205,1)))/(INDEX(LE_Curves!$E$5:$E$205,MATCH($R213,LE_Curves!$E$5:$E$205,1)+1)-INDEX(LE_Curves!$E$5:$E$205,MATCH($R213,LE_Curves!$E$5:$E$205,1))))))</f>
        <v/>
      </c>
      <c r="V213" s="11">
        <f>IF(Inputs!$D$26=0,0,IF($R213&lt;=Inputs!$C$26,0,IF($R213&gt;=INDEX(LE_Curves!$F$5:$F$205,201),INDEX(LE_Curves!$B$5:$B$205,201),INDEX(LE_Curves!$B$5:$B$205,MATCH($R213,LE_Curves!$F$5:$F$205,1))+($R213-INDEX(LE_Curves!$F$5:$F$205,MATCH($R213,LE_Curves!$F$5:$F$205,1)))*(INDEX(LE_Curves!$B$5:$B$205,MATCH($R213,LE_Curves!$F$5:$F$205,1)+1)-INDEX(LE_Curves!$B$5:$B$205,MATCH($R213,LE_Curves!$F$5:$F$205,1)))/(INDEX(LE_Curves!$F$5:$F$205,MATCH($R213,LE_Curves!$F$5:$F$205,1)+1)-INDEX(LE_Curves!$F$5:$F$205,MATCH($R213,LE_Curves!$F$5:$F$205,1))))))</f>
        <v/>
      </c>
      <c r="W213" s="11">
        <f>IF(Inputs!$D$27=0,0,IF($R213&lt;=Inputs!$C$27,0,IF($R213&gt;=INDEX(LE_Curves!$G$5:$G$205,201),INDEX(LE_Curves!$B$5:$B$205,201),INDEX(LE_Curves!$B$5:$B$205,MATCH($R213,LE_Curves!$G$5:$G$205,1))+($R213-INDEX(LE_Curves!$G$5:$G$205,MATCH($R213,LE_Curves!$G$5:$G$205,1)))*(INDEX(LE_Curves!$B$5:$B$205,MATCH($R213,LE_Curves!$G$5:$G$205,1)+1)-INDEX(LE_Curves!$B$5:$B$205,MATCH($R213,LE_Curves!$G$5:$G$205,1)))/(INDEX(LE_Curves!$G$5:$G$205,MATCH($R213,LE_Curves!$G$5:$G$205,1)+1)-INDEX(LE_Curves!$G$5:$G$205,MATCH($R213,LE_Curves!$G$5:$G$205,1))))))</f>
        <v/>
      </c>
      <c r="X213" s="11">
        <f>IF(Inputs!$D$28=0,0,IF($R213&lt;=Inputs!$C$28,0,IF($R213&gt;=INDEX(LE_Curves!$H$5:$H$205,201),INDEX(LE_Curves!$B$5:$B$205,201),INDEX(LE_Curves!$B$5:$B$205,MATCH($R213,LE_Curves!$H$5:$H$205,1))+($R213-INDEX(LE_Curves!$H$5:$H$205,MATCH($R213,LE_Curves!$H$5:$H$205,1)))*(INDEX(LE_Curves!$B$5:$B$205,MATCH($R213,LE_Curves!$H$5:$H$205,1)+1)-INDEX(LE_Curves!$B$5:$B$205,MATCH($R213,LE_Curves!$H$5:$H$205,1)))/(INDEX(LE_Curves!$H$5:$H$205,MATCH($R213,LE_Curves!$H$5:$H$205,1)+1)-INDEX(LE_Curves!$H$5:$H$205,MATCH($R213,LE_Curves!$H$5:$H$205,1))))))</f>
        <v/>
      </c>
      <c r="Y213" s="11">
        <f>IF(Inputs!$D$29=0,0,IF($R213&lt;=Inputs!$C$29,0,IF($R213&gt;=INDEX(LE_Curves!$I$5:$I$205,201),INDEX(LE_Curves!$B$5:$B$205,201),INDEX(LE_Curves!$B$5:$B$205,MATCH($R213,LE_Curves!$I$5:$I$205,1))+($R213-INDEX(LE_Curves!$I$5:$I$205,MATCH($R213,LE_Curves!$I$5:$I$205,1)))*(INDEX(LE_Curves!$B$5:$B$205,MATCH($R213,LE_Curves!$I$5:$I$205,1)+1)-INDEX(LE_Curves!$B$5:$B$205,MATCH($R213,LE_Curves!$I$5:$I$205,1)))/(INDEX(LE_Curves!$I$5:$I$205,MATCH($R213,LE_Curves!$I$5:$I$205,1)+1)-INDEX(LE_Curves!$I$5:$I$205,MATCH($R213,LE_Curves!$I$5:$I$205,1))))))</f>
        <v/>
      </c>
      <c r="Z213" s="11">
        <f>IF(Inputs!$D$30=0,0,IF($R213&lt;=Inputs!$C$30,0,IF($R213&gt;=INDEX(LE_Curves!$J$5:$J$205,201),INDEX(LE_Curves!$B$5:$B$205,201),INDEX(LE_Curves!$B$5:$B$205,MATCH($R213,LE_Curves!$J$5:$J$205,1))+($R213-INDEX(LE_Curves!$J$5:$J$205,MATCH($R213,LE_Curves!$J$5:$J$205,1)))*(INDEX(LE_Curves!$B$5:$B$205,MATCH($R213,LE_Curves!$J$5:$J$205,1)+1)-INDEX(LE_Curves!$B$5:$B$205,MATCH($R213,LE_Curves!$J$5:$J$205,1)))/(INDEX(LE_Curves!$J$5:$J$205,MATCH($R213,LE_Curves!$J$5:$J$205,1)+1)-INDEX(LE_Curves!$J$5:$J$205,MATCH($R213,LE_Curves!$J$5:$J$205,1))))))</f>
        <v/>
      </c>
      <c r="AA213" s="11">
        <f>IF(Inputs!$D$31=0,0,IF($R213&lt;=Inputs!$C$31,0,IF($R213&gt;=INDEX(LE_Curves!$K$5:$K$205,201),INDEX(LE_Curves!$B$5:$B$205,201),INDEX(LE_Curves!$B$5:$B$205,MATCH($R213,LE_Curves!$K$5:$K$205,1))+($R213-INDEX(LE_Curves!$K$5:$K$205,MATCH($R213,LE_Curves!$K$5:$K$205,1)))*(INDEX(LE_Curves!$B$5:$B$205,MATCH($R213,LE_Curves!$K$5:$K$205,1)+1)-INDEX(LE_Curves!$B$5:$B$205,MATCH($R213,LE_Curves!$K$5:$K$205,1)))/(INDEX(LE_Curves!$K$5:$K$205,MATCH($R213,LE_Curves!$K$5:$K$205,1)+1)-INDEX(LE_Curves!$K$5:$K$205,MATCH($R213,LE_Curves!$K$5:$K$205,1))))))</f>
        <v/>
      </c>
      <c r="AB213" s="11">
        <f>IF(Inputs!$D$32=0,0,IF($R213&lt;=Inputs!$C$32,0,IF($R213&gt;=INDEX(LE_Curves!$L$5:$L$205,201),INDEX(LE_Curves!$B$5:$B$205,201),INDEX(LE_Curves!$B$5:$B$205,MATCH($R213,LE_Curves!$L$5:$L$205,1))+($R213-INDEX(LE_Curves!$L$5:$L$205,MATCH($R213,LE_Curves!$L$5:$L$205,1)))*(INDEX(LE_Curves!$B$5:$B$205,MATCH($R213,LE_Curves!$L$5:$L$205,1)+1)-INDEX(LE_Curves!$B$5:$B$205,MATCH($R213,LE_Curves!$L$5:$L$205,1)))/(INDEX(LE_Curves!$L$5:$L$205,MATCH($R213,LE_Curves!$L$5:$L$205,1)+1)-INDEX(LE_Curves!$L$5:$L$205,MATCH($R213,LE_Curves!$L$5:$L$205,1))))))</f>
        <v/>
      </c>
      <c r="AC213" s="11">
        <f>IF(Inputs!$D$33=0,0,IF($R213&lt;=Inputs!$C$33,0,IF($R213&gt;=INDEX(LE_Curves!$M$5:$M$205,201),INDEX(LE_Curves!$B$5:$B$205,201),INDEX(LE_Curves!$B$5:$B$205,MATCH($R213,LE_Curves!$M$5:$M$205,1))+($R213-INDEX(LE_Curves!$M$5:$M$205,MATCH($R213,LE_Curves!$M$5:$M$205,1)))*(INDEX(LE_Curves!$B$5:$B$205,MATCH($R213,LE_Curves!$M$5:$M$205,1)+1)-INDEX(LE_Curves!$B$5:$B$205,MATCH($R213,LE_Curves!$M$5:$M$205,1)))/(INDEX(LE_Curves!$M$5:$M$205,MATCH($R213,LE_Curves!$M$5:$M$205,1)+1)-INDEX(LE_Curves!$M$5:$M$205,MATCH($R213,LE_Curves!$M$5:$M$205,1))))))</f>
        <v/>
      </c>
      <c r="AD213" s="11">
        <f>IF(Inputs!$D$34=0,0,IF($R213&lt;=Inputs!$C$34,0,IF($R213&gt;=INDEX(LE_Curves!$N$5:$N$205,201),INDEX(LE_Curves!$B$5:$B$205,201),INDEX(LE_Curves!$B$5:$B$205,MATCH($R213,LE_Curves!$N$5:$N$205,1))+($R213-INDEX(LE_Curves!$N$5:$N$205,MATCH($R213,LE_Curves!$N$5:$N$205,1)))*(INDEX(LE_Curves!$B$5:$B$205,MATCH($R213,LE_Curves!$N$5:$N$205,1)+1)-INDEX(LE_Curves!$B$5:$B$205,MATCH($R213,LE_Curves!$N$5:$N$205,1)))/(INDEX(LE_Curves!$N$5:$N$205,MATCH($R213,LE_Curves!$N$5:$N$205,1)+1)-INDEX(LE_Curves!$N$5:$N$205,MATCH($R213,LE_Curves!$N$5:$N$205,1))))))</f>
        <v/>
      </c>
      <c r="AE213" s="37">
        <f>SUM(S213:AD213)</f>
        <v/>
      </c>
    </row>
    <row r="214">
      <c r="A214" s="7" t="n">
        <v>183</v>
      </c>
      <c r="B214" s="37">
        <f>$B$3+($B$4-$B$3)*A214/200</f>
        <v/>
      </c>
      <c r="C214" s="11">
        <f>IF(Inputs!$D$23=0,0,IF($B214&lt;=Inputs!$C$23,0,IF($B214&gt;=INDEX(LE_Curves!$C$5:$C$205,201),INDEX(LE_Curves!$B$5:$B$205,201),INDEX(LE_Curves!$B$5:$B$205,MATCH($B214,LE_Curves!$C$5:$C$205,1))+($B214-INDEX(LE_Curves!$C$5:$C$205,MATCH($B214,LE_Curves!$C$5:$C$205,1)))*(INDEX(LE_Curves!$B$5:$B$205,MATCH($B214,LE_Curves!$C$5:$C$205,1)+1)-INDEX(LE_Curves!$B$5:$B$205,MATCH($B214,LE_Curves!$C$5:$C$205,1)))/(INDEX(LE_Curves!$C$5:$C$205,MATCH($B214,LE_Curves!$C$5:$C$205,1)+1)-INDEX(LE_Curves!$C$5:$C$205,MATCH($B214,LE_Curves!$C$5:$C$205,1))))))</f>
        <v/>
      </c>
      <c r="D214" s="11">
        <f>IF(Inputs!$D$24=0,0,IF($B214&lt;=Inputs!$C$24,0,IF($B214&gt;=INDEX(LE_Curves!$D$5:$D$205,201),INDEX(LE_Curves!$B$5:$B$205,201),INDEX(LE_Curves!$B$5:$B$205,MATCH($B214,LE_Curves!$D$5:$D$205,1))+($B214-INDEX(LE_Curves!$D$5:$D$205,MATCH($B214,LE_Curves!$D$5:$D$205,1)))*(INDEX(LE_Curves!$B$5:$B$205,MATCH($B214,LE_Curves!$D$5:$D$205,1)+1)-INDEX(LE_Curves!$B$5:$B$205,MATCH($B214,LE_Curves!$D$5:$D$205,1)))/(INDEX(LE_Curves!$D$5:$D$205,MATCH($B214,LE_Curves!$D$5:$D$205,1)+1)-INDEX(LE_Curves!$D$5:$D$205,MATCH($B214,LE_Curves!$D$5:$D$205,1))))))</f>
        <v/>
      </c>
      <c r="E214" s="11">
        <f>IF(Inputs!$D$25=0,0,IF($B214&lt;=Inputs!$C$25,0,IF($B214&gt;=INDEX(LE_Curves!$E$5:$E$205,201),INDEX(LE_Curves!$B$5:$B$205,201),INDEX(LE_Curves!$B$5:$B$205,MATCH($B214,LE_Curves!$E$5:$E$205,1))+($B214-INDEX(LE_Curves!$E$5:$E$205,MATCH($B214,LE_Curves!$E$5:$E$205,1)))*(INDEX(LE_Curves!$B$5:$B$205,MATCH($B214,LE_Curves!$E$5:$E$205,1)+1)-INDEX(LE_Curves!$B$5:$B$205,MATCH($B214,LE_Curves!$E$5:$E$205,1)))/(INDEX(LE_Curves!$E$5:$E$205,MATCH($B214,LE_Curves!$E$5:$E$205,1)+1)-INDEX(LE_Curves!$E$5:$E$205,MATCH($B214,LE_Curves!$E$5:$E$205,1))))))</f>
        <v/>
      </c>
      <c r="F214" s="11">
        <f>IF(Inputs!$D$26=0,0,IF($B214&lt;=Inputs!$C$26,0,IF($B214&gt;=INDEX(LE_Curves!$F$5:$F$205,201),INDEX(LE_Curves!$B$5:$B$205,201),INDEX(LE_Curves!$B$5:$B$205,MATCH($B214,LE_Curves!$F$5:$F$205,1))+($B214-INDEX(LE_Curves!$F$5:$F$205,MATCH($B214,LE_Curves!$F$5:$F$205,1)))*(INDEX(LE_Curves!$B$5:$B$205,MATCH($B214,LE_Curves!$F$5:$F$205,1)+1)-INDEX(LE_Curves!$B$5:$B$205,MATCH($B214,LE_Curves!$F$5:$F$205,1)))/(INDEX(LE_Curves!$F$5:$F$205,MATCH($B214,LE_Curves!$F$5:$F$205,1)+1)-INDEX(LE_Curves!$F$5:$F$205,MATCH($B214,LE_Curves!$F$5:$F$205,1))))))</f>
        <v/>
      </c>
      <c r="G214" s="11">
        <f>IF(Inputs!$D$27=0,0,IF($B214&lt;=Inputs!$C$27,0,IF($B214&gt;=INDEX(LE_Curves!$G$5:$G$205,201),INDEX(LE_Curves!$B$5:$B$205,201),INDEX(LE_Curves!$B$5:$B$205,MATCH($B214,LE_Curves!$G$5:$G$205,1))+($B214-INDEX(LE_Curves!$G$5:$G$205,MATCH($B214,LE_Curves!$G$5:$G$205,1)))*(INDEX(LE_Curves!$B$5:$B$205,MATCH($B214,LE_Curves!$G$5:$G$205,1)+1)-INDEX(LE_Curves!$B$5:$B$205,MATCH($B214,LE_Curves!$G$5:$G$205,1)))/(INDEX(LE_Curves!$G$5:$G$205,MATCH($B214,LE_Curves!$G$5:$G$205,1)+1)-INDEX(LE_Curves!$G$5:$G$205,MATCH($B214,LE_Curves!$G$5:$G$205,1))))))</f>
        <v/>
      </c>
      <c r="H214" s="11">
        <f>IF(Inputs!$D$28=0,0,IF($B214&lt;=Inputs!$C$28,0,IF($B214&gt;=INDEX(LE_Curves!$H$5:$H$205,201),INDEX(LE_Curves!$B$5:$B$205,201),INDEX(LE_Curves!$B$5:$B$205,MATCH($B214,LE_Curves!$H$5:$H$205,1))+($B214-INDEX(LE_Curves!$H$5:$H$205,MATCH($B214,LE_Curves!$H$5:$H$205,1)))*(INDEX(LE_Curves!$B$5:$B$205,MATCH($B214,LE_Curves!$H$5:$H$205,1)+1)-INDEX(LE_Curves!$B$5:$B$205,MATCH($B214,LE_Curves!$H$5:$H$205,1)))/(INDEX(LE_Curves!$H$5:$H$205,MATCH($B214,LE_Curves!$H$5:$H$205,1)+1)-INDEX(LE_Curves!$H$5:$H$205,MATCH($B214,LE_Curves!$H$5:$H$205,1))))))</f>
        <v/>
      </c>
      <c r="I214" s="11">
        <f>IF(Inputs!$D$29=0,0,IF($B214&lt;=Inputs!$C$29,0,IF($B214&gt;=INDEX(LE_Curves!$I$5:$I$205,201),INDEX(LE_Curves!$B$5:$B$205,201),INDEX(LE_Curves!$B$5:$B$205,MATCH($B214,LE_Curves!$I$5:$I$205,1))+($B214-INDEX(LE_Curves!$I$5:$I$205,MATCH($B214,LE_Curves!$I$5:$I$205,1)))*(INDEX(LE_Curves!$B$5:$B$205,MATCH($B214,LE_Curves!$I$5:$I$205,1)+1)-INDEX(LE_Curves!$B$5:$B$205,MATCH($B214,LE_Curves!$I$5:$I$205,1)))/(INDEX(LE_Curves!$I$5:$I$205,MATCH($B214,LE_Curves!$I$5:$I$205,1)+1)-INDEX(LE_Curves!$I$5:$I$205,MATCH($B214,LE_Curves!$I$5:$I$205,1))))))</f>
        <v/>
      </c>
      <c r="J214" s="11">
        <f>IF(Inputs!$D$30=0,0,IF($B214&lt;=Inputs!$C$30,0,IF($B214&gt;=INDEX(LE_Curves!$J$5:$J$205,201),INDEX(LE_Curves!$B$5:$B$205,201),INDEX(LE_Curves!$B$5:$B$205,MATCH($B214,LE_Curves!$J$5:$J$205,1))+($B214-INDEX(LE_Curves!$J$5:$J$205,MATCH($B214,LE_Curves!$J$5:$J$205,1)))*(INDEX(LE_Curves!$B$5:$B$205,MATCH($B214,LE_Curves!$J$5:$J$205,1)+1)-INDEX(LE_Curves!$B$5:$B$205,MATCH($B214,LE_Curves!$J$5:$J$205,1)))/(INDEX(LE_Curves!$J$5:$J$205,MATCH($B214,LE_Curves!$J$5:$J$205,1)+1)-INDEX(LE_Curves!$J$5:$J$205,MATCH($B214,LE_Curves!$J$5:$J$205,1))))))</f>
        <v/>
      </c>
      <c r="K214" s="11">
        <f>IF(Inputs!$D$31=0,0,IF($B214&lt;=Inputs!$C$31,0,IF($B214&gt;=INDEX(LE_Curves!$K$5:$K$205,201),INDEX(LE_Curves!$B$5:$B$205,201),INDEX(LE_Curves!$B$5:$B$205,MATCH($B214,LE_Curves!$K$5:$K$205,1))+($B214-INDEX(LE_Curves!$K$5:$K$205,MATCH($B214,LE_Curves!$K$5:$K$205,1)))*(INDEX(LE_Curves!$B$5:$B$205,MATCH($B214,LE_Curves!$K$5:$K$205,1)+1)-INDEX(LE_Curves!$B$5:$B$205,MATCH($B214,LE_Curves!$K$5:$K$205,1)))/(INDEX(LE_Curves!$K$5:$K$205,MATCH($B214,LE_Curves!$K$5:$K$205,1)+1)-INDEX(LE_Curves!$K$5:$K$205,MATCH($B214,LE_Curves!$K$5:$K$205,1))))))</f>
        <v/>
      </c>
      <c r="L214" s="11">
        <f>IF(Inputs!$D$32=0,0,IF($B214&lt;=Inputs!$C$32,0,IF($B214&gt;=INDEX(LE_Curves!$L$5:$L$205,201),INDEX(LE_Curves!$B$5:$B$205,201),INDEX(LE_Curves!$B$5:$B$205,MATCH($B214,LE_Curves!$L$5:$L$205,1))+($B214-INDEX(LE_Curves!$L$5:$L$205,MATCH($B214,LE_Curves!$L$5:$L$205,1)))*(INDEX(LE_Curves!$B$5:$B$205,MATCH($B214,LE_Curves!$L$5:$L$205,1)+1)-INDEX(LE_Curves!$B$5:$B$205,MATCH($B214,LE_Curves!$L$5:$L$205,1)))/(INDEX(LE_Curves!$L$5:$L$205,MATCH($B214,LE_Curves!$L$5:$L$205,1)+1)-INDEX(LE_Curves!$L$5:$L$205,MATCH($B214,LE_Curves!$L$5:$L$205,1))))))</f>
        <v/>
      </c>
      <c r="M214" s="11">
        <f>IF(Inputs!$D$33=0,0,IF($B214&lt;=Inputs!$C$33,0,IF($B214&gt;=INDEX(LE_Curves!$M$5:$M$205,201),INDEX(LE_Curves!$B$5:$B$205,201),INDEX(LE_Curves!$B$5:$B$205,MATCH($B214,LE_Curves!$M$5:$M$205,1))+($B214-INDEX(LE_Curves!$M$5:$M$205,MATCH($B214,LE_Curves!$M$5:$M$205,1)))*(INDEX(LE_Curves!$B$5:$B$205,MATCH($B214,LE_Curves!$M$5:$M$205,1)+1)-INDEX(LE_Curves!$B$5:$B$205,MATCH($B214,LE_Curves!$M$5:$M$205,1)))/(INDEX(LE_Curves!$M$5:$M$205,MATCH($B214,LE_Curves!$M$5:$M$205,1)+1)-INDEX(LE_Curves!$M$5:$M$205,MATCH($B214,LE_Curves!$M$5:$M$205,1))))))</f>
        <v/>
      </c>
      <c r="N214" s="11">
        <f>IF(Inputs!$D$34=0,0,IF($B214&lt;=Inputs!$C$34,0,IF($B214&gt;=INDEX(LE_Curves!$N$5:$N$205,201),INDEX(LE_Curves!$B$5:$B$205,201),INDEX(LE_Curves!$B$5:$B$205,MATCH($B214,LE_Curves!$N$5:$N$205,1))+($B214-INDEX(LE_Curves!$N$5:$N$205,MATCH($B214,LE_Curves!$N$5:$N$205,1)))*(INDEX(LE_Curves!$B$5:$B$205,MATCH($B214,LE_Curves!$N$5:$N$205,1)+1)-INDEX(LE_Curves!$B$5:$B$205,MATCH($B214,LE_Curves!$N$5:$N$205,1)))/(INDEX(LE_Curves!$N$5:$N$205,MATCH($B214,LE_Curves!$N$5:$N$205,1)+1)-INDEX(LE_Curves!$N$5:$N$205,MATCH($B214,LE_Curves!$N$5:$N$205,1))))))</f>
        <v/>
      </c>
      <c r="O214" s="11">
        <f>SUM(C214:N214)</f>
        <v/>
      </c>
      <c r="Q214" s="7" t="n">
        <v>183</v>
      </c>
      <c r="R214" s="23">
        <f>$B$6+($B$7-$B$6)*Q214/200</f>
        <v/>
      </c>
      <c r="S214" s="11">
        <f>IF(Inputs!$D$23=0,0,IF($R214&lt;=Inputs!$C$23,0,IF($R214&gt;=INDEX(LE_Curves!$C$5:$C$205,201),INDEX(LE_Curves!$B$5:$B$205,201),INDEX(LE_Curves!$B$5:$B$205,MATCH($R214,LE_Curves!$C$5:$C$205,1))+($R214-INDEX(LE_Curves!$C$5:$C$205,MATCH($R214,LE_Curves!$C$5:$C$205,1)))*(INDEX(LE_Curves!$B$5:$B$205,MATCH($R214,LE_Curves!$C$5:$C$205,1)+1)-INDEX(LE_Curves!$B$5:$B$205,MATCH($R214,LE_Curves!$C$5:$C$205,1)))/(INDEX(LE_Curves!$C$5:$C$205,MATCH($R214,LE_Curves!$C$5:$C$205,1)+1)-INDEX(LE_Curves!$C$5:$C$205,MATCH($R214,LE_Curves!$C$5:$C$205,1))))))</f>
        <v/>
      </c>
      <c r="T214" s="11">
        <f>IF(Inputs!$D$24=0,0,IF($R214&lt;=Inputs!$C$24,0,IF($R214&gt;=INDEX(LE_Curves!$D$5:$D$205,201),INDEX(LE_Curves!$B$5:$B$205,201),INDEX(LE_Curves!$B$5:$B$205,MATCH($R214,LE_Curves!$D$5:$D$205,1))+($R214-INDEX(LE_Curves!$D$5:$D$205,MATCH($R214,LE_Curves!$D$5:$D$205,1)))*(INDEX(LE_Curves!$B$5:$B$205,MATCH($R214,LE_Curves!$D$5:$D$205,1)+1)-INDEX(LE_Curves!$B$5:$B$205,MATCH($R214,LE_Curves!$D$5:$D$205,1)))/(INDEX(LE_Curves!$D$5:$D$205,MATCH($R214,LE_Curves!$D$5:$D$205,1)+1)-INDEX(LE_Curves!$D$5:$D$205,MATCH($R214,LE_Curves!$D$5:$D$205,1))))))</f>
        <v/>
      </c>
      <c r="U214" s="11">
        <f>IF(Inputs!$D$25=0,0,IF($R214&lt;=Inputs!$C$25,0,IF($R214&gt;=INDEX(LE_Curves!$E$5:$E$205,201),INDEX(LE_Curves!$B$5:$B$205,201),INDEX(LE_Curves!$B$5:$B$205,MATCH($R214,LE_Curves!$E$5:$E$205,1))+($R214-INDEX(LE_Curves!$E$5:$E$205,MATCH($R214,LE_Curves!$E$5:$E$205,1)))*(INDEX(LE_Curves!$B$5:$B$205,MATCH($R214,LE_Curves!$E$5:$E$205,1)+1)-INDEX(LE_Curves!$B$5:$B$205,MATCH($R214,LE_Curves!$E$5:$E$205,1)))/(INDEX(LE_Curves!$E$5:$E$205,MATCH($R214,LE_Curves!$E$5:$E$205,1)+1)-INDEX(LE_Curves!$E$5:$E$205,MATCH($R214,LE_Curves!$E$5:$E$205,1))))))</f>
        <v/>
      </c>
      <c r="V214" s="11">
        <f>IF(Inputs!$D$26=0,0,IF($R214&lt;=Inputs!$C$26,0,IF($R214&gt;=INDEX(LE_Curves!$F$5:$F$205,201),INDEX(LE_Curves!$B$5:$B$205,201),INDEX(LE_Curves!$B$5:$B$205,MATCH($R214,LE_Curves!$F$5:$F$205,1))+($R214-INDEX(LE_Curves!$F$5:$F$205,MATCH($R214,LE_Curves!$F$5:$F$205,1)))*(INDEX(LE_Curves!$B$5:$B$205,MATCH($R214,LE_Curves!$F$5:$F$205,1)+1)-INDEX(LE_Curves!$B$5:$B$205,MATCH($R214,LE_Curves!$F$5:$F$205,1)))/(INDEX(LE_Curves!$F$5:$F$205,MATCH($R214,LE_Curves!$F$5:$F$205,1)+1)-INDEX(LE_Curves!$F$5:$F$205,MATCH($R214,LE_Curves!$F$5:$F$205,1))))))</f>
        <v/>
      </c>
      <c r="W214" s="11">
        <f>IF(Inputs!$D$27=0,0,IF($R214&lt;=Inputs!$C$27,0,IF($R214&gt;=INDEX(LE_Curves!$G$5:$G$205,201),INDEX(LE_Curves!$B$5:$B$205,201),INDEX(LE_Curves!$B$5:$B$205,MATCH($R214,LE_Curves!$G$5:$G$205,1))+($R214-INDEX(LE_Curves!$G$5:$G$205,MATCH($R214,LE_Curves!$G$5:$G$205,1)))*(INDEX(LE_Curves!$B$5:$B$205,MATCH($R214,LE_Curves!$G$5:$G$205,1)+1)-INDEX(LE_Curves!$B$5:$B$205,MATCH($R214,LE_Curves!$G$5:$G$205,1)))/(INDEX(LE_Curves!$G$5:$G$205,MATCH($R214,LE_Curves!$G$5:$G$205,1)+1)-INDEX(LE_Curves!$G$5:$G$205,MATCH($R214,LE_Curves!$G$5:$G$205,1))))))</f>
        <v/>
      </c>
      <c r="X214" s="11">
        <f>IF(Inputs!$D$28=0,0,IF($R214&lt;=Inputs!$C$28,0,IF($R214&gt;=INDEX(LE_Curves!$H$5:$H$205,201),INDEX(LE_Curves!$B$5:$B$205,201),INDEX(LE_Curves!$B$5:$B$205,MATCH($R214,LE_Curves!$H$5:$H$205,1))+($R214-INDEX(LE_Curves!$H$5:$H$205,MATCH($R214,LE_Curves!$H$5:$H$205,1)))*(INDEX(LE_Curves!$B$5:$B$205,MATCH($R214,LE_Curves!$H$5:$H$205,1)+1)-INDEX(LE_Curves!$B$5:$B$205,MATCH($R214,LE_Curves!$H$5:$H$205,1)))/(INDEX(LE_Curves!$H$5:$H$205,MATCH($R214,LE_Curves!$H$5:$H$205,1)+1)-INDEX(LE_Curves!$H$5:$H$205,MATCH($R214,LE_Curves!$H$5:$H$205,1))))))</f>
        <v/>
      </c>
      <c r="Y214" s="11">
        <f>IF(Inputs!$D$29=0,0,IF($R214&lt;=Inputs!$C$29,0,IF($R214&gt;=INDEX(LE_Curves!$I$5:$I$205,201),INDEX(LE_Curves!$B$5:$B$205,201),INDEX(LE_Curves!$B$5:$B$205,MATCH($R214,LE_Curves!$I$5:$I$205,1))+($R214-INDEX(LE_Curves!$I$5:$I$205,MATCH($R214,LE_Curves!$I$5:$I$205,1)))*(INDEX(LE_Curves!$B$5:$B$205,MATCH($R214,LE_Curves!$I$5:$I$205,1)+1)-INDEX(LE_Curves!$B$5:$B$205,MATCH($R214,LE_Curves!$I$5:$I$205,1)))/(INDEX(LE_Curves!$I$5:$I$205,MATCH($R214,LE_Curves!$I$5:$I$205,1)+1)-INDEX(LE_Curves!$I$5:$I$205,MATCH($R214,LE_Curves!$I$5:$I$205,1))))))</f>
        <v/>
      </c>
      <c r="Z214" s="11">
        <f>IF(Inputs!$D$30=0,0,IF($R214&lt;=Inputs!$C$30,0,IF($R214&gt;=INDEX(LE_Curves!$J$5:$J$205,201),INDEX(LE_Curves!$B$5:$B$205,201),INDEX(LE_Curves!$B$5:$B$205,MATCH($R214,LE_Curves!$J$5:$J$205,1))+($R214-INDEX(LE_Curves!$J$5:$J$205,MATCH($R214,LE_Curves!$J$5:$J$205,1)))*(INDEX(LE_Curves!$B$5:$B$205,MATCH($R214,LE_Curves!$J$5:$J$205,1)+1)-INDEX(LE_Curves!$B$5:$B$205,MATCH($R214,LE_Curves!$J$5:$J$205,1)))/(INDEX(LE_Curves!$J$5:$J$205,MATCH($R214,LE_Curves!$J$5:$J$205,1)+1)-INDEX(LE_Curves!$J$5:$J$205,MATCH($R214,LE_Curves!$J$5:$J$205,1))))))</f>
        <v/>
      </c>
      <c r="AA214" s="11">
        <f>IF(Inputs!$D$31=0,0,IF($R214&lt;=Inputs!$C$31,0,IF($R214&gt;=INDEX(LE_Curves!$K$5:$K$205,201),INDEX(LE_Curves!$B$5:$B$205,201),INDEX(LE_Curves!$B$5:$B$205,MATCH($R214,LE_Curves!$K$5:$K$205,1))+($R214-INDEX(LE_Curves!$K$5:$K$205,MATCH($R214,LE_Curves!$K$5:$K$205,1)))*(INDEX(LE_Curves!$B$5:$B$205,MATCH($R214,LE_Curves!$K$5:$K$205,1)+1)-INDEX(LE_Curves!$B$5:$B$205,MATCH($R214,LE_Curves!$K$5:$K$205,1)))/(INDEX(LE_Curves!$K$5:$K$205,MATCH($R214,LE_Curves!$K$5:$K$205,1)+1)-INDEX(LE_Curves!$K$5:$K$205,MATCH($R214,LE_Curves!$K$5:$K$205,1))))))</f>
        <v/>
      </c>
      <c r="AB214" s="11">
        <f>IF(Inputs!$D$32=0,0,IF($R214&lt;=Inputs!$C$32,0,IF($R214&gt;=INDEX(LE_Curves!$L$5:$L$205,201),INDEX(LE_Curves!$B$5:$B$205,201),INDEX(LE_Curves!$B$5:$B$205,MATCH($R214,LE_Curves!$L$5:$L$205,1))+($R214-INDEX(LE_Curves!$L$5:$L$205,MATCH($R214,LE_Curves!$L$5:$L$205,1)))*(INDEX(LE_Curves!$B$5:$B$205,MATCH($R214,LE_Curves!$L$5:$L$205,1)+1)-INDEX(LE_Curves!$B$5:$B$205,MATCH($R214,LE_Curves!$L$5:$L$205,1)))/(INDEX(LE_Curves!$L$5:$L$205,MATCH($R214,LE_Curves!$L$5:$L$205,1)+1)-INDEX(LE_Curves!$L$5:$L$205,MATCH($R214,LE_Curves!$L$5:$L$205,1))))))</f>
        <v/>
      </c>
      <c r="AC214" s="11">
        <f>IF(Inputs!$D$33=0,0,IF($R214&lt;=Inputs!$C$33,0,IF($R214&gt;=INDEX(LE_Curves!$M$5:$M$205,201),INDEX(LE_Curves!$B$5:$B$205,201),INDEX(LE_Curves!$B$5:$B$205,MATCH($R214,LE_Curves!$M$5:$M$205,1))+($R214-INDEX(LE_Curves!$M$5:$M$205,MATCH($R214,LE_Curves!$M$5:$M$205,1)))*(INDEX(LE_Curves!$B$5:$B$205,MATCH($R214,LE_Curves!$M$5:$M$205,1)+1)-INDEX(LE_Curves!$B$5:$B$205,MATCH($R214,LE_Curves!$M$5:$M$205,1)))/(INDEX(LE_Curves!$M$5:$M$205,MATCH($R214,LE_Curves!$M$5:$M$205,1)+1)-INDEX(LE_Curves!$M$5:$M$205,MATCH($R214,LE_Curves!$M$5:$M$205,1))))))</f>
        <v/>
      </c>
      <c r="AD214" s="11">
        <f>IF(Inputs!$D$34=0,0,IF($R214&lt;=Inputs!$C$34,0,IF($R214&gt;=INDEX(LE_Curves!$N$5:$N$205,201),INDEX(LE_Curves!$B$5:$B$205,201),INDEX(LE_Curves!$B$5:$B$205,MATCH($R214,LE_Curves!$N$5:$N$205,1))+($R214-INDEX(LE_Curves!$N$5:$N$205,MATCH($R214,LE_Curves!$N$5:$N$205,1)))*(INDEX(LE_Curves!$B$5:$B$205,MATCH($R214,LE_Curves!$N$5:$N$205,1)+1)-INDEX(LE_Curves!$B$5:$B$205,MATCH($R214,LE_Curves!$N$5:$N$205,1)))/(INDEX(LE_Curves!$N$5:$N$205,MATCH($R214,LE_Curves!$N$5:$N$205,1)+1)-INDEX(LE_Curves!$N$5:$N$205,MATCH($R214,LE_Curves!$N$5:$N$205,1))))))</f>
        <v/>
      </c>
      <c r="AE214" s="37">
        <f>SUM(S214:AD214)</f>
        <v/>
      </c>
    </row>
    <row r="215">
      <c r="A215" s="7" t="n">
        <v>184</v>
      </c>
      <c r="B215" s="37">
        <f>$B$3+($B$4-$B$3)*A215/200</f>
        <v/>
      </c>
      <c r="C215" s="11">
        <f>IF(Inputs!$D$23=0,0,IF($B215&lt;=Inputs!$C$23,0,IF($B215&gt;=INDEX(LE_Curves!$C$5:$C$205,201),INDEX(LE_Curves!$B$5:$B$205,201),INDEX(LE_Curves!$B$5:$B$205,MATCH($B215,LE_Curves!$C$5:$C$205,1))+($B215-INDEX(LE_Curves!$C$5:$C$205,MATCH($B215,LE_Curves!$C$5:$C$205,1)))*(INDEX(LE_Curves!$B$5:$B$205,MATCH($B215,LE_Curves!$C$5:$C$205,1)+1)-INDEX(LE_Curves!$B$5:$B$205,MATCH($B215,LE_Curves!$C$5:$C$205,1)))/(INDEX(LE_Curves!$C$5:$C$205,MATCH($B215,LE_Curves!$C$5:$C$205,1)+1)-INDEX(LE_Curves!$C$5:$C$205,MATCH($B215,LE_Curves!$C$5:$C$205,1))))))</f>
        <v/>
      </c>
      <c r="D215" s="11">
        <f>IF(Inputs!$D$24=0,0,IF($B215&lt;=Inputs!$C$24,0,IF($B215&gt;=INDEX(LE_Curves!$D$5:$D$205,201),INDEX(LE_Curves!$B$5:$B$205,201),INDEX(LE_Curves!$B$5:$B$205,MATCH($B215,LE_Curves!$D$5:$D$205,1))+($B215-INDEX(LE_Curves!$D$5:$D$205,MATCH($B215,LE_Curves!$D$5:$D$205,1)))*(INDEX(LE_Curves!$B$5:$B$205,MATCH($B215,LE_Curves!$D$5:$D$205,1)+1)-INDEX(LE_Curves!$B$5:$B$205,MATCH($B215,LE_Curves!$D$5:$D$205,1)))/(INDEX(LE_Curves!$D$5:$D$205,MATCH($B215,LE_Curves!$D$5:$D$205,1)+1)-INDEX(LE_Curves!$D$5:$D$205,MATCH($B215,LE_Curves!$D$5:$D$205,1))))))</f>
        <v/>
      </c>
      <c r="E215" s="11">
        <f>IF(Inputs!$D$25=0,0,IF($B215&lt;=Inputs!$C$25,0,IF($B215&gt;=INDEX(LE_Curves!$E$5:$E$205,201),INDEX(LE_Curves!$B$5:$B$205,201),INDEX(LE_Curves!$B$5:$B$205,MATCH($B215,LE_Curves!$E$5:$E$205,1))+($B215-INDEX(LE_Curves!$E$5:$E$205,MATCH($B215,LE_Curves!$E$5:$E$205,1)))*(INDEX(LE_Curves!$B$5:$B$205,MATCH($B215,LE_Curves!$E$5:$E$205,1)+1)-INDEX(LE_Curves!$B$5:$B$205,MATCH($B215,LE_Curves!$E$5:$E$205,1)))/(INDEX(LE_Curves!$E$5:$E$205,MATCH($B215,LE_Curves!$E$5:$E$205,1)+1)-INDEX(LE_Curves!$E$5:$E$205,MATCH($B215,LE_Curves!$E$5:$E$205,1))))))</f>
        <v/>
      </c>
      <c r="F215" s="11">
        <f>IF(Inputs!$D$26=0,0,IF($B215&lt;=Inputs!$C$26,0,IF($B215&gt;=INDEX(LE_Curves!$F$5:$F$205,201),INDEX(LE_Curves!$B$5:$B$205,201),INDEX(LE_Curves!$B$5:$B$205,MATCH($B215,LE_Curves!$F$5:$F$205,1))+($B215-INDEX(LE_Curves!$F$5:$F$205,MATCH($B215,LE_Curves!$F$5:$F$205,1)))*(INDEX(LE_Curves!$B$5:$B$205,MATCH($B215,LE_Curves!$F$5:$F$205,1)+1)-INDEX(LE_Curves!$B$5:$B$205,MATCH($B215,LE_Curves!$F$5:$F$205,1)))/(INDEX(LE_Curves!$F$5:$F$205,MATCH($B215,LE_Curves!$F$5:$F$205,1)+1)-INDEX(LE_Curves!$F$5:$F$205,MATCH($B215,LE_Curves!$F$5:$F$205,1))))))</f>
        <v/>
      </c>
      <c r="G215" s="11">
        <f>IF(Inputs!$D$27=0,0,IF($B215&lt;=Inputs!$C$27,0,IF($B215&gt;=INDEX(LE_Curves!$G$5:$G$205,201),INDEX(LE_Curves!$B$5:$B$205,201),INDEX(LE_Curves!$B$5:$B$205,MATCH($B215,LE_Curves!$G$5:$G$205,1))+($B215-INDEX(LE_Curves!$G$5:$G$205,MATCH($B215,LE_Curves!$G$5:$G$205,1)))*(INDEX(LE_Curves!$B$5:$B$205,MATCH($B215,LE_Curves!$G$5:$G$205,1)+1)-INDEX(LE_Curves!$B$5:$B$205,MATCH($B215,LE_Curves!$G$5:$G$205,1)))/(INDEX(LE_Curves!$G$5:$G$205,MATCH($B215,LE_Curves!$G$5:$G$205,1)+1)-INDEX(LE_Curves!$G$5:$G$205,MATCH($B215,LE_Curves!$G$5:$G$205,1))))))</f>
        <v/>
      </c>
      <c r="H215" s="11">
        <f>IF(Inputs!$D$28=0,0,IF($B215&lt;=Inputs!$C$28,0,IF($B215&gt;=INDEX(LE_Curves!$H$5:$H$205,201),INDEX(LE_Curves!$B$5:$B$205,201),INDEX(LE_Curves!$B$5:$B$205,MATCH($B215,LE_Curves!$H$5:$H$205,1))+($B215-INDEX(LE_Curves!$H$5:$H$205,MATCH($B215,LE_Curves!$H$5:$H$205,1)))*(INDEX(LE_Curves!$B$5:$B$205,MATCH($B215,LE_Curves!$H$5:$H$205,1)+1)-INDEX(LE_Curves!$B$5:$B$205,MATCH($B215,LE_Curves!$H$5:$H$205,1)))/(INDEX(LE_Curves!$H$5:$H$205,MATCH($B215,LE_Curves!$H$5:$H$205,1)+1)-INDEX(LE_Curves!$H$5:$H$205,MATCH($B215,LE_Curves!$H$5:$H$205,1))))))</f>
        <v/>
      </c>
      <c r="I215" s="11">
        <f>IF(Inputs!$D$29=0,0,IF($B215&lt;=Inputs!$C$29,0,IF($B215&gt;=INDEX(LE_Curves!$I$5:$I$205,201),INDEX(LE_Curves!$B$5:$B$205,201),INDEX(LE_Curves!$B$5:$B$205,MATCH($B215,LE_Curves!$I$5:$I$205,1))+($B215-INDEX(LE_Curves!$I$5:$I$205,MATCH($B215,LE_Curves!$I$5:$I$205,1)))*(INDEX(LE_Curves!$B$5:$B$205,MATCH($B215,LE_Curves!$I$5:$I$205,1)+1)-INDEX(LE_Curves!$B$5:$B$205,MATCH($B215,LE_Curves!$I$5:$I$205,1)))/(INDEX(LE_Curves!$I$5:$I$205,MATCH($B215,LE_Curves!$I$5:$I$205,1)+1)-INDEX(LE_Curves!$I$5:$I$205,MATCH($B215,LE_Curves!$I$5:$I$205,1))))))</f>
        <v/>
      </c>
      <c r="J215" s="11">
        <f>IF(Inputs!$D$30=0,0,IF($B215&lt;=Inputs!$C$30,0,IF($B215&gt;=INDEX(LE_Curves!$J$5:$J$205,201),INDEX(LE_Curves!$B$5:$B$205,201),INDEX(LE_Curves!$B$5:$B$205,MATCH($B215,LE_Curves!$J$5:$J$205,1))+($B215-INDEX(LE_Curves!$J$5:$J$205,MATCH($B215,LE_Curves!$J$5:$J$205,1)))*(INDEX(LE_Curves!$B$5:$B$205,MATCH($B215,LE_Curves!$J$5:$J$205,1)+1)-INDEX(LE_Curves!$B$5:$B$205,MATCH($B215,LE_Curves!$J$5:$J$205,1)))/(INDEX(LE_Curves!$J$5:$J$205,MATCH($B215,LE_Curves!$J$5:$J$205,1)+1)-INDEX(LE_Curves!$J$5:$J$205,MATCH($B215,LE_Curves!$J$5:$J$205,1))))))</f>
        <v/>
      </c>
      <c r="K215" s="11">
        <f>IF(Inputs!$D$31=0,0,IF($B215&lt;=Inputs!$C$31,0,IF($B215&gt;=INDEX(LE_Curves!$K$5:$K$205,201),INDEX(LE_Curves!$B$5:$B$205,201),INDEX(LE_Curves!$B$5:$B$205,MATCH($B215,LE_Curves!$K$5:$K$205,1))+($B215-INDEX(LE_Curves!$K$5:$K$205,MATCH($B215,LE_Curves!$K$5:$K$205,1)))*(INDEX(LE_Curves!$B$5:$B$205,MATCH($B215,LE_Curves!$K$5:$K$205,1)+1)-INDEX(LE_Curves!$B$5:$B$205,MATCH($B215,LE_Curves!$K$5:$K$205,1)))/(INDEX(LE_Curves!$K$5:$K$205,MATCH($B215,LE_Curves!$K$5:$K$205,1)+1)-INDEX(LE_Curves!$K$5:$K$205,MATCH($B215,LE_Curves!$K$5:$K$205,1))))))</f>
        <v/>
      </c>
      <c r="L215" s="11">
        <f>IF(Inputs!$D$32=0,0,IF($B215&lt;=Inputs!$C$32,0,IF($B215&gt;=INDEX(LE_Curves!$L$5:$L$205,201),INDEX(LE_Curves!$B$5:$B$205,201),INDEX(LE_Curves!$B$5:$B$205,MATCH($B215,LE_Curves!$L$5:$L$205,1))+($B215-INDEX(LE_Curves!$L$5:$L$205,MATCH($B215,LE_Curves!$L$5:$L$205,1)))*(INDEX(LE_Curves!$B$5:$B$205,MATCH($B215,LE_Curves!$L$5:$L$205,1)+1)-INDEX(LE_Curves!$B$5:$B$205,MATCH($B215,LE_Curves!$L$5:$L$205,1)))/(INDEX(LE_Curves!$L$5:$L$205,MATCH($B215,LE_Curves!$L$5:$L$205,1)+1)-INDEX(LE_Curves!$L$5:$L$205,MATCH($B215,LE_Curves!$L$5:$L$205,1))))))</f>
        <v/>
      </c>
      <c r="M215" s="11">
        <f>IF(Inputs!$D$33=0,0,IF($B215&lt;=Inputs!$C$33,0,IF($B215&gt;=INDEX(LE_Curves!$M$5:$M$205,201),INDEX(LE_Curves!$B$5:$B$205,201),INDEX(LE_Curves!$B$5:$B$205,MATCH($B215,LE_Curves!$M$5:$M$205,1))+($B215-INDEX(LE_Curves!$M$5:$M$205,MATCH($B215,LE_Curves!$M$5:$M$205,1)))*(INDEX(LE_Curves!$B$5:$B$205,MATCH($B215,LE_Curves!$M$5:$M$205,1)+1)-INDEX(LE_Curves!$B$5:$B$205,MATCH($B215,LE_Curves!$M$5:$M$205,1)))/(INDEX(LE_Curves!$M$5:$M$205,MATCH($B215,LE_Curves!$M$5:$M$205,1)+1)-INDEX(LE_Curves!$M$5:$M$205,MATCH($B215,LE_Curves!$M$5:$M$205,1))))))</f>
        <v/>
      </c>
      <c r="N215" s="11">
        <f>IF(Inputs!$D$34=0,0,IF($B215&lt;=Inputs!$C$34,0,IF($B215&gt;=INDEX(LE_Curves!$N$5:$N$205,201),INDEX(LE_Curves!$B$5:$B$205,201),INDEX(LE_Curves!$B$5:$B$205,MATCH($B215,LE_Curves!$N$5:$N$205,1))+($B215-INDEX(LE_Curves!$N$5:$N$205,MATCH($B215,LE_Curves!$N$5:$N$205,1)))*(INDEX(LE_Curves!$B$5:$B$205,MATCH($B215,LE_Curves!$N$5:$N$205,1)+1)-INDEX(LE_Curves!$B$5:$B$205,MATCH($B215,LE_Curves!$N$5:$N$205,1)))/(INDEX(LE_Curves!$N$5:$N$205,MATCH($B215,LE_Curves!$N$5:$N$205,1)+1)-INDEX(LE_Curves!$N$5:$N$205,MATCH($B215,LE_Curves!$N$5:$N$205,1))))))</f>
        <v/>
      </c>
      <c r="O215" s="11">
        <f>SUM(C215:N215)</f>
        <v/>
      </c>
      <c r="Q215" s="7" t="n">
        <v>184</v>
      </c>
      <c r="R215" s="23">
        <f>$B$6+($B$7-$B$6)*Q215/200</f>
        <v/>
      </c>
      <c r="S215" s="11">
        <f>IF(Inputs!$D$23=0,0,IF($R215&lt;=Inputs!$C$23,0,IF($R215&gt;=INDEX(LE_Curves!$C$5:$C$205,201),INDEX(LE_Curves!$B$5:$B$205,201),INDEX(LE_Curves!$B$5:$B$205,MATCH($R215,LE_Curves!$C$5:$C$205,1))+($R215-INDEX(LE_Curves!$C$5:$C$205,MATCH($R215,LE_Curves!$C$5:$C$205,1)))*(INDEX(LE_Curves!$B$5:$B$205,MATCH($R215,LE_Curves!$C$5:$C$205,1)+1)-INDEX(LE_Curves!$B$5:$B$205,MATCH($R215,LE_Curves!$C$5:$C$205,1)))/(INDEX(LE_Curves!$C$5:$C$205,MATCH($R215,LE_Curves!$C$5:$C$205,1)+1)-INDEX(LE_Curves!$C$5:$C$205,MATCH($R215,LE_Curves!$C$5:$C$205,1))))))</f>
        <v/>
      </c>
      <c r="T215" s="11">
        <f>IF(Inputs!$D$24=0,0,IF($R215&lt;=Inputs!$C$24,0,IF($R215&gt;=INDEX(LE_Curves!$D$5:$D$205,201),INDEX(LE_Curves!$B$5:$B$205,201),INDEX(LE_Curves!$B$5:$B$205,MATCH($R215,LE_Curves!$D$5:$D$205,1))+($R215-INDEX(LE_Curves!$D$5:$D$205,MATCH($R215,LE_Curves!$D$5:$D$205,1)))*(INDEX(LE_Curves!$B$5:$B$205,MATCH($R215,LE_Curves!$D$5:$D$205,1)+1)-INDEX(LE_Curves!$B$5:$B$205,MATCH($R215,LE_Curves!$D$5:$D$205,1)))/(INDEX(LE_Curves!$D$5:$D$205,MATCH($R215,LE_Curves!$D$5:$D$205,1)+1)-INDEX(LE_Curves!$D$5:$D$205,MATCH($R215,LE_Curves!$D$5:$D$205,1))))))</f>
        <v/>
      </c>
      <c r="U215" s="11">
        <f>IF(Inputs!$D$25=0,0,IF($R215&lt;=Inputs!$C$25,0,IF($R215&gt;=INDEX(LE_Curves!$E$5:$E$205,201),INDEX(LE_Curves!$B$5:$B$205,201),INDEX(LE_Curves!$B$5:$B$205,MATCH($R215,LE_Curves!$E$5:$E$205,1))+($R215-INDEX(LE_Curves!$E$5:$E$205,MATCH($R215,LE_Curves!$E$5:$E$205,1)))*(INDEX(LE_Curves!$B$5:$B$205,MATCH($R215,LE_Curves!$E$5:$E$205,1)+1)-INDEX(LE_Curves!$B$5:$B$205,MATCH($R215,LE_Curves!$E$5:$E$205,1)))/(INDEX(LE_Curves!$E$5:$E$205,MATCH($R215,LE_Curves!$E$5:$E$205,1)+1)-INDEX(LE_Curves!$E$5:$E$205,MATCH($R215,LE_Curves!$E$5:$E$205,1))))))</f>
        <v/>
      </c>
      <c r="V215" s="11">
        <f>IF(Inputs!$D$26=0,0,IF($R215&lt;=Inputs!$C$26,0,IF($R215&gt;=INDEX(LE_Curves!$F$5:$F$205,201),INDEX(LE_Curves!$B$5:$B$205,201),INDEX(LE_Curves!$B$5:$B$205,MATCH($R215,LE_Curves!$F$5:$F$205,1))+($R215-INDEX(LE_Curves!$F$5:$F$205,MATCH($R215,LE_Curves!$F$5:$F$205,1)))*(INDEX(LE_Curves!$B$5:$B$205,MATCH($R215,LE_Curves!$F$5:$F$205,1)+1)-INDEX(LE_Curves!$B$5:$B$205,MATCH($R215,LE_Curves!$F$5:$F$205,1)))/(INDEX(LE_Curves!$F$5:$F$205,MATCH($R215,LE_Curves!$F$5:$F$205,1)+1)-INDEX(LE_Curves!$F$5:$F$205,MATCH($R215,LE_Curves!$F$5:$F$205,1))))))</f>
        <v/>
      </c>
      <c r="W215" s="11">
        <f>IF(Inputs!$D$27=0,0,IF($R215&lt;=Inputs!$C$27,0,IF($R215&gt;=INDEX(LE_Curves!$G$5:$G$205,201),INDEX(LE_Curves!$B$5:$B$205,201),INDEX(LE_Curves!$B$5:$B$205,MATCH($R215,LE_Curves!$G$5:$G$205,1))+($R215-INDEX(LE_Curves!$G$5:$G$205,MATCH($R215,LE_Curves!$G$5:$G$205,1)))*(INDEX(LE_Curves!$B$5:$B$205,MATCH($R215,LE_Curves!$G$5:$G$205,1)+1)-INDEX(LE_Curves!$B$5:$B$205,MATCH($R215,LE_Curves!$G$5:$G$205,1)))/(INDEX(LE_Curves!$G$5:$G$205,MATCH($R215,LE_Curves!$G$5:$G$205,1)+1)-INDEX(LE_Curves!$G$5:$G$205,MATCH($R215,LE_Curves!$G$5:$G$205,1))))))</f>
        <v/>
      </c>
      <c r="X215" s="11">
        <f>IF(Inputs!$D$28=0,0,IF($R215&lt;=Inputs!$C$28,0,IF($R215&gt;=INDEX(LE_Curves!$H$5:$H$205,201),INDEX(LE_Curves!$B$5:$B$205,201),INDEX(LE_Curves!$B$5:$B$205,MATCH($R215,LE_Curves!$H$5:$H$205,1))+($R215-INDEX(LE_Curves!$H$5:$H$205,MATCH($R215,LE_Curves!$H$5:$H$205,1)))*(INDEX(LE_Curves!$B$5:$B$205,MATCH($R215,LE_Curves!$H$5:$H$205,1)+1)-INDEX(LE_Curves!$B$5:$B$205,MATCH($R215,LE_Curves!$H$5:$H$205,1)))/(INDEX(LE_Curves!$H$5:$H$205,MATCH($R215,LE_Curves!$H$5:$H$205,1)+1)-INDEX(LE_Curves!$H$5:$H$205,MATCH($R215,LE_Curves!$H$5:$H$205,1))))))</f>
        <v/>
      </c>
      <c r="Y215" s="11">
        <f>IF(Inputs!$D$29=0,0,IF($R215&lt;=Inputs!$C$29,0,IF($R215&gt;=INDEX(LE_Curves!$I$5:$I$205,201),INDEX(LE_Curves!$B$5:$B$205,201),INDEX(LE_Curves!$B$5:$B$205,MATCH($R215,LE_Curves!$I$5:$I$205,1))+($R215-INDEX(LE_Curves!$I$5:$I$205,MATCH($R215,LE_Curves!$I$5:$I$205,1)))*(INDEX(LE_Curves!$B$5:$B$205,MATCH($R215,LE_Curves!$I$5:$I$205,1)+1)-INDEX(LE_Curves!$B$5:$B$205,MATCH($R215,LE_Curves!$I$5:$I$205,1)))/(INDEX(LE_Curves!$I$5:$I$205,MATCH($R215,LE_Curves!$I$5:$I$205,1)+1)-INDEX(LE_Curves!$I$5:$I$205,MATCH($R215,LE_Curves!$I$5:$I$205,1))))))</f>
        <v/>
      </c>
      <c r="Z215" s="11">
        <f>IF(Inputs!$D$30=0,0,IF($R215&lt;=Inputs!$C$30,0,IF($R215&gt;=INDEX(LE_Curves!$J$5:$J$205,201),INDEX(LE_Curves!$B$5:$B$205,201),INDEX(LE_Curves!$B$5:$B$205,MATCH($R215,LE_Curves!$J$5:$J$205,1))+($R215-INDEX(LE_Curves!$J$5:$J$205,MATCH($R215,LE_Curves!$J$5:$J$205,1)))*(INDEX(LE_Curves!$B$5:$B$205,MATCH($R215,LE_Curves!$J$5:$J$205,1)+1)-INDEX(LE_Curves!$B$5:$B$205,MATCH($R215,LE_Curves!$J$5:$J$205,1)))/(INDEX(LE_Curves!$J$5:$J$205,MATCH($R215,LE_Curves!$J$5:$J$205,1)+1)-INDEX(LE_Curves!$J$5:$J$205,MATCH($R215,LE_Curves!$J$5:$J$205,1))))))</f>
        <v/>
      </c>
      <c r="AA215" s="11">
        <f>IF(Inputs!$D$31=0,0,IF($R215&lt;=Inputs!$C$31,0,IF($R215&gt;=INDEX(LE_Curves!$K$5:$K$205,201),INDEX(LE_Curves!$B$5:$B$205,201),INDEX(LE_Curves!$B$5:$B$205,MATCH($R215,LE_Curves!$K$5:$K$205,1))+($R215-INDEX(LE_Curves!$K$5:$K$205,MATCH($R215,LE_Curves!$K$5:$K$205,1)))*(INDEX(LE_Curves!$B$5:$B$205,MATCH($R215,LE_Curves!$K$5:$K$205,1)+1)-INDEX(LE_Curves!$B$5:$B$205,MATCH($R215,LE_Curves!$K$5:$K$205,1)))/(INDEX(LE_Curves!$K$5:$K$205,MATCH($R215,LE_Curves!$K$5:$K$205,1)+1)-INDEX(LE_Curves!$K$5:$K$205,MATCH($R215,LE_Curves!$K$5:$K$205,1))))))</f>
        <v/>
      </c>
      <c r="AB215" s="11">
        <f>IF(Inputs!$D$32=0,0,IF($R215&lt;=Inputs!$C$32,0,IF($R215&gt;=INDEX(LE_Curves!$L$5:$L$205,201),INDEX(LE_Curves!$B$5:$B$205,201),INDEX(LE_Curves!$B$5:$B$205,MATCH($R215,LE_Curves!$L$5:$L$205,1))+($R215-INDEX(LE_Curves!$L$5:$L$205,MATCH($R215,LE_Curves!$L$5:$L$205,1)))*(INDEX(LE_Curves!$B$5:$B$205,MATCH($R215,LE_Curves!$L$5:$L$205,1)+1)-INDEX(LE_Curves!$B$5:$B$205,MATCH($R215,LE_Curves!$L$5:$L$205,1)))/(INDEX(LE_Curves!$L$5:$L$205,MATCH($R215,LE_Curves!$L$5:$L$205,1)+1)-INDEX(LE_Curves!$L$5:$L$205,MATCH($R215,LE_Curves!$L$5:$L$205,1))))))</f>
        <v/>
      </c>
      <c r="AC215" s="11">
        <f>IF(Inputs!$D$33=0,0,IF($R215&lt;=Inputs!$C$33,0,IF($R215&gt;=INDEX(LE_Curves!$M$5:$M$205,201),INDEX(LE_Curves!$B$5:$B$205,201),INDEX(LE_Curves!$B$5:$B$205,MATCH($R215,LE_Curves!$M$5:$M$205,1))+($R215-INDEX(LE_Curves!$M$5:$M$205,MATCH($R215,LE_Curves!$M$5:$M$205,1)))*(INDEX(LE_Curves!$B$5:$B$205,MATCH($R215,LE_Curves!$M$5:$M$205,1)+1)-INDEX(LE_Curves!$B$5:$B$205,MATCH($R215,LE_Curves!$M$5:$M$205,1)))/(INDEX(LE_Curves!$M$5:$M$205,MATCH($R215,LE_Curves!$M$5:$M$205,1)+1)-INDEX(LE_Curves!$M$5:$M$205,MATCH($R215,LE_Curves!$M$5:$M$205,1))))))</f>
        <v/>
      </c>
      <c r="AD215" s="11">
        <f>IF(Inputs!$D$34=0,0,IF($R215&lt;=Inputs!$C$34,0,IF($R215&gt;=INDEX(LE_Curves!$N$5:$N$205,201),INDEX(LE_Curves!$B$5:$B$205,201),INDEX(LE_Curves!$B$5:$B$205,MATCH($R215,LE_Curves!$N$5:$N$205,1))+($R215-INDEX(LE_Curves!$N$5:$N$205,MATCH($R215,LE_Curves!$N$5:$N$205,1)))*(INDEX(LE_Curves!$B$5:$B$205,MATCH($R215,LE_Curves!$N$5:$N$205,1)+1)-INDEX(LE_Curves!$B$5:$B$205,MATCH($R215,LE_Curves!$N$5:$N$205,1)))/(INDEX(LE_Curves!$N$5:$N$205,MATCH($R215,LE_Curves!$N$5:$N$205,1)+1)-INDEX(LE_Curves!$N$5:$N$205,MATCH($R215,LE_Curves!$N$5:$N$205,1))))))</f>
        <v/>
      </c>
      <c r="AE215" s="37">
        <f>SUM(S215:AD215)</f>
        <v/>
      </c>
    </row>
    <row r="216">
      <c r="A216" s="7" t="n">
        <v>185</v>
      </c>
      <c r="B216" s="37">
        <f>$B$3+($B$4-$B$3)*A216/200</f>
        <v/>
      </c>
      <c r="C216" s="11">
        <f>IF(Inputs!$D$23=0,0,IF($B216&lt;=Inputs!$C$23,0,IF($B216&gt;=INDEX(LE_Curves!$C$5:$C$205,201),INDEX(LE_Curves!$B$5:$B$205,201),INDEX(LE_Curves!$B$5:$B$205,MATCH($B216,LE_Curves!$C$5:$C$205,1))+($B216-INDEX(LE_Curves!$C$5:$C$205,MATCH($B216,LE_Curves!$C$5:$C$205,1)))*(INDEX(LE_Curves!$B$5:$B$205,MATCH($B216,LE_Curves!$C$5:$C$205,1)+1)-INDEX(LE_Curves!$B$5:$B$205,MATCH($B216,LE_Curves!$C$5:$C$205,1)))/(INDEX(LE_Curves!$C$5:$C$205,MATCH($B216,LE_Curves!$C$5:$C$205,1)+1)-INDEX(LE_Curves!$C$5:$C$205,MATCH($B216,LE_Curves!$C$5:$C$205,1))))))</f>
        <v/>
      </c>
      <c r="D216" s="11">
        <f>IF(Inputs!$D$24=0,0,IF($B216&lt;=Inputs!$C$24,0,IF($B216&gt;=INDEX(LE_Curves!$D$5:$D$205,201),INDEX(LE_Curves!$B$5:$B$205,201),INDEX(LE_Curves!$B$5:$B$205,MATCH($B216,LE_Curves!$D$5:$D$205,1))+($B216-INDEX(LE_Curves!$D$5:$D$205,MATCH($B216,LE_Curves!$D$5:$D$205,1)))*(INDEX(LE_Curves!$B$5:$B$205,MATCH($B216,LE_Curves!$D$5:$D$205,1)+1)-INDEX(LE_Curves!$B$5:$B$205,MATCH($B216,LE_Curves!$D$5:$D$205,1)))/(INDEX(LE_Curves!$D$5:$D$205,MATCH($B216,LE_Curves!$D$5:$D$205,1)+1)-INDEX(LE_Curves!$D$5:$D$205,MATCH($B216,LE_Curves!$D$5:$D$205,1))))))</f>
        <v/>
      </c>
      <c r="E216" s="11">
        <f>IF(Inputs!$D$25=0,0,IF($B216&lt;=Inputs!$C$25,0,IF($B216&gt;=INDEX(LE_Curves!$E$5:$E$205,201),INDEX(LE_Curves!$B$5:$B$205,201),INDEX(LE_Curves!$B$5:$B$205,MATCH($B216,LE_Curves!$E$5:$E$205,1))+($B216-INDEX(LE_Curves!$E$5:$E$205,MATCH($B216,LE_Curves!$E$5:$E$205,1)))*(INDEX(LE_Curves!$B$5:$B$205,MATCH($B216,LE_Curves!$E$5:$E$205,1)+1)-INDEX(LE_Curves!$B$5:$B$205,MATCH($B216,LE_Curves!$E$5:$E$205,1)))/(INDEX(LE_Curves!$E$5:$E$205,MATCH($B216,LE_Curves!$E$5:$E$205,1)+1)-INDEX(LE_Curves!$E$5:$E$205,MATCH($B216,LE_Curves!$E$5:$E$205,1))))))</f>
        <v/>
      </c>
      <c r="F216" s="11">
        <f>IF(Inputs!$D$26=0,0,IF($B216&lt;=Inputs!$C$26,0,IF($B216&gt;=INDEX(LE_Curves!$F$5:$F$205,201),INDEX(LE_Curves!$B$5:$B$205,201),INDEX(LE_Curves!$B$5:$B$205,MATCH($B216,LE_Curves!$F$5:$F$205,1))+($B216-INDEX(LE_Curves!$F$5:$F$205,MATCH($B216,LE_Curves!$F$5:$F$205,1)))*(INDEX(LE_Curves!$B$5:$B$205,MATCH($B216,LE_Curves!$F$5:$F$205,1)+1)-INDEX(LE_Curves!$B$5:$B$205,MATCH($B216,LE_Curves!$F$5:$F$205,1)))/(INDEX(LE_Curves!$F$5:$F$205,MATCH($B216,LE_Curves!$F$5:$F$205,1)+1)-INDEX(LE_Curves!$F$5:$F$205,MATCH($B216,LE_Curves!$F$5:$F$205,1))))))</f>
        <v/>
      </c>
      <c r="G216" s="11">
        <f>IF(Inputs!$D$27=0,0,IF($B216&lt;=Inputs!$C$27,0,IF($B216&gt;=INDEX(LE_Curves!$G$5:$G$205,201),INDEX(LE_Curves!$B$5:$B$205,201),INDEX(LE_Curves!$B$5:$B$205,MATCH($B216,LE_Curves!$G$5:$G$205,1))+($B216-INDEX(LE_Curves!$G$5:$G$205,MATCH($B216,LE_Curves!$G$5:$G$205,1)))*(INDEX(LE_Curves!$B$5:$B$205,MATCH($B216,LE_Curves!$G$5:$G$205,1)+1)-INDEX(LE_Curves!$B$5:$B$205,MATCH($B216,LE_Curves!$G$5:$G$205,1)))/(INDEX(LE_Curves!$G$5:$G$205,MATCH($B216,LE_Curves!$G$5:$G$205,1)+1)-INDEX(LE_Curves!$G$5:$G$205,MATCH($B216,LE_Curves!$G$5:$G$205,1))))))</f>
        <v/>
      </c>
      <c r="H216" s="11">
        <f>IF(Inputs!$D$28=0,0,IF($B216&lt;=Inputs!$C$28,0,IF($B216&gt;=INDEX(LE_Curves!$H$5:$H$205,201),INDEX(LE_Curves!$B$5:$B$205,201),INDEX(LE_Curves!$B$5:$B$205,MATCH($B216,LE_Curves!$H$5:$H$205,1))+($B216-INDEX(LE_Curves!$H$5:$H$205,MATCH($B216,LE_Curves!$H$5:$H$205,1)))*(INDEX(LE_Curves!$B$5:$B$205,MATCH($B216,LE_Curves!$H$5:$H$205,1)+1)-INDEX(LE_Curves!$B$5:$B$205,MATCH($B216,LE_Curves!$H$5:$H$205,1)))/(INDEX(LE_Curves!$H$5:$H$205,MATCH($B216,LE_Curves!$H$5:$H$205,1)+1)-INDEX(LE_Curves!$H$5:$H$205,MATCH($B216,LE_Curves!$H$5:$H$205,1))))))</f>
        <v/>
      </c>
      <c r="I216" s="11">
        <f>IF(Inputs!$D$29=0,0,IF($B216&lt;=Inputs!$C$29,0,IF($B216&gt;=INDEX(LE_Curves!$I$5:$I$205,201),INDEX(LE_Curves!$B$5:$B$205,201),INDEX(LE_Curves!$B$5:$B$205,MATCH($B216,LE_Curves!$I$5:$I$205,1))+($B216-INDEX(LE_Curves!$I$5:$I$205,MATCH($B216,LE_Curves!$I$5:$I$205,1)))*(INDEX(LE_Curves!$B$5:$B$205,MATCH($B216,LE_Curves!$I$5:$I$205,1)+1)-INDEX(LE_Curves!$B$5:$B$205,MATCH($B216,LE_Curves!$I$5:$I$205,1)))/(INDEX(LE_Curves!$I$5:$I$205,MATCH($B216,LE_Curves!$I$5:$I$205,1)+1)-INDEX(LE_Curves!$I$5:$I$205,MATCH($B216,LE_Curves!$I$5:$I$205,1))))))</f>
        <v/>
      </c>
      <c r="J216" s="11">
        <f>IF(Inputs!$D$30=0,0,IF($B216&lt;=Inputs!$C$30,0,IF($B216&gt;=INDEX(LE_Curves!$J$5:$J$205,201),INDEX(LE_Curves!$B$5:$B$205,201),INDEX(LE_Curves!$B$5:$B$205,MATCH($B216,LE_Curves!$J$5:$J$205,1))+($B216-INDEX(LE_Curves!$J$5:$J$205,MATCH($B216,LE_Curves!$J$5:$J$205,1)))*(INDEX(LE_Curves!$B$5:$B$205,MATCH($B216,LE_Curves!$J$5:$J$205,1)+1)-INDEX(LE_Curves!$B$5:$B$205,MATCH($B216,LE_Curves!$J$5:$J$205,1)))/(INDEX(LE_Curves!$J$5:$J$205,MATCH($B216,LE_Curves!$J$5:$J$205,1)+1)-INDEX(LE_Curves!$J$5:$J$205,MATCH($B216,LE_Curves!$J$5:$J$205,1))))))</f>
        <v/>
      </c>
      <c r="K216" s="11">
        <f>IF(Inputs!$D$31=0,0,IF($B216&lt;=Inputs!$C$31,0,IF($B216&gt;=INDEX(LE_Curves!$K$5:$K$205,201),INDEX(LE_Curves!$B$5:$B$205,201),INDEX(LE_Curves!$B$5:$B$205,MATCH($B216,LE_Curves!$K$5:$K$205,1))+($B216-INDEX(LE_Curves!$K$5:$K$205,MATCH($B216,LE_Curves!$K$5:$K$205,1)))*(INDEX(LE_Curves!$B$5:$B$205,MATCH($B216,LE_Curves!$K$5:$K$205,1)+1)-INDEX(LE_Curves!$B$5:$B$205,MATCH($B216,LE_Curves!$K$5:$K$205,1)))/(INDEX(LE_Curves!$K$5:$K$205,MATCH($B216,LE_Curves!$K$5:$K$205,1)+1)-INDEX(LE_Curves!$K$5:$K$205,MATCH($B216,LE_Curves!$K$5:$K$205,1))))))</f>
        <v/>
      </c>
      <c r="L216" s="11">
        <f>IF(Inputs!$D$32=0,0,IF($B216&lt;=Inputs!$C$32,0,IF($B216&gt;=INDEX(LE_Curves!$L$5:$L$205,201),INDEX(LE_Curves!$B$5:$B$205,201),INDEX(LE_Curves!$B$5:$B$205,MATCH($B216,LE_Curves!$L$5:$L$205,1))+($B216-INDEX(LE_Curves!$L$5:$L$205,MATCH($B216,LE_Curves!$L$5:$L$205,1)))*(INDEX(LE_Curves!$B$5:$B$205,MATCH($B216,LE_Curves!$L$5:$L$205,1)+1)-INDEX(LE_Curves!$B$5:$B$205,MATCH($B216,LE_Curves!$L$5:$L$205,1)))/(INDEX(LE_Curves!$L$5:$L$205,MATCH($B216,LE_Curves!$L$5:$L$205,1)+1)-INDEX(LE_Curves!$L$5:$L$205,MATCH($B216,LE_Curves!$L$5:$L$205,1))))))</f>
        <v/>
      </c>
      <c r="M216" s="11">
        <f>IF(Inputs!$D$33=0,0,IF($B216&lt;=Inputs!$C$33,0,IF($B216&gt;=INDEX(LE_Curves!$M$5:$M$205,201),INDEX(LE_Curves!$B$5:$B$205,201),INDEX(LE_Curves!$B$5:$B$205,MATCH($B216,LE_Curves!$M$5:$M$205,1))+($B216-INDEX(LE_Curves!$M$5:$M$205,MATCH($B216,LE_Curves!$M$5:$M$205,1)))*(INDEX(LE_Curves!$B$5:$B$205,MATCH($B216,LE_Curves!$M$5:$M$205,1)+1)-INDEX(LE_Curves!$B$5:$B$205,MATCH($B216,LE_Curves!$M$5:$M$205,1)))/(INDEX(LE_Curves!$M$5:$M$205,MATCH($B216,LE_Curves!$M$5:$M$205,1)+1)-INDEX(LE_Curves!$M$5:$M$205,MATCH($B216,LE_Curves!$M$5:$M$205,1))))))</f>
        <v/>
      </c>
      <c r="N216" s="11">
        <f>IF(Inputs!$D$34=0,0,IF($B216&lt;=Inputs!$C$34,0,IF($B216&gt;=INDEX(LE_Curves!$N$5:$N$205,201),INDEX(LE_Curves!$B$5:$B$205,201),INDEX(LE_Curves!$B$5:$B$205,MATCH($B216,LE_Curves!$N$5:$N$205,1))+($B216-INDEX(LE_Curves!$N$5:$N$205,MATCH($B216,LE_Curves!$N$5:$N$205,1)))*(INDEX(LE_Curves!$B$5:$B$205,MATCH($B216,LE_Curves!$N$5:$N$205,1)+1)-INDEX(LE_Curves!$B$5:$B$205,MATCH($B216,LE_Curves!$N$5:$N$205,1)))/(INDEX(LE_Curves!$N$5:$N$205,MATCH($B216,LE_Curves!$N$5:$N$205,1)+1)-INDEX(LE_Curves!$N$5:$N$205,MATCH($B216,LE_Curves!$N$5:$N$205,1))))))</f>
        <v/>
      </c>
      <c r="O216" s="11">
        <f>SUM(C216:N216)</f>
        <v/>
      </c>
      <c r="Q216" s="7" t="n">
        <v>185</v>
      </c>
      <c r="R216" s="23">
        <f>$B$6+($B$7-$B$6)*Q216/200</f>
        <v/>
      </c>
      <c r="S216" s="11">
        <f>IF(Inputs!$D$23=0,0,IF($R216&lt;=Inputs!$C$23,0,IF($R216&gt;=INDEX(LE_Curves!$C$5:$C$205,201),INDEX(LE_Curves!$B$5:$B$205,201),INDEX(LE_Curves!$B$5:$B$205,MATCH($R216,LE_Curves!$C$5:$C$205,1))+($R216-INDEX(LE_Curves!$C$5:$C$205,MATCH($R216,LE_Curves!$C$5:$C$205,1)))*(INDEX(LE_Curves!$B$5:$B$205,MATCH($R216,LE_Curves!$C$5:$C$205,1)+1)-INDEX(LE_Curves!$B$5:$B$205,MATCH($R216,LE_Curves!$C$5:$C$205,1)))/(INDEX(LE_Curves!$C$5:$C$205,MATCH($R216,LE_Curves!$C$5:$C$205,1)+1)-INDEX(LE_Curves!$C$5:$C$205,MATCH($R216,LE_Curves!$C$5:$C$205,1))))))</f>
        <v/>
      </c>
      <c r="T216" s="11">
        <f>IF(Inputs!$D$24=0,0,IF($R216&lt;=Inputs!$C$24,0,IF($R216&gt;=INDEX(LE_Curves!$D$5:$D$205,201),INDEX(LE_Curves!$B$5:$B$205,201),INDEX(LE_Curves!$B$5:$B$205,MATCH($R216,LE_Curves!$D$5:$D$205,1))+($R216-INDEX(LE_Curves!$D$5:$D$205,MATCH($R216,LE_Curves!$D$5:$D$205,1)))*(INDEX(LE_Curves!$B$5:$B$205,MATCH($R216,LE_Curves!$D$5:$D$205,1)+1)-INDEX(LE_Curves!$B$5:$B$205,MATCH($R216,LE_Curves!$D$5:$D$205,1)))/(INDEX(LE_Curves!$D$5:$D$205,MATCH($R216,LE_Curves!$D$5:$D$205,1)+1)-INDEX(LE_Curves!$D$5:$D$205,MATCH($R216,LE_Curves!$D$5:$D$205,1))))))</f>
        <v/>
      </c>
      <c r="U216" s="11">
        <f>IF(Inputs!$D$25=0,0,IF($R216&lt;=Inputs!$C$25,0,IF($R216&gt;=INDEX(LE_Curves!$E$5:$E$205,201),INDEX(LE_Curves!$B$5:$B$205,201),INDEX(LE_Curves!$B$5:$B$205,MATCH($R216,LE_Curves!$E$5:$E$205,1))+($R216-INDEX(LE_Curves!$E$5:$E$205,MATCH($R216,LE_Curves!$E$5:$E$205,1)))*(INDEX(LE_Curves!$B$5:$B$205,MATCH($R216,LE_Curves!$E$5:$E$205,1)+1)-INDEX(LE_Curves!$B$5:$B$205,MATCH($R216,LE_Curves!$E$5:$E$205,1)))/(INDEX(LE_Curves!$E$5:$E$205,MATCH($R216,LE_Curves!$E$5:$E$205,1)+1)-INDEX(LE_Curves!$E$5:$E$205,MATCH($R216,LE_Curves!$E$5:$E$205,1))))))</f>
        <v/>
      </c>
      <c r="V216" s="11">
        <f>IF(Inputs!$D$26=0,0,IF($R216&lt;=Inputs!$C$26,0,IF($R216&gt;=INDEX(LE_Curves!$F$5:$F$205,201),INDEX(LE_Curves!$B$5:$B$205,201),INDEX(LE_Curves!$B$5:$B$205,MATCH($R216,LE_Curves!$F$5:$F$205,1))+($R216-INDEX(LE_Curves!$F$5:$F$205,MATCH($R216,LE_Curves!$F$5:$F$205,1)))*(INDEX(LE_Curves!$B$5:$B$205,MATCH($R216,LE_Curves!$F$5:$F$205,1)+1)-INDEX(LE_Curves!$B$5:$B$205,MATCH($R216,LE_Curves!$F$5:$F$205,1)))/(INDEX(LE_Curves!$F$5:$F$205,MATCH($R216,LE_Curves!$F$5:$F$205,1)+1)-INDEX(LE_Curves!$F$5:$F$205,MATCH($R216,LE_Curves!$F$5:$F$205,1))))))</f>
        <v/>
      </c>
      <c r="W216" s="11">
        <f>IF(Inputs!$D$27=0,0,IF($R216&lt;=Inputs!$C$27,0,IF($R216&gt;=INDEX(LE_Curves!$G$5:$G$205,201),INDEX(LE_Curves!$B$5:$B$205,201),INDEX(LE_Curves!$B$5:$B$205,MATCH($R216,LE_Curves!$G$5:$G$205,1))+($R216-INDEX(LE_Curves!$G$5:$G$205,MATCH($R216,LE_Curves!$G$5:$G$205,1)))*(INDEX(LE_Curves!$B$5:$B$205,MATCH($R216,LE_Curves!$G$5:$G$205,1)+1)-INDEX(LE_Curves!$B$5:$B$205,MATCH($R216,LE_Curves!$G$5:$G$205,1)))/(INDEX(LE_Curves!$G$5:$G$205,MATCH($R216,LE_Curves!$G$5:$G$205,1)+1)-INDEX(LE_Curves!$G$5:$G$205,MATCH($R216,LE_Curves!$G$5:$G$205,1))))))</f>
        <v/>
      </c>
      <c r="X216" s="11">
        <f>IF(Inputs!$D$28=0,0,IF($R216&lt;=Inputs!$C$28,0,IF($R216&gt;=INDEX(LE_Curves!$H$5:$H$205,201),INDEX(LE_Curves!$B$5:$B$205,201),INDEX(LE_Curves!$B$5:$B$205,MATCH($R216,LE_Curves!$H$5:$H$205,1))+($R216-INDEX(LE_Curves!$H$5:$H$205,MATCH($R216,LE_Curves!$H$5:$H$205,1)))*(INDEX(LE_Curves!$B$5:$B$205,MATCH($R216,LE_Curves!$H$5:$H$205,1)+1)-INDEX(LE_Curves!$B$5:$B$205,MATCH($R216,LE_Curves!$H$5:$H$205,1)))/(INDEX(LE_Curves!$H$5:$H$205,MATCH($R216,LE_Curves!$H$5:$H$205,1)+1)-INDEX(LE_Curves!$H$5:$H$205,MATCH($R216,LE_Curves!$H$5:$H$205,1))))))</f>
        <v/>
      </c>
      <c r="Y216" s="11">
        <f>IF(Inputs!$D$29=0,0,IF($R216&lt;=Inputs!$C$29,0,IF($R216&gt;=INDEX(LE_Curves!$I$5:$I$205,201),INDEX(LE_Curves!$B$5:$B$205,201),INDEX(LE_Curves!$B$5:$B$205,MATCH($R216,LE_Curves!$I$5:$I$205,1))+($R216-INDEX(LE_Curves!$I$5:$I$205,MATCH($R216,LE_Curves!$I$5:$I$205,1)))*(INDEX(LE_Curves!$B$5:$B$205,MATCH($R216,LE_Curves!$I$5:$I$205,1)+1)-INDEX(LE_Curves!$B$5:$B$205,MATCH($R216,LE_Curves!$I$5:$I$205,1)))/(INDEX(LE_Curves!$I$5:$I$205,MATCH($R216,LE_Curves!$I$5:$I$205,1)+1)-INDEX(LE_Curves!$I$5:$I$205,MATCH($R216,LE_Curves!$I$5:$I$205,1))))))</f>
        <v/>
      </c>
      <c r="Z216" s="11">
        <f>IF(Inputs!$D$30=0,0,IF($R216&lt;=Inputs!$C$30,0,IF($R216&gt;=INDEX(LE_Curves!$J$5:$J$205,201),INDEX(LE_Curves!$B$5:$B$205,201),INDEX(LE_Curves!$B$5:$B$205,MATCH($R216,LE_Curves!$J$5:$J$205,1))+($R216-INDEX(LE_Curves!$J$5:$J$205,MATCH($R216,LE_Curves!$J$5:$J$205,1)))*(INDEX(LE_Curves!$B$5:$B$205,MATCH($R216,LE_Curves!$J$5:$J$205,1)+1)-INDEX(LE_Curves!$B$5:$B$205,MATCH($R216,LE_Curves!$J$5:$J$205,1)))/(INDEX(LE_Curves!$J$5:$J$205,MATCH($R216,LE_Curves!$J$5:$J$205,1)+1)-INDEX(LE_Curves!$J$5:$J$205,MATCH($R216,LE_Curves!$J$5:$J$205,1))))))</f>
        <v/>
      </c>
      <c r="AA216" s="11">
        <f>IF(Inputs!$D$31=0,0,IF($R216&lt;=Inputs!$C$31,0,IF($R216&gt;=INDEX(LE_Curves!$K$5:$K$205,201),INDEX(LE_Curves!$B$5:$B$205,201),INDEX(LE_Curves!$B$5:$B$205,MATCH($R216,LE_Curves!$K$5:$K$205,1))+($R216-INDEX(LE_Curves!$K$5:$K$205,MATCH($R216,LE_Curves!$K$5:$K$205,1)))*(INDEX(LE_Curves!$B$5:$B$205,MATCH($R216,LE_Curves!$K$5:$K$205,1)+1)-INDEX(LE_Curves!$B$5:$B$205,MATCH($R216,LE_Curves!$K$5:$K$205,1)))/(INDEX(LE_Curves!$K$5:$K$205,MATCH($R216,LE_Curves!$K$5:$K$205,1)+1)-INDEX(LE_Curves!$K$5:$K$205,MATCH($R216,LE_Curves!$K$5:$K$205,1))))))</f>
        <v/>
      </c>
      <c r="AB216" s="11">
        <f>IF(Inputs!$D$32=0,0,IF($R216&lt;=Inputs!$C$32,0,IF($R216&gt;=INDEX(LE_Curves!$L$5:$L$205,201),INDEX(LE_Curves!$B$5:$B$205,201),INDEX(LE_Curves!$B$5:$B$205,MATCH($R216,LE_Curves!$L$5:$L$205,1))+($R216-INDEX(LE_Curves!$L$5:$L$205,MATCH($R216,LE_Curves!$L$5:$L$205,1)))*(INDEX(LE_Curves!$B$5:$B$205,MATCH($R216,LE_Curves!$L$5:$L$205,1)+1)-INDEX(LE_Curves!$B$5:$B$205,MATCH($R216,LE_Curves!$L$5:$L$205,1)))/(INDEX(LE_Curves!$L$5:$L$205,MATCH($R216,LE_Curves!$L$5:$L$205,1)+1)-INDEX(LE_Curves!$L$5:$L$205,MATCH($R216,LE_Curves!$L$5:$L$205,1))))))</f>
        <v/>
      </c>
      <c r="AC216" s="11">
        <f>IF(Inputs!$D$33=0,0,IF($R216&lt;=Inputs!$C$33,0,IF($R216&gt;=INDEX(LE_Curves!$M$5:$M$205,201),INDEX(LE_Curves!$B$5:$B$205,201),INDEX(LE_Curves!$B$5:$B$205,MATCH($R216,LE_Curves!$M$5:$M$205,1))+($R216-INDEX(LE_Curves!$M$5:$M$205,MATCH($R216,LE_Curves!$M$5:$M$205,1)))*(INDEX(LE_Curves!$B$5:$B$205,MATCH($R216,LE_Curves!$M$5:$M$205,1)+1)-INDEX(LE_Curves!$B$5:$B$205,MATCH($R216,LE_Curves!$M$5:$M$205,1)))/(INDEX(LE_Curves!$M$5:$M$205,MATCH($R216,LE_Curves!$M$5:$M$205,1)+1)-INDEX(LE_Curves!$M$5:$M$205,MATCH($R216,LE_Curves!$M$5:$M$205,1))))))</f>
        <v/>
      </c>
      <c r="AD216" s="11">
        <f>IF(Inputs!$D$34=0,0,IF($R216&lt;=Inputs!$C$34,0,IF($R216&gt;=INDEX(LE_Curves!$N$5:$N$205,201),INDEX(LE_Curves!$B$5:$B$205,201),INDEX(LE_Curves!$B$5:$B$205,MATCH($R216,LE_Curves!$N$5:$N$205,1))+($R216-INDEX(LE_Curves!$N$5:$N$205,MATCH($R216,LE_Curves!$N$5:$N$205,1)))*(INDEX(LE_Curves!$B$5:$B$205,MATCH($R216,LE_Curves!$N$5:$N$205,1)+1)-INDEX(LE_Curves!$B$5:$B$205,MATCH($R216,LE_Curves!$N$5:$N$205,1)))/(INDEX(LE_Curves!$N$5:$N$205,MATCH($R216,LE_Curves!$N$5:$N$205,1)+1)-INDEX(LE_Curves!$N$5:$N$205,MATCH($R216,LE_Curves!$N$5:$N$205,1))))))</f>
        <v/>
      </c>
      <c r="AE216" s="37">
        <f>SUM(S216:AD216)</f>
        <v/>
      </c>
    </row>
    <row r="217">
      <c r="A217" s="7" t="n">
        <v>186</v>
      </c>
      <c r="B217" s="37">
        <f>$B$3+($B$4-$B$3)*A217/200</f>
        <v/>
      </c>
      <c r="C217" s="11">
        <f>IF(Inputs!$D$23=0,0,IF($B217&lt;=Inputs!$C$23,0,IF($B217&gt;=INDEX(LE_Curves!$C$5:$C$205,201),INDEX(LE_Curves!$B$5:$B$205,201),INDEX(LE_Curves!$B$5:$B$205,MATCH($B217,LE_Curves!$C$5:$C$205,1))+($B217-INDEX(LE_Curves!$C$5:$C$205,MATCH($B217,LE_Curves!$C$5:$C$205,1)))*(INDEX(LE_Curves!$B$5:$B$205,MATCH($B217,LE_Curves!$C$5:$C$205,1)+1)-INDEX(LE_Curves!$B$5:$B$205,MATCH($B217,LE_Curves!$C$5:$C$205,1)))/(INDEX(LE_Curves!$C$5:$C$205,MATCH($B217,LE_Curves!$C$5:$C$205,1)+1)-INDEX(LE_Curves!$C$5:$C$205,MATCH($B217,LE_Curves!$C$5:$C$205,1))))))</f>
        <v/>
      </c>
      <c r="D217" s="11">
        <f>IF(Inputs!$D$24=0,0,IF($B217&lt;=Inputs!$C$24,0,IF($B217&gt;=INDEX(LE_Curves!$D$5:$D$205,201),INDEX(LE_Curves!$B$5:$B$205,201),INDEX(LE_Curves!$B$5:$B$205,MATCH($B217,LE_Curves!$D$5:$D$205,1))+($B217-INDEX(LE_Curves!$D$5:$D$205,MATCH($B217,LE_Curves!$D$5:$D$205,1)))*(INDEX(LE_Curves!$B$5:$B$205,MATCH($B217,LE_Curves!$D$5:$D$205,1)+1)-INDEX(LE_Curves!$B$5:$B$205,MATCH($B217,LE_Curves!$D$5:$D$205,1)))/(INDEX(LE_Curves!$D$5:$D$205,MATCH($B217,LE_Curves!$D$5:$D$205,1)+1)-INDEX(LE_Curves!$D$5:$D$205,MATCH($B217,LE_Curves!$D$5:$D$205,1))))))</f>
        <v/>
      </c>
      <c r="E217" s="11">
        <f>IF(Inputs!$D$25=0,0,IF($B217&lt;=Inputs!$C$25,0,IF($B217&gt;=INDEX(LE_Curves!$E$5:$E$205,201),INDEX(LE_Curves!$B$5:$B$205,201),INDEX(LE_Curves!$B$5:$B$205,MATCH($B217,LE_Curves!$E$5:$E$205,1))+($B217-INDEX(LE_Curves!$E$5:$E$205,MATCH($B217,LE_Curves!$E$5:$E$205,1)))*(INDEX(LE_Curves!$B$5:$B$205,MATCH($B217,LE_Curves!$E$5:$E$205,1)+1)-INDEX(LE_Curves!$B$5:$B$205,MATCH($B217,LE_Curves!$E$5:$E$205,1)))/(INDEX(LE_Curves!$E$5:$E$205,MATCH($B217,LE_Curves!$E$5:$E$205,1)+1)-INDEX(LE_Curves!$E$5:$E$205,MATCH($B217,LE_Curves!$E$5:$E$205,1))))))</f>
        <v/>
      </c>
      <c r="F217" s="11">
        <f>IF(Inputs!$D$26=0,0,IF($B217&lt;=Inputs!$C$26,0,IF($B217&gt;=INDEX(LE_Curves!$F$5:$F$205,201),INDEX(LE_Curves!$B$5:$B$205,201),INDEX(LE_Curves!$B$5:$B$205,MATCH($B217,LE_Curves!$F$5:$F$205,1))+($B217-INDEX(LE_Curves!$F$5:$F$205,MATCH($B217,LE_Curves!$F$5:$F$205,1)))*(INDEX(LE_Curves!$B$5:$B$205,MATCH($B217,LE_Curves!$F$5:$F$205,1)+1)-INDEX(LE_Curves!$B$5:$B$205,MATCH($B217,LE_Curves!$F$5:$F$205,1)))/(INDEX(LE_Curves!$F$5:$F$205,MATCH($B217,LE_Curves!$F$5:$F$205,1)+1)-INDEX(LE_Curves!$F$5:$F$205,MATCH($B217,LE_Curves!$F$5:$F$205,1))))))</f>
        <v/>
      </c>
      <c r="G217" s="11">
        <f>IF(Inputs!$D$27=0,0,IF($B217&lt;=Inputs!$C$27,0,IF($B217&gt;=INDEX(LE_Curves!$G$5:$G$205,201),INDEX(LE_Curves!$B$5:$B$205,201),INDEX(LE_Curves!$B$5:$B$205,MATCH($B217,LE_Curves!$G$5:$G$205,1))+($B217-INDEX(LE_Curves!$G$5:$G$205,MATCH($B217,LE_Curves!$G$5:$G$205,1)))*(INDEX(LE_Curves!$B$5:$B$205,MATCH($B217,LE_Curves!$G$5:$G$205,1)+1)-INDEX(LE_Curves!$B$5:$B$205,MATCH($B217,LE_Curves!$G$5:$G$205,1)))/(INDEX(LE_Curves!$G$5:$G$205,MATCH($B217,LE_Curves!$G$5:$G$205,1)+1)-INDEX(LE_Curves!$G$5:$G$205,MATCH($B217,LE_Curves!$G$5:$G$205,1))))))</f>
        <v/>
      </c>
      <c r="H217" s="11">
        <f>IF(Inputs!$D$28=0,0,IF($B217&lt;=Inputs!$C$28,0,IF($B217&gt;=INDEX(LE_Curves!$H$5:$H$205,201),INDEX(LE_Curves!$B$5:$B$205,201),INDEX(LE_Curves!$B$5:$B$205,MATCH($B217,LE_Curves!$H$5:$H$205,1))+($B217-INDEX(LE_Curves!$H$5:$H$205,MATCH($B217,LE_Curves!$H$5:$H$205,1)))*(INDEX(LE_Curves!$B$5:$B$205,MATCH($B217,LE_Curves!$H$5:$H$205,1)+1)-INDEX(LE_Curves!$B$5:$B$205,MATCH($B217,LE_Curves!$H$5:$H$205,1)))/(INDEX(LE_Curves!$H$5:$H$205,MATCH($B217,LE_Curves!$H$5:$H$205,1)+1)-INDEX(LE_Curves!$H$5:$H$205,MATCH($B217,LE_Curves!$H$5:$H$205,1))))))</f>
        <v/>
      </c>
      <c r="I217" s="11">
        <f>IF(Inputs!$D$29=0,0,IF($B217&lt;=Inputs!$C$29,0,IF($B217&gt;=INDEX(LE_Curves!$I$5:$I$205,201),INDEX(LE_Curves!$B$5:$B$205,201),INDEX(LE_Curves!$B$5:$B$205,MATCH($B217,LE_Curves!$I$5:$I$205,1))+($B217-INDEX(LE_Curves!$I$5:$I$205,MATCH($B217,LE_Curves!$I$5:$I$205,1)))*(INDEX(LE_Curves!$B$5:$B$205,MATCH($B217,LE_Curves!$I$5:$I$205,1)+1)-INDEX(LE_Curves!$B$5:$B$205,MATCH($B217,LE_Curves!$I$5:$I$205,1)))/(INDEX(LE_Curves!$I$5:$I$205,MATCH($B217,LE_Curves!$I$5:$I$205,1)+1)-INDEX(LE_Curves!$I$5:$I$205,MATCH($B217,LE_Curves!$I$5:$I$205,1))))))</f>
        <v/>
      </c>
      <c r="J217" s="11">
        <f>IF(Inputs!$D$30=0,0,IF($B217&lt;=Inputs!$C$30,0,IF($B217&gt;=INDEX(LE_Curves!$J$5:$J$205,201),INDEX(LE_Curves!$B$5:$B$205,201),INDEX(LE_Curves!$B$5:$B$205,MATCH($B217,LE_Curves!$J$5:$J$205,1))+($B217-INDEX(LE_Curves!$J$5:$J$205,MATCH($B217,LE_Curves!$J$5:$J$205,1)))*(INDEX(LE_Curves!$B$5:$B$205,MATCH($B217,LE_Curves!$J$5:$J$205,1)+1)-INDEX(LE_Curves!$B$5:$B$205,MATCH($B217,LE_Curves!$J$5:$J$205,1)))/(INDEX(LE_Curves!$J$5:$J$205,MATCH($B217,LE_Curves!$J$5:$J$205,1)+1)-INDEX(LE_Curves!$J$5:$J$205,MATCH($B217,LE_Curves!$J$5:$J$205,1))))))</f>
        <v/>
      </c>
      <c r="K217" s="11">
        <f>IF(Inputs!$D$31=0,0,IF($B217&lt;=Inputs!$C$31,0,IF($B217&gt;=INDEX(LE_Curves!$K$5:$K$205,201),INDEX(LE_Curves!$B$5:$B$205,201),INDEX(LE_Curves!$B$5:$B$205,MATCH($B217,LE_Curves!$K$5:$K$205,1))+($B217-INDEX(LE_Curves!$K$5:$K$205,MATCH($B217,LE_Curves!$K$5:$K$205,1)))*(INDEX(LE_Curves!$B$5:$B$205,MATCH($B217,LE_Curves!$K$5:$K$205,1)+1)-INDEX(LE_Curves!$B$5:$B$205,MATCH($B217,LE_Curves!$K$5:$K$205,1)))/(INDEX(LE_Curves!$K$5:$K$205,MATCH($B217,LE_Curves!$K$5:$K$205,1)+1)-INDEX(LE_Curves!$K$5:$K$205,MATCH($B217,LE_Curves!$K$5:$K$205,1))))))</f>
        <v/>
      </c>
      <c r="L217" s="11">
        <f>IF(Inputs!$D$32=0,0,IF($B217&lt;=Inputs!$C$32,0,IF($B217&gt;=INDEX(LE_Curves!$L$5:$L$205,201),INDEX(LE_Curves!$B$5:$B$205,201),INDEX(LE_Curves!$B$5:$B$205,MATCH($B217,LE_Curves!$L$5:$L$205,1))+($B217-INDEX(LE_Curves!$L$5:$L$205,MATCH($B217,LE_Curves!$L$5:$L$205,1)))*(INDEX(LE_Curves!$B$5:$B$205,MATCH($B217,LE_Curves!$L$5:$L$205,1)+1)-INDEX(LE_Curves!$B$5:$B$205,MATCH($B217,LE_Curves!$L$5:$L$205,1)))/(INDEX(LE_Curves!$L$5:$L$205,MATCH($B217,LE_Curves!$L$5:$L$205,1)+1)-INDEX(LE_Curves!$L$5:$L$205,MATCH($B217,LE_Curves!$L$5:$L$205,1))))))</f>
        <v/>
      </c>
      <c r="M217" s="11">
        <f>IF(Inputs!$D$33=0,0,IF($B217&lt;=Inputs!$C$33,0,IF($B217&gt;=INDEX(LE_Curves!$M$5:$M$205,201),INDEX(LE_Curves!$B$5:$B$205,201),INDEX(LE_Curves!$B$5:$B$205,MATCH($B217,LE_Curves!$M$5:$M$205,1))+($B217-INDEX(LE_Curves!$M$5:$M$205,MATCH($B217,LE_Curves!$M$5:$M$205,1)))*(INDEX(LE_Curves!$B$5:$B$205,MATCH($B217,LE_Curves!$M$5:$M$205,1)+1)-INDEX(LE_Curves!$B$5:$B$205,MATCH($B217,LE_Curves!$M$5:$M$205,1)))/(INDEX(LE_Curves!$M$5:$M$205,MATCH($B217,LE_Curves!$M$5:$M$205,1)+1)-INDEX(LE_Curves!$M$5:$M$205,MATCH($B217,LE_Curves!$M$5:$M$205,1))))))</f>
        <v/>
      </c>
      <c r="N217" s="11">
        <f>IF(Inputs!$D$34=0,0,IF($B217&lt;=Inputs!$C$34,0,IF($B217&gt;=INDEX(LE_Curves!$N$5:$N$205,201),INDEX(LE_Curves!$B$5:$B$205,201),INDEX(LE_Curves!$B$5:$B$205,MATCH($B217,LE_Curves!$N$5:$N$205,1))+($B217-INDEX(LE_Curves!$N$5:$N$205,MATCH($B217,LE_Curves!$N$5:$N$205,1)))*(INDEX(LE_Curves!$B$5:$B$205,MATCH($B217,LE_Curves!$N$5:$N$205,1)+1)-INDEX(LE_Curves!$B$5:$B$205,MATCH($B217,LE_Curves!$N$5:$N$205,1)))/(INDEX(LE_Curves!$N$5:$N$205,MATCH($B217,LE_Curves!$N$5:$N$205,1)+1)-INDEX(LE_Curves!$N$5:$N$205,MATCH($B217,LE_Curves!$N$5:$N$205,1))))))</f>
        <v/>
      </c>
      <c r="O217" s="11">
        <f>SUM(C217:N217)</f>
        <v/>
      </c>
      <c r="Q217" s="7" t="n">
        <v>186</v>
      </c>
      <c r="R217" s="23">
        <f>$B$6+($B$7-$B$6)*Q217/200</f>
        <v/>
      </c>
      <c r="S217" s="11">
        <f>IF(Inputs!$D$23=0,0,IF($R217&lt;=Inputs!$C$23,0,IF($R217&gt;=INDEX(LE_Curves!$C$5:$C$205,201),INDEX(LE_Curves!$B$5:$B$205,201),INDEX(LE_Curves!$B$5:$B$205,MATCH($R217,LE_Curves!$C$5:$C$205,1))+($R217-INDEX(LE_Curves!$C$5:$C$205,MATCH($R217,LE_Curves!$C$5:$C$205,1)))*(INDEX(LE_Curves!$B$5:$B$205,MATCH($R217,LE_Curves!$C$5:$C$205,1)+1)-INDEX(LE_Curves!$B$5:$B$205,MATCH($R217,LE_Curves!$C$5:$C$205,1)))/(INDEX(LE_Curves!$C$5:$C$205,MATCH($R217,LE_Curves!$C$5:$C$205,1)+1)-INDEX(LE_Curves!$C$5:$C$205,MATCH($R217,LE_Curves!$C$5:$C$205,1))))))</f>
        <v/>
      </c>
      <c r="T217" s="11">
        <f>IF(Inputs!$D$24=0,0,IF($R217&lt;=Inputs!$C$24,0,IF($R217&gt;=INDEX(LE_Curves!$D$5:$D$205,201),INDEX(LE_Curves!$B$5:$B$205,201),INDEX(LE_Curves!$B$5:$B$205,MATCH($R217,LE_Curves!$D$5:$D$205,1))+($R217-INDEX(LE_Curves!$D$5:$D$205,MATCH($R217,LE_Curves!$D$5:$D$205,1)))*(INDEX(LE_Curves!$B$5:$B$205,MATCH($R217,LE_Curves!$D$5:$D$205,1)+1)-INDEX(LE_Curves!$B$5:$B$205,MATCH($R217,LE_Curves!$D$5:$D$205,1)))/(INDEX(LE_Curves!$D$5:$D$205,MATCH($R217,LE_Curves!$D$5:$D$205,1)+1)-INDEX(LE_Curves!$D$5:$D$205,MATCH($R217,LE_Curves!$D$5:$D$205,1))))))</f>
        <v/>
      </c>
      <c r="U217" s="11">
        <f>IF(Inputs!$D$25=0,0,IF($R217&lt;=Inputs!$C$25,0,IF($R217&gt;=INDEX(LE_Curves!$E$5:$E$205,201),INDEX(LE_Curves!$B$5:$B$205,201),INDEX(LE_Curves!$B$5:$B$205,MATCH($R217,LE_Curves!$E$5:$E$205,1))+($R217-INDEX(LE_Curves!$E$5:$E$205,MATCH($R217,LE_Curves!$E$5:$E$205,1)))*(INDEX(LE_Curves!$B$5:$B$205,MATCH($R217,LE_Curves!$E$5:$E$205,1)+1)-INDEX(LE_Curves!$B$5:$B$205,MATCH($R217,LE_Curves!$E$5:$E$205,1)))/(INDEX(LE_Curves!$E$5:$E$205,MATCH($R217,LE_Curves!$E$5:$E$205,1)+1)-INDEX(LE_Curves!$E$5:$E$205,MATCH($R217,LE_Curves!$E$5:$E$205,1))))))</f>
        <v/>
      </c>
      <c r="V217" s="11">
        <f>IF(Inputs!$D$26=0,0,IF($R217&lt;=Inputs!$C$26,0,IF($R217&gt;=INDEX(LE_Curves!$F$5:$F$205,201),INDEX(LE_Curves!$B$5:$B$205,201),INDEX(LE_Curves!$B$5:$B$205,MATCH($R217,LE_Curves!$F$5:$F$205,1))+($R217-INDEX(LE_Curves!$F$5:$F$205,MATCH($R217,LE_Curves!$F$5:$F$205,1)))*(INDEX(LE_Curves!$B$5:$B$205,MATCH($R217,LE_Curves!$F$5:$F$205,1)+1)-INDEX(LE_Curves!$B$5:$B$205,MATCH($R217,LE_Curves!$F$5:$F$205,1)))/(INDEX(LE_Curves!$F$5:$F$205,MATCH($R217,LE_Curves!$F$5:$F$205,1)+1)-INDEX(LE_Curves!$F$5:$F$205,MATCH($R217,LE_Curves!$F$5:$F$205,1))))))</f>
        <v/>
      </c>
      <c r="W217" s="11">
        <f>IF(Inputs!$D$27=0,0,IF($R217&lt;=Inputs!$C$27,0,IF($R217&gt;=INDEX(LE_Curves!$G$5:$G$205,201),INDEX(LE_Curves!$B$5:$B$205,201),INDEX(LE_Curves!$B$5:$B$205,MATCH($R217,LE_Curves!$G$5:$G$205,1))+($R217-INDEX(LE_Curves!$G$5:$G$205,MATCH($R217,LE_Curves!$G$5:$G$205,1)))*(INDEX(LE_Curves!$B$5:$B$205,MATCH($R217,LE_Curves!$G$5:$G$205,1)+1)-INDEX(LE_Curves!$B$5:$B$205,MATCH($R217,LE_Curves!$G$5:$G$205,1)))/(INDEX(LE_Curves!$G$5:$G$205,MATCH($R217,LE_Curves!$G$5:$G$205,1)+1)-INDEX(LE_Curves!$G$5:$G$205,MATCH($R217,LE_Curves!$G$5:$G$205,1))))))</f>
        <v/>
      </c>
      <c r="X217" s="11">
        <f>IF(Inputs!$D$28=0,0,IF($R217&lt;=Inputs!$C$28,0,IF($R217&gt;=INDEX(LE_Curves!$H$5:$H$205,201),INDEX(LE_Curves!$B$5:$B$205,201),INDEX(LE_Curves!$B$5:$B$205,MATCH($R217,LE_Curves!$H$5:$H$205,1))+($R217-INDEX(LE_Curves!$H$5:$H$205,MATCH($R217,LE_Curves!$H$5:$H$205,1)))*(INDEX(LE_Curves!$B$5:$B$205,MATCH($R217,LE_Curves!$H$5:$H$205,1)+1)-INDEX(LE_Curves!$B$5:$B$205,MATCH($R217,LE_Curves!$H$5:$H$205,1)))/(INDEX(LE_Curves!$H$5:$H$205,MATCH($R217,LE_Curves!$H$5:$H$205,1)+1)-INDEX(LE_Curves!$H$5:$H$205,MATCH($R217,LE_Curves!$H$5:$H$205,1))))))</f>
        <v/>
      </c>
      <c r="Y217" s="11">
        <f>IF(Inputs!$D$29=0,0,IF($R217&lt;=Inputs!$C$29,0,IF($R217&gt;=INDEX(LE_Curves!$I$5:$I$205,201),INDEX(LE_Curves!$B$5:$B$205,201),INDEX(LE_Curves!$B$5:$B$205,MATCH($R217,LE_Curves!$I$5:$I$205,1))+($R217-INDEX(LE_Curves!$I$5:$I$205,MATCH($R217,LE_Curves!$I$5:$I$205,1)))*(INDEX(LE_Curves!$B$5:$B$205,MATCH($R217,LE_Curves!$I$5:$I$205,1)+1)-INDEX(LE_Curves!$B$5:$B$205,MATCH($R217,LE_Curves!$I$5:$I$205,1)))/(INDEX(LE_Curves!$I$5:$I$205,MATCH($R217,LE_Curves!$I$5:$I$205,1)+1)-INDEX(LE_Curves!$I$5:$I$205,MATCH($R217,LE_Curves!$I$5:$I$205,1))))))</f>
        <v/>
      </c>
      <c r="Z217" s="11">
        <f>IF(Inputs!$D$30=0,0,IF($R217&lt;=Inputs!$C$30,0,IF($R217&gt;=INDEX(LE_Curves!$J$5:$J$205,201),INDEX(LE_Curves!$B$5:$B$205,201),INDEX(LE_Curves!$B$5:$B$205,MATCH($R217,LE_Curves!$J$5:$J$205,1))+($R217-INDEX(LE_Curves!$J$5:$J$205,MATCH($R217,LE_Curves!$J$5:$J$205,1)))*(INDEX(LE_Curves!$B$5:$B$205,MATCH($R217,LE_Curves!$J$5:$J$205,1)+1)-INDEX(LE_Curves!$B$5:$B$205,MATCH($R217,LE_Curves!$J$5:$J$205,1)))/(INDEX(LE_Curves!$J$5:$J$205,MATCH($R217,LE_Curves!$J$5:$J$205,1)+1)-INDEX(LE_Curves!$J$5:$J$205,MATCH($R217,LE_Curves!$J$5:$J$205,1))))))</f>
        <v/>
      </c>
      <c r="AA217" s="11">
        <f>IF(Inputs!$D$31=0,0,IF($R217&lt;=Inputs!$C$31,0,IF($R217&gt;=INDEX(LE_Curves!$K$5:$K$205,201),INDEX(LE_Curves!$B$5:$B$205,201),INDEX(LE_Curves!$B$5:$B$205,MATCH($R217,LE_Curves!$K$5:$K$205,1))+($R217-INDEX(LE_Curves!$K$5:$K$205,MATCH($R217,LE_Curves!$K$5:$K$205,1)))*(INDEX(LE_Curves!$B$5:$B$205,MATCH($R217,LE_Curves!$K$5:$K$205,1)+1)-INDEX(LE_Curves!$B$5:$B$205,MATCH($R217,LE_Curves!$K$5:$K$205,1)))/(INDEX(LE_Curves!$K$5:$K$205,MATCH($R217,LE_Curves!$K$5:$K$205,1)+1)-INDEX(LE_Curves!$K$5:$K$205,MATCH($R217,LE_Curves!$K$5:$K$205,1))))))</f>
        <v/>
      </c>
      <c r="AB217" s="11">
        <f>IF(Inputs!$D$32=0,0,IF($R217&lt;=Inputs!$C$32,0,IF($R217&gt;=INDEX(LE_Curves!$L$5:$L$205,201),INDEX(LE_Curves!$B$5:$B$205,201),INDEX(LE_Curves!$B$5:$B$205,MATCH($R217,LE_Curves!$L$5:$L$205,1))+($R217-INDEX(LE_Curves!$L$5:$L$205,MATCH($R217,LE_Curves!$L$5:$L$205,1)))*(INDEX(LE_Curves!$B$5:$B$205,MATCH($R217,LE_Curves!$L$5:$L$205,1)+1)-INDEX(LE_Curves!$B$5:$B$205,MATCH($R217,LE_Curves!$L$5:$L$205,1)))/(INDEX(LE_Curves!$L$5:$L$205,MATCH($R217,LE_Curves!$L$5:$L$205,1)+1)-INDEX(LE_Curves!$L$5:$L$205,MATCH($R217,LE_Curves!$L$5:$L$205,1))))))</f>
        <v/>
      </c>
      <c r="AC217" s="11">
        <f>IF(Inputs!$D$33=0,0,IF($R217&lt;=Inputs!$C$33,0,IF($R217&gt;=INDEX(LE_Curves!$M$5:$M$205,201),INDEX(LE_Curves!$B$5:$B$205,201),INDEX(LE_Curves!$B$5:$B$205,MATCH($R217,LE_Curves!$M$5:$M$205,1))+($R217-INDEX(LE_Curves!$M$5:$M$205,MATCH($R217,LE_Curves!$M$5:$M$205,1)))*(INDEX(LE_Curves!$B$5:$B$205,MATCH($R217,LE_Curves!$M$5:$M$205,1)+1)-INDEX(LE_Curves!$B$5:$B$205,MATCH($R217,LE_Curves!$M$5:$M$205,1)))/(INDEX(LE_Curves!$M$5:$M$205,MATCH($R217,LE_Curves!$M$5:$M$205,1)+1)-INDEX(LE_Curves!$M$5:$M$205,MATCH($R217,LE_Curves!$M$5:$M$205,1))))))</f>
        <v/>
      </c>
      <c r="AD217" s="11">
        <f>IF(Inputs!$D$34=0,0,IF($R217&lt;=Inputs!$C$34,0,IF($R217&gt;=INDEX(LE_Curves!$N$5:$N$205,201),INDEX(LE_Curves!$B$5:$B$205,201),INDEX(LE_Curves!$B$5:$B$205,MATCH($R217,LE_Curves!$N$5:$N$205,1))+($R217-INDEX(LE_Curves!$N$5:$N$205,MATCH($R217,LE_Curves!$N$5:$N$205,1)))*(INDEX(LE_Curves!$B$5:$B$205,MATCH($R217,LE_Curves!$N$5:$N$205,1)+1)-INDEX(LE_Curves!$B$5:$B$205,MATCH($R217,LE_Curves!$N$5:$N$205,1)))/(INDEX(LE_Curves!$N$5:$N$205,MATCH($R217,LE_Curves!$N$5:$N$205,1)+1)-INDEX(LE_Curves!$N$5:$N$205,MATCH($R217,LE_Curves!$N$5:$N$205,1))))))</f>
        <v/>
      </c>
      <c r="AE217" s="37">
        <f>SUM(S217:AD217)</f>
        <v/>
      </c>
    </row>
    <row r="218">
      <c r="A218" s="7" t="n">
        <v>187</v>
      </c>
      <c r="B218" s="37">
        <f>$B$3+($B$4-$B$3)*A218/200</f>
        <v/>
      </c>
      <c r="C218" s="11">
        <f>IF(Inputs!$D$23=0,0,IF($B218&lt;=Inputs!$C$23,0,IF($B218&gt;=INDEX(LE_Curves!$C$5:$C$205,201),INDEX(LE_Curves!$B$5:$B$205,201),INDEX(LE_Curves!$B$5:$B$205,MATCH($B218,LE_Curves!$C$5:$C$205,1))+($B218-INDEX(LE_Curves!$C$5:$C$205,MATCH($B218,LE_Curves!$C$5:$C$205,1)))*(INDEX(LE_Curves!$B$5:$B$205,MATCH($B218,LE_Curves!$C$5:$C$205,1)+1)-INDEX(LE_Curves!$B$5:$B$205,MATCH($B218,LE_Curves!$C$5:$C$205,1)))/(INDEX(LE_Curves!$C$5:$C$205,MATCH($B218,LE_Curves!$C$5:$C$205,1)+1)-INDEX(LE_Curves!$C$5:$C$205,MATCH($B218,LE_Curves!$C$5:$C$205,1))))))</f>
        <v/>
      </c>
      <c r="D218" s="11">
        <f>IF(Inputs!$D$24=0,0,IF($B218&lt;=Inputs!$C$24,0,IF($B218&gt;=INDEX(LE_Curves!$D$5:$D$205,201),INDEX(LE_Curves!$B$5:$B$205,201),INDEX(LE_Curves!$B$5:$B$205,MATCH($B218,LE_Curves!$D$5:$D$205,1))+($B218-INDEX(LE_Curves!$D$5:$D$205,MATCH($B218,LE_Curves!$D$5:$D$205,1)))*(INDEX(LE_Curves!$B$5:$B$205,MATCH($B218,LE_Curves!$D$5:$D$205,1)+1)-INDEX(LE_Curves!$B$5:$B$205,MATCH($B218,LE_Curves!$D$5:$D$205,1)))/(INDEX(LE_Curves!$D$5:$D$205,MATCH($B218,LE_Curves!$D$5:$D$205,1)+1)-INDEX(LE_Curves!$D$5:$D$205,MATCH($B218,LE_Curves!$D$5:$D$205,1))))))</f>
        <v/>
      </c>
      <c r="E218" s="11">
        <f>IF(Inputs!$D$25=0,0,IF($B218&lt;=Inputs!$C$25,0,IF($B218&gt;=INDEX(LE_Curves!$E$5:$E$205,201),INDEX(LE_Curves!$B$5:$B$205,201),INDEX(LE_Curves!$B$5:$B$205,MATCH($B218,LE_Curves!$E$5:$E$205,1))+($B218-INDEX(LE_Curves!$E$5:$E$205,MATCH($B218,LE_Curves!$E$5:$E$205,1)))*(INDEX(LE_Curves!$B$5:$B$205,MATCH($B218,LE_Curves!$E$5:$E$205,1)+1)-INDEX(LE_Curves!$B$5:$B$205,MATCH($B218,LE_Curves!$E$5:$E$205,1)))/(INDEX(LE_Curves!$E$5:$E$205,MATCH($B218,LE_Curves!$E$5:$E$205,1)+1)-INDEX(LE_Curves!$E$5:$E$205,MATCH($B218,LE_Curves!$E$5:$E$205,1))))))</f>
        <v/>
      </c>
      <c r="F218" s="11">
        <f>IF(Inputs!$D$26=0,0,IF($B218&lt;=Inputs!$C$26,0,IF($B218&gt;=INDEX(LE_Curves!$F$5:$F$205,201),INDEX(LE_Curves!$B$5:$B$205,201),INDEX(LE_Curves!$B$5:$B$205,MATCH($B218,LE_Curves!$F$5:$F$205,1))+($B218-INDEX(LE_Curves!$F$5:$F$205,MATCH($B218,LE_Curves!$F$5:$F$205,1)))*(INDEX(LE_Curves!$B$5:$B$205,MATCH($B218,LE_Curves!$F$5:$F$205,1)+1)-INDEX(LE_Curves!$B$5:$B$205,MATCH($B218,LE_Curves!$F$5:$F$205,1)))/(INDEX(LE_Curves!$F$5:$F$205,MATCH($B218,LE_Curves!$F$5:$F$205,1)+1)-INDEX(LE_Curves!$F$5:$F$205,MATCH($B218,LE_Curves!$F$5:$F$205,1))))))</f>
        <v/>
      </c>
      <c r="G218" s="11">
        <f>IF(Inputs!$D$27=0,0,IF($B218&lt;=Inputs!$C$27,0,IF($B218&gt;=INDEX(LE_Curves!$G$5:$G$205,201),INDEX(LE_Curves!$B$5:$B$205,201),INDEX(LE_Curves!$B$5:$B$205,MATCH($B218,LE_Curves!$G$5:$G$205,1))+($B218-INDEX(LE_Curves!$G$5:$G$205,MATCH($B218,LE_Curves!$G$5:$G$205,1)))*(INDEX(LE_Curves!$B$5:$B$205,MATCH($B218,LE_Curves!$G$5:$G$205,1)+1)-INDEX(LE_Curves!$B$5:$B$205,MATCH($B218,LE_Curves!$G$5:$G$205,1)))/(INDEX(LE_Curves!$G$5:$G$205,MATCH($B218,LE_Curves!$G$5:$G$205,1)+1)-INDEX(LE_Curves!$G$5:$G$205,MATCH($B218,LE_Curves!$G$5:$G$205,1))))))</f>
        <v/>
      </c>
      <c r="H218" s="11">
        <f>IF(Inputs!$D$28=0,0,IF($B218&lt;=Inputs!$C$28,0,IF($B218&gt;=INDEX(LE_Curves!$H$5:$H$205,201),INDEX(LE_Curves!$B$5:$B$205,201),INDEX(LE_Curves!$B$5:$B$205,MATCH($B218,LE_Curves!$H$5:$H$205,1))+($B218-INDEX(LE_Curves!$H$5:$H$205,MATCH($B218,LE_Curves!$H$5:$H$205,1)))*(INDEX(LE_Curves!$B$5:$B$205,MATCH($B218,LE_Curves!$H$5:$H$205,1)+1)-INDEX(LE_Curves!$B$5:$B$205,MATCH($B218,LE_Curves!$H$5:$H$205,1)))/(INDEX(LE_Curves!$H$5:$H$205,MATCH($B218,LE_Curves!$H$5:$H$205,1)+1)-INDEX(LE_Curves!$H$5:$H$205,MATCH($B218,LE_Curves!$H$5:$H$205,1))))))</f>
        <v/>
      </c>
      <c r="I218" s="11">
        <f>IF(Inputs!$D$29=0,0,IF($B218&lt;=Inputs!$C$29,0,IF($B218&gt;=INDEX(LE_Curves!$I$5:$I$205,201),INDEX(LE_Curves!$B$5:$B$205,201),INDEX(LE_Curves!$B$5:$B$205,MATCH($B218,LE_Curves!$I$5:$I$205,1))+($B218-INDEX(LE_Curves!$I$5:$I$205,MATCH($B218,LE_Curves!$I$5:$I$205,1)))*(INDEX(LE_Curves!$B$5:$B$205,MATCH($B218,LE_Curves!$I$5:$I$205,1)+1)-INDEX(LE_Curves!$B$5:$B$205,MATCH($B218,LE_Curves!$I$5:$I$205,1)))/(INDEX(LE_Curves!$I$5:$I$205,MATCH($B218,LE_Curves!$I$5:$I$205,1)+1)-INDEX(LE_Curves!$I$5:$I$205,MATCH($B218,LE_Curves!$I$5:$I$205,1))))))</f>
        <v/>
      </c>
      <c r="J218" s="11">
        <f>IF(Inputs!$D$30=0,0,IF($B218&lt;=Inputs!$C$30,0,IF($B218&gt;=INDEX(LE_Curves!$J$5:$J$205,201),INDEX(LE_Curves!$B$5:$B$205,201),INDEX(LE_Curves!$B$5:$B$205,MATCH($B218,LE_Curves!$J$5:$J$205,1))+($B218-INDEX(LE_Curves!$J$5:$J$205,MATCH($B218,LE_Curves!$J$5:$J$205,1)))*(INDEX(LE_Curves!$B$5:$B$205,MATCH($B218,LE_Curves!$J$5:$J$205,1)+1)-INDEX(LE_Curves!$B$5:$B$205,MATCH($B218,LE_Curves!$J$5:$J$205,1)))/(INDEX(LE_Curves!$J$5:$J$205,MATCH($B218,LE_Curves!$J$5:$J$205,1)+1)-INDEX(LE_Curves!$J$5:$J$205,MATCH($B218,LE_Curves!$J$5:$J$205,1))))))</f>
        <v/>
      </c>
      <c r="K218" s="11">
        <f>IF(Inputs!$D$31=0,0,IF($B218&lt;=Inputs!$C$31,0,IF($B218&gt;=INDEX(LE_Curves!$K$5:$K$205,201),INDEX(LE_Curves!$B$5:$B$205,201),INDEX(LE_Curves!$B$5:$B$205,MATCH($B218,LE_Curves!$K$5:$K$205,1))+($B218-INDEX(LE_Curves!$K$5:$K$205,MATCH($B218,LE_Curves!$K$5:$K$205,1)))*(INDEX(LE_Curves!$B$5:$B$205,MATCH($B218,LE_Curves!$K$5:$K$205,1)+1)-INDEX(LE_Curves!$B$5:$B$205,MATCH($B218,LE_Curves!$K$5:$K$205,1)))/(INDEX(LE_Curves!$K$5:$K$205,MATCH($B218,LE_Curves!$K$5:$K$205,1)+1)-INDEX(LE_Curves!$K$5:$K$205,MATCH($B218,LE_Curves!$K$5:$K$205,1))))))</f>
        <v/>
      </c>
      <c r="L218" s="11">
        <f>IF(Inputs!$D$32=0,0,IF($B218&lt;=Inputs!$C$32,0,IF($B218&gt;=INDEX(LE_Curves!$L$5:$L$205,201),INDEX(LE_Curves!$B$5:$B$205,201),INDEX(LE_Curves!$B$5:$B$205,MATCH($B218,LE_Curves!$L$5:$L$205,1))+($B218-INDEX(LE_Curves!$L$5:$L$205,MATCH($B218,LE_Curves!$L$5:$L$205,1)))*(INDEX(LE_Curves!$B$5:$B$205,MATCH($B218,LE_Curves!$L$5:$L$205,1)+1)-INDEX(LE_Curves!$B$5:$B$205,MATCH($B218,LE_Curves!$L$5:$L$205,1)))/(INDEX(LE_Curves!$L$5:$L$205,MATCH($B218,LE_Curves!$L$5:$L$205,1)+1)-INDEX(LE_Curves!$L$5:$L$205,MATCH($B218,LE_Curves!$L$5:$L$205,1))))))</f>
        <v/>
      </c>
      <c r="M218" s="11">
        <f>IF(Inputs!$D$33=0,0,IF($B218&lt;=Inputs!$C$33,0,IF($B218&gt;=INDEX(LE_Curves!$M$5:$M$205,201),INDEX(LE_Curves!$B$5:$B$205,201),INDEX(LE_Curves!$B$5:$B$205,MATCH($B218,LE_Curves!$M$5:$M$205,1))+($B218-INDEX(LE_Curves!$M$5:$M$205,MATCH($B218,LE_Curves!$M$5:$M$205,1)))*(INDEX(LE_Curves!$B$5:$B$205,MATCH($B218,LE_Curves!$M$5:$M$205,1)+1)-INDEX(LE_Curves!$B$5:$B$205,MATCH($B218,LE_Curves!$M$5:$M$205,1)))/(INDEX(LE_Curves!$M$5:$M$205,MATCH($B218,LE_Curves!$M$5:$M$205,1)+1)-INDEX(LE_Curves!$M$5:$M$205,MATCH($B218,LE_Curves!$M$5:$M$205,1))))))</f>
        <v/>
      </c>
      <c r="N218" s="11">
        <f>IF(Inputs!$D$34=0,0,IF($B218&lt;=Inputs!$C$34,0,IF($B218&gt;=INDEX(LE_Curves!$N$5:$N$205,201),INDEX(LE_Curves!$B$5:$B$205,201),INDEX(LE_Curves!$B$5:$B$205,MATCH($B218,LE_Curves!$N$5:$N$205,1))+($B218-INDEX(LE_Curves!$N$5:$N$205,MATCH($B218,LE_Curves!$N$5:$N$205,1)))*(INDEX(LE_Curves!$B$5:$B$205,MATCH($B218,LE_Curves!$N$5:$N$205,1)+1)-INDEX(LE_Curves!$B$5:$B$205,MATCH($B218,LE_Curves!$N$5:$N$205,1)))/(INDEX(LE_Curves!$N$5:$N$205,MATCH($B218,LE_Curves!$N$5:$N$205,1)+1)-INDEX(LE_Curves!$N$5:$N$205,MATCH($B218,LE_Curves!$N$5:$N$205,1))))))</f>
        <v/>
      </c>
      <c r="O218" s="11">
        <f>SUM(C218:N218)</f>
        <v/>
      </c>
      <c r="Q218" s="7" t="n">
        <v>187</v>
      </c>
      <c r="R218" s="23">
        <f>$B$6+($B$7-$B$6)*Q218/200</f>
        <v/>
      </c>
      <c r="S218" s="11">
        <f>IF(Inputs!$D$23=0,0,IF($R218&lt;=Inputs!$C$23,0,IF($R218&gt;=INDEX(LE_Curves!$C$5:$C$205,201),INDEX(LE_Curves!$B$5:$B$205,201),INDEX(LE_Curves!$B$5:$B$205,MATCH($R218,LE_Curves!$C$5:$C$205,1))+($R218-INDEX(LE_Curves!$C$5:$C$205,MATCH($R218,LE_Curves!$C$5:$C$205,1)))*(INDEX(LE_Curves!$B$5:$B$205,MATCH($R218,LE_Curves!$C$5:$C$205,1)+1)-INDEX(LE_Curves!$B$5:$B$205,MATCH($R218,LE_Curves!$C$5:$C$205,1)))/(INDEX(LE_Curves!$C$5:$C$205,MATCH($R218,LE_Curves!$C$5:$C$205,1)+1)-INDEX(LE_Curves!$C$5:$C$205,MATCH($R218,LE_Curves!$C$5:$C$205,1))))))</f>
        <v/>
      </c>
      <c r="T218" s="11">
        <f>IF(Inputs!$D$24=0,0,IF($R218&lt;=Inputs!$C$24,0,IF($R218&gt;=INDEX(LE_Curves!$D$5:$D$205,201),INDEX(LE_Curves!$B$5:$B$205,201),INDEX(LE_Curves!$B$5:$B$205,MATCH($R218,LE_Curves!$D$5:$D$205,1))+($R218-INDEX(LE_Curves!$D$5:$D$205,MATCH($R218,LE_Curves!$D$5:$D$205,1)))*(INDEX(LE_Curves!$B$5:$B$205,MATCH($R218,LE_Curves!$D$5:$D$205,1)+1)-INDEX(LE_Curves!$B$5:$B$205,MATCH($R218,LE_Curves!$D$5:$D$205,1)))/(INDEX(LE_Curves!$D$5:$D$205,MATCH($R218,LE_Curves!$D$5:$D$205,1)+1)-INDEX(LE_Curves!$D$5:$D$205,MATCH($R218,LE_Curves!$D$5:$D$205,1))))))</f>
        <v/>
      </c>
      <c r="U218" s="11">
        <f>IF(Inputs!$D$25=0,0,IF($R218&lt;=Inputs!$C$25,0,IF($R218&gt;=INDEX(LE_Curves!$E$5:$E$205,201),INDEX(LE_Curves!$B$5:$B$205,201),INDEX(LE_Curves!$B$5:$B$205,MATCH($R218,LE_Curves!$E$5:$E$205,1))+($R218-INDEX(LE_Curves!$E$5:$E$205,MATCH($R218,LE_Curves!$E$5:$E$205,1)))*(INDEX(LE_Curves!$B$5:$B$205,MATCH($R218,LE_Curves!$E$5:$E$205,1)+1)-INDEX(LE_Curves!$B$5:$B$205,MATCH($R218,LE_Curves!$E$5:$E$205,1)))/(INDEX(LE_Curves!$E$5:$E$205,MATCH($R218,LE_Curves!$E$5:$E$205,1)+1)-INDEX(LE_Curves!$E$5:$E$205,MATCH($R218,LE_Curves!$E$5:$E$205,1))))))</f>
        <v/>
      </c>
      <c r="V218" s="11">
        <f>IF(Inputs!$D$26=0,0,IF($R218&lt;=Inputs!$C$26,0,IF($R218&gt;=INDEX(LE_Curves!$F$5:$F$205,201),INDEX(LE_Curves!$B$5:$B$205,201),INDEX(LE_Curves!$B$5:$B$205,MATCH($R218,LE_Curves!$F$5:$F$205,1))+($R218-INDEX(LE_Curves!$F$5:$F$205,MATCH($R218,LE_Curves!$F$5:$F$205,1)))*(INDEX(LE_Curves!$B$5:$B$205,MATCH($R218,LE_Curves!$F$5:$F$205,1)+1)-INDEX(LE_Curves!$B$5:$B$205,MATCH($R218,LE_Curves!$F$5:$F$205,1)))/(INDEX(LE_Curves!$F$5:$F$205,MATCH($R218,LE_Curves!$F$5:$F$205,1)+1)-INDEX(LE_Curves!$F$5:$F$205,MATCH($R218,LE_Curves!$F$5:$F$205,1))))))</f>
        <v/>
      </c>
      <c r="W218" s="11">
        <f>IF(Inputs!$D$27=0,0,IF($R218&lt;=Inputs!$C$27,0,IF($R218&gt;=INDEX(LE_Curves!$G$5:$G$205,201),INDEX(LE_Curves!$B$5:$B$205,201),INDEX(LE_Curves!$B$5:$B$205,MATCH($R218,LE_Curves!$G$5:$G$205,1))+($R218-INDEX(LE_Curves!$G$5:$G$205,MATCH($R218,LE_Curves!$G$5:$G$205,1)))*(INDEX(LE_Curves!$B$5:$B$205,MATCH($R218,LE_Curves!$G$5:$G$205,1)+1)-INDEX(LE_Curves!$B$5:$B$205,MATCH($R218,LE_Curves!$G$5:$G$205,1)))/(INDEX(LE_Curves!$G$5:$G$205,MATCH($R218,LE_Curves!$G$5:$G$205,1)+1)-INDEX(LE_Curves!$G$5:$G$205,MATCH($R218,LE_Curves!$G$5:$G$205,1))))))</f>
        <v/>
      </c>
      <c r="X218" s="11">
        <f>IF(Inputs!$D$28=0,0,IF($R218&lt;=Inputs!$C$28,0,IF($R218&gt;=INDEX(LE_Curves!$H$5:$H$205,201),INDEX(LE_Curves!$B$5:$B$205,201),INDEX(LE_Curves!$B$5:$B$205,MATCH($R218,LE_Curves!$H$5:$H$205,1))+($R218-INDEX(LE_Curves!$H$5:$H$205,MATCH($R218,LE_Curves!$H$5:$H$205,1)))*(INDEX(LE_Curves!$B$5:$B$205,MATCH($R218,LE_Curves!$H$5:$H$205,1)+1)-INDEX(LE_Curves!$B$5:$B$205,MATCH($R218,LE_Curves!$H$5:$H$205,1)))/(INDEX(LE_Curves!$H$5:$H$205,MATCH($R218,LE_Curves!$H$5:$H$205,1)+1)-INDEX(LE_Curves!$H$5:$H$205,MATCH($R218,LE_Curves!$H$5:$H$205,1))))))</f>
        <v/>
      </c>
      <c r="Y218" s="11">
        <f>IF(Inputs!$D$29=0,0,IF($R218&lt;=Inputs!$C$29,0,IF($R218&gt;=INDEX(LE_Curves!$I$5:$I$205,201),INDEX(LE_Curves!$B$5:$B$205,201),INDEX(LE_Curves!$B$5:$B$205,MATCH($R218,LE_Curves!$I$5:$I$205,1))+($R218-INDEX(LE_Curves!$I$5:$I$205,MATCH($R218,LE_Curves!$I$5:$I$205,1)))*(INDEX(LE_Curves!$B$5:$B$205,MATCH($R218,LE_Curves!$I$5:$I$205,1)+1)-INDEX(LE_Curves!$B$5:$B$205,MATCH($R218,LE_Curves!$I$5:$I$205,1)))/(INDEX(LE_Curves!$I$5:$I$205,MATCH($R218,LE_Curves!$I$5:$I$205,1)+1)-INDEX(LE_Curves!$I$5:$I$205,MATCH($R218,LE_Curves!$I$5:$I$205,1))))))</f>
        <v/>
      </c>
      <c r="Z218" s="11">
        <f>IF(Inputs!$D$30=0,0,IF($R218&lt;=Inputs!$C$30,0,IF($R218&gt;=INDEX(LE_Curves!$J$5:$J$205,201),INDEX(LE_Curves!$B$5:$B$205,201),INDEX(LE_Curves!$B$5:$B$205,MATCH($R218,LE_Curves!$J$5:$J$205,1))+($R218-INDEX(LE_Curves!$J$5:$J$205,MATCH($R218,LE_Curves!$J$5:$J$205,1)))*(INDEX(LE_Curves!$B$5:$B$205,MATCH($R218,LE_Curves!$J$5:$J$205,1)+1)-INDEX(LE_Curves!$B$5:$B$205,MATCH($R218,LE_Curves!$J$5:$J$205,1)))/(INDEX(LE_Curves!$J$5:$J$205,MATCH($R218,LE_Curves!$J$5:$J$205,1)+1)-INDEX(LE_Curves!$J$5:$J$205,MATCH($R218,LE_Curves!$J$5:$J$205,1))))))</f>
        <v/>
      </c>
      <c r="AA218" s="11">
        <f>IF(Inputs!$D$31=0,0,IF($R218&lt;=Inputs!$C$31,0,IF($R218&gt;=INDEX(LE_Curves!$K$5:$K$205,201),INDEX(LE_Curves!$B$5:$B$205,201),INDEX(LE_Curves!$B$5:$B$205,MATCH($R218,LE_Curves!$K$5:$K$205,1))+($R218-INDEX(LE_Curves!$K$5:$K$205,MATCH($R218,LE_Curves!$K$5:$K$205,1)))*(INDEX(LE_Curves!$B$5:$B$205,MATCH($R218,LE_Curves!$K$5:$K$205,1)+1)-INDEX(LE_Curves!$B$5:$B$205,MATCH($R218,LE_Curves!$K$5:$K$205,1)))/(INDEX(LE_Curves!$K$5:$K$205,MATCH($R218,LE_Curves!$K$5:$K$205,1)+1)-INDEX(LE_Curves!$K$5:$K$205,MATCH($R218,LE_Curves!$K$5:$K$205,1))))))</f>
        <v/>
      </c>
      <c r="AB218" s="11">
        <f>IF(Inputs!$D$32=0,0,IF($R218&lt;=Inputs!$C$32,0,IF($R218&gt;=INDEX(LE_Curves!$L$5:$L$205,201),INDEX(LE_Curves!$B$5:$B$205,201),INDEX(LE_Curves!$B$5:$B$205,MATCH($R218,LE_Curves!$L$5:$L$205,1))+($R218-INDEX(LE_Curves!$L$5:$L$205,MATCH($R218,LE_Curves!$L$5:$L$205,1)))*(INDEX(LE_Curves!$B$5:$B$205,MATCH($R218,LE_Curves!$L$5:$L$205,1)+1)-INDEX(LE_Curves!$B$5:$B$205,MATCH($R218,LE_Curves!$L$5:$L$205,1)))/(INDEX(LE_Curves!$L$5:$L$205,MATCH($R218,LE_Curves!$L$5:$L$205,1)+1)-INDEX(LE_Curves!$L$5:$L$205,MATCH($R218,LE_Curves!$L$5:$L$205,1))))))</f>
        <v/>
      </c>
      <c r="AC218" s="11">
        <f>IF(Inputs!$D$33=0,0,IF($R218&lt;=Inputs!$C$33,0,IF($R218&gt;=INDEX(LE_Curves!$M$5:$M$205,201),INDEX(LE_Curves!$B$5:$B$205,201),INDEX(LE_Curves!$B$5:$B$205,MATCH($R218,LE_Curves!$M$5:$M$205,1))+($R218-INDEX(LE_Curves!$M$5:$M$205,MATCH($R218,LE_Curves!$M$5:$M$205,1)))*(INDEX(LE_Curves!$B$5:$B$205,MATCH($R218,LE_Curves!$M$5:$M$205,1)+1)-INDEX(LE_Curves!$B$5:$B$205,MATCH($R218,LE_Curves!$M$5:$M$205,1)))/(INDEX(LE_Curves!$M$5:$M$205,MATCH($R218,LE_Curves!$M$5:$M$205,1)+1)-INDEX(LE_Curves!$M$5:$M$205,MATCH($R218,LE_Curves!$M$5:$M$205,1))))))</f>
        <v/>
      </c>
      <c r="AD218" s="11">
        <f>IF(Inputs!$D$34=0,0,IF($R218&lt;=Inputs!$C$34,0,IF($R218&gt;=INDEX(LE_Curves!$N$5:$N$205,201),INDEX(LE_Curves!$B$5:$B$205,201),INDEX(LE_Curves!$B$5:$B$205,MATCH($R218,LE_Curves!$N$5:$N$205,1))+($R218-INDEX(LE_Curves!$N$5:$N$205,MATCH($R218,LE_Curves!$N$5:$N$205,1)))*(INDEX(LE_Curves!$B$5:$B$205,MATCH($R218,LE_Curves!$N$5:$N$205,1)+1)-INDEX(LE_Curves!$B$5:$B$205,MATCH($R218,LE_Curves!$N$5:$N$205,1)))/(INDEX(LE_Curves!$N$5:$N$205,MATCH($R218,LE_Curves!$N$5:$N$205,1)+1)-INDEX(LE_Curves!$N$5:$N$205,MATCH($R218,LE_Curves!$N$5:$N$205,1))))))</f>
        <v/>
      </c>
      <c r="AE218" s="37">
        <f>SUM(S218:AD218)</f>
        <v/>
      </c>
    </row>
    <row r="219">
      <c r="A219" s="7" t="n">
        <v>188</v>
      </c>
      <c r="B219" s="37">
        <f>$B$3+($B$4-$B$3)*A219/200</f>
        <v/>
      </c>
      <c r="C219" s="11">
        <f>IF(Inputs!$D$23=0,0,IF($B219&lt;=Inputs!$C$23,0,IF($B219&gt;=INDEX(LE_Curves!$C$5:$C$205,201),INDEX(LE_Curves!$B$5:$B$205,201),INDEX(LE_Curves!$B$5:$B$205,MATCH($B219,LE_Curves!$C$5:$C$205,1))+($B219-INDEX(LE_Curves!$C$5:$C$205,MATCH($B219,LE_Curves!$C$5:$C$205,1)))*(INDEX(LE_Curves!$B$5:$B$205,MATCH($B219,LE_Curves!$C$5:$C$205,1)+1)-INDEX(LE_Curves!$B$5:$B$205,MATCH($B219,LE_Curves!$C$5:$C$205,1)))/(INDEX(LE_Curves!$C$5:$C$205,MATCH($B219,LE_Curves!$C$5:$C$205,1)+1)-INDEX(LE_Curves!$C$5:$C$205,MATCH($B219,LE_Curves!$C$5:$C$205,1))))))</f>
        <v/>
      </c>
      <c r="D219" s="11">
        <f>IF(Inputs!$D$24=0,0,IF($B219&lt;=Inputs!$C$24,0,IF($B219&gt;=INDEX(LE_Curves!$D$5:$D$205,201),INDEX(LE_Curves!$B$5:$B$205,201),INDEX(LE_Curves!$B$5:$B$205,MATCH($B219,LE_Curves!$D$5:$D$205,1))+($B219-INDEX(LE_Curves!$D$5:$D$205,MATCH($B219,LE_Curves!$D$5:$D$205,1)))*(INDEX(LE_Curves!$B$5:$B$205,MATCH($B219,LE_Curves!$D$5:$D$205,1)+1)-INDEX(LE_Curves!$B$5:$B$205,MATCH($B219,LE_Curves!$D$5:$D$205,1)))/(INDEX(LE_Curves!$D$5:$D$205,MATCH($B219,LE_Curves!$D$5:$D$205,1)+1)-INDEX(LE_Curves!$D$5:$D$205,MATCH($B219,LE_Curves!$D$5:$D$205,1))))))</f>
        <v/>
      </c>
      <c r="E219" s="11">
        <f>IF(Inputs!$D$25=0,0,IF($B219&lt;=Inputs!$C$25,0,IF($B219&gt;=INDEX(LE_Curves!$E$5:$E$205,201),INDEX(LE_Curves!$B$5:$B$205,201),INDEX(LE_Curves!$B$5:$B$205,MATCH($B219,LE_Curves!$E$5:$E$205,1))+($B219-INDEX(LE_Curves!$E$5:$E$205,MATCH($B219,LE_Curves!$E$5:$E$205,1)))*(INDEX(LE_Curves!$B$5:$B$205,MATCH($B219,LE_Curves!$E$5:$E$205,1)+1)-INDEX(LE_Curves!$B$5:$B$205,MATCH($B219,LE_Curves!$E$5:$E$205,1)))/(INDEX(LE_Curves!$E$5:$E$205,MATCH($B219,LE_Curves!$E$5:$E$205,1)+1)-INDEX(LE_Curves!$E$5:$E$205,MATCH($B219,LE_Curves!$E$5:$E$205,1))))))</f>
        <v/>
      </c>
      <c r="F219" s="11">
        <f>IF(Inputs!$D$26=0,0,IF($B219&lt;=Inputs!$C$26,0,IF($B219&gt;=INDEX(LE_Curves!$F$5:$F$205,201),INDEX(LE_Curves!$B$5:$B$205,201),INDEX(LE_Curves!$B$5:$B$205,MATCH($B219,LE_Curves!$F$5:$F$205,1))+($B219-INDEX(LE_Curves!$F$5:$F$205,MATCH($B219,LE_Curves!$F$5:$F$205,1)))*(INDEX(LE_Curves!$B$5:$B$205,MATCH($B219,LE_Curves!$F$5:$F$205,1)+1)-INDEX(LE_Curves!$B$5:$B$205,MATCH($B219,LE_Curves!$F$5:$F$205,1)))/(INDEX(LE_Curves!$F$5:$F$205,MATCH($B219,LE_Curves!$F$5:$F$205,1)+1)-INDEX(LE_Curves!$F$5:$F$205,MATCH($B219,LE_Curves!$F$5:$F$205,1))))))</f>
        <v/>
      </c>
      <c r="G219" s="11">
        <f>IF(Inputs!$D$27=0,0,IF($B219&lt;=Inputs!$C$27,0,IF($B219&gt;=INDEX(LE_Curves!$G$5:$G$205,201),INDEX(LE_Curves!$B$5:$B$205,201),INDEX(LE_Curves!$B$5:$B$205,MATCH($B219,LE_Curves!$G$5:$G$205,1))+($B219-INDEX(LE_Curves!$G$5:$G$205,MATCH($B219,LE_Curves!$G$5:$G$205,1)))*(INDEX(LE_Curves!$B$5:$B$205,MATCH($B219,LE_Curves!$G$5:$G$205,1)+1)-INDEX(LE_Curves!$B$5:$B$205,MATCH($B219,LE_Curves!$G$5:$G$205,1)))/(INDEX(LE_Curves!$G$5:$G$205,MATCH($B219,LE_Curves!$G$5:$G$205,1)+1)-INDEX(LE_Curves!$G$5:$G$205,MATCH($B219,LE_Curves!$G$5:$G$205,1))))))</f>
        <v/>
      </c>
      <c r="H219" s="11">
        <f>IF(Inputs!$D$28=0,0,IF($B219&lt;=Inputs!$C$28,0,IF($B219&gt;=INDEX(LE_Curves!$H$5:$H$205,201),INDEX(LE_Curves!$B$5:$B$205,201),INDEX(LE_Curves!$B$5:$B$205,MATCH($B219,LE_Curves!$H$5:$H$205,1))+($B219-INDEX(LE_Curves!$H$5:$H$205,MATCH($B219,LE_Curves!$H$5:$H$205,1)))*(INDEX(LE_Curves!$B$5:$B$205,MATCH($B219,LE_Curves!$H$5:$H$205,1)+1)-INDEX(LE_Curves!$B$5:$B$205,MATCH($B219,LE_Curves!$H$5:$H$205,1)))/(INDEX(LE_Curves!$H$5:$H$205,MATCH($B219,LE_Curves!$H$5:$H$205,1)+1)-INDEX(LE_Curves!$H$5:$H$205,MATCH($B219,LE_Curves!$H$5:$H$205,1))))))</f>
        <v/>
      </c>
      <c r="I219" s="11">
        <f>IF(Inputs!$D$29=0,0,IF($B219&lt;=Inputs!$C$29,0,IF($B219&gt;=INDEX(LE_Curves!$I$5:$I$205,201),INDEX(LE_Curves!$B$5:$B$205,201),INDEX(LE_Curves!$B$5:$B$205,MATCH($B219,LE_Curves!$I$5:$I$205,1))+($B219-INDEX(LE_Curves!$I$5:$I$205,MATCH($B219,LE_Curves!$I$5:$I$205,1)))*(INDEX(LE_Curves!$B$5:$B$205,MATCH($B219,LE_Curves!$I$5:$I$205,1)+1)-INDEX(LE_Curves!$B$5:$B$205,MATCH($B219,LE_Curves!$I$5:$I$205,1)))/(INDEX(LE_Curves!$I$5:$I$205,MATCH($B219,LE_Curves!$I$5:$I$205,1)+1)-INDEX(LE_Curves!$I$5:$I$205,MATCH($B219,LE_Curves!$I$5:$I$205,1))))))</f>
        <v/>
      </c>
      <c r="J219" s="11">
        <f>IF(Inputs!$D$30=0,0,IF($B219&lt;=Inputs!$C$30,0,IF($B219&gt;=INDEX(LE_Curves!$J$5:$J$205,201),INDEX(LE_Curves!$B$5:$B$205,201),INDEX(LE_Curves!$B$5:$B$205,MATCH($B219,LE_Curves!$J$5:$J$205,1))+($B219-INDEX(LE_Curves!$J$5:$J$205,MATCH($B219,LE_Curves!$J$5:$J$205,1)))*(INDEX(LE_Curves!$B$5:$B$205,MATCH($B219,LE_Curves!$J$5:$J$205,1)+1)-INDEX(LE_Curves!$B$5:$B$205,MATCH($B219,LE_Curves!$J$5:$J$205,1)))/(INDEX(LE_Curves!$J$5:$J$205,MATCH($B219,LE_Curves!$J$5:$J$205,1)+1)-INDEX(LE_Curves!$J$5:$J$205,MATCH($B219,LE_Curves!$J$5:$J$205,1))))))</f>
        <v/>
      </c>
      <c r="K219" s="11">
        <f>IF(Inputs!$D$31=0,0,IF($B219&lt;=Inputs!$C$31,0,IF($B219&gt;=INDEX(LE_Curves!$K$5:$K$205,201),INDEX(LE_Curves!$B$5:$B$205,201),INDEX(LE_Curves!$B$5:$B$205,MATCH($B219,LE_Curves!$K$5:$K$205,1))+($B219-INDEX(LE_Curves!$K$5:$K$205,MATCH($B219,LE_Curves!$K$5:$K$205,1)))*(INDEX(LE_Curves!$B$5:$B$205,MATCH($B219,LE_Curves!$K$5:$K$205,1)+1)-INDEX(LE_Curves!$B$5:$B$205,MATCH($B219,LE_Curves!$K$5:$K$205,1)))/(INDEX(LE_Curves!$K$5:$K$205,MATCH($B219,LE_Curves!$K$5:$K$205,1)+1)-INDEX(LE_Curves!$K$5:$K$205,MATCH($B219,LE_Curves!$K$5:$K$205,1))))))</f>
        <v/>
      </c>
      <c r="L219" s="11">
        <f>IF(Inputs!$D$32=0,0,IF($B219&lt;=Inputs!$C$32,0,IF($B219&gt;=INDEX(LE_Curves!$L$5:$L$205,201),INDEX(LE_Curves!$B$5:$B$205,201),INDEX(LE_Curves!$B$5:$B$205,MATCH($B219,LE_Curves!$L$5:$L$205,1))+($B219-INDEX(LE_Curves!$L$5:$L$205,MATCH($B219,LE_Curves!$L$5:$L$205,1)))*(INDEX(LE_Curves!$B$5:$B$205,MATCH($B219,LE_Curves!$L$5:$L$205,1)+1)-INDEX(LE_Curves!$B$5:$B$205,MATCH($B219,LE_Curves!$L$5:$L$205,1)))/(INDEX(LE_Curves!$L$5:$L$205,MATCH($B219,LE_Curves!$L$5:$L$205,1)+1)-INDEX(LE_Curves!$L$5:$L$205,MATCH($B219,LE_Curves!$L$5:$L$205,1))))))</f>
        <v/>
      </c>
      <c r="M219" s="11">
        <f>IF(Inputs!$D$33=0,0,IF($B219&lt;=Inputs!$C$33,0,IF($B219&gt;=INDEX(LE_Curves!$M$5:$M$205,201),INDEX(LE_Curves!$B$5:$B$205,201),INDEX(LE_Curves!$B$5:$B$205,MATCH($B219,LE_Curves!$M$5:$M$205,1))+($B219-INDEX(LE_Curves!$M$5:$M$205,MATCH($B219,LE_Curves!$M$5:$M$205,1)))*(INDEX(LE_Curves!$B$5:$B$205,MATCH($B219,LE_Curves!$M$5:$M$205,1)+1)-INDEX(LE_Curves!$B$5:$B$205,MATCH($B219,LE_Curves!$M$5:$M$205,1)))/(INDEX(LE_Curves!$M$5:$M$205,MATCH($B219,LE_Curves!$M$5:$M$205,1)+1)-INDEX(LE_Curves!$M$5:$M$205,MATCH($B219,LE_Curves!$M$5:$M$205,1))))))</f>
        <v/>
      </c>
      <c r="N219" s="11">
        <f>IF(Inputs!$D$34=0,0,IF($B219&lt;=Inputs!$C$34,0,IF($B219&gt;=INDEX(LE_Curves!$N$5:$N$205,201),INDEX(LE_Curves!$B$5:$B$205,201),INDEX(LE_Curves!$B$5:$B$205,MATCH($B219,LE_Curves!$N$5:$N$205,1))+($B219-INDEX(LE_Curves!$N$5:$N$205,MATCH($B219,LE_Curves!$N$5:$N$205,1)))*(INDEX(LE_Curves!$B$5:$B$205,MATCH($B219,LE_Curves!$N$5:$N$205,1)+1)-INDEX(LE_Curves!$B$5:$B$205,MATCH($B219,LE_Curves!$N$5:$N$205,1)))/(INDEX(LE_Curves!$N$5:$N$205,MATCH($B219,LE_Curves!$N$5:$N$205,1)+1)-INDEX(LE_Curves!$N$5:$N$205,MATCH($B219,LE_Curves!$N$5:$N$205,1))))))</f>
        <v/>
      </c>
      <c r="O219" s="11">
        <f>SUM(C219:N219)</f>
        <v/>
      </c>
      <c r="Q219" s="7" t="n">
        <v>188</v>
      </c>
      <c r="R219" s="23">
        <f>$B$6+($B$7-$B$6)*Q219/200</f>
        <v/>
      </c>
      <c r="S219" s="11">
        <f>IF(Inputs!$D$23=0,0,IF($R219&lt;=Inputs!$C$23,0,IF($R219&gt;=INDEX(LE_Curves!$C$5:$C$205,201),INDEX(LE_Curves!$B$5:$B$205,201),INDEX(LE_Curves!$B$5:$B$205,MATCH($R219,LE_Curves!$C$5:$C$205,1))+($R219-INDEX(LE_Curves!$C$5:$C$205,MATCH($R219,LE_Curves!$C$5:$C$205,1)))*(INDEX(LE_Curves!$B$5:$B$205,MATCH($R219,LE_Curves!$C$5:$C$205,1)+1)-INDEX(LE_Curves!$B$5:$B$205,MATCH($R219,LE_Curves!$C$5:$C$205,1)))/(INDEX(LE_Curves!$C$5:$C$205,MATCH($R219,LE_Curves!$C$5:$C$205,1)+1)-INDEX(LE_Curves!$C$5:$C$205,MATCH($R219,LE_Curves!$C$5:$C$205,1))))))</f>
        <v/>
      </c>
      <c r="T219" s="11">
        <f>IF(Inputs!$D$24=0,0,IF($R219&lt;=Inputs!$C$24,0,IF($R219&gt;=INDEX(LE_Curves!$D$5:$D$205,201),INDEX(LE_Curves!$B$5:$B$205,201),INDEX(LE_Curves!$B$5:$B$205,MATCH($R219,LE_Curves!$D$5:$D$205,1))+($R219-INDEX(LE_Curves!$D$5:$D$205,MATCH($R219,LE_Curves!$D$5:$D$205,1)))*(INDEX(LE_Curves!$B$5:$B$205,MATCH($R219,LE_Curves!$D$5:$D$205,1)+1)-INDEX(LE_Curves!$B$5:$B$205,MATCH($R219,LE_Curves!$D$5:$D$205,1)))/(INDEX(LE_Curves!$D$5:$D$205,MATCH($R219,LE_Curves!$D$5:$D$205,1)+1)-INDEX(LE_Curves!$D$5:$D$205,MATCH($R219,LE_Curves!$D$5:$D$205,1))))))</f>
        <v/>
      </c>
      <c r="U219" s="11">
        <f>IF(Inputs!$D$25=0,0,IF($R219&lt;=Inputs!$C$25,0,IF($R219&gt;=INDEX(LE_Curves!$E$5:$E$205,201),INDEX(LE_Curves!$B$5:$B$205,201),INDEX(LE_Curves!$B$5:$B$205,MATCH($R219,LE_Curves!$E$5:$E$205,1))+($R219-INDEX(LE_Curves!$E$5:$E$205,MATCH($R219,LE_Curves!$E$5:$E$205,1)))*(INDEX(LE_Curves!$B$5:$B$205,MATCH($R219,LE_Curves!$E$5:$E$205,1)+1)-INDEX(LE_Curves!$B$5:$B$205,MATCH($R219,LE_Curves!$E$5:$E$205,1)))/(INDEX(LE_Curves!$E$5:$E$205,MATCH($R219,LE_Curves!$E$5:$E$205,1)+1)-INDEX(LE_Curves!$E$5:$E$205,MATCH($R219,LE_Curves!$E$5:$E$205,1))))))</f>
        <v/>
      </c>
      <c r="V219" s="11">
        <f>IF(Inputs!$D$26=0,0,IF($R219&lt;=Inputs!$C$26,0,IF($R219&gt;=INDEX(LE_Curves!$F$5:$F$205,201),INDEX(LE_Curves!$B$5:$B$205,201),INDEX(LE_Curves!$B$5:$B$205,MATCH($R219,LE_Curves!$F$5:$F$205,1))+($R219-INDEX(LE_Curves!$F$5:$F$205,MATCH($R219,LE_Curves!$F$5:$F$205,1)))*(INDEX(LE_Curves!$B$5:$B$205,MATCH($R219,LE_Curves!$F$5:$F$205,1)+1)-INDEX(LE_Curves!$B$5:$B$205,MATCH($R219,LE_Curves!$F$5:$F$205,1)))/(INDEX(LE_Curves!$F$5:$F$205,MATCH($R219,LE_Curves!$F$5:$F$205,1)+1)-INDEX(LE_Curves!$F$5:$F$205,MATCH($R219,LE_Curves!$F$5:$F$205,1))))))</f>
        <v/>
      </c>
      <c r="W219" s="11">
        <f>IF(Inputs!$D$27=0,0,IF($R219&lt;=Inputs!$C$27,0,IF($R219&gt;=INDEX(LE_Curves!$G$5:$G$205,201),INDEX(LE_Curves!$B$5:$B$205,201),INDEX(LE_Curves!$B$5:$B$205,MATCH($R219,LE_Curves!$G$5:$G$205,1))+($R219-INDEX(LE_Curves!$G$5:$G$205,MATCH($R219,LE_Curves!$G$5:$G$205,1)))*(INDEX(LE_Curves!$B$5:$B$205,MATCH($R219,LE_Curves!$G$5:$G$205,1)+1)-INDEX(LE_Curves!$B$5:$B$205,MATCH($R219,LE_Curves!$G$5:$G$205,1)))/(INDEX(LE_Curves!$G$5:$G$205,MATCH($R219,LE_Curves!$G$5:$G$205,1)+1)-INDEX(LE_Curves!$G$5:$G$205,MATCH($R219,LE_Curves!$G$5:$G$205,1))))))</f>
        <v/>
      </c>
      <c r="X219" s="11">
        <f>IF(Inputs!$D$28=0,0,IF($R219&lt;=Inputs!$C$28,0,IF($R219&gt;=INDEX(LE_Curves!$H$5:$H$205,201),INDEX(LE_Curves!$B$5:$B$205,201),INDEX(LE_Curves!$B$5:$B$205,MATCH($R219,LE_Curves!$H$5:$H$205,1))+($R219-INDEX(LE_Curves!$H$5:$H$205,MATCH($R219,LE_Curves!$H$5:$H$205,1)))*(INDEX(LE_Curves!$B$5:$B$205,MATCH($R219,LE_Curves!$H$5:$H$205,1)+1)-INDEX(LE_Curves!$B$5:$B$205,MATCH($R219,LE_Curves!$H$5:$H$205,1)))/(INDEX(LE_Curves!$H$5:$H$205,MATCH($R219,LE_Curves!$H$5:$H$205,1)+1)-INDEX(LE_Curves!$H$5:$H$205,MATCH($R219,LE_Curves!$H$5:$H$205,1))))))</f>
        <v/>
      </c>
      <c r="Y219" s="11">
        <f>IF(Inputs!$D$29=0,0,IF($R219&lt;=Inputs!$C$29,0,IF($R219&gt;=INDEX(LE_Curves!$I$5:$I$205,201),INDEX(LE_Curves!$B$5:$B$205,201),INDEX(LE_Curves!$B$5:$B$205,MATCH($R219,LE_Curves!$I$5:$I$205,1))+($R219-INDEX(LE_Curves!$I$5:$I$205,MATCH($R219,LE_Curves!$I$5:$I$205,1)))*(INDEX(LE_Curves!$B$5:$B$205,MATCH($R219,LE_Curves!$I$5:$I$205,1)+1)-INDEX(LE_Curves!$B$5:$B$205,MATCH($R219,LE_Curves!$I$5:$I$205,1)))/(INDEX(LE_Curves!$I$5:$I$205,MATCH($R219,LE_Curves!$I$5:$I$205,1)+1)-INDEX(LE_Curves!$I$5:$I$205,MATCH($R219,LE_Curves!$I$5:$I$205,1))))))</f>
        <v/>
      </c>
      <c r="Z219" s="11">
        <f>IF(Inputs!$D$30=0,0,IF($R219&lt;=Inputs!$C$30,0,IF($R219&gt;=INDEX(LE_Curves!$J$5:$J$205,201),INDEX(LE_Curves!$B$5:$B$205,201),INDEX(LE_Curves!$B$5:$B$205,MATCH($R219,LE_Curves!$J$5:$J$205,1))+($R219-INDEX(LE_Curves!$J$5:$J$205,MATCH($R219,LE_Curves!$J$5:$J$205,1)))*(INDEX(LE_Curves!$B$5:$B$205,MATCH($R219,LE_Curves!$J$5:$J$205,1)+1)-INDEX(LE_Curves!$B$5:$B$205,MATCH($R219,LE_Curves!$J$5:$J$205,1)))/(INDEX(LE_Curves!$J$5:$J$205,MATCH($R219,LE_Curves!$J$5:$J$205,1)+1)-INDEX(LE_Curves!$J$5:$J$205,MATCH($R219,LE_Curves!$J$5:$J$205,1))))))</f>
        <v/>
      </c>
      <c r="AA219" s="11">
        <f>IF(Inputs!$D$31=0,0,IF($R219&lt;=Inputs!$C$31,0,IF($R219&gt;=INDEX(LE_Curves!$K$5:$K$205,201),INDEX(LE_Curves!$B$5:$B$205,201),INDEX(LE_Curves!$B$5:$B$205,MATCH($R219,LE_Curves!$K$5:$K$205,1))+($R219-INDEX(LE_Curves!$K$5:$K$205,MATCH($R219,LE_Curves!$K$5:$K$205,1)))*(INDEX(LE_Curves!$B$5:$B$205,MATCH($R219,LE_Curves!$K$5:$K$205,1)+1)-INDEX(LE_Curves!$B$5:$B$205,MATCH($R219,LE_Curves!$K$5:$K$205,1)))/(INDEX(LE_Curves!$K$5:$K$205,MATCH($R219,LE_Curves!$K$5:$K$205,1)+1)-INDEX(LE_Curves!$K$5:$K$205,MATCH($R219,LE_Curves!$K$5:$K$205,1))))))</f>
        <v/>
      </c>
      <c r="AB219" s="11">
        <f>IF(Inputs!$D$32=0,0,IF($R219&lt;=Inputs!$C$32,0,IF($R219&gt;=INDEX(LE_Curves!$L$5:$L$205,201),INDEX(LE_Curves!$B$5:$B$205,201),INDEX(LE_Curves!$B$5:$B$205,MATCH($R219,LE_Curves!$L$5:$L$205,1))+($R219-INDEX(LE_Curves!$L$5:$L$205,MATCH($R219,LE_Curves!$L$5:$L$205,1)))*(INDEX(LE_Curves!$B$5:$B$205,MATCH($R219,LE_Curves!$L$5:$L$205,1)+1)-INDEX(LE_Curves!$B$5:$B$205,MATCH($R219,LE_Curves!$L$5:$L$205,1)))/(INDEX(LE_Curves!$L$5:$L$205,MATCH($R219,LE_Curves!$L$5:$L$205,1)+1)-INDEX(LE_Curves!$L$5:$L$205,MATCH($R219,LE_Curves!$L$5:$L$205,1))))))</f>
        <v/>
      </c>
      <c r="AC219" s="11">
        <f>IF(Inputs!$D$33=0,0,IF($R219&lt;=Inputs!$C$33,0,IF($R219&gt;=INDEX(LE_Curves!$M$5:$M$205,201),INDEX(LE_Curves!$B$5:$B$205,201),INDEX(LE_Curves!$B$5:$B$205,MATCH($R219,LE_Curves!$M$5:$M$205,1))+($R219-INDEX(LE_Curves!$M$5:$M$205,MATCH($R219,LE_Curves!$M$5:$M$205,1)))*(INDEX(LE_Curves!$B$5:$B$205,MATCH($R219,LE_Curves!$M$5:$M$205,1)+1)-INDEX(LE_Curves!$B$5:$B$205,MATCH($R219,LE_Curves!$M$5:$M$205,1)))/(INDEX(LE_Curves!$M$5:$M$205,MATCH($R219,LE_Curves!$M$5:$M$205,1)+1)-INDEX(LE_Curves!$M$5:$M$205,MATCH($R219,LE_Curves!$M$5:$M$205,1))))))</f>
        <v/>
      </c>
      <c r="AD219" s="11">
        <f>IF(Inputs!$D$34=0,0,IF($R219&lt;=Inputs!$C$34,0,IF($R219&gt;=INDEX(LE_Curves!$N$5:$N$205,201),INDEX(LE_Curves!$B$5:$B$205,201),INDEX(LE_Curves!$B$5:$B$205,MATCH($R219,LE_Curves!$N$5:$N$205,1))+($R219-INDEX(LE_Curves!$N$5:$N$205,MATCH($R219,LE_Curves!$N$5:$N$205,1)))*(INDEX(LE_Curves!$B$5:$B$205,MATCH($R219,LE_Curves!$N$5:$N$205,1)+1)-INDEX(LE_Curves!$B$5:$B$205,MATCH($R219,LE_Curves!$N$5:$N$205,1)))/(INDEX(LE_Curves!$N$5:$N$205,MATCH($R219,LE_Curves!$N$5:$N$205,1)+1)-INDEX(LE_Curves!$N$5:$N$205,MATCH($R219,LE_Curves!$N$5:$N$205,1))))))</f>
        <v/>
      </c>
      <c r="AE219" s="37">
        <f>SUM(S219:AD219)</f>
        <v/>
      </c>
    </row>
    <row r="220">
      <c r="A220" s="7" t="n">
        <v>189</v>
      </c>
      <c r="B220" s="37">
        <f>$B$3+($B$4-$B$3)*A220/200</f>
        <v/>
      </c>
      <c r="C220" s="11">
        <f>IF(Inputs!$D$23=0,0,IF($B220&lt;=Inputs!$C$23,0,IF($B220&gt;=INDEX(LE_Curves!$C$5:$C$205,201),INDEX(LE_Curves!$B$5:$B$205,201),INDEX(LE_Curves!$B$5:$B$205,MATCH($B220,LE_Curves!$C$5:$C$205,1))+($B220-INDEX(LE_Curves!$C$5:$C$205,MATCH($B220,LE_Curves!$C$5:$C$205,1)))*(INDEX(LE_Curves!$B$5:$B$205,MATCH($B220,LE_Curves!$C$5:$C$205,1)+1)-INDEX(LE_Curves!$B$5:$B$205,MATCH($B220,LE_Curves!$C$5:$C$205,1)))/(INDEX(LE_Curves!$C$5:$C$205,MATCH($B220,LE_Curves!$C$5:$C$205,1)+1)-INDEX(LE_Curves!$C$5:$C$205,MATCH($B220,LE_Curves!$C$5:$C$205,1))))))</f>
        <v/>
      </c>
      <c r="D220" s="11">
        <f>IF(Inputs!$D$24=0,0,IF($B220&lt;=Inputs!$C$24,0,IF($B220&gt;=INDEX(LE_Curves!$D$5:$D$205,201),INDEX(LE_Curves!$B$5:$B$205,201),INDEX(LE_Curves!$B$5:$B$205,MATCH($B220,LE_Curves!$D$5:$D$205,1))+($B220-INDEX(LE_Curves!$D$5:$D$205,MATCH($B220,LE_Curves!$D$5:$D$205,1)))*(INDEX(LE_Curves!$B$5:$B$205,MATCH($B220,LE_Curves!$D$5:$D$205,1)+1)-INDEX(LE_Curves!$B$5:$B$205,MATCH($B220,LE_Curves!$D$5:$D$205,1)))/(INDEX(LE_Curves!$D$5:$D$205,MATCH($B220,LE_Curves!$D$5:$D$205,1)+1)-INDEX(LE_Curves!$D$5:$D$205,MATCH($B220,LE_Curves!$D$5:$D$205,1))))))</f>
        <v/>
      </c>
      <c r="E220" s="11">
        <f>IF(Inputs!$D$25=0,0,IF($B220&lt;=Inputs!$C$25,0,IF($B220&gt;=INDEX(LE_Curves!$E$5:$E$205,201),INDEX(LE_Curves!$B$5:$B$205,201),INDEX(LE_Curves!$B$5:$B$205,MATCH($B220,LE_Curves!$E$5:$E$205,1))+($B220-INDEX(LE_Curves!$E$5:$E$205,MATCH($B220,LE_Curves!$E$5:$E$205,1)))*(INDEX(LE_Curves!$B$5:$B$205,MATCH($B220,LE_Curves!$E$5:$E$205,1)+1)-INDEX(LE_Curves!$B$5:$B$205,MATCH($B220,LE_Curves!$E$5:$E$205,1)))/(INDEX(LE_Curves!$E$5:$E$205,MATCH($B220,LE_Curves!$E$5:$E$205,1)+1)-INDEX(LE_Curves!$E$5:$E$205,MATCH($B220,LE_Curves!$E$5:$E$205,1))))))</f>
        <v/>
      </c>
      <c r="F220" s="11">
        <f>IF(Inputs!$D$26=0,0,IF($B220&lt;=Inputs!$C$26,0,IF($B220&gt;=INDEX(LE_Curves!$F$5:$F$205,201),INDEX(LE_Curves!$B$5:$B$205,201),INDEX(LE_Curves!$B$5:$B$205,MATCH($B220,LE_Curves!$F$5:$F$205,1))+($B220-INDEX(LE_Curves!$F$5:$F$205,MATCH($B220,LE_Curves!$F$5:$F$205,1)))*(INDEX(LE_Curves!$B$5:$B$205,MATCH($B220,LE_Curves!$F$5:$F$205,1)+1)-INDEX(LE_Curves!$B$5:$B$205,MATCH($B220,LE_Curves!$F$5:$F$205,1)))/(INDEX(LE_Curves!$F$5:$F$205,MATCH($B220,LE_Curves!$F$5:$F$205,1)+1)-INDEX(LE_Curves!$F$5:$F$205,MATCH($B220,LE_Curves!$F$5:$F$205,1))))))</f>
        <v/>
      </c>
      <c r="G220" s="11">
        <f>IF(Inputs!$D$27=0,0,IF($B220&lt;=Inputs!$C$27,0,IF($B220&gt;=INDEX(LE_Curves!$G$5:$G$205,201),INDEX(LE_Curves!$B$5:$B$205,201),INDEX(LE_Curves!$B$5:$B$205,MATCH($B220,LE_Curves!$G$5:$G$205,1))+($B220-INDEX(LE_Curves!$G$5:$G$205,MATCH($B220,LE_Curves!$G$5:$G$205,1)))*(INDEX(LE_Curves!$B$5:$B$205,MATCH($B220,LE_Curves!$G$5:$G$205,1)+1)-INDEX(LE_Curves!$B$5:$B$205,MATCH($B220,LE_Curves!$G$5:$G$205,1)))/(INDEX(LE_Curves!$G$5:$G$205,MATCH($B220,LE_Curves!$G$5:$G$205,1)+1)-INDEX(LE_Curves!$G$5:$G$205,MATCH($B220,LE_Curves!$G$5:$G$205,1))))))</f>
        <v/>
      </c>
      <c r="H220" s="11">
        <f>IF(Inputs!$D$28=0,0,IF($B220&lt;=Inputs!$C$28,0,IF($B220&gt;=INDEX(LE_Curves!$H$5:$H$205,201),INDEX(LE_Curves!$B$5:$B$205,201),INDEX(LE_Curves!$B$5:$B$205,MATCH($B220,LE_Curves!$H$5:$H$205,1))+($B220-INDEX(LE_Curves!$H$5:$H$205,MATCH($B220,LE_Curves!$H$5:$H$205,1)))*(INDEX(LE_Curves!$B$5:$B$205,MATCH($B220,LE_Curves!$H$5:$H$205,1)+1)-INDEX(LE_Curves!$B$5:$B$205,MATCH($B220,LE_Curves!$H$5:$H$205,1)))/(INDEX(LE_Curves!$H$5:$H$205,MATCH($B220,LE_Curves!$H$5:$H$205,1)+1)-INDEX(LE_Curves!$H$5:$H$205,MATCH($B220,LE_Curves!$H$5:$H$205,1))))))</f>
        <v/>
      </c>
      <c r="I220" s="11">
        <f>IF(Inputs!$D$29=0,0,IF($B220&lt;=Inputs!$C$29,0,IF($B220&gt;=INDEX(LE_Curves!$I$5:$I$205,201),INDEX(LE_Curves!$B$5:$B$205,201),INDEX(LE_Curves!$B$5:$B$205,MATCH($B220,LE_Curves!$I$5:$I$205,1))+($B220-INDEX(LE_Curves!$I$5:$I$205,MATCH($B220,LE_Curves!$I$5:$I$205,1)))*(INDEX(LE_Curves!$B$5:$B$205,MATCH($B220,LE_Curves!$I$5:$I$205,1)+1)-INDEX(LE_Curves!$B$5:$B$205,MATCH($B220,LE_Curves!$I$5:$I$205,1)))/(INDEX(LE_Curves!$I$5:$I$205,MATCH($B220,LE_Curves!$I$5:$I$205,1)+1)-INDEX(LE_Curves!$I$5:$I$205,MATCH($B220,LE_Curves!$I$5:$I$205,1))))))</f>
        <v/>
      </c>
      <c r="J220" s="11">
        <f>IF(Inputs!$D$30=0,0,IF($B220&lt;=Inputs!$C$30,0,IF($B220&gt;=INDEX(LE_Curves!$J$5:$J$205,201),INDEX(LE_Curves!$B$5:$B$205,201),INDEX(LE_Curves!$B$5:$B$205,MATCH($B220,LE_Curves!$J$5:$J$205,1))+($B220-INDEX(LE_Curves!$J$5:$J$205,MATCH($B220,LE_Curves!$J$5:$J$205,1)))*(INDEX(LE_Curves!$B$5:$B$205,MATCH($B220,LE_Curves!$J$5:$J$205,1)+1)-INDEX(LE_Curves!$B$5:$B$205,MATCH($B220,LE_Curves!$J$5:$J$205,1)))/(INDEX(LE_Curves!$J$5:$J$205,MATCH($B220,LE_Curves!$J$5:$J$205,1)+1)-INDEX(LE_Curves!$J$5:$J$205,MATCH($B220,LE_Curves!$J$5:$J$205,1))))))</f>
        <v/>
      </c>
      <c r="K220" s="11">
        <f>IF(Inputs!$D$31=0,0,IF($B220&lt;=Inputs!$C$31,0,IF($B220&gt;=INDEX(LE_Curves!$K$5:$K$205,201),INDEX(LE_Curves!$B$5:$B$205,201),INDEX(LE_Curves!$B$5:$B$205,MATCH($B220,LE_Curves!$K$5:$K$205,1))+($B220-INDEX(LE_Curves!$K$5:$K$205,MATCH($B220,LE_Curves!$K$5:$K$205,1)))*(INDEX(LE_Curves!$B$5:$B$205,MATCH($B220,LE_Curves!$K$5:$K$205,1)+1)-INDEX(LE_Curves!$B$5:$B$205,MATCH($B220,LE_Curves!$K$5:$K$205,1)))/(INDEX(LE_Curves!$K$5:$K$205,MATCH($B220,LE_Curves!$K$5:$K$205,1)+1)-INDEX(LE_Curves!$K$5:$K$205,MATCH($B220,LE_Curves!$K$5:$K$205,1))))))</f>
        <v/>
      </c>
      <c r="L220" s="11">
        <f>IF(Inputs!$D$32=0,0,IF($B220&lt;=Inputs!$C$32,0,IF($B220&gt;=INDEX(LE_Curves!$L$5:$L$205,201),INDEX(LE_Curves!$B$5:$B$205,201),INDEX(LE_Curves!$B$5:$B$205,MATCH($B220,LE_Curves!$L$5:$L$205,1))+($B220-INDEX(LE_Curves!$L$5:$L$205,MATCH($B220,LE_Curves!$L$5:$L$205,1)))*(INDEX(LE_Curves!$B$5:$B$205,MATCH($B220,LE_Curves!$L$5:$L$205,1)+1)-INDEX(LE_Curves!$B$5:$B$205,MATCH($B220,LE_Curves!$L$5:$L$205,1)))/(INDEX(LE_Curves!$L$5:$L$205,MATCH($B220,LE_Curves!$L$5:$L$205,1)+1)-INDEX(LE_Curves!$L$5:$L$205,MATCH($B220,LE_Curves!$L$5:$L$205,1))))))</f>
        <v/>
      </c>
      <c r="M220" s="11">
        <f>IF(Inputs!$D$33=0,0,IF($B220&lt;=Inputs!$C$33,0,IF($B220&gt;=INDEX(LE_Curves!$M$5:$M$205,201),INDEX(LE_Curves!$B$5:$B$205,201),INDEX(LE_Curves!$B$5:$B$205,MATCH($B220,LE_Curves!$M$5:$M$205,1))+($B220-INDEX(LE_Curves!$M$5:$M$205,MATCH($B220,LE_Curves!$M$5:$M$205,1)))*(INDEX(LE_Curves!$B$5:$B$205,MATCH($B220,LE_Curves!$M$5:$M$205,1)+1)-INDEX(LE_Curves!$B$5:$B$205,MATCH($B220,LE_Curves!$M$5:$M$205,1)))/(INDEX(LE_Curves!$M$5:$M$205,MATCH($B220,LE_Curves!$M$5:$M$205,1)+1)-INDEX(LE_Curves!$M$5:$M$205,MATCH($B220,LE_Curves!$M$5:$M$205,1))))))</f>
        <v/>
      </c>
      <c r="N220" s="11">
        <f>IF(Inputs!$D$34=0,0,IF($B220&lt;=Inputs!$C$34,0,IF($B220&gt;=INDEX(LE_Curves!$N$5:$N$205,201),INDEX(LE_Curves!$B$5:$B$205,201),INDEX(LE_Curves!$B$5:$B$205,MATCH($B220,LE_Curves!$N$5:$N$205,1))+($B220-INDEX(LE_Curves!$N$5:$N$205,MATCH($B220,LE_Curves!$N$5:$N$205,1)))*(INDEX(LE_Curves!$B$5:$B$205,MATCH($B220,LE_Curves!$N$5:$N$205,1)+1)-INDEX(LE_Curves!$B$5:$B$205,MATCH($B220,LE_Curves!$N$5:$N$205,1)))/(INDEX(LE_Curves!$N$5:$N$205,MATCH($B220,LE_Curves!$N$5:$N$205,1)+1)-INDEX(LE_Curves!$N$5:$N$205,MATCH($B220,LE_Curves!$N$5:$N$205,1))))))</f>
        <v/>
      </c>
      <c r="O220" s="11">
        <f>SUM(C220:N220)</f>
        <v/>
      </c>
      <c r="Q220" s="7" t="n">
        <v>189</v>
      </c>
      <c r="R220" s="23">
        <f>$B$6+($B$7-$B$6)*Q220/200</f>
        <v/>
      </c>
      <c r="S220" s="11">
        <f>IF(Inputs!$D$23=0,0,IF($R220&lt;=Inputs!$C$23,0,IF($R220&gt;=INDEX(LE_Curves!$C$5:$C$205,201),INDEX(LE_Curves!$B$5:$B$205,201),INDEX(LE_Curves!$B$5:$B$205,MATCH($R220,LE_Curves!$C$5:$C$205,1))+($R220-INDEX(LE_Curves!$C$5:$C$205,MATCH($R220,LE_Curves!$C$5:$C$205,1)))*(INDEX(LE_Curves!$B$5:$B$205,MATCH($R220,LE_Curves!$C$5:$C$205,1)+1)-INDEX(LE_Curves!$B$5:$B$205,MATCH($R220,LE_Curves!$C$5:$C$205,1)))/(INDEX(LE_Curves!$C$5:$C$205,MATCH($R220,LE_Curves!$C$5:$C$205,1)+1)-INDEX(LE_Curves!$C$5:$C$205,MATCH($R220,LE_Curves!$C$5:$C$205,1))))))</f>
        <v/>
      </c>
      <c r="T220" s="11">
        <f>IF(Inputs!$D$24=0,0,IF($R220&lt;=Inputs!$C$24,0,IF($R220&gt;=INDEX(LE_Curves!$D$5:$D$205,201),INDEX(LE_Curves!$B$5:$B$205,201),INDEX(LE_Curves!$B$5:$B$205,MATCH($R220,LE_Curves!$D$5:$D$205,1))+($R220-INDEX(LE_Curves!$D$5:$D$205,MATCH($R220,LE_Curves!$D$5:$D$205,1)))*(INDEX(LE_Curves!$B$5:$B$205,MATCH($R220,LE_Curves!$D$5:$D$205,1)+1)-INDEX(LE_Curves!$B$5:$B$205,MATCH($R220,LE_Curves!$D$5:$D$205,1)))/(INDEX(LE_Curves!$D$5:$D$205,MATCH($R220,LE_Curves!$D$5:$D$205,1)+1)-INDEX(LE_Curves!$D$5:$D$205,MATCH($R220,LE_Curves!$D$5:$D$205,1))))))</f>
        <v/>
      </c>
      <c r="U220" s="11">
        <f>IF(Inputs!$D$25=0,0,IF($R220&lt;=Inputs!$C$25,0,IF($R220&gt;=INDEX(LE_Curves!$E$5:$E$205,201),INDEX(LE_Curves!$B$5:$B$205,201),INDEX(LE_Curves!$B$5:$B$205,MATCH($R220,LE_Curves!$E$5:$E$205,1))+($R220-INDEX(LE_Curves!$E$5:$E$205,MATCH($R220,LE_Curves!$E$5:$E$205,1)))*(INDEX(LE_Curves!$B$5:$B$205,MATCH($R220,LE_Curves!$E$5:$E$205,1)+1)-INDEX(LE_Curves!$B$5:$B$205,MATCH($R220,LE_Curves!$E$5:$E$205,1)))/(INDEX(LE_Curves!$E$5:$E$205,MATCH($R220,LE_Curves!$E$5:$E$205,1)+1)-INDEX(LE_Curves!$E$5:$E$205,MATCH($R220,LE_Curves!$E$5:$E$205,1))))))</f>
        <v/>
      </c>
      <c r="V220" s="11">
        <f>IF(Inputs!$D$26=0,0,IF($R220&lt;=Inputs!$C$26,0,IF($R220&gt;=INDEX(LE_Curves!$F$5:$F$205,201),INDEX(LE_Curves!$B$5:$B$205,201),INDEX(LE_Curves!$B$5:$B$205,MATCH($R220,LE_Curves!$F$5:$F$205,1))+($R220-INDEX(LE_Curves!$F$5:$F$205,MATCH($R220,LE_Curves!$F$5:$F$205,1)))*(INDEX(LE_Curves!$B$5:$B$205,MATCH($R220,LE_Curves!$F$5:$F$205,1)+1)-INDEX(LE_Curves!$B$5:$B$205,MATCH($R220,LE_Curves!$F$5:$F$205,1)))/(INDEX(LE_Curves!$F$5:$F$205,MATCH($R220,LE_Curves!$F$5:$F$205,1)+1)-INDEX(LE_Curves!$F$5:$F$205,MATCH($R220,LE_Curves!$F$5:$F$205,1))))))</f>
        <v/>
      </c>
      <c r="W220" s="11">
        <f>IF(Inputs!$D$27=0,0,IF($R220&lt;=Inputs!$C$27,0,IF($R220&gt;=INDEX(LE_Curves!$G$5:$G$205,201),INDEX(LE_Curves!$B$5:$B$205,201),INDEX(LE_Curves!$B$5:$B$205,MATCH($R220,LE_Curves!$G$5:$G$205,1))+($R220-INDEX(LE_Curves!$G$5:$G$205,MATCH($R220,LE_Curves!$G$5:$G$205,1)))*(INDEX(LE_Curves!$B$5:$B$205,MATCH($R220,LE_Curves!$G$5:$G$205,1)+1)-INDEX(LE_Curves!$B$5:$B$205,MATCH($R220,LE_Curves!$G$5:$G$205,1)))/(INDEX(LE_Curves!$G$5:$G$205,MATCH($R220,LE_Curves!$G$5:$G$205,1)+1)-INDEX(LE_Curves!$G$5:$G$205,MATCH($R220,LE_Curves!$G$5:$G$205,1))))))</f>
        <v/>
      </c>
      <c r="X220" s="11">
        <f>IF(Inputs!$D$28=0,0,IF($R220&lt;=Inputs!$C$28,0,IF($R220&gt;=INDEX(LE_Curves!$H$5:$H$205,201),INDEX(LE_Curves!$B$5:$B$205,201),INDEX(LE_Curves!$B$5:$B$205,MATCH($R220,LE_Curves!$H$5:$H$205,1))+($R220-INDEX(LE_Curves!$H$5:$H$205,MATCH($R220,LE_Curves!$H$5:$H$205,1)))*(INDEX(LE_Curves!$B$5:$B$205,MATCH($R220,LE_Curves!$H$5:$H$205,1)+1)-INDEX(LE_Curves!$B$5:$B$205,MATCH($R220,LE_Curves!$H$5:$H$205,1)))/(INDEX(LE_Curves!$H$5:$H$205,MATCH($R220,LE_Curves!$H$5:$H$205,1)+1)-INDEX(LE_Curves!$H$5:$H$205,MATCH($R220,LE_Curves!$H$5:$H$205,1))))))</f>
        <v/>
      </c>
      <c r="Y220" s="11">
        <f>IF(Inputs!$D$29=0,0,IF($R220&lt;=Inputs!$C$29,0,IF($R220&gt;=INDEX(LE_Curves!$I$5:$I$205,201),INDEX(LE_Curves!$B$5:$B$205,201),INDEX(LE_Curves!$B$5:$B$205,MATCH($R220,LE_Curves!$I$5:$I$205,1))+($R220-INDEX(LE_Curves!$I$5:$I$205,MATCH($R220,LE_Curves!$I$5:$I$205,1)))*(INDEX(LE_Curves!$B$5:$B$205,MATCH($R220,LE_Curves!$I$5:$I$205,1)+1)-INDEX(LE_Curves!$B$5:$B$205,MATCH($R220,LE_Curves!$I$5:$I$205,1)))/(INDEX(LE_Curves!$I$5:$I$205,MATCH($R220,LE_Curves!$I$5:$I$205,1)+1)-INDEX(LE_Curves!$I$5:$I$205,MATCH($R220,LE_Curves!$I$5:$I$205,1))))))</f>
        <v/>
      </c>
      <c r="Z220" s="11">
        <f>IF(Inputs!$D$30=0,0,IF($R220&lt;=Inputs!$C$30,0,IF($R220&gt;=INDEX(LE_Curves!$J$5:$J$205,201),INDEX(LE_Curves!$B$5:$B$205,201),INDEX(LE_Curves!$B$5:$B$205,MATCH($R220,LE_Curves!$J$5:$J$205,1))+($R220-INDEX(LE_Curves!$J$5:$J$205,MATCH($R220,LE_Curves!$J$5:$J$205,1)))*(INDEX(LE_Curves!$B$5:$B$205,MATCH($R220,LE_Curves!$J$5:$J$205,1)+1)-INDEX(LE_Curves!$B$5:$B$205,MATCH($R220,LE_Curves!$J$5:$J$205,1)))/(INDEX(LE_Curves!$J$5:$J$205,MATCH($R220,LE_Curves!$J$5:$J$205,1)+1)-INDEX(LE_Curves!$J$5:$J$205,MATCH($R220,LE_Curves!$J$5:$J$205,1))))))</f>
        <v/>
      </c>
      <c r="AA220" s="11">
        <f>IF(Inputs!$D$31=0,0,IF($R220&lt;=Inputs!$C$31,0,IF($R220&gt;=INDEX(LE_Curves!$K$5:$K$205,201),INDEX(LE_Curves!$B$5:$B$205,201),INDEX(LE_Curves!$B$5:$B$205,MATCH($R220,LE_Curves!$K$5:$K$205,1))+($R220-INDEX(LE_Curves!$K$5:$K$205,MATCH($R220,LE_Curves!$K$5:$K$205,1)))*(INDEX(LE_Curves!$B$5:$B$205,MATCH($R220,LE_Curves!$K$5:$K$205,1)+1)-INDEX(LE_Curves!$B$5:$B$205,MATCH($R220,LE_Curves!$K$5:$K$205,1)))/(INDEX(LE_Curves!$K$5:$K$205,MATCH($R220,LE_Curves!$K$5:$K$205,1)+1)-INDEX(LE_Curves!$K$5:$K$205,MATCH($R220,LE_Curves!$K$5:$K$205,1))))))</f>
        <v/>
      </c>
      <c r="AB220" s="11">
        <f>IF(Inputs!$D$32=0,0,IF($R220&lt;=Inputs!$C$32,0,IF($R220&gt;=INDEX(LE_Curves!$L$5:$L$205,201),INDEX(LE_Curves!$B$5:$B$205,201),INDEX(LE_Curves!$B$5:$B$205,MATCH($R220,LE_Curves!$L$5:$L$205,1))+($R220-INDEX(LE_Curves!$L$5:$L$205,MATCH($R220,LE_Curves!$L$5:$L$205,1)))*(INDEX(LE_Curves!$B$5:$B$205,MATCH($R220,LE_Curves!$L$5:$L$205,1)+1)-INDEX(LE_Curves!$B$5:$B$205,MATCH($R220,LE_Curves!$L$5:$L$205,1)))/(INDEX(LE_Curves!$L$5:$L$205,MATCH($R220,LE_Curves!$L$5:$L$205,1)+1)-INDEX(LE_Curves!$L$5:$L$205,MATCH($R220,LE_Curves!$L$5:$L$205,1))))))</f>
        <v/>
      </c>
      <c r="AC220" s="11">
        <f>IF(Inputs!$D$33=0,0,IF($R220&lt;=Inputs!$C$33,0,IF($R220&gt;=INDEX(LE_Curves!$M$5:$M$205,201),INDEX(LE_Curves!$B$5:$B$205,201),INDEX(LE_Curves!$B$5:$B$205,MATCH($R220,LE_Curves!$M$5:$M$205,1))+($R220-INDEX(LE_Curves!$M$5:$M$205,MATCH($R220,LE_Curves!$M$5:$M$205,1)))*(INDEX(LE_Curves!$B$5:$B$205,MATCH($R220,LE_Curves!$M$5:$M$205,1)+1)-INDEX(LE_Curves!$B$5:$B$205,MATCH($R220,LE_Curves!$M$5:$M$205,1)))/(INDEX(LE_Curves!$M$5:$M$205,MATCH($R220,LE_Curves!$M$5:$M$205,1)+1)-INDEX(LE_Curves!$M$5:$M$205,MATCH($R220,LE_Curves!$M$5:$M$205,1))))))</f>
        <v/>
      </c>
      <c r="AD220" s="11">
        <f>IF(Inputs!$D$34=0,0,IF($R220&lt;=Inputs!$C$34,0,IF($R220&gt;=INDEX(LE_Curves!$N$5:$N$205,201),INDEX(LE_Curves!$B$5:$B$205,201),INDEX(LE_Curves!$B$5:$B$205,MATCH($R220,LE_Curves!$N$5:$N$205,1))+($R220-INDEX(LE_Curves!$N$5:$N$205,MATCH($R220,LE_Curves!$N$5:$N$205,1)))*(INDEX(LE_Curves!$B$5:$B$205,MATCH($R220,LE_Curves!$N$5:$N$205,1)+1)-INDEX(LE_Curves!$B$5:$B$205,MATCH($R220,LE_Curves!$N$5:$N$205,1)))/(INDEX(LE_Curves!$N$5:$N$205,MATCH($R220,LE_Curves!$N$5:$N$205,1)+1)-INDEX(LE_Curves!$N$5:$N$205,MATCH($R220,LE_Curves!$N$5:$N$205,1))))))</f>
        <v/>
      </c>
      <c r="AE220" s="37">
        <f>SUM(S220:AD220)</f>
        <v/>
      </c>
    </row>
    <row r="221">
      <c r="A221" s="7" t="n">
        <v>190</v>
      </c>
      <c r="B221" s="37">
        <f>$B$3+($B$4-$B$3)*A221/200</f>
        <v/>
      </c>
      <c r="C221" s="11">
        <f>IF(Inputs!$D$23=0,0,IF($B221&lt;=Inputs!$C$23,0,IF($B221&gt;=INDEX(LE_Curves!$C$5:$C$205,201),INDEX(LE_Curves!$B$5:$B$205,201),INDEX(LE_Curves!$B$5:$B$205,MATCH($B221,LE_Curves!$C$5:$C$205,1))+($B221-INDEX(LE_Curves!$C$5:$C$205,MATCH($B221,LE_Curves!$C$5:$C$205,1)))*(INDEX(LE_Curves!$B$5:$B$205,MATCH($B221,LE_Curves!$C$5:$C$205,1)+1)-INDEX(LE_Curves!$B$5:$B$205,MATCH($B221,LE_Curves!$C$5:$C$205,1)))/(INDEX(LE_Curves!$C$5:$C$205,MATCH($B221,LE_Curves!$C$5:$C$205,1)+1)-INDEX(LE_Curves!$C$5:$C$205,MATCH($B221,LE_Curves!$C$5:$C$205,1))))))</f>
        <v/>
      </c>
      <c r="D221" s="11">
        <f>IF(Inputs!$D$24=0,0,IF($B221&lt;=Inputs!$C$24,0,IF($B221&gt;=INDEX(LE_Curves!$D$5:$D$205,201),INDEX(LE_Curves!$B$5:$B$205,201),INDEX(LE_Curves!$B$5:$B$205,MATCH($B221,LE_Curves!$D$5:$D$205,1))+($B221-INDEX(LE_Curves!$D$5:$D$205,MATCH($B221,LE_Curves!$D$5:$D$205,1)))*(INDEX(LE_Curves!$B$5:$B$205,MATCH($B221,LE_Curves!$D$5:$D$205,1)+1)-INDEX(LE_Curves!$B$5:$B$205,MATCH($B221,LE_Curves!$D$5:$D$205,1)))/(INDEX(LE_Curves!$D$5:$D$205,MATCH($B221,LE_Curves!$D$5:$D$205,1)+1)-INDEX(LE_Curves!$D$5:$D$205,MATCH($B221,LE_Curves!$D$5:$D$205,1))))))</f>
        <v/>
      </c>
      <c r="E221" s="11">
        <f>IF(Inputs!$D$25=0,0,IF($B221&lt;=Inputs!$C$25,0,IF($B221&gt;=INDEX(LE_Curves!$E$5:$E$205,201),INDEX(LE_Curves!$B$5:$B$205,201),INDEX(LE_Curves!$B$5:$B$205,MATCH($B221,LE_Curves!$E$5:$E$205,1))+($B221-INDEX(LE_Curves!$E$5:$E$205,MATCH($B221,LE_Curves!$E$5:$E$205,1)))*(INDEX(LE_Curves!$B$5:$B$205,MATCH($B221,LE_Curves!$E$5:$E$205,1)+1)-INDEX(LE_Curves!$B$5:$B$205,MATCH($B221,LE_Curves!$E$5:$E$205,1)))/(INDEX(LE_Curves!$E$5:$E$205,MATCH($B221,LE_Curves!$E$5:$E$205,1)+1)-INDEX(LE_Curves!$E$5:$E$205,MATCH($B221,LE_Curves!$E$5:$E$205,1))))))</f>
        <v/>
      </c>
      <c r="F221" s="11">
        <f>IF(Inputs!$D$26=0,0,IF($B221&lt;=Inputs!$C$26,0,IF($B221&gt;=INDEX(LE_Curves!$F$5:$F$205,201),INDEX(LE_Curves!$B$5:$B$205,201),INDEX(LE_Curves!$B$5:$B$205,MATCH($B221,LE_Curves!$F$5:$F$205,1))+($B221-INDEX(LE_Curves!$F$5:$F$205,MATCH($B221,LE_Curves!$F$5:$F$205,1)))*(INDEX(LE_Curves!$B$5:$B$205,MATCH($B221,LE_Curves!$F$5:$F$205,1)+1)-INDEX(LE_Curves!$B$5:$B$205,MATCH($B221,LE_Curves!$F$5:$F$205,1)))/(INDEX(LE_Curves!$F$5:$F$205,MATCH($B221,LE_Curves!$F$5:$F$205,1)+1)-INDEX(LE_Curves!$F$5:$F$205,MATCH($B221,LE_Curves!$F$5:$F$205,1))))))</f>
        <v/>
      </c>
      <c r="G221" s="11">
        <f>IF(Inputs!$D$27=0,0,IF($B221&lt;=Inputs!$C$27,0,IF($B221&gt;=INDEX(LE_Curves!$G$5:$G$205,201),INDEX(LE_Curves!$B$5:$B$205,201),INDEX(LE_Curves!$B$5:$B$205,MATCH($B221,LE_Curves!$G$5:$G$205,1))+($B221-INDEX(LE_Curves!$G$5:$G$205,MATCH($B221,LE_Curves!$G$5:$G$205,1)))*(INDEX(LE_Curves!$B$5:$B$205,MATCH($B221,LE_Curves!$G$5:$G$205,1)+1)-INDEX(LE_Curves!$B$5:$B$205,MATCH($B221,LE_Curves!$G$5:$G$205,1)))/(INDEX(LE_Curves!$G$5:$G$205,MATCH($B221,LE_Curves!$G$5:$G$205,1)+1)-INDEX(LE_Curves!$G$5:$G$205,MATCH($B221,LE_Curves!$G$5:$G$205,1))))))</f>
        <v/>
      </c>
      <c r="H221" s="11">
        <f>IF(Inputs!$D$28=0,0,IF($B221&lt;=Inputs!$C$28,0,IF($B221&gt;=INDEX(LE_Curves!$H$5:$H$205,201),INDEX(LE_Curves!$B$5:$B$205,201),INDEX(LE_Curves!$B$5:$B$205,MATCH($B221,LE_Curves!$H$5:$H$205,1))+($B221-INDEX(LE_Curves!$H$5:$H$205,MATCH($B221,LE_Curves!$H$5:$H$205,1)))*(INDEX(LE_Curves!$B$5:$B$205,MATCH($B221,LE_Curves!$H$5:$H$205,1)+1)-INDEX(LE_Curves!$B$5:$B$205,MATCH($B221,LE_Curves!$H$5:$H$205,1)))/(INDEX(LE_Curves!$H$5:$H$205,MATCH($B221,LE_Curves!$H$5:$H$205,1)+1)-INDEX(LE_Curves!$H$5:$H$205,MATCH($B221,LE_Curves!$H$5:$H$205,1))))))</f>
        <v/>
      </c>
      <c r="I221" s="11">
        <f>IF(Inputs!$D$29=0,0,IF($B221&lt;=Inputs!$C$29,0,IF($B221&gt;=INDEX(LE_Curves!$I$5:$I$205,201),INDEX(LE_Curves!$B$5:$B$205,201),INDEX(LE_Curves!$B$5:$B$205,MATCH($B221,LE_Curves!$I$5:$I$205,1))+($B221-INDEX(LE_Curves!$I$5:$I$205,MATCH($B221,LE_Curves!$I$5:$I$205,1)))*(INDEX(LE_Curves!$B$5:$B$205,MATCH($B221,LE_Curves!$I$5:$I$205,1)+1)-INDEX(LE_Curves!$B$5:$B$205,MATCH($B221,LE_Curves!$I$5:$I$205,1)))/(INDEX(LE_Curves!$I$5:$I$205,MATCH($B221,LE_Curves!$I$5:$I$205,1)+1)-INDEX(LE_Curves!$I$5:$I$205,MATCH($B221,LE_Curves!$I$5:$I$205,1))))))</f>
        <v/>
      </c>
      <c r="J221" s="11">
        <f>IF(Inputs!$D$30=0,0,IF($B221&lt;=Inputs!$C$30,0,IF($B221&gt;=INDEX(LE_Curves!$J$5:$J$205,201),INDEX(LE_Curves!$B$5:$B$205,201),INDEX(LE_Curves!$B$5:$B$205,MATCH($B221,LE_Curves!$J$5:$J$205,1))+($B221-INDEX(LE_Curves!$J$5:$J$205,MATCH($B221,LE_Curves!$J$5:$J$205,1)))*(INDEX(LE_Curves!$B$5:$B$205,MATCH($B221,LE_Curves!$J$5:$J$205,1)+1)-INDEX(LE_Curves!$B$5:$B$205,MATCH($B221,LE_Curves!$J$5:$J$205,1)))/(INDEX(LE_Curves!$J$5:$J$205,MATCH($B221,LE_Curves!$J$5:$J$205,1)+1)-INDEX(LE_Curves!$J$5:$J$205,MATCH($B221,LE_Curves!$J$5:$J$205,1))))))</f>
        <v/>
      </c>
      <c r="K221" s="11">
        <f>IF(Inputs!$D$31=0,0,IF($B221&lt;=Inputs!$C$31,0,IF($B221&gt;=INDEX(LE_Curves!$K$5:$K$205,201),INDEX(LE_Curves!$B$5:$B$205,201),INDEX(LE_Curves!$B$5:$B$205,MATCH($B221,LE_Curves!$K$5:$K$205,1))+($B221-INDEX(LE_Curves!$K$5:$K$205,MATCH($B221,LE_Curves!$K$5:$K$205,1)))*(INDEX(LE_Curves!$B$5:$B$205,MATCH($B221,LE_Curves!$K$5:$K$205,1)+1)-INDEX(LE_Curves!$B$5:$B$205,MATCH($B221,LE_Curves!$K$5:$K$205,1)))/(INDEX(LE_Curves!$K$5:$K$205,MATCH($B221,LE_Curves!$K$5:$K$205,1)+1)-INDEX(LE_Curves!$K$5:$K$205,MATCH($B221,LE_Curves!$K$5:$K$205,1))))))</f>
        <v/>
      </c>
      <c r="L221" s="11">
        <f>IF(Inputs!$D$32=0,0,IF($B221&lt;=Inputs!$C$32,0,IF($B221&gt;=INDEX(LE_Curves!$L$5:$L$205,201),INDEX(LE_Curves!$B$5:$B$205,201),INDEX(LE_Curves!$B$5:$B$205,MATCH($B221,LE_Curves!$L$5:$L$205,1))+($B221-INDEX(LE_Curves!$L$5:$L$205,MATCH($B221,LE_Curves!$L$5:$L$205,1)))*(INDEX(LE_Curves!$B$5:$B$205,MATCH($B221,LE_Curves!$L$5:$L$205,1)+1)-INDEX(LE_Curves!$B$5:$B$205,MATCH($B221,LE_Curves!$L$5:$L$205,1)))/(INDEX(LE_Curves!$L$5:$L$205,MATCH($B221,LE_Curves!$L$5:$L$205,1)+1)-INDEX(LE_Curves!$L$5:$L$205,MATCH($B221,LE_Curves!$L$5:$L$205,1))))))</f>
        <v/>
      </c>
      <c r="M221" s="11">
        <f>IF(Inputs!$D$33=0,0,IF($B221&lt;=Inputs!$C$33,0,IF($B221&gt;=INDEX(LE_Curves!$M$5:$M$205,201),INDEX(LE_Curves!$B$5:$B$205,201),INDEX(LE_Curves!$B$5:$B$205,MATCH($B221,LE_Curves!$M$5:$M$205,1))+($B221-INDEX(LE_Curves!$M$5:$M$205,MATCH($B221,LE_Curves!$M$5:$M$205,1)))*(INDEX(LE_Curves!$B$5:$B$205,MATCH($B221,LE_Curves!$M$5:$M$205,1)+1)-INDEX(LE_Curves!$B$5:$B$205,MATCH($B221,LE_Curves!$M$5:$M$205,1)))/(INDEX(LE_Curves!$M$5:$M$205,MATCH($B221,LE_Curves!$M$5:$M$205,1)+1)-INDEX(LE_Curves!$M$5:$M$205,MATCH($B221,LE_Curves!$M$5:$M$205,1))))))</f>
        <v/>
      </c>
      <c r="N221" s="11">
        <f>IF(Inputs!$D$34=0,0,IF($B221&lt;=Inputs!$C$34,0,IF($B221&gt;=INDEX(LE_Curves!$N$5:$N$205,201),INDEX(LE_Curves!$B$5:$B$205,201),INDEX(LE_Curves!$B$5:$B$205,MATCH($B221,LE_Curves!$N$5:$N$205,1))+($B221-INDEX(LE_Curves!$N$5:$N$205,MATCH($B221,LE_Curves!$N$5:$N$205,1)))*(INDEX(LE_Curves!$B$5:$B$205,MATCH($B221,LE_Curves!$N$5:$N$205,1)+1)-INDEX(LE_Curves!$B$5:$B$205,MATCH($B221,LE_Curves!$N$5:$N$205,1)))/(INDEX(LE_Curves!$N$5:$N$205,MATCH($B221,LE_Curves!$N$5:$N$205,1)+1)-INDEX(LE_Curves!$N$5:$N$205,MATCH($B221,LE_Curves!$N$5:$N$205,1))))))</f>
        <v/>
      </c>
      <c r="O221" s="11">
        <f>SUM(C221:N221)</f>
        <v/>
      </c>
      <c r="Q221" s="7" t="n">
        <v>190</v>
      </c>
      <c r="R221" s="23">
        <f>$B$6+($B$7-$B$6)*Q221/200</f>
        <v/>
      </c>
      <c r="S221" s="11">
        <f>IF(Inputs!$D$23=0,0,IF($R221&lt;=Inputs!$C$23,0,IF($R221&gt;=INDEX(LE_Curves!$C$5:$C$205,201),INDEX(LE_Curves!$B$5:$B$205,201),INDEX(LE_Curves!$B$5:$B$205,MATCH($R221,LE_Curves!$C$5:$C$205,1))+($R221-INDEX(LE_Curves!$C$5:$C$205,MATCH($R221,LE_Curves!$C$5:$C$205,1)))*(INDEX(LE_Curves!$B$5:$B$205,MATCH($R221,LE_Curves!$C$5:$C$205,1)+1)-INDEX(LE_Curves!$B$5:$B$205,MATCH($R221,LE_Curves!$C$5:$C$205,1)))/(INDEX(LE_Curves!$C$5:$C$205,MATCH($R221,LE_Curves!$C$5:$C$205,1)+1)-INDEX(LE_Curves!$C$5:$C$205,MATCH($R221,LE_Curves!$C$5:$C$205,1))))))</f>
        <v/>
      </c>
      <c r="T221" s="11">
        <f>IF(Inputs!$D$24=0,0,IF($R221&lt;=Inputs!$C$24,0,IF($R221&gt;=INDEX(LE_Curves!$D$5:$D$205,201),INDEX(LE_Curves!$B$5:$B$205,201),INDEX(LE_Curves!$B$5:$B$205,MATCH($R221,LE_Curves!$D$5:$D$205,1))+($R221-INDEX(LE_Curves!$D$5:$D$205,MATCH($R221,LE_Curves!$D$5:$D$205,1)))*(INDEX(LE_Curves!$B$5:$B$205,MATCH($R221,LE_Curves!$D$5:$D$205,1)+1)-INDEX(LE_Curves!$B$5:$B$205,MATCH($R221,LE_Curves!$D$5:$D$205,1)))/(INDEX(LE_Curves!$D$5:$D$205,MATCH($R221,LE_Curves!$D$5:$D$205,1)+1)-INDEX(LE_Curves!$D$5:$D$205,MATCH($R221,LE_Curves!$D$5:$D$205,1))))))</f>
        <v/>
      </c>
      <c r="U221" s="11">
        <f>IF(Inputs!$D$25=0,0,IF($R221&lt;=Inputs!$C$25,0,IF($R221&gt;=INDEX(LE_Curves!$E$5:$E$205,201),INDEX(LE_Curves!$B$5:$B$205,201),INDEX(LE_Curves!$B$5:$B$205,MATCH($R221,LE_Curves!$E$5:$E$205,1))+($R221-INDEX(LE_Curves!$E$5:$E$205,MATCH($R221,LE_Curves!$E$5:$E$205,1)))*(INDEX(LE_Curves!$B$5:$B$205,MATCH($R221,LE_Curves!$E$5:$E$205,1)+1)-INDEX(LE_Curves!$B$5:$B$205,MATCH($R221,LE_Curves!$E$5:$E$205,1)))/(INDEX(LE_Curves!$E$5:$E$205,MATCH($R221,LE_Curves!$E$5:$E$205,1)+1)-INDEX(LE_Curves!$E$5:$E$205,MATCH($R221,LE_Curves!$E$5:$E$205,1))))))</f>
        <v/>
      </c>
      <c r="V221" s="11">
        <f>IF(Inputs!$D$26=0,0,IF($R221&lt;=Inputs!$C$26,0,IF($R221&gt;=INDEX(LE_Curves!$F$5:$F$205,201),INDEX(LE_Curves!$B$5:$B$205,201),INDEX(LE_Curves!$B$5:$B$205,MATCH($R221,LE_Curves!$F$5:$F$205,1))+($R221-INDEX(LE_Curves!$F$5:$F$205,MATCH($R221,LE_Curves!$F$5:$F$205,1)))*(INDEX(LE_Curves!$B$5:$B$205,MATCH($R221,LE_Curves!$F$5:$F$205,1)+1)-INDEX(LE_Curves!$B$5:$B$205,MATCH($R221,LE_Curves!$F$5:$F$205,1)))/(INDEX(LE_Curves!$F$5:$F$205,MATCH($R221,LE_Curves!$F$5:$F$205,1)+1)-INDEX(LE_Curves!$F$5:$F$205,MATCH($R221,LE_Curves!$F$5:$F$205,1))))))</f>
        <v/>
      </c>
      <c r="W221" s="11">
        <f>IF(Inputs!$D$27=0,0,IF($R221&lt;=Inputs!$C$27,0,IF($R221&gt;=INDEX(LE_Curves!$G$5:$G$205,201),INDEX(LE_Curves!$B$5:$B$205,201),INDEX(LE_Curves!$B$5:$B$205,MATCH($R221,LE_Curves!$G$5:$G$205,1))+($R221-INDEX(LE_Curves!$G$5:$G$205,MATCH($R221,LE_Curves!$G$5:$G$205,1)))*(INDEX(LE_Curves!$B$5:$B$205,MATCH($R221,LE_Curves!$G$5:$G$205,1)+1)-INDEX(LE_Curves!$B$5:$B$205,MATCH($R221,LE_Curves!$G$5:$G$205,1)))/(INDEX(LE_Curves!$G$5:$G$205,MATCH($R221,LE_Curves!$G$5:$G$205,1)+1)-INDEX(LE_Curves!$G$5:$G$205,MATCH($R221,LE_Curves!$G$5:$G$205,1))))))</f>
        <v/>
      </c>
      <c r="X221" s="11">
        <f>IF(Inputs!$D$28=0,0,IF($R221&lt;=Inputs!$C$28,0,IF($R221&gt;=INDEX(LE_Curves!$H$5:$H$205,201),INDEX(LE_Curves!$B$5:$B$205,201),INDEX(LE_Curves!$B$5:$B$205,MATCH($R221,LE_Curves!$H$5:$H$205,1))+($R221-INDEX(LE_Curves!$H$5:$H$205,MATCH($R221,LE_Curves!$H$5:$H$205,1)))*(INDEX(LE_Curves!$B$5:$B$205,MATCH($R221,LE_Curves!$H$5:$H$205,1)+1)-INDEX(LE_Curves!$B$5:$B$205,MATCH($R221,LE_Curves!$H$5:$H$205,1)))/(INDEX(LE_Curves!$H$5:$H$205,MATCH($R221,LE_Curves!$H$5:$H$205,1)+1)-INDEX(LE_Curves!$H$5:$H$205,MATCH($R221,LE_Curves!$H$5:$H$205,1))))))</f>
        <v/>
      </c>
      <c r="Y221" s="11">
        <f>IF(Inputs!$D$29=0,0,IF($R221&lt;=Inputs!$C$29,0,IF($R221&gt;=INDEX(LE_Curves!$I$5:$I$205,201),INDEX(LE_Curves!$B$5:$B$205,201),INDEX(LE_Curves!$B$5:$B$205,MATCH($R221,LE_Curves!$I$5:$I$205,1))+($R221-INDEX(LE_Curves!$I$5:$I$205,MATCH($R221,LE_Curves!$I$5:$I$205,1)))*(INDEX(LE_Curves!$B$5:$B$205,MATCH($R221,LE_Curves!$I$5:$I$205,1)+1)-INDEX(LE_Curves!$B$5:$B$205,MATCH($R221,LE_Curves!$I$5:$I$205,1)))/(INDEX(LE_Curves!$I$5:$I$205,MATCH($R221,LE_Curves!$I$5:$I$205,1)+1)-INDEX(LE_Curves!$I$5:$I$205,MATCH($R221,LE_Curves!$I$5:$I$205,1))))))</f>
        <v/>
      </c>
      <c r="Z221" s="11">
        <f>IF(Inputs!$D$30=0,0,IF($R221&lt;=Inputs!$C$30,0,IF($R221&gt;=INDEX(LE_Curves!$J$5:$J$205,201),INDEX(LE_Curves!$B$5:$B$205,201),INDEX(LE_Curves!$B$5:$B$205,MATCH($R221,LE_Curves!$J$5:$J$205,1))+($R221-INDEX(LE_Curves!$J$5:$J$205,MATCH($R221,LE_Curves!$J$5:$J$205,1)))*(INDEX(LE_Curves!$B$5:$B$205,MATCH($R221,LE_Curves!$J$5:$J$205,1)+1)-INDEX(LE_Curves!$B$5:$B$205,MATCH($R221,LE_Curves!$J$5:$J$205,1)))/(INDEX(LE_Curves!$J$5:$J$205,MATCH($R221,LE_Curves!$J$5:$J$205,1)+1)-INDEX(LE_Curves!$J$5:$J$205,MATCH($R221,LE_Curves!$J$5:$J$205,1))))))</f>
        <v/>
      </c>
      <c r="AA221" s="11">
        <f>IF(Inputs!$D$31=0,0,IF($R221&lt;=Inputs!$C$31,0,IF($R221&gt;=INDEX(LE_Curves!$K$5:$K$205,201),INDEX(LE_Curves!$B$5:$B$205,201),INDEX(LE_Curves!$B$5:$B$205,MATCH($R221,LE_Curves!$K$5:$K$205,1))+($R221-INDEX(LE_Curves!$K$5:$K$205,MATCH($R221,LE_Curves!$K$5:$K$205,1)))*(INDEX(LE_Curves!$B$5:$B$205,MATCH($R221,LE_Curves!$K$5:$K$205,1)+1)-INDEX(LE_Curves!$B$5:$B$205,MATCH($R221,LE_Curves!$K$5:$K$205,1)))/(INDEX(LE_Curves!$K$5:$K$205,MATCH($R221,LE_Curves!$K$5:$K$205,1)+1)-INDEX(LE_Curves!$K$5:$K$205,MATCH($R221,LE_Curves!$K$5:$K$205,1))))))</f>
        <v/>
      </c>
      <c r="AB221" s="11">
        <f>IF(Inputs!$D$32=0,0,IF($R221&lt;=Inputs!$C$32,0,IF($R221&gt;=INDEX(LE_Curves!$L$5:$L$205,201),INDEX(LE_Curves!$B$5:$B$205,201),INDEX(LE_Curves!$B$5:$B$205,MATCH($R221,LE_Curves!$L$5:$L$205,1))+($R221-INDEX(LE_Curves!$L$5:$L$205,MATCH($R221,LE_Curves!$L$5:$L$205,1)))*(INDEX(LE_Curves!$B$5:$B$205,MATCH($R221,LE_Curves!$L$5:$L$205,1)+1)-INDEX(LE_Curves!$B$5:$B$205,MATCH($R221,LE_Curves!$L$5:$L$205,1)))/(INDEX(LE_Curves!$L$5:$L$205,MATCH($R221,LE_Curves!$L$5:$L$205,1)+1)-INDEX(LE_Curves!$L$5:$L$205,MATCH($R221,LE_Curves!$L$5:$L$205,1))))))</f>
        <v/>
      </c>
      <c r="AC221" s="11">
        <f>IF(Inputs!$D$33=0,0,IF($R221&lt;=Inputs!$C$33,0,IF($R221&gt;=INDEX(LE_Curves!$M$5:$M$205,201),INDEX(LE_Curves!$B$5:$B$205,201),INDEX(LE_Curves!$B$5:$B$205,MATCH($R221,LE_Curves!$M$5:$M$205,1))+($R221-INDEX(LE_Curves!$M$5:$M$205,MATCH($R221,LE_Curves!$M$5:$M$205,1)))*(INDEX(LE_Curves!$B$5:$B$205,MATCH($R221,LE_Curves!$M$5:$M$205,1)+1)-INDEX(LE_Curves!$B$5:$B$205,MATCH($R221,LE_Curves!$M$5:$M$205,1)))/(INDEX(LE_Curves!$M$5:$M$205,MATCH($R221,LE_Curves!$M$5:$M$205,1)+1)-INDEX(LE_Curves!$M$5:$M$205,MATCH($R221,LE_Curves!$M$5:$M$205,1))))))</f>
        <v/>
      </c>
      <c r="AD221" s="11">
        <f>IF(Inputs!$D$34=0,0,IF($R221&lt;=Inputs!$C$34,0,IF($R221&gt;=INDEX(LE_Curves!$N$5:$N$205,201),INDEX(LE_Curves!$B$5:$B$205,201),INDEX(LE_Curves!$B$5:$B$205,MATCH($R221,LE_Curves!$N$5:$N$205,1))+($R221-INDEX(LE_Curves!$N$5:$N$205,MATCH($R221,LE_Curves!$N$5:$N$205,1)))*(INDEX(LE_Curves!$B$5:$B$205,MATCH($R221,LE_Curves!$N$5:$N$205,1)+1)-INDEX(LE_Curves!$B$5:$B$205,MATCH($R221,LE_Curves!$N$5:$N$205,1)))/(INDEX(LE_Curves!$N$5:$N$205,MATCH($R221,LE_Curves!$N$5:$N$205,1)+1)-INDEX(LE_Curves!$N$5:$N$205,MATCH($R221,LE_Curves!$N$5:$N$205,1))))))</f>
        <v/>
      </c>
      <c r="AE221" s="37">
        <f>SUM(S221:AD221)</f>
        <v/>
      </c>
    </row>
    <row r="222">
      <c r="A222" s="7" t="n">
        <v>191</v>
      </c>
      <c r="B222" s="37">
        <f>$B$3+($B$4-$B$3)*A222/200</f>
        <v/>
      </c>
      <c r="C222" s="11">
        <f>IF(Inputs!$D$23=0,0,IF($B222&lt;=Inputs!$C$23,0,IF($B222&gt;=INDEX(LE_Curves!$C$5:$C$205,201),INDEX(LE_Curves!$B$5:$B$205,201),INDEX(LE_Curves!$B$5:$B$205,MATCH($B222,LE_Curves!$C$5:$C$205,1))+($B222-INDEX(LE_Curves!$C$5:$C$205,MATCH($B222,LE_Curves!$C$5:$C$205,1)))*(INDEX(LE_Curves!$B$5:$B$205,MATCH($B222,LE_Curves!$C$5:$C$205,1)+1)-INDEX(LE_Curves!$B$5:$B$205,MATCH($B222,LE_Curves!$C$5:$C$205,1)))/(INDEX(LE_Curves!$C$5:$C$205,MATCH($B222,LE_Curves!$C$5:$C$205,1)+1)-INDEX(LE_Curves!$C$5:$C$205,MATCH($B222,LE_Curves!$C$5:$C$205,1))))))</f>
        <v/>
      </c>
      <c r="D222" s="11">
        <f>IF(Inputs!$D$24=0,0,IF($B222&lt;=Inputs!$C$24,0,IF($B222&gt;=INDEX(LE_Curves!$D$5:$D$205,201),INDEX(LE_Curves!$B$5:$B$205,201),INDEX(LE_Curves!$B$5:$B$205,MATCH($B222,LE_Curves!$D$5:$D$205,1))+($B222-INDEX(LE_Curves!$D$5:$D$205,MATCH($B222,LE_Curves!$D$5:$D$205,1)))*(INDEX(LE_Curves!$B$5:$B$205,MATCH($B222,LE_Curves!$D$5:$D$205,1)+1)-INDEX(LE_Curves!$B$5:$B$205,MATCH($B222,LE_Curves!$D$5:$D$205,1)))/(INDEX(LE_Curves!$D$5:$D$205,MATCH($B222,LE_Curves!$D$5:$D$205,1)+1)-INDEX(LE_Curves!$D$5:$D$205,MATCH($B222,LE_Curves!$D$5:$D$205,1))))))</f>
        <v/>
      </c>
      <c r="E222" s="11">
        <f>IF(Inputs!$D$25=0,0,IF($B222&lt;=Inputs!$C$25,0,IF($B222&gt;=INDEX(LE_Curves!$E$5:$E$205,201),INDEX(LE_Curves!$B$5:$B$205,201),INDEX(LE_Curves!$B$5:$B$205,MATCH($B222,LE_Curves!$E$5:$E$205,1))+($B222-INDEX(LE_Curves!$E$5:$E$205,MATCH($B222,LE_Curves!$E$5:$E$205,1)))*(INDEX(LE_Curves!$B$5:$B$205,MATCH($B222,LE_Curves!$E$5:$E$205,1)+1)-INDEX(LE_Curves!$B$5:$B$205,MATCH($B222,LE_Curves!$E$5:$E$205,1)))/(INDEX(LE_Curves!$E$5:$E$205,MATCH($B222,LE_Curves!$E$5:$E$205,1)+1)-INDEX(LE_Curves!$E$5:$E$205,MATCH($B222,LE_Curves!$E$5:$E$205,1))))))</f>
        <v/>
      </c>
      <c r="F222" s="11">
        <f>IF(Inputs!$D$26=0,0,IF($B222&lt;=Inputs!$C$26,0,IF($B222&gt;=INDEX(LE_Curves!$F$5:$F$205,201),INDEX(LE_Curves!$B$5:$B$205,201),INDEX(LE_Curves!$B$5:$B$205,MATCH($B222,LE_Curves!$F$5:$F$205,1))+($B222-INDEX(LE_Curves!$F$5:$F$205,MATCH($B222,LE_Curves!$F$5:$F$205,1)))*(INDEX(LE_Curves!$B$5:$B$205,MATCH($B222,LE_Curves!$F$5:$F$205,1)+1)-INDEX(LE_Curves!$B$5:$B$205,MATCH($B222,LE_Curves!$F$5:$F$205,1)))/(INDEX(LE_Curves!$F$5:$F$205,MATCH($B222,LE_Curves!$F$5:$F$205,1)+1)-INDEX(LE_Curves!$F$5:$F$205,MATCH($B222,LE_Curves!$F$5:$F$205,1))))))</f>
        <v/>
      </c>
      <c r="G222" s="11">
        <f>IF(Inputs!$D$27=0,0,IF($B222&lt;=Inputs!$C$27,0,IF($B222&gt;=INDEX(LE_Curves!$G$5:$G$205,201),INDEX(LE_Curves!$B$5:$B$205,201),INDEX(LE_Curves!$B$5:$B$205,MATCH($B222,LE_Curves!$G$5:$G$205,1))+($B222-INDEX(LE_Curves!$G$5:$G$205,MATCH($B222,LE_Curves!$G$5:$G$205,1)))*(INDEX(LE_Curves!$B$5:$B$205,MATCH($B222,LE_Curves!$G$5:$G$205,1)+1)-INDEX(LE_Curves!$B$5:$B$205,MATCH($B222,LE_Curves!$G$5:$G$205,1)))/(INDEX(LE_Curves!$G$5:$G$205,MATCH($B222,LE_Curves!$G$5:$G$205,1)+1)-INDEX(LE_Curves!$G$5:$G$205,MATCH($B222,LE_Curves!$G$5:$G$205,1))))))</f>
        <v/>
      </c>
      <c r="H222" s="11">
        <f>IF(Inputs!$D$28=0,0,IF($B222&lt;=Inputs!$C$28,0,IF($B222&gt;=INDEX(LE_Curves!$H$5:$H$205,201),INDEX(LE_Curves!$B$5:$B$205,201),INDEX(LE_Curves!$B$5:$B$205,MATCH($B222,LE_Curves!$H$5:$H$205,1))+($B222-INDEX(LE_Curves!$H$5:$H$205,MATCH($B222,LE_Curves!$H$5:$H$205,1)))*(INDEX(LE_Curves!$B$5:$B$205,MATCH($B222,LE_Curves!$H$5:$H$205,1)+1)-INDEX(LE_Curves!$B$5:$B$205,MATCH($B222,LE_Curves!$H$5:$H$205,1)))/(INDEX(LE_Curves!$H$5:$H$205,MATCH($B222,LE_Curves!$H$5:$H$205,1)+1)-INDEX(LE_Curves!$H$5:$H$205,MATCH($B222,LE_Curves!$H$5:$H$205,1))))))</f>
        <v/>
      </c>
      <c r="I222" s="11">
        <f>IF(Inputs!$D$29=0,0,IF($B222&lt;=Inputs!$C$29,0,IF($B222&gt;=INDEX(LE_Curves!$I$5:$I$205,201),INDEX(LE_Curves!$B$5:$B$205,201),INDEX(LE_Curves!$B$5:$B$205,MATCH($B222,LE_Curves!$I$5:$I$205,1))+($B222-INDEX(LE_Curves!$I$5:$I$205,MATCH($B222,LE_Curves!$I$5:$I$205,1)))*(INDEX(LE_Curves!$B$5:$B$205,MATCH($B222,LE_Curves!$I$5:$I$205,1)+1)-INDEX(LE_Curves!$B$5:$B$205,MATCH($B222,LE_Curves!$I$5:$I$205,1)))/(INDEX(LE_Curves!$I$5:$I$205,MATCH($B222,LE_Curves!$I$5:$I$205,1)+1)-INDEX(LE_Curves!$I$5:$I$205,MATCH($B222,LE_Curves!$I$5:$I$205,1))))))</f>
        <v/>
      </c>
      <c r="J222" s="11">
        <f>IF(Inputs!$D$30=0,0,IF($B222&lt;=Inputs!$C$30,0,IF($B222&gt;=INDEX(LE_Curves!$J$5:$J$205,201),INDEX(LE_Curves!$B$5:$B$205,201),INDEX(LE_Curves!$B$5:$B$205,MATCH($B222,LE_Curves!$J$5:$J$205,1))+($B222-INDEX(LE_Curves!$J$5:$J$205,MATCH($B222,LE_Curves!$J$5:$J$205,1)))*(INDEX(LE_Curves!$B$5:$B$205,MATCH($B222,LE_Curves!$J$5:$J$205,1)+1)-INDEX(LE_Curves!$B$5:$B$205,MATCH($B222,LE_Curves!$J$5:$J$205,1)))/(INDEX(LE_Curves!$J$5:$J$205,MATCH($B222,LE_Curves!$J$5:$J$205,1)+1)-INDEX(LE_Curves!$J$5:$J$205,MATCH($B222,LE_Curves!$J$5:$J$205,1))))))</f>
        <v/>
      </c>
      <c r="K222" s="11">
        <f>IF(Inputs!$D$31=0,0,IF($B222&lt;=Inputs!$C$31,0,IF($B222&gt;=INDEX(LE_Curves!$K$5:$K$205,201),INDEX(LE_Curves!$B$5:$B$205,201),INDEX(LE_Curves!$B$5:$B$205,MATCH($B222,LE_Curves!$K$5:$K$205,1))+($B222-INDEX(LE_Curves!$K$5:$K$205,MATCH($B222,LE_Curves!$K$5:$K$205,1)))*(INDEX(LE_Curves!$B$5:$B$205,MATCH($B222,LE_Curves!$K$5:$K$205,1)+1)-INDEX(LE_Curves!$B$5:$B$205,MATCH($B222,LE_Curves!$K$5:$K$205,1)))/(INDEX(LE_Curves!$K$5:$K$205,MATCH($B222,LE_Curves!$K$5:$K$205,1)+1)-INDEX(LE_Curves!$K$5:$K$205,MATCH($B222,LE_Curves!$K$5:$K$205,1))))))</f>
        <v/>
      </c>
      <c r="L222" s="11">
        <f>IF(Inputs!$D$32=0,0,IF($B222&lt;=Inputs!$C$32,0,IF($B222&gt;=INDEX(LE_Curves!$L$5:$L$205,201),INDEX(LE_Curves!$B$5:$B$205,201),INDEX(LE_Curves!$B$5:$B$205,MATCH($B222,LE_Curves!$L$5:$L$205,1))+($B222-INDEX(LE_Curves!$L$5:$L$205,MATCH($B222,LE_Curves!$L$5:$L$205,1)))*(INDEX(LE_Curves!$B$5:$B$205,MATCH($B222,LE_Curves!$L$5:$L$205,1)+1)-INDEX(LE_Curves!$B$5:$B$205,MATCH($B222,LE_Curves!$L$5:$L$205,1)))/(INDEX(LE_Curves!$L$5:$L$205,MATCH($B222,LE_Curves!$L$5:$L$205,1)+1)-INDEX(LE_Curves!$L$5:$L$205,MATCH($B222,LE_Curves!$L$5:$L$205,1))))))</f>
        <v/>
      </c>
      <c r="M222" s="11">
        <f>IF(Inputs!$D$33=0,0,IF($B222&lt;=Inputs!$C$33,0,IF($B222&gt;=INDEX(LE_Curves!$M$5:$M$205,201),INDEX(LE_Curves!$B$5:$B$205,201),INDEX(LE_Curves!$B$5:$B$205,MATCH($B222,LE_Curves!$M$5:$M$205,1))+($B222-INDEX(LE_Curves!$M$5:$M$205,MATCH($B222,LE_Curves!$M$5:$M$205,1)))*(INDEX(LE_Curves!$B$5:$B$205,MATCH($B222,LE_Curves!$M$5:$M$205,1)+1)-INDEX(LE_Curves!$B$5:$B$205,MATCH($B222,LE_Curves!$M$5:$M$205,1)))/(INDEX(LE_Curves!$M$5:$M$205,MATCH($B222,LE_Curves!$M$5:$M$205,1)+1)-INDEX(LE_Curves!$M$5:$M$205,MATCH($B222,LE_Curves!$M$5:$M$205,1))))))</f>
        <v/>
      </c>
      <c r="N222" s="11">
        <f>IF(Inputs!$D$34=0,0,IF($B222&lt;=Inputs!$C$34,0,IF($B222&gt;=INDEX(LE_Curves!$N$5:$N$205,201),INDEX(LE_Curves!$B$5:$B$205,201),INDEX(LE_Curves!$B$5:$B$205,MATCH($B222,LE_Curves!$N$5:$N$205,1))+($B222-INDEX(LE_Curves!$N$5:$N$205,MATCH($B222,LE_Curves!$N$5:$N$205,1)))*(INDEX(LE_Curves!$B$5:$B$205,MATCH($B222,LE_Curves!$N$5:$N$205,1)+1)-INDEX(LE_Curves!$B$5:$B$205,MATCH($B222,LE_Curves!$N$5:$N$205,1)))/(INDEX(LE_Curves!$N$5:$N$205,MATCH($B222,LE_Curves!$N$5:$N$205,1)+1)-INDEX(LE_Curves!$N$5:$N$205,MATCH($B222,LE_Curves!$N$5:$N$205,1))))))</f>
        <v/>
      </c>
      <c r="O222" s="11">
        <f>SUM(C222:N222)</f>
        <v/>
      </c>
      <c r="Q222" s="7" t="n">
        <v>191</v>
      </c>
      <c r="R222" s="23">
        <f>$B$6+($B$7-$B$6)*Q222/200</f>
        <v/>
      </c>
      <c r="S222" s="11">
        <f>IF(Inputs!$D$23=0,0,IF($R222&lt;=Inputs!$C$23,0,IF($R222&gt;=INDEX(LE_Curves!$C$5:$C$205,201),INDEX(LE_Curves!$B$5:$B$205,201),INDEX(LE_Curves!$B$5:$B$205,MATCH($R222,LE_Curves!$C$5:$C$205,1))+($R222-INDEX(LE_Curves!$C$5:$C$205,MATCH($R222,LE_Curves!$C$5:$C$205,1)))*(INDEX(LE_Curves!$B$5:$B$205,MATCH($R222,LE_Curves!$C$5:$C$205,1)+1)-INDEX(LE_Curves!$B$5:$B$205,MATCH($R222,LE_Curves!$C$5:$C$205,1)))/(INDEX(LE_Curves!$C$5:$C$205,MATCH($R222,LE_Curves!$C$5:$C$205,1)+1)-INDEX(LE_Curves!$C$5:$C$205,MATCH($R222,LE_Curves!$C$5:$C$205,1))))))</f>
        <v/>
      </c>
      <c r="T222" s="11">
        <f>IF(Inputs!$D$24=0,0,IF($R222&lt;=Inputs!$C$24,0,IF($R222&gt;=INDEX(LE_Curves!$D$5:$D$205,201),INDEX(LE_Curves!$B$5:$B$205,201),INDEX(LE_Curves!$B$5:$B$205,MATCH($R222,LE_Curves!$D$5:$D$205,1))+($R222-INDEX(LE_Curves!$D$5:$D$205,MATCH($R222,LE_Curves!$D$5:$D$205,1)))*(INDEX(LE_Curves!$B$5:$B$205,MATCH($R222,LE_Curves!$D$5:$D$205,1)+1)-INDEX(LE_Curves!$B$5:$B$205,MATCH($R222,LE_Curves!$D$5:$D$205,1)))/(INDEX(LE_Curves!$D$5:$D$205,MATCH($R222,LE_Curves!$D$5:$D$205,1)+1)-INDEX(LE_Curves!$D$5:$D$205,MATCH($R222,LE_Curves!$D$5:$D$205,1))))))</f>
        <v/>
      </c>
      <c r="U222" s="11">
        <f>IF(Inputs!$D$25=0,0,IF($R222&lt;=Inputs!$C$25,0,IF($R222&gt;=INDEX(LE_Curves!$E$5:$E$205,201),INDEX(LE_Curves!$B$5:$B$205,201),INDEX(LE_Curves!$B$5:$B$205,MATCH($R222,LE_Curves!$E$5:$E$205,1))+($R222-INDEX(LE_Curves!$E$5:$E$205,MATCH($R222,LE_Curves!$E$5:$E$205,1)))*(INDEX(LE_Curves!$B$5:$B$205,MATCH($R222,LE_Curves!$E$5:$E$205,1)+1)-INDEX(LE_Curves!$B$5:$B$205,MATCH($R222,LE_Curves!$E$5:$E$205,1)))/(INDEX(LE_Curves!$E$5:$E$205,MATCH($R222,LE_Curves!$E$5:$E$205,1)+1)-INDEX(LE_Curves!$E$5:$E$205,MATCH($R222,LE_Curves!$E$5:$E$205,1))))))</f>
        <v/>
      </c>
      <c r="V222" s="11">
        <f>IF(Inputs!$D$26=0,0,IF($R222&lt;=Inputs!$C$26,0,IF($R222&gt;=INDEX(LE_Curves!$F$5:$F$205,201),INDEX(LE_Curves!$B$5:$B$205,201),INDEX(LE_Curves!$B$5:$B$205,MATCH($R222,LE_Curves!$F$5:$F$205,1))+($R222-INDEX(LE_Curves!$F$5:$F$205,MATCH($R222,LE_Curves!$F$5:$F$205,1)))*(INDEX(LE_Curves!$B$5:$B$205,MATCH($R222,LE_Curves!$F$5:$F$205,1)+1)-INDEX(LE_Curves!$B$5:$B$205,MATCH($R222,LE_Curves!$F$5:$F$205,1)))/(INDEX(LE_Curves!$F$5:$F$205,MATCH($R222,LE_Curves!$F$5:$F$205,1)+1)-INDEX(LE_Curves!$F$5:$F$205,MATCH($R222,LE_Curves!$F$5:$F$205,1))))))</f>
        <v/>
      </c>
      <c r="W222" s="11">
        <f>IF(Inputs!$D$27=0,0,IF($R222&lt;=Inputs!$C$27,0,IF($R222&gt;=INDEX(LE_Curves!$G$5:$G$205,201),INDEX(LE_Curves!$B$5:$B$205,201),INDEX(LE_Curves!$B$5:$B$205,MATCH($R222,LE_Curves!$G$5:$G$205,1))+($R222-INDEX(LE_Curves!$G$5:$G$205,MATCH($R222,LE_Curves!$G$5:$G$205,1)))*(INDEX(LE_Curves!$B$5:$B$205,MATCH($R222,LE_Curves!$G$5:$G$205,1)+1)-INDEX(LE_Curves!$B$5:$B$205,MATCH($R222,LE_Curves!$G$5:$G$205,1)))/(INDEX(LE_Curves!$G$5:$G$205,MATCH($R222,LE_Curves!$G$5:$G$205,1)+1)-INDEX(LE_Curves!$G$5:$G$205,MATCH($R222,LE_Curves!$G$5:$G$205,1))))))</f>
        <v/>
      </c>
      <c r="X222" s="11">
        <f>IF(Inputs!$D$28=0,0,IF($R222&lt;=Inputs!$C$28,0,IF($R222&gt;=INDEX(LE_Curves!$H$5:$H$205,201),INDEX(LE_Curves!$B$5:$B$205,201),INDEX(LE_Curves!$B$5:$B$205,MATCH($R222,LE_Curves!$H$5:$H$205,1))+($R222-INDEX(LE_Curves!$H$5:$H$205,MATCH($R222,LE_Curves!$H$5:$H$205,1)))*(INDEX(LE_Curves!$B$5:$B$205,MATCH($R222,LE_Curves!$H$5:$H$205,1)+1)-INDEX(LE_Curves!$B$5:$B$205,MATCH($R222,LE_Curves!$H$5:$H$205,1)))/(INDEX(LE_Curves!$H$5:$H$205,MATCH($R222,LE_Curves!$H$5:$H$205,1)+1)-INDEX(LE_Curves!$H$5:$H$205,MATCH($R222,LE_Curves!$H$5:$H$205,1))))))</f>
        <v/>
      </c>
      <c r="Y222" s="11">
        <f>IF(Inputs!$D$29=0,0,IF($R222&lt;=Inputs!$C$29,0,IF($R222&gt;=INDEX(LE_Curves!$I$5:$I$205,201),INDEX(LE_Curves!$B$5:$B$205,201),INDEX(LE_Curves!$B$5:$B$205,MATCH($R222,LE_Curves!$I$5:$I$205,1))+($R222-INDEX(LE_Curves!$I$5:$I$205,MATCH($R222,LE_Curves!$I$5:$I$205,1)))*(INDEX(LE_Curves!$B$5:$B$205,MATCH($R222,LE_Curves!$I$5:$I$205,1)+1)-INDEX(LE_Curves!$B$5:$B$205,MATCH($R222,LE_Curves!$I$5:$I$205,1)))/(INDEX(LE_Curves!$I$5:$I$205,MATCH($R222,LE_Curves!$I$5:$I$205,1)+1)-INDEX(LE_Curves!$I$5:$I$205,MATCH($R222,LE_Curves!$I$5:$I$205,1))))))</f>
        <v/>
      </c>
      <c r="Z222" s="11">
        <f>IF(Inputs!$D$30=0,0,IF($R222&lt;=Inputs!$C$30,0,IF($R222&gt;=INDEX(LE_Curves!$J$5:$J$205,201),INDEX(LE_Curves!$B$5:$B$205,201),INDEX(LE_Curves!$B$5:$B$205,MATCH($R222,LE_Curves!$J$5:$J$205,1))+($R222-INDEX(LE_Curves!$J$5:$J$205,MATCH($R222,LE_Curves!$J$5:$J$205,1)))*(INDEX(LE_Curves!$B$5:$B$205,MATCH($R222,LE_Curves!$J$5:$J$205,1)+1)-INDEX(LE_Curves!$B$5:$B$205,MATCH($R222,LE_Curves!$J$5:$J$205,1)))/(INDEX(LE_Curves!$J$5:$J$205,MATCH($R222,LE_Curves!$J$5:$J$205,1)+1)-INDEX(LE_Curves!$J$5:$J$205,MATCH($R222,LE_Curves!$J$5:$J$205,1))))))</f>
        <v/>
      </c>
      <c r="AA222" s="11">
        <f>IF(Inputs!$D$31=0,0,IF($R222&lt;=Inputs!$C$31,0,IF($R222&gt;=INDEX(LE_Curves!$K$5:$K$205,201),INDEX(LE_Curves!$B$5:$B$205,201),INDEX(LE_Curves!$B$5:$B$205,MATCH($R222,LE_Curves!$K$5:$K$205,1))+($R222-INDEX(LE_Curves!$K$5:$K$205,MATCH($R222,LE_Curves!$K$5:$K$205,1)))*(INDEX(LE_Curves!$B$5:$B$205,MATCH($R222,LE_Curves!$K$5:$K$205,1)+1)-INDEX(LE_Curves!$B$5:$B$205,MATCH($R222,LE_Curves!$K$5:$K$205,1)))/(INDEX(LE_Curves!$K$5:$K$205,MATCH($R222,LE_Curves!$K$5:$K$205,1)+1)-INDEX(LE_Curves!$K$5:$K$205,MATCH($R222,LE_Curves!$K$5:$K$205,1))))))</f>
        <v/>
      </c>
      <c r="AB222" s="11">
        <f>IF(Inputs!$D$32=0,0,IF($R222&lt;=Inputs!$C$32,0,IF($R222&gt;=INDEX(LE_Curves!$L$5:$L$205,201),INDEX(LE_Curves!$B$5:$B$205,201),INDEX(LE_Curves!$B$5:$B$205,MATCH($R222,LE_Curves!$L$5:$L$205,1))+($R222-INDEX(LE_Curves!$L$5:$L$205,MATCH($R222,LE_Curves!$L$5:$L$205,1)))*(INDEX(LE_Curves!$B$5:$B$205,MATCH($R222,LE_Curves!$L$5:$L$205,1)+1)-INDEX(LE_Curves!$B$5:$B$205,MATCH($R222,LE_Curves!$L$5:$L$205,1)))/(INDEX(LE_Curves!$L$5:$L$205,MATCH($R222,LE_Curves!$L$5:$L$205,1)+1)-INDEX(LE_Curves!$L$5:$L$205,MATCH($R222,LE_Curves!$L$5:$L$205,1))))))</f>
        <v/>
      </c>
      <c r="AC222" s="11">
        <f>IF(Inputs!$D$33=0,0,IF($R222&lt;=Inputs!$C$33,0,IF($R222&gt;=INDEX(LE_Curves!$M$5:$M$205,201),INDEX(LE_Curves!$B$5:$B$205,201),INDEX(LE_Curves!$B$5:$B$205,MATCH($R222,LE_Curves!$M$5:$M$205,1))+($R222-INDEX(LE_Curves!$M$5:$M$205,MATCH($R222,LE_Curves!$M$5:$M$205,1)))*(INDEX(LE_Curves!$B$5:$B$205,MATCH($R222,LE_Curves!$M$5:$M$205,1)+1)-INDEX(LE_Curves!$B$5:$B$205,MATCH($R222,LE_Curves!$M$5:$M$205,1)))/(INDEX(LE_Curves!$M$5:$M$205,MATCH($R222,LE_Curves!$M$5:$M$205,1)+1)-INDEX(LE_Curves!$M$5:$M$205,MATCH($R222,LE_Curves!$M$5:$M$205,1))))))</f>
        <v/>
      </c>
      <c r="AD222" s="11">
        <f>IF(Inputs!$D$34=0,0,IF($R222&lt;=Inputs!$C$34,0,IF($R222&gt;=INDEX(LE_Curves!$N$5:$N$205,201),INDEX(LE_Curves!$B$5:$B$205,201),INDEX(LE_Curves!$B$5:$B$205,MATCH($R222,LE_Curves!$N$5:$N$205,1))+($R222-INDEX(LE_Curves!$N$5:$N$205,MATCH($R222,LE_Curves!$N$5:$N$205,1)))*(INDEX(LE_Curves!$B$5:$B$205,MATCH($R222,LE_Curves!$N$5:$N$205,1)+1)-INDEX(LE_Curves!$B$5:$B$205,MATCH($R222,LE_Curves!$N$5:$N$205,1)))/(INDEX(LE_Curves!$N$5:$N$205,MATCH($R222,LE_Curves!$N$5:$N$205,1)+1)-INDEX(LE_Curves!$N$5:$N$205,MATCH($R222,LE_Curves!$N$5:$N$205,1))))))</f>
        <v/>
      </c>
      <c r="AE222" s="37">
        <f>SUM(S222:AD222)</f>
        <v/>
      </c>
    </row>
    <row r="223">
      <c r="A223" s="7" t="n">
        <v>192</v>
      </c>
      <c r="B223" s="37">
        <f>$B$3+($B$4-$B$3)*A223/200</f>
        <v/>
      </c>
      <c r="C223" s="11">
        <f>IF(Inputs!$D$23=0,0,IF($B223&lt;=Inputs!$C$23,0,IF($B223&gt;=INDEX(LE_Curves!$C$5:$C$205,201),INDEX(LE_Curves!$B$5:$B$205,201),INDEX(LE_Curves!$B$5:$B$205,MATCH($B223,LE_Curves!$C$5:$C$205,1))+($B223-INDEX(LE_Curves!$C$5:$C$205,MATCH($B223,LE_Curves!$C$5:$C$205,1)))*(INDEX(LE_Curves!$B$5:$B$205,MATCH($B223,LE_Curves!$C$5:$C$205,1)+1)-INDEX(LE_Curves!$B$5:$B$205,MATCH($B223,LE_Curves!$C$5:$C$205,1)))/(INDEX(LE_Curves!$C$5:$C$205,MATCH($B223,LE_Curves!$C$5:$C$205,1)+1)-INDEX(LE_Curves!$C$5:$C$205,MATCH($B223,LE_Curves!$C$5:$C$205,1))))))</f>
        <v/>
      </c>
      <c r="D223" s="11">
        <f>IF(Inputs!$D$24=0,0,IF($B223&lt;=Inputs!$C$24,0,IF($B223&gt;=INDEX(LE_Curves!$D$5:$D$205,201),INDEX(LE_Curves!$B$5:$B$205,201),INDEX(LE_Curves!$B$5:$B$205,MATCH($B223,LE_Curves!$D$5:$D$205,1))+($B223-INDEX(LE_Curves!$D$5:$D$205,MATCH($B223,LE_Curves!$D$5:$D$205,1)))*(INDEX(LE_Curves!$B$5:$B$205,MATCH($B223,LE_Curves!$D$5:$D$205,1)+1)-INDEX(LE_Curves!$B$5:$B$205,MATCH($B223,LE_Curves!$D$5:$D$205,1)))/(INDEX(LE_Curves!$D$5:$D$205,MATCH($B223,LE_Curves!$D$5:$D$205,1)+1)-INDEX(LE_Curves!$D$5:$D$205,MATCH($B223,LE_Curves!$D$5:$D$205,1))))))</f>
        <v/>
      </c>
      <c r="E223" s="11">
        <f>IF(Inputs!$D$25=0,0,IF($B223&lt;=Inputs!$C$25,0,IF($B223&gt;=INDEX(LE_Curves!$E$5:$E$205,201),INDEX(LE_Curves!$B$5:$B$205,201),INDEX(LE_Curves!$B$5:$B$205,MATCH($B223,LE_Curves!$E$5:$E$205,1))+($B223-INDEX(LE_Curves!$E$5:$E$205,MATCH($B223,LE_Curves!$E$5:$E$205,1)))*(INDEX(LE_Curves!$B$5:$B$205,MATCH($B223,LE_Curves!$E$5:$E$205,1)+1)-INDEX(LE_Curves!$B$5:$B$205,MATCH($B223,LE_Curves!$E$5:$E$205,1)))/(INDEX(LE_Curves!$E$5:$E$205,MATCH($B223,LE_Curves!$E$5:$E$205,1)+1)-INDEX(LE_Curves!$E$5:$E$205,MATCH($B223,LE_Curves!$E$5:$E$205,1))))))</f>
        <v/>
      </c>
      <c r="F223" s="11">
        <f>IF(Inputs!$D$26=0,0,IF($B223&lt;=Inputs!$C$26,0,IF($B223&gt;=INDEX(LE_Curves!$F$5:$F$205,201),INDEX(LE_Curves!$B$5:$B$205,201),INDEX(LE_Curves!$B$5:$B$205,MATCH($B223,LE_Curves!$F$5:$F$205,1))+($B223-INDEX(LE_Curves!$F$5:$F$205,MATCH($B223,LE_Curves!$F$5:$F$205,1)))*(INDEX(LE_Curves!$B$5:$B$205,MATCH($B223,LE_Curves!$F$5:$F$205,1)+1)-INDEX(LE_Curves!$B$5:$B$205,MATCH($B223,LE_Curves!$F$5:$F$205,1)))/(INDEX(LE_Curves!$F$5:$F$205,MATCH($B223,LE_Curves!$F$5:$F$205,1)+1)-INDEX(LE_Curves!$F$5:$F$205,MATCH($B223,LE_Curves!$F$5:$F$205,1))))))</f>
        <v/>
      </c>
      <c r="G223" s="11">
        <f>IF(Inputs!$D$27=0,0,IF($B223&lt;=Inputs!$C$27,0,IF($B223&gt;=INDEX(LE_Curves!$G$5:$G$205,201),INDEX(LE_Curves!$B$5:$B$205,201),INDEX(LE_Curves!$B$5:$B$205,MATCH($B223,LE_Curves!$G$5:$G$205,1))+($B223-INDEX(LE_Curves!$G$5:$G$205,MATCH($B223,LE_Curves!$G$5:$G$205,1)))*(INDEX(LE_Curves!$B$5:$B$205,MATCH($B223,LE_Curves!$G$5:$G$205,1)+1)-INDEX(LE_Curves!$B$5:$B$205,MATCH($B223,LE_Curves!$G$5:$G$205,1)))/(INDEX(LE_Curves!$G$5:$G$205,MATCH($B223,LE_Curves!$G$5:$G$205,1)+1)-INDEX(LE_Curves!$G$5:$G$205,MATCH($B223,LE_Curves!$G$5:$G$205,1))))))</f>
        <v/>
      </c>
      <c r="H223" s="11">
        <f>IF(Inputs!$D$28=0,0,IF($B223&lt;=Inputs!$C$28,0,IF($B223&gt;=INDEX(LE_Curves!$H$5:$H$205,201),INDEX(LE_Curves!$B$5:$B$205,201),INDEX(LE_Curves!$B$5:$B$205,MATCH($B223,LE_Curves!$H$5:$H$205,1))+($B223-INDEX(LE_Curves!$H$5:$H$205,MATCH($B223,LE_Curves!$H$5:$H$205,1)))*(INDEX(LE_Curves!$B$5:$B$205,MATCH($B223,LE_Curves!$H$5:$H$205,1)+1)-INDEX(LE_Curves!$B$5:$B$205,MATCH($B223,LE_Curves!$H$5:$H$205,1)))/(INDEX(LE_Curves!$H$5:$H$205,MATCH($B223,LE_Curves!$H$5:$H$205,1)+1)-INDEX(LE_Curves!$H$5:$H$205,MATCH($B223,LE_Curves!$H$5:$H$205,1))))))</f>
        <v/>
      </c>
      <c r="I223" s="11">
        <f>IF(Inputs!$D$29=0,0,IF($B223&lt;=Inputs!$C$29,0,IF($B223&gt;=INDEX(LE_Curves!$I$5:$I$205,201),INDEX(LE_Curves!$B$5:$B$205,201),INDEX(LE_Curves!$B$5:$B$205,MATCH($B223,LE_Curves!$I$5:$I$205,1))+($B223-INDEX(LE_Curves!$I$5:$I$205,MATCH($B223,LE_Curves!$I$5:$I$205,1)))*(INDEX(LE_Curves!$B$5:$B$205,MATCH($B223,LE_Curves!$I$5:$I$205,1)+1)-INDEX(LE_Curves!$B$5:$B$205,MATCH($B223,LE_Curves!$I$5:$I$205,1)))/(INDEX(LE_Curves!$I$5:$I$205,MATCH($B223,LE_Curves!$I$5:$I$205,1)+1)-INDEX(LE_Curves!$I$5:$I$205,MATCH($B223,LE_Curves!$I$5:$I$205,1))))))</f>
        <v/>
      </c>
      <c r="J223" s="11">
        <f>IF(Inputs!$D$30=0,0,IF($B223&lt;=Inputs!$C$30,0,IF($B223&gt;=INDEX(LE_Curves!$J$5:$J$205,201),INDEX(LE_Curves!$B$5:$B$205,201),INDEX(LE_Curves!$B$5:$B$205,MATCH($B223,LE_Curves!$J$5:$J$205,1))+($B223-INDEX(LE_Curves!$J$5:$J$205,MATCH($B223,LE_Curves!$J$5:$J$205,1)))*(INDEX(LE_Curves!$B$5:$B$205,MATCH($B223,LE_Curves!$J$5:$J$205,1)+1)-INDEX(LE_Curves!$B$5:$B$205,MATCH($B223,LE_Curves!$J$5:$J$205,1)))/(INDEX(LE_Curves!$J$5:$J$205,MATCH($B223,LE_Curves!$J$5:$J$205,1)+1)-INDEX(LE_Curves!$J$5:$J$205,MATCH($B223,LE_Curves!$J$5:$J$205,1))))))</f>
        <v/>
      </c>
      <c r="K223" s="11">
        <f>IF(Inputs!$D$31=0,0,IF($B223&lt;=Inputs!$C$31,0,IF($B223&gt;=INDEX(LE_Curves!$K$5:$K$205,201),INDEX(LE_Curves!$B$5:$B$205,201),INDEX(LE_Curves!$B$5:$B$205,MATCH($B223,LE_Curves!$K$5:$K$205,1))+($B223-INDEX(LE_Curves!$K$5:$K$205,MATCH($B223,LE_Curves!$K$5:$K$205,1)))*(INDEX(LE_Curves!$B$5:$B$205,MATCH($B223,LE_Curves!$K$5:$K$205,1)+1)-INDEX(LE_Curves!$B$5:$B$205,MATCH($B223,LE_Curves!$K$5:$K$205,1)))/(INDEX(LE_Curves!$K$5:$K$205,MATCH($B223,LE_Curves!$K$5:$K$205,1)+1)-INDEX(LE_Curves!$K$5:$K$205,MATCH($B223,LE_Curves!$K$5:$K$205,1))))))</f>
        <v/>
      </c>
      <c r="L223" s="11">
        <f>IF(Inputs!$D$32=0,0,IF($B223&lt;=Inputs!$C$32,0,IF($B223&gt;=INDEX(LE_Curves!$L$5:$L$205,201),INDEX(LE_Curves!$B$5:$B$205,201),INDEX(LE_Curves!$B$5:$B$205,MATCH($B223,LE_Curves!$L$5:$L$205,1))+($B223-INDEX(LE_Curves!$L$5:$L$205,MATCH($B223,LE_Curves!$L$5:$L$205,1)))*(INDEX(LE_Curves!$B$5:$B$205,MATCH($B223,LE_Curves!$L$5:$L$205,1)+1)-INDEX(LE_Curves!$B$5:$B$205,MATCH($B223,LE_Curves!$L$5:$L$205,1)))/(INDEX(LE_Curves!$L$5:$L$205,MATCH($B223,LE_Curves!$L$5:$L$205,1)+1)-INDEX(LE_Curves!$L$5:$L$205,MATCH($B223,LE_Curves!$L$5:$L$205,1))))))</f>
        <v/>
      </c>
      <c r="M223" s="11">
        <f>IF(Inputs!$D$33=0,0,IF($B223&lt;=Inputs!$C$33,0,IF($B223&gt;=INDEX(LE_Curves!$M$5:$M$205,201),INDEX(LE_Curves!$B$5:$B$205,201),INDEX(LE_Curves!$B$5:$B$205,MATCH($B223,LE_Curves!$M$5:$M$205,1))+($B223-INDEX(LE_Curves!$M$5:$M$205,MATCH($B223,LE_Curves!$M$5:$M$205,1)))*(INDEX(LE_Curves!$B$5:$B$205,MATCH($B223,LE_Curves!$M$5:$M$205,1)+1)-INDEX(LE_Curves!$B$5:$B$205,MATCH($B223,LE_Curves!$M$5:$M$205,1)))/(INDEX(LE_Curves!$M$5:$M$205,MATCH($B223,LE_Curves!$M$5:$M$205,1)+1)-INDEX(LE_Curves!$M$5:$M$205,MATCH($B223,LE_Curves!$M$5:$M$205,1))))))</f>
        <v/>
      </c>
      <c r="N223" s="11">
        <f>IF(Inputs!$D$34=0,0,IF($B223&lt;=Inputs!$C$34,0,IF($B223&gt;=INDEX(LE_Curves!$N$5:$N$205,201),INDEX(LE_Curves!$B$5:$B$205,201),INDEX(LE_Curves!$B$5:$B$205,MATCH($B223,LE_Curves!$N$5:$N$205,1))+($B223-INDEX(LE_Curves!$N$5:$N$205,MATCH($B223,LE_Curves!$N$5:$N$205,1)))*(INDEX(LE_Curves!$B$5:$B$205,MATCH($B223,LE_Curves!$N$5:$N$205,1)+1)-INDEX(LE_Curves!$B$5:$B$205,MATCH($B223,LE_Curves!$N$5:$N$205,1)))/(INDEX(LE_Curves!$N$5:$N$205,MATCH($B223,LE_Curves!$N$5:$N$205,1)+1)-INDEX(LE_Curves!$N$5:$N$205,MATCH($B223,LE_Curves!$N$5:$N$205,1))))))</f>
        <v/>
      </c>
      <c r="O223" s="11">
        <f>SUM(C223:N223)</f>
        <v/>
      </c>
      <c r="Q223" s="7" t="n">
        <v>192</v>
      </c>
      <c r="R223" s="23">
        <f>$B$6+($B$7-$B$6)*Q223/200</f>
        <v/>
      </c>
      <c r="S223" s="11">
        <f>IF(Inputs!$D$23=0,0,IF($R223&lt;=Inputs!$C$23,0,IF($R223&gt;=INDEX(LE_Curves!$C$5:$C$205,201),INDEX(LE_Curves!$B$5:$B$205,201),INDEX(LE_Curves!$B$5:$B$205,MATCH($R223,LE_Curves!$C$5:$C$205,1))+($R223-INDEX(LE_Curves!$C$5:$C$205,MATCH($R223,LE_Curves!$C$5:$C$205,1)))*(INDEX(LE_Curves!$B$5:$B$205,MATCH($R223,LE_Curves!$C$5:$C$205,1)+1)-INDEX(LE_Curves!$B$5:$B$205,MATCH($R223,LE_Curves!$C$5:$C$205,1)))/(INDEX(LE_Curves!$C$5:$C$205,MATCH($R223,LE_Curves!$C$5:$C$205,1)+1)-INDEX(LE_Curves!$C$5:$C$205,MATCH($R223,LE_Curves!$C$5:$C$205,1))))))</f>
        <v/>
      </c>
      <c r="T223" s="11">
        <f>IF(Inputs!$D$24=0,0,IF($R223&lt;=Inputs!$C$24,0,IF($R223&gt;=INDEX(LE_Curves!$D$5:$D$205,201),INDEX(LE_Curves!$B$5:$B$205,201),INDEX(LE_Curves!$B$5:$B$205,MATCH($R223,LE_Curves!$D$5:$D$205,1))+($R223-INDEX(LE_Curves!$D$5:$D$205,MATCH($R223,LE_Curves!$D$5:$D$205,1)))*(INDEX(LE_Curves!$B$5:$B$205,MATCH($R223,LE_Curves!$D$5:$D$205,1)+1)-INDEX(LE_Curves!$B$5:$B$205,MATCH($R223,LE_Curves!$D$5:$D$205,1)))/(INDEX(LE_Curves!$D$5:$D$205,MATCH($R223,LE_Curves!$D$5:$D$205,1)+1)-INDEX(LE_Curves!$D$5:$D$205,MATCH($R223,LE_Curves!$D$5:$D$205,1))))))</f>
        <v/>
      </c>
      <c r="U223" s="11">
        <f>IF(Inputs!$D$25=0,0,IF($R223&lt;=Inputs!$C$25,0,IF($R223&gt;=INDEX(LE_Curves!$E$5:$E$205,201),INDEX(LE_Curves!$B$5:$B$205,201),INDEX(LE_Curves!$B$5:$B$205,MATCH($R223,LE_Curves!$E$5:$E$205,1))+($R223-INDEX(LE_Curves!$E$5:$E$205,MATCH($R223,LE_Curves!$E$5:$E$205,1)))*(INDEX(LE_Curves!$B$5:$B$205,MATCH($R223,LE_Curves!$E$5:$E$205,1)+1)-INDEX(LE_Curves!$B$5:$B$205,MATCH($R223,LE_Curves!$E$5:$E$205,1)))/(INDEX(LE_Curves!$E$5:$E$205,MATCH($R223,LE_Curves!$E$5:$E$205,1)+1)-INDEX(LE_Curves!$E$5:$E$205,MATCH($R223,LE_Curves!$E$5:$E$205,1))))))</f>
        <v/>
      </c>
      <c r="V223" s="11">
        <f>IF(Inputs!$D$26=0,0,IF($R223&lt;=Inputs!$C$26,0,IF($R223&gt;=INDEX(LE_Curves!$F$5:$F$205,201),INDEX(LE_Curves!$B$5:$B$205,201),INDEX(LE_Curves!$B$5:$B$205,MATCH($R223,LE_Curves!$F$5:$F$205,1))+($R223-INDEX(LE_Curves!$F$5:$F$205,MATCH($R223,LE_Curves!$F$5:$F$205,1)))*(INDEX(LE_Curves!$B$5:$B$205,MATCH($R223,LE_Curves!$F$5:$F$205,1)+1)-INDEX(LE_Curves!$B$5:$B$205,MATCH($R223,LE_Curves!$F$5:$F$205,1)))/(INDEX(LE_Curves!$F$5:$F$205,MATCH($R223,LE_Curves!$F$5:$F$205,1)+1)-INDEX(LE_Curves!$F$5:$F$205,MATCH($R223,LE_Curves!$F$5:$F$205,1))))))</f>
        <v/>
      </c>
      <c r="W223" s="11">
        <f>IF(Inputs!$D$27=0,0,IF($R223&lt;=Inputs!$C$27,0,IF($R223&gt;=INDEX(LE_Curves!$G$5:$G$205,201),INDEX(LE_Curves!$B$5:$B$205,201),INDEX(LE_Curves!$B$5:$B$205,MATCH($R223,LE_Curves!$G$5:$G$205,1))+($R223-INDEX(LE_Curves!$G$5:$G$205,MATCH($R223,LE_Curves!$G$5:$G$205,1)))*(INDEX(LE_Curves!$B$5:$B$205,MATCH($R223,LE_Curves!$G$5:$G$205,1)+1)-INDEX(LE_Curves!$B$5:$B$205,MATCH($R223,LE_Curves!$G$5:$G$205,1)))/(INDEX(LE_Curves!$G$5:$G$205,MATCH($R223,LE_Curves!$G$5:$G$205,1)+1)-INDEX(LE_Curves!$G$5:$G$205,MATCH($R223,LE_Curves!$G$5:$G$205,1))))))</f>
        <v/>
      </c>
      <c r="X223" s="11">
        <f>IF(Inputs!$D$28=0,0,IF($R223&lt;=Inputs!$C$28,0,IF($R223&gt;=INDEX(LE_Curves!$H$5:$H$205,201),INDEX(LE_Curves!$B$5:$B$205,201),INDEX(LE_Curves!$B$5:$B$205,MATCH($R223,LE_Curves!$H$5:$H$205,1))+($R223-INDEX(LE_Curves!$H$5:$H$205,MATCH($R223,LE_Curves!$H$5:$H$205,1)))*(INDEX(LE_Curves!$B$5:$B$205,MATCH($R223,LE_Curves!$H$5:$H$205,1)+1)-INDEX(LE_Curves!$B$5:$B$205,MATCH($R223,LE_Curves!$H$5:$H$205,1)))/(INDEX(LE_Curves!$H$5:$H$205,MATCH($R223,LE_Curves!$H$5:$H$205,1)+1)-INDEX(LE_Curves!$H$5:$H$205,MATCH($R223,LE_Curves!$H$5:$H$205,1))))))</f>
        <v/>
      </c>
      <c r="Y223" s="11">
        <f>IF(Inputs!$D$29=0,0,IF($R223&lt;=Inputs!$C$29,0,IF($R223&gt;=INDEX(LE_Curves!$I$5:$I$205,201),INDEX(LE_Curves!$B$5:$B$205,201),INDEX(LE_Curves!$B$5:$B$205,MATCH($R223,LE_Curves!$I$5:$I$205,1))+($R223-INDEX(LE_Curves!$I$5:$I$205,MATCH($R223,LE_Curves!$I$5:$I$205,1)))*(INDEX(LE_Curves!$B$5:$B$205,MATCH($R223,LE_Curves!$I$5:$I$205,1)+1)-INDEX(LE_Curves!$B$5:$B$205,MATCH($R223,LE_Curves!$I$5:$I$205,1)))/(INDEX(LE_Curves!$I$5:$I$205,MATCH($R223,LE_Curves!$I$5:$I$205,1)+1)-INDEX(LE_Curves!$I$5:$I$205,MATCH($R223,LE_Curves!$I$5:$I$205,1))))))</f>
        <v/>
      </c>
      <c r="Z223" s="11">
        <f>IF(Inputs!$D$30=0,0,IF($R223&lt;=Inputs!$C$30,0,IF($R223&gt;=INDEX(LE_Curves!$J$5:$J$205,201),INDEX(LE_Curves!$B$5:$B$205,201),INDEX(LE_Curves!$B$5:$B$205,MATCH($R223,LE_Curves!$J$5:$J$205,1))+($R223-INDEX(LE_Curves!$J$5:$J$205,MATCH($R223,LE_Curves!$J$5:$J$205,1)))*(INDEX(LE_Curves!$B$5:$B$205,MATCH($R223,LE_Curves!$J$5:$J$205,1)+1)-INDEX(LE_Curves!$B$5:$B$205,MATCH($R223,LE_Curves!$J$5:$J$205,1)))/(INDEX(LE_Curves!$J$5:$J$205,MATCH($R223,LE_Curves!$J$5:$J$205,1)+1)-INDEX(LE_Curves!$J$5:$J$205,MATCH($R223,LE_Curves!$J$5:$J$205,1))))))</f>
        <v/>
      </c>
      <c r="AA223" s="11">
        <f>IF(Inputs!$D$31=0,0,IF($R223&lt;=Inputs!$C$31,0,IF($R223&gt;=INDEX(LE_Curves!$K$5:$K$205,201),INDEX(LE_Curves!$B$5:$B$205,201),INDEX(LE_Curves!$B$5:$B$205,MATCH($R223,LE_Curves!$K$5:$K$205,1))+($R223-INDEX(LE_Curves!$K$5:$K$205,MATCH($R223,LE_Curves!$K$5:$K$205,1)))*(INDEX(LE_Curves!$B$5:$B$205,MATCH($R223,LE_Curves!$K$5:$K$205,1)+1)-INDEX(LE_Curves!$B$5:$B$205,MATCH($R223,LE_Curves!$K$5:$K$205,1)))/(INDEX(LE_Curves!$K$5:$K$205,MATCH($R223,LE_Curves!$K$5:$K$205,1)+1)-INDEX(LE_Curves!$K$5:$K$205,MATCH($R223,LE_Curves!$K$5:$K$205,1))))))</f>
        <v/>
      </c>
      <c r="AB223" s="11">
        <f>IF(Inputs!$D$32=0,0,IF($R223&lt;=Inputs!$C$32,0,IF($R223&gt;=INDEX(LE_Curves!$L$5:$L$205,201),INDEX(LE_Curves!$B$5:$B$205,201),INDEX(LE_Curves!$B$5:$B$205,MATCH($R223,LE_Curves!$L$5:$L$205,1))+($R223-INDEX(LE_Curves!$L$5:$L$205,MATCH($R223,LE_Curves!$L$5:$L$205,1)))*(INDEX(LE_Curves!$B$5:$B$205,MATCH($R223,LE_Curves!$L$5:$L$205,1)+1)-INDEX(LE_Curves!$B$5:$B$205,MATCH($R223,LE_Curves!$L$5:$L$205,1)))/(INDEX(LE_Curves!$L$5:$L$205,MATCH($R223,LE_Curves!$L$5:$L$205,1)+1)-INDEX(LE_Curves!$L$5:$L$205,MATCH($R223,LE_Curves!$L$5:$L$205,1))))))</f>
        <v/>
      </c>
      <c r="AC223" s="11">
        <f>IF(Inputs!$D$33=0,0,IF($R223&lt;=Inputs!$C$33,0,IF($R223&gt;=INDEX(LE_Curves!$M$5:$M$205,201),INDEX(LE_Curves!$B$5:$B$205,201),INDEX(LE_Curves!$B$5:$B$205,MATCH($R223,LE_Curves!$M$5:$M$205,1))+($R223-INDEX(LE_Curves!$M$5:$M$205,MATCH($R223,LE_Curves!$M$5:$M$205,1)))*(INDEX(LE_Curves!$B$5:$B$205,MATCH($R223,LE_Curves!$M$5:$M$205,1)+1)-INDEX(LE_Curves!$B$5:$B$205,MATCH($R223,LE_Curves!$M$5:$M$205,1)))/(INDEX(LE_Curves!$M$5:$M$205,MATCH($R223,LE_Curves!$M$5:$M$205,1)+1)-INDEX(LE_Curves!$M$5:$M$205,MATCH($R223,LE_Curves!$M$5:$M$205,1))))))</f>
        <v/>
      </c>
      <c r="AD223" s="11">
        <f>IF(Inputs!$D$34=0,0,IF($R223&lt;=Inputs!$C$34,0,IF($R223&gt;=INDEX(LE_Curves!$N$5:$N$205,201),INDEX(LE_Curves!$B$5:$B$205,201),INDEX(LE_Curves!$B$5:$B$205,MATCH($R223,LE_Curves!$N$5:$N$205,1))+($R223-INDEX(LE_Curves!$N$5:$N$205,MATCH($R223,LE_Curves!$N$5:$N$205,1)))*(INDEX(LE_Curves!$B$5:$B$205,MATCH($R223,LE_Curves!$N$5:$N$205,1)+1)-INDEX(LE_Curves!$B$5:$B$205,MATCH($R223,LE_Curves!$N$5:$N$205,1)))/(INDEX(LE_Curves!$N$5:$N$205,MATCH($R223,LE_Curves!$N$5:$N$205,1)+1)-INDEX(LE_Curves!$N$5:$N$205,MATCH($R223,LE_Curves!$N$5:$N$205,1))))))</f>
        <v/>
      </c>
      <c r="AE223" s="37">
        <f>SUM(S223:AD223)</f>
        <v/>
      </c>
    </row>
    <row r="224">
      <c r="A224" s="7" t="n">
        <v>193</v>
      </c>
      <c r="B224" s="37">
        <f>$B$3+($B$4-$B$3)*A224/200</f>
        <v/>
      </c>
      <c r="C224" s="11">
        <f>IF(Inputs!$D$23=0,0,IF($B224&lt;=Inputs!$C$23,0,IF($B224&gt;=INDEX(LE_Curves!$C$5:$C$205,201),INDEX(LE_Curves!$B$5:$B$205,201),INDEX(LE_Curves!$B$5:$B$205,MATCH($B224,LE_Curves!$C$5:$C$205,1))+($B224-INDEX(LE_Curves!$C$5:$C$205,MATCH($B224,LE_Curves!$C$5:$C$205,1)))*(INDEX(LE_Curves!$B$5:$B$205,MATCH($B224,LE_Curves!$C$5:$C$205,1)+1)-INDEX(LE_Curves!$B$5:$B$205,MATCH($B224,LE_Curves!$C$5:$C$205,1)))/(INDEX(LE_Curves!$C$5:$C$205,MATCH($B224,LE_Curves!$C$5:$C$205,1)+1)-INDEX(LE_Curves!$C$5:$C$205,MATCH($B224,LE_Curves!$C$5:$C$205,1))))))</f>
        <v/>
      </c>
      <c r="D224" s="11">
        <f>IF(Inputs!$D$24=0,0,IF($B224&lt;=Inputs!$C$24,0,IF($B224&gt;=INDEX(LE_Curves!$D$5:$D$205,201),INDEX(LE_Curves!$B$5:$B$205,201),INDEX(LE_Curves!$B$5:$B$205,MATCH($B224,LE_Curves!$D$5:$D$205,1))+($B224-INDEX(LE_Curves!$D$5:$D$205,MATCH($B224,LE_Curves!$D$5:$D$205,1)))*(INDEX(LE_Curves!$B$5:$B$205,MATCH($B224,LE_Curves!$D$5:$D$205,1)+1)-INDEX(LE_Curves!$B$5:$B$205,MATCH($B224,LE_Curves!$D$5:$D$205,1)))/(INDEX(LE_Curves!$D$5:$D$205,MATCH($B224,LE_Curves!$D$5:$D$205,1)+1)-INDEX(LE_Curves!$D$5:$D$205,MATCH($B224,LE_Curves!$D$5:$D$205,1))))))</f>
        <v/>
      </c>
      <c r="E224" s="11">
        <f>IF(Inputs!$D$25=0,0,IF($B224&lt;=Inputs!$C$25,0,IF($B224&gt;=INDEX(LE_Curves!$E$5:$E$205,201),INDEX(LE_Curves!$B$5:$B$205,201),INDEX(LE_Curves!$B$5:$B$205,MATCH($B224,LE_Curves!$E$5:$E$205,1))+($B224-INDEX(LE_Curves!$E$5:$E$205,MATCH($B224,LE_Curves!$E$5:$E$205,1)))*(INDEX(LE_Curves!$B$5:$B$205,MATCH($B224,LE_Curves!$E$5:$E$205,1)+1)-INDEX(LE_Curves!$B$5:$B$205,MATCH($B224,LE_Curves!$E$5:$E$205,1)))/(INDEX(LE_Curves!$E$5:$E$205,MATCH($B224,LE_Curves!$E$5:$E$205,1)+1)-INDEX(LE_Curves!$E$5:$E$205,MATCH($B224,LE_Curves!$E$5:$E$205,1))))))</f>
        <v/>
      </c>
      <c r="F224" s="11">
        <f>IF(Inputs!$D$26=0,0,IF($B224&lt;=Inputs!$C$26,0,IF($B224&gt;=INDEX(LE_Curves!$F$5:$F$205,201),INDEX(LE_Curves!$B$5:$B$205,201),INDEX(LE_Curves!$B$5:$B$205,MATCH($B224,LE_Curves!$F$5:$F$205,1))+($B224-INDEX(LE_Curves!$F$5:$F$205,MATCH($B224,LE_Curves!$F$5:$F$205,1)))*(INDEX(LE_Curves!$B$5:$B$205,MATCH($B224,LE_Curves!$F$5:$F$205,1)+1)-INDEX(LE_Curves!$B$5:$B$205,MATCH($B224,LE_Curves!$F$5:$F$205,1)))/(INDEX(LE_Curves!$F$5:$F$205,MATCH($B224,LE_Curves!$F$5:$F$205,1)+1)-INDEX(LE_Curves!$F$5:$F$205,MATCH($B224,LE_Curves!$F$5:$F$205,1))))))</f>
        <v/>
      </c>
      <c r="G224" s="11">
        <f>IF(Inputs!$D$27=0,0,IF($B224&lt;=Inputs!$C$27,0,IF($B224&gt;=INDEX(LE_Curves!$G$5:$G$205,201),INDEX(LE_Curves!$B$5:$B$205,201),INDEX(LE_Curves!$B$5:$B$205,MATCH($B224,LE_Curves!$G$5:$G$205,1))+($B224-INDEX(LE_Curves!$G$5:$G$205,MATCH($B224,LE_Curves!$G$5:$G$205,1)))*(INDEX(LE_Curves!$B$5:$B$205,MATCH($B224,LE_Curves!$G$5:$G$205,1)+1)-INDEX(LE_Curves!$B$5:$B$205,MATCH($B224,LE_Curves!$G$5:$G$205,1)))/(INDEX(LE_Curves!$G$5:$G$205,MATCH($B224,LE_Curves!$G$5:$G$205,1)+1)-INDEX(LE_Curves!$G$5:$G$205,MATCH($B224,LE_Curves!$G$5:$G$205,1))))))</f>
        <v/>
      </c>
      <c r="H224" s="11">
        <f>IF(Inputs!$D$28=0,0,IF($B224&lt;=Inputs!$C$28,0,IF($B224&gt;=INDEX(LE_Curves!$H$5:$H$205,201),INDEX(LE_Curves!$B$5:$B$205,201),INDEX(LE_Curves!$B$5:$B$205,MATCH($B224,LE_Curves!$H$5:$H$205,1))+($B224-INDEX(LE_Curves!$H$5:$H$205,MATCH($B224,LE_Curves!$H$5:$H$205,1)))*(INDEX(LE_Curves!$B$5:$B$205,MATCH($B224,LE_Curves!$H$5:$H$205,1)+1)-INDEX(LE_Curves!$B$5:$B$205,MATCH($B224,LE_Curves!$H$5:$H$205,1)))/(INDEX(LE_Curves!$H$5:$H$205,MATCH($B224,LE_Curves!$H$5:$H$205,1)+1)-INDEX(LE_Curves!$H$5:$H$205,MATCH($B224,LE_Curves!$H$5:$H$205,1))))))</f>
        <v/>
      </c>
      <c r="I224" s="11">
        <f>IF(Inputs!$D$29=0,0,IF($B224&lt;=Inputs!$C$29,0,IF($B224&gt;=INDEX(LE_Curves!$I$5:$I$205,201),INDEX(LE_Curves!$B$5:$B$205,201),INDEX(LE_Curves!$B$5:$B$205,MATCH($B224,LE_Curves!$I$5:$I$205,1))+($B224-INDEX(LE_Curves!$I$5:$I$205,MATCH($B224,LE_Curves!$I$5:$I$205,1)))*(INDEX(LE_Curves!$B$5:$B$205,MATCH($B224,LE_Curves!$I$5:$I$205,1)+1)-INDEX(LE_Curves!$B$5:$B$205,MATCH($B224,LE_Curves!$I$5:$I$205,1)))/(INDEX(LE_Curves!$I$5:$I$205,MATCH($B224,LE_Curves!$I$5:$I$205,1)+1)-INDEX(LE_Curves!$I$5:$I$205,MATCH($B224,LE_Curves!$I$5:$I$205,1))))))</f>
        <v/>
      </c>
      <c r="J224" s="11">
        <f>IF(Inputs!$D$30=0,0,IF($B224&lt;=Inputs!$C$30,0,IF($B224&gt;=INDEX(LE_Curves!$J$5:$J$205,201),INDEX(LE_Curves!$B$5:$B$205,201),INDEX(LE_Curves!$B$5:$B$205,MATCH($B224,LE_Curves!$J$5:$J$205,1))+($B224-INDEX(LE_Curves!$J$5:$J$205,MATCH($B224,LE_Curves!$J$5:$J$205,1)))*(INDEX(LE_Curves!$B$5:$B$205,MATCH($B224,LE_Curves!$J$5:$J$205,1)+1)-INDEX(LE_Curves!$B$5:$B$205,MATCH($B224,LE_Curves!$J$5:$J$205,1)))/(INDEX(LE_Curves!$J$5:$J$205,MATCH($B224,LE_Curves!$J$5:$J$205,1)+1)-INDEX(LE_Curves!$J$5:$J$205,MATCH($B224,LE_Curves!$J$5:$J$205,1))))))</f>
        <v/>
      </c>
      <c r="K224" s="11">
        <f>IF(Inputs!$D$31=0,0,IF($B224&lt;=Inputs!$C$31,0,IF($B224&gt;=INDEX(LE_Curves!$K$5:$K$205,201),INDEX(LE_Curves!$B$5:$B$205,201),INDEX(LE_Curves!$B$5:$B$205,MATCH($B224,LE_Curves!$K$5:$K$205,1))+($B224-INDEX(LE_Curves!$K$5:$K$205,MATCH($B224,LE_Curves!$K$5:$K$205,1)))*(INDEX(LE_Curves!$B$5:$B$205,MATCH($B224,LE_Curves!$K$5:$K$205,1)+1)-INDEX(LE_Curves!$B$5:$B$205,MATCH($B224,LE_Curves!$K$5:$K$205,1)))/(INDEX(LE_Curves!$K$5:$K$205,MATCH($B224,LE_Curves!$K$5:$K$205,1)+1)-INDEX(LE_Curves!$K$5:$K$205,MATCH($B224,LE_Curves!$K$5:$K$205,1))))))</f>
        <v/>
      </c>
      <c r="L224" s="11">
        <f>IF(Inputs!$D$32=0,0,IF($B224&lt;=Inputs!$C$32,0,IF($B224&gt;=INDEX(LE_Curves!$L$5:$L$205,201),INDEX(LE_Curves!$B$5:$B$205,201),INDEX(LE_Curves!$B$5:$B$205,MATCH($B224,LE_Curves!$L$5:$L$205,1))+($B224-INDEX(LE_Curves!$L$5:$L$205,MATCH($B224,LE_Curves!$L$5:$L$205,1)))*(INDEX(LE_Curves!$B$5:$B$205,MATCH($B224,LE_Curves!$L$5:$L$205,1)+1)-INDEX(LE_Curves!$B$5:$B$205,MATCH($B224,LE_Curves!$L$5:$L$205,1)))/(INDEX(LE_Curves!$L$5:$L$205,MATCH($B224,LE_Curves!$L$5:$L$205,1)+1)-INDEX(LE_Curves!$L$5:$L$205,MATCH($B224,LE_Curves!$L$5:$L$205,1))))))</f>
        <v/>
      </c>
      <c r="M224" s="11">
        <f>IF(Inputs!$D$33=0,0,IF($B224&lt;=Inputs!$C$33,0,IF($B224&gt;=INDEX(LE_Curves!$M$5:$M$205,201),INDEX(LE_Curves!$B$5:$B$205,201),INDEX(LE_Curves!$B$5:$B$205,MATCH($B224,LE_Curves!$M$5:$M$205,1))+($B224-INDEX(LE_Curves!$M$5:$M$205,MATCH($B224,LE_Curves!$M$5:$M$205,1)))*(INDEX(LE_Curves!$B$5:$B$205,MATCH($B224,LE_Curves!$M$5:$M$205,1)+1)-INDEX(LE_Curves!$B$5:$B$205,MATCH($B224,LE_Curves!$M$5:$M$205,1)))/(INDEX(LE_Curves!$M$5:$M$205,MATCH($B224,LE_Curves!$M$5:$M$205,1)+1)-INDEX(LE_Curves!$M$5:$M$205,MATCH($B224,LE_Curves!$M$5:$M$205,1))))))</f>
        <v/>
      </c>
      <c r="N224" s="11">
        <f>IF(Inputs!$D$34=0,0,IF($B224&lt;=Inputs!$C$34,0,IF($B224&gt;=INDEX(LE_Curves!$N$5:$N$205,201),INDEX(LE_Curves!$B$5:$B$205,201),INDEX(LE_Curves!$B$5:$B$205,MATCH($B224,LE_Curves!$N$5:$N$205,1))+($B224-INDEX(LE_Curves!$N$5:$N$205,MATCH($B224,LE_Curves!$N$5:$N$205,1)))*(INDEX(LE_Curves!$B$5:$B$205,MATCH($B224,LE_Curves!$N$5:$N$205,1)+1)-INDEX(LE_Curves!$B$5:$B$205,MATCH($B224,LE_Curves!$N$5:$N$205,1)))/(INDEX(LE_Curves!$N$5:$N$205,MATCH($B224,LE_Curves!$N$5:$N$205,1)+1)-INDEX(LE_Curves!$N$5:$N$205,MATCH($B224,LE_Curves!$N$5:$N$205,1))))))</f>
        <v/>
      </c>
      <c r="O224" s="11">
        <f>SUM(C224:N224)</f>
        <v/>
      </c>
      <c r="Q224" s="7" t="n">
        <v>193</v>
      </c>
      <c r="R224" s="23">
        <f>$B$6+($B$7-$B$6)*Q224/200</f>
        <v/>
      </c>
      <c r="S224" s="11">
        <f>IF(Inputs!$D$23=0,0,IF($R224&lt;=Inputs!$C$23,0,IF($R224&gt;=INDEX(LE_Curves!$C$5:$C$205,201),INDEX(LE_Curves!$B$5:$B$205,201),INDEX(LE_Curves!$B$5:$B$205,MATCH($R224,LE_Curves!$C$5:$C$205,1))+($R224-INDEX(LE_Curves!$C$5:$C$205,MATCH($R224,LE_Curves!$C$5:$C$205,1)))*(INDEX(LE_Curves!$B$5:$B$205,MATCH($R224,LE_Curves!$C$5:$C$205,1)+1)-INDEX(LE_Curves!$B$5:$B$205,MATCH($R224,LE_Curves!$C$5:$C$205,1)))/(INDEX(LE_Curves!$C$5:$C$205,MATCH($R224,LE_Curves!$C$5:$C$205,1)+1)-INDEX(LE_Curves!$C$5:$C$205,MATCH($R224,LE_Curves!$C$5:$C$205,1))))))</f>
        <v/>
      </c>
      <c r="T224" s="11">
        <f>IF(Inputs!$D$24=0,0,IF($R224&lt;=Inputs!$C$24,0,IF($R224&gt;=INDEX(LE_Curves!$D$5:$D$205,201),INDEX(LE_Curves!$B$5:$B$205,201),INDEX(LE_Curves!$B$5:$B$205,MATCH($R224,LE_Curves!$D$5:$D$205,1))+($R224-INDEX(LE_Curves!$D$5:$D$205,MATCH($R224,LE_Curves!$D$5:$D$205,1)))*(INDEX(LE_Curves!$B$5:$B$205,MATCH($R224,LE_Curves!$D$5:$D$205,1)+1)-INDEX(LE_Curves!$B$5:$B$205,MATCH($R224,LE_Curves!$D$5:$D$205,1)))/(INDEX(LE_Curves!$D$5:$D$205,MATCH($R224,LE_Curves!$D$5:$D$205,1)+1)-INDEX(LE_Curves!$D$5:$D$205,MATCH($R224,LE_Curves!$D$5:$D$205,1))))))</f>
        <v/>
      </c>
      <c r="U224" s="11">
        <f>IF(Inputs!$D$25=0,0,IF($R224&lt;=Inputs!$C$25,0,IF($R224&gt;=INDEX(LE_Curves!$E$5:$E$205,201),INDEX(LE_Curves!$B$5:$B$205,201),INDEX(LE_Curves!$B$5:$B$205,MATCH($R224,LE_Curves!$E$5:$E$205,1))+($R224-INDEX(LE_Curves!$E$5:$E$205,MATCH($R224,LE_Curves!$E$5:$E$205,1)))*(INDEX(LE_Curves!$B$5:$B$205,MATCH($R224,LE_Curves!$E$5:$E$205,1)+1)-INDEX(LE_Curves!$B$5:$B$205,MATCH($R224,LE_Curves!$E$5:$E$205,1)))/(INDEX(LE_Curves!$E$5:$E$205,MATCH($R224,LE_Curves!$E$5:$E$205,1)+1)-INDEX(LE_Curves!$E$5:$E$205,MATCH($R224,LE_Curves!$E$5:$E$205,1))))))</f>
        <v/>
      </c>
      <c r="V224" s="11">
        <f>IF(Inputs!$D$26=0,0,IF($R224&lt;=Inputs!$C$26,0,IF($R224&gt;=INDEX(LE_Curves!$F$5:$F$205,201),INDEX(LE_Curves!$B$5:$B$205,201),INDEX(LE_Curves!$B$5:$B$205,MATCH($R224,LE_Curves!$F$5:$F$205,1))+($R224-INDEX(LE_Curves!$F$5:$F$205,MATCH($R224,LE_Curves!$F$5:$F$205,1)))*(INDEX(LE_Curves!$B$5:$B$205,MATCH($R224,LE_Curves!$F$5:$F$205,1)+1)-INDEX(LE_Curves!$B$5:$B$205,MATCH($R224,LE_Curves!$F$5:$F$205,1)))/(INDEX(LE_Curves!$F$5:$F$205,MATCH($R224,LE_Curves!$F$5:$F$205,1)+1)-INDEX(LE_Curves!$F$5:$F$205,MATCH($R224,LE_Curves!$F$5:$F$205,1))))))</f>
        <v/>
      </c>
      <c r="W224" s="11">
        <f>IF(Inputs!$D$27=0,0,IF($R224&lt;=Inputs!$C$27,0,IF($R224&gt;=INDEX(LE_Curves!$G$5:$G$205,201),INDEX(LE_Curves!$B$5:$B$205,201),INDEX(LE_Curves!$B$5:$B$205,MATCH($R224,LE_Curves!$G$5:$G$205,1))+($R224-INDEX(LE_Curves!$G$5:$G$205,MATCH($R224,LE_Curves!$G$5:$G$205,1)))*(INDEX(LE_Curves!$B$5:$B$205,MATCH($R224,LE_Curves!$G$5:$G$205,1)+1)-INDEX(LE_Curves!$B$5:$B$205,MATCH($R224,LE_Curves!$G$5:$G$205,1)))/(INDEX(LE_Curves!$G$5:$G$205,MATCH($R224,LE_Curves!$G$5:$G$205,1)+1)-INDEX(LE_Curves!$G$5:$G$205,MATCH($R224,LE_Curves!$G$5:$G$205,1))))))</f>
        <v/>
      </c>
      <c r="X224" s="11">
        <f>IF(Inputs!$D$28=0,0,IF($R224&lt;=Inputs!$C$28,0,IF($R224&gt;=INDEX(LE_Curves!$H$5:$H$205,201),INDEX(LE_Curves!$B$5:$B$205,201),INDEX(LE_Curves!$B$5:$B$205,MATCH($R224,LE_Curves!$H$5:$H$205,1))+($R224-INDEX(LE_Curves!$H$5:$H$205,MATCH($R224,LE_Curves!$H$5:$H$205,1)))*(INDEX(LE_Curves!$B$5:$B$205,MATCH($R224,LE_Curves!$H$5:$H$205,1)+1)-INDEX(LE_Curves!$B$5:$B$205,MATCH($R224,LE_Curves!$H$5:$H$205,1)))/(INDEX(LE_Curves!$H$5:$H$205,MATCH($R224,LE_Curves!$H$5:$H$205,1)+1)-INDEX(LE_Curves!$H$5:$H$205,MATCH($R224,LE_Curves!$H$5:$H$205,1))))))</f>
        <v/>
      </c>
      <c r="Y224" s="11">
        <f>IF(Inputs!$D$29=0,0,IF($R224&lt;=Inputs!$C$29,0,IF($R224&gt;=INDEX(LE_Curves!$I$5:$I$205,201),INDEX(LE_Curves!$B$5:$B$205,201),INDEX(LE_Curves!$B$5:$B$205,MATCH($R224,LE_Curves!$I$5:$I$205,1))+($R224-INDEX(LE_Curves!$I$5:$I$205,MATCH($R224,LE_Curves!$I$5:$I$205,1)))*(INDEX(LE_Curves!$B$5:$B$205,MATCH($R224,LE_Curves!$I$5:$I$205,1)+1)-INDEX(LE_Curves!$B$5:$B$205,MATCH($R224,LE_Curves!$I$5:$I$205,1)))/(INDEX(LE_Curves!$I$5:$I$205,MATCH($R224,LE_Curves!$I$5:$I$205,1)+1)-INDEX(LE_Curves!$I$5:$I$205,MATCH($R224,LE_Curves!$I$5:$I$205,1))))))</f>
        <v/>
      </c>
      <c r="Z224" s="11">
        <f>IF(Inputs!$D$30=0,0,IF($R224&lt;=Inputs!$C$30,0,IF($R224&gt;=INDEX(LE_Curves!$J$5:$J$205,201),INDEX(LE_Curves!$B$5:$B$205,201),INDEX(LE_Curves!$B$5:$B$205,MATCH($R224,LE_Curves!$J$5:$J$205,1))+($R224-INDEX(LE_Curves!$J$5:$J$205,MATCH($R224,LE_Curves!$J$5:$J$205,1)))*(INDEX(LE_Curves!$B$5:$B$205,MATCH($R224,LE_Curves!$J$5:$J$205,1)+1)-INDEX(LE_Curves!$B$5:$B$205,MATCH($R224,LE_Curves!$J$5:$J$205,1)))/(INDEX(LE_Curves!$J$5:$J$205,MATCH($R224,LE_Curves!$J$5:$J$205,1)+1)-INDEX(LE_Curves!$J$5:$J$205,MATCH($R224,LE_Curves!$J$5:$J$205,1))))))</f>
        <v/>
      </c>
      <c r="AA224" s="11">
        <f>IF(Inputs!$D$31=0,0,IF($R224&lt;=Inputs!$C$31,0,IF($R224&gt;=INDEX(LE_Curves!$K$5:$K$205,201),INDEX(LE_Curves!$B$5:$B$205,201),INDEX(LE_Curves!$B$5:$B$205,MATCH($R224,LE_Curves!$K$5:$K$205,1))+($R224-INDEX(LE_Curves!$K$5:$K$205,MATCH($R224,LE_Curves!$K$5:$K$205,1)))*(INDEX(LE_Curves!$B$5:$B$205,MATCH($R224,LE_Curves!$K$5:$K$205,1)+1)-INDEX(LE_Curves!$B$5:$B$205,MATCH($R224,LE_Curves!$K$5:$K$205,1)))/(INDEX(LE_Curves!$K$5:$K$205,MATCH($R224,LE_Curves!$K$5:$K$205,1)+1)-INDEX(LE_Curves!$K$5:$K$205,MATCH($R224,LE_Curves!$K$5:$K$205,1))))))</f>
        <v/>
      </c>
      <c r="AB224" s="11">
        <f>IF(Inputs!$D$32=0,0,IF($R224&lt;=Inputs!$C$32,0,IF($R224&gt;=INDEX(LE_Curves!$L$5:$L$205,201),INDEX(LE_Curves!$B$5:$B$205,201),INDEX(LE_Curves!$B$5:$B$205,MATCH($R224,LE_Curves!$L$5:$L$205,1))+($R224-INDEX(LE_Curves!$L$5:$L$205,MATCH($R224,LE_Curves!$L$5:$L$205,1)))*(INDEX(LE_Curves!$B$5:$B$205,MATCH($R224,LE_Curves!$L$5:$L$205,1)+1)-INDEX(LE_Curves!$B$5:$B$205,MATCH($R224,LE_Curves!$L$5:$L$205,1)))/(INDEX(LE_Curves!$L$5:$L$205,MATCH($R224,LE_Curves!$L$5:$L$205,1)+1)-INDEX(LE_Curves!$L$5:$L$205,MATCH($R224,LE_Curves!$L$5:$L$205,1))))))</f>
        <v/>
      </c>
      <c r="AC224" s="11">
        <f>IF(Inputs!$D$33=0,0,IF($R224&lt;=Inputs!$C$33,0,IF($R224&gt;=INDEX(LE_Curves!$M$5:$M$205,201),INDEX(LE_Curves!$B$5:$B$205,201),INDEX(LE_Curves!$B$5:$B$205,MATCH($R224,LE_Curves!$M$5:$M$205,1))+($R224-INDEX(LE_Curves!$M$5:$M$205,MATCH($R224,LE_Curves!$M$5:$M$205,1)))*(INDEX(LE_Curves!$B$5:$B$205,MATCH($R224,LE_Curves!$M$5:$M$205,1)+1)-INDEX(LE_Curves!$B$5:$B$205,MATCH($R224,LE_Curves!$M$5:$M$205,1)))/(INDEX(LE_Curves!$M$5:$M$205,MATCH($R224,LE_Curves!$M$5:$M$205,1)+1)-INDEX(LE_Curves!$M$5:$M$205,MATCH($R224,LE_Curves!$M$5:$M$205,1))))))</f>
        <v/>
      </c>
      <c r="AD224" s="11">
        <f>IF(Inputs!$D$34=0,0,IF($R224&lt;=Inputs!$C$34,0,IF($R224&gt;=INDEX(LE_Curves!$N$5:$N$205,201),INDEX(LE_Curves!$B$5:$B$205,201),INDEX(LE_Curves!$B$5:$B$205,MATCH($R224,LE_Curves!$N$5:$N$205,1))+($R224-INDEX(LE_Curves!$N$5:$N$205,MATCH($R224,LE_Curves!$N$5:$N$205,1)))*(INDEX(LE_Curves!$B$5:$B$205,MATCH($R224,LE_Curves!$N$5:$N$205,1)+1)-INDEX(LE_Curves!$B$5:$B$205,MATCH($R224,LE_Curves!$N$5:$N$205,1)))/(INDEX(LE_Curves!$N$5:$N$205,MATCH($R224,LE_Curves!$N$5:$N$205,1)+1)-INDEX(LE_Curves!$N$5:$N$205,MATCH($R224,LE_Curves!$N$5:$N$205,1))))))</f>
        <v/>
      </c>
      <c r="AE224" s="37">
        <f>SUM(S224:AD224)</f>
        <v/>
      </c>
    </row>
    <row r="225">
      <c r="A225" s="7" t="n">
        <v>194</v>
      </c>
      <c r="B225" s="37">
        <f>$B$3+($B$4-$B$3)*A225/200</f>
        <v/>
      </c>
      <c r="C225" s="11">
        <f>IF(Inputs!$D$23=0,0,IF($B225&lt;=Inputs!$C$23,0,IF($B225&gt;=INDEX(LE_Curves!$C$5:$C$205,201),INDEX(LE_Curves!$B$5:$B$205,201),INDEX(LE_Curves!$B$5:$B$205,MATCH($B225,LE_Curves!$C$5:$C$205,1))+($B225-INDEX(LE_Curves!$C$5:$C$205,MATCH($B225,LE_Curves!$C$5:$C$205,1)))*(INDEX(LE_Curves!$B$5:$B$205,MATCH($B225,LE_Curves!$C$5:$C$205,1)+1)-INDEX(LE_Curves!$B$5:$B$205,MATCH($B225,LE_Curves!$C$5:$C$205,1)))/(INDEX(LE_Curves!$C$5:$C$205,MATCH($B225,LE_Curves!$C$5:$C$205,1)+1)-INDEX(LE_Curves!$C$5:$C$205,MATCH($B225,LE_Curves!$C$5:$C$205,1))))))</f>
        <v/>
      </c>
      <c r="D225" s="11">
        <f>IF(Inputs!$D$24=0,0,IF($B225&lt;=Inputs!$C$24,0,IF($B225&gt;=INDEX(LE_Curves!$D$5:$D$205,201),INDEX(LE_Curves!$B$5:$B$205,201),INDEX(LE_Curves!$B$5:$B$205,MATCH($B225,LE_Curves!$D$5:$D$205,1))+($B225-INDEX(LE_Curves!$D$5:$D$205,MATCH($B225,LE_Curves!$D$5:$D$205,1)))*(INDEX(LE_Curves!$B$5:$B$205,MATCH($B225,LE_Curves!$D$5:$D$205,1)+1)-INDEX(LE_Curves!$B$5:$B$205,MATCH($B225,LE_Curves!$D$5:$D$205,1)))/(INDEX(LE_Curves!$D$5:$D$205,MATCH($B225,LE_Curves!$D$5:$D$205,1)+1)-INDEX(LE_Curves!$D$5:$D$205,MATCH($B225,LE_Curves!$D$5:$D$205,1))))))</f>
        <v/>
      </c>
      <c r="E225" s="11">
        <f>IF(Inputs!$D$25=0,0,IF($B225&lt;=Inputs!$C$25,0,IF($B225&gt;=INDEX(LE_Curves!$E$5:$E$205,201),INDEX(LE_Curves!$B$5:$B$205,201),INDEX(LE_Curves!$B$5:$B$205,MATCH($B225,LE_Curves!$E$5:$E$205,1))+($B225-INDEX(LE_Curves!$E$5:$E$205,MATCH($B225,LE_Curves!$E$5:$E$205,1)))*(INDEX(LE_Curves!$B$5:$B$205,MATCH($B225,LE_Curves!$E$5:$E$205,1)+1)-INDEX(LE_Curves!$B$5:$B$205,MATCH($B225,LE_Curves!$E$5:$E$205,1)))/(INDEX(LE_Curves!$E$5:$E$205,MATCH($B225,LE_Curves!$E$5:$E$205,1)+1)-INDEX(LE_Curves!$E$5:$E$205,MATCH($B225,LE_Curves!$E$5:$E$205,1))))))</f>
        <v/>
      </c>
      <c r="F225" s="11">
        <f>IF(Inputs!$D$26=0,0,IF($B225&lt;=Inputs!$C$26,0,IF($B225&gt;=INDEX(LE_Curves!$F$5:$F$205,201),INDEX(LE_Curves!$B$5:$B$205,201),INDEX(LE_Curves!$B$5:$B$205,MATCH($B225,LE_Curves!$F$5:$F$205,1))+($B225-INDEX(LE_Curves!$F$5:$F$205,MATCH($B225,LE_Curves!$F$5:$F$205,1)))*(INDEX(LE_Curves!$B$5:$B$205,MATCH($B225,LE_Curves!$F$5:$F$205,1)+1)-INDEX(LE_Curves!$B$5:$B$205,MATCH($B225,LE_Curves!$F$5:$F$205,1)))/(INDEX(LE_Curves!$F$5:$F$205,MATCH($B225,LE_Curves!$F$5:$F$205,1)+1)-INDEX(LE_Curves!$F$5:$F$205,MATCH($B225,LE_Curves!$F$5:$F$205,1))))))</f>
        <v/>
      </c>
      <c r="G225" s="11">
        <f>IF(Inputs!$D$27=0,0,IF($B225&lt;=Inputs!$C$27,0,IF($B225&gt;=INDEX(LE_Curves!$G$5:$G$205,201),INDEX(LE_Curves!$B$5:$B$205,201),INDEX(LE_Curves!$B$5:$B$205,MATCH($B225,LE_Curves!$G$5:$G$205,1))+($B225-INDEX(LE_Curves!$G$5:$G$205,MATCH($B225,LE_Curves!$G$5:$G$205,1)))*(INDEX(LE_Curves!$B$5:$B$205,MATCH($B225,LE_Curves!$G$5:$G$205,1)+1)-INDEX(LE_Curves!$B$5:$B$205,MATCH($B225,LE_Curves!$G$5:$G$205,1)))/(INDEX(LE_Curves!$G$5:$G$205,MATCH($B225,LE_Curves!$G$5:$G$205,1)+1)-INDEX(LE_Curves!$G$5:$G$205,MATCH($B225,LE_Curves!$G$5:$G$205,1))))))</f>
        <v/>
      </c>
      <c r="H225" s="11">
        <f>IF(Inputs!$D$28=0,0,IF($B225&lt;=Inputs!$C$28,0,IF($B225&gt;=INDEX(LE_Curves!$H$5:$H$205,201),INDEX(LE_Curves!$B$5:$B$205,201),INDEX(LE_Curves!$B$5:$B$205,MATCH($B225,LE_Curves!$H$5:$H$205,1))+($B225-INDEX(LE_Curves!$H$5:$H$205,MATCH($B225,LE_Curves!$H$5:$H$205,1)))*(INDEX(LE_Curves!$B$5:$B$205,MATCH($B225,LE_Curves!$H$5:$H$205,1)+1)-INDEX(LE_Curves!$B$5:$B$205,MATCH($B225,LE_Curves!$H$5:$H$205,1)))/(INDEX(LE_Curves!$H$5:$H$205,MATCH($B225,LE_Curves!$H$5:$H$205,1)+1)-INDEX(LE_Curves!$H$5:$H$205,MATCH($B225,LE_Curves!$H$5:$H$205,1))))))</f>
        <v/>
      </c>
      <c r="I225" s="11">
        <f>IF(Inputs!$D$29=0,0,IF($B225&lt;=Inputs!$C$29,0,IF($B225&gt;=INDEX(LE_Curves!$I$5:$I$205,201),INDEX(LE_Curves!$B$5:$B$205,201),INDEX(LE_Curves!$B$5:$B$205,MATCH($B225,LE_Curves!$I$5:$I$205,1))+($B225-INDEX(LE_Curves!$I$5:$I$205,MATCH($B225,LE_Curves!$I$5:$I$205,1)))*(INDEX(LE_Curves!$B$5:$B$205,MATCH($B225,LE_Curves!$I$5:$I$205,1)+1)-INDEX(LE_Curves!$B$5:$B$205,MATCH($B225,LE_Curves!$I$5:$I$205,1)))/(INDEX(LE_Curves!$I$5:$I$205,MATCH($B225,LE_Curves!$I$5:$I$205,1)+1)-INDEX(LE_Curves!$I$5:$I$205,MATCH($B225,LE_Curves!$I$5:$I$205,1))))))</f>
        <v/>
      </c>
      <c r="J225" s="11">
        <f>IF(Inputs!$D$30=0,0,IF($B225&lt;=Inputs!$C$30,0,IF($B225&gt;=INDEX(LE_Curves!$J$5:$J$205,201),INDEX(LE_Curves!$B$5:$B$205,201),INDEX(LE_Curves!$B$5:$B$205,MATCH($B225,LE_Curves!$J$5:$J$205,1))+($B225-INDEX(LE_Curves!$J$5:$J$205,MATCH($B225,LE_Curves!$J$5:$J$205,1)))*(INDEX(LE_Curves!$B$5:$B$205,MATCH($B225,LE_Curves!$J$5:$J$205,1)+1)-INDEX(LE_Curves!$B$5:$B$205,MATCH($B225,LE_Curves!$J$5:$J$205,1)))/(INDEX(LE_Curves!$J$5:$J$205,MATCH($B225,LE_Curves!$J$5:$J$205,1)+1)-INDEX(LE_Curves!$J$5:$J$205,MATCH($B225,LE_Curves!$J$5:$J$205,1))))))</f>
        <v/>
      </c>
      <c r="K225" s="11">
        <f>IF(Inputs!$D$31=0,0,IF($B225&lt;=Inputs!$C$31,0,IF($B225&gt;=INDEX(LE_Curves!$K$5:$K$205,201),INDEX(LE_Curves!$B$5:$B$205,201),INDEX(LE_Curves!$B$5:$B$205,MATCH($B225,LE_Curves!$K$5:$K$205,1))+($B225-INDEX(LE_Curves!$K$5:$K$205,MATCH($B225,LE_Curves!$K$5:$K$205,1)))*(INDEX(LE_Curves!$B$5:$B$205,MATCH($B225,LE_Curves!$K$5:$K$205,1)+1)-INDEX(LE_Curves!$B$5:$B$205,MATCH($B225,LE_Curves!$K$5:$K$205,1)))/(INDEX(LE_Curves!$K$5:$K$205,MATCH($B225,LE_Curves!$K$5:$K$205,1)+1)-INDEX(LE_Curves!$K$5:$K$205,MATCH($B225,LE_Curves!$K$5:$K$205,1))))))</f>
        <v/>
      </c>
      <c r="L225" s="11">
        <f>IF(Inputs!$D$32=0,0,IF($B225&lt;=Inputs!$C$32,0,IF($B225&gt;=INDEX(LE_Curves!$L$5:$L$205,201),INDEX(LE_Curves!$B$5:$B$205,201),INDEX(LE_Curves!$B$5:$B$205,MATCH($B225,LE_Curves!$L$5:$L$205,1))+($B225-INDEX(LE_Curves!$L$5:$L$205,MATCH($B225,LE_Curves!$L$5:$L$205,1)))*(INDEX(LE_Curves!$B$5:$B$205,MATCH($B225,LE_Curves!$L$5:$L$205,1)+1)-INDEX(LE_Curves!$B$5:$B$205,MATCH($B225,LE_Curves!$L$5:$L$205,1)))/(INDEX(LE_Curves!$L$5:$L$205,MATCH($B225,LE_Curves!$L$5:$L$205,1)+1)-INDEX(LE_Curves!$L$5:$L$205,MATCH($B225,LE_Curves!$L$5:$L$205,1))))))</f>
        <v/>
      </c>
      <c r="M225" s="11">
        <f>IF(Inputs!$D$33=0,0,IF($B225&lt;=Inputs!$C$33,0,IF($B225&gt;=INDEX(LE_Curves!$M$5:$M$205,201),INDEX(LE_Curves!$B$5:$B$205,201),INDEX(LE_Curves!$B$5:$B$205,MATCH($B225,LE_Curves!$M$5:$M$205,1))+($B225-INDEX(LE_Curves!$M$5:$M$205,MATCH($B225,LE_Curves!$M$5:$M$205,1)))*(INDEX(LE_Curves!$B$5:$B$205,MATCH($B225,LE_Curves!$M$5:$M$205,1)+1)-INDEX(LE_Curves!$B$5:$B$205,MATCH($B225,LE_Curves!$M$5:$M$205,1)))/(INDEX(LE_Curves!$M$5:$M$205,MATCH($B225,LE_Curves!$M$5:$M$205,1)+1)-INDEX(LE_Curves!$M$5:$M$205,MATCH($B225,LE_Curves!$M$5:$M$205,1))))))</f>
        <v/>
      </c>
      <c r="N225" s="11">
        <f>IF(Inputs!$D$34=0,0,IF($B225&lt;=Inputs!$C$34,0,IF($B225&gt;=INDEX(LE_Curves!$N$5:$N$205,201),INDEX(LE_Curves!$B$5:$B$205,201),INDEX(LE_Curves!$B$5:$B$205,MATCH($B225,LE_Curves!$N$5:$N$205,1))+($B225-INDEX(LE_Curves!$N$5:$N$205,MATCH($B225,LE_Curves!$N$5:$N$205,1)))*(INDEX(LE_Curves!$B$5:$B$205,MATCH($B225,LE_Curves!$N$5:$N$205,1)+1)-INDEX(LE_Curves!$B$5:$B$205,MATCH($B225,LE_Curves!$N$5:$N$205,1)))/(INDEX(LE_Curves!$N$5:$N$205,MATCH($B225,LE_Curves!$N$5:$N$205,1)+1)-INDEX(LE_Curves!$N$5:$N$205,MATCH($B225,LE_Curves!$N$5:$N$205,1))))))</f>
        <v/>
      </c>
      <c r="O225" s="11">
        <f>SUM(C225:N225)</f>
        <v/>
      </c>
      <c r="Q225" s="7" t="n">
        <v>194</v>
      </c>
      <c r="R225" s="23">
        <f>$B$6+($B$7-$B$6)*Q225/200</f>
        <v/>
      </c>
      <c r="S225" s="11">
        <f>IF(Inputs!$D$23=0,0,IF($R225&lt;=Inputs!$C$23,0,IF($R225&gt;=INDEX(LE_Curves!$C$5:$C$205,201),INDEX(LE_Curves!$B$5:$B$205,201),INDEX(LE_Curves!$B$5:$B$205,MATCH($R225,LE_Curves!$C$5:$C$205,1))+($R225-INDEX(LE_Curves!$C$5:$C$205,MATCH($R225,LE_Curves!$C$5:$C$205,1)))*(INDEX(LE_Curves!$B$5:$B$205,MATCH($R225,LE_Curves!$C$5:$C$205,1)+1)-INDEX(LE_Curves!$B$5:$B$205,MATCH($R225,LE_Curves!$C$5:$C$205,1)))/(INDEX(LE_Curves!$C$5:$C$205,MATCH($R225,LE_Curves!$C$5:$C$205,1)+1)-INDEX(LE_Curves!$C$5:$C$205,MATCH($R225,LE_Curves!$C$5:$C$205,1))))))</f>
        <v/>
      </c>
      <c r="T225" s="11">
        <f>IF(Inputs!$D$24=0,0,IF($R225&lt;=Inputs!$C$24,0,IF($R225&gt;=INDEX(LE_Curves!$D$5:$D$205,201),INDEX(LE_Curves!$B$5:$B$205,201),INDEX(LE_Curves!$B$5:$B$205,MATCH($R225,LE_Curves!$D$5:$D$205,1))+($R225-INDEX(LE_Curves!$D$5:$D$205,MATCH($R225,LE_Curves!$D$5:$D$205,1)))*(INDEX(LE_Curves!$B$5:$B$205,MATCH($R225,LE_Curves!$D$5:$D$205,1)+1)-INDEX(LE_Curves!$B$5:$B$205,MATCH($R225,LE_Curves!$D$5:$D$205,1)))/(INDEX(LE_Curves!$D$5:$D$205,MATCH($R225,LE_Curves!$D$5:$D$205,1)+1)-INDEX(LE_Curves!$D$5:$D$205,MATCH($R225,LE_Curves!$D$5:$D$205,1))))))</f>
        <v/>
      </c>
      <c r="U225" s="11">
        <f>IF(Inputs!$D$25=0,0,IF($R225&lt;=Inputs!$C$25,0,IF($R225&gt;=INDEX(LE_Curves!$E$5:$E$205,201),INDEX(LE_Curves!$B$5:$B$205,201),INDEX(LE_Curves!$B$5:$B$205,MATCH($R225,LE_Curves!$E$5:$E$205,1))+($R225-INDEX(LE_Curves!$E$5:$E$205,MATCH($R225,LE_Curves!$E$5:$E$205,1)))*(INDEX(LE_Curves!$B$5:$B$205,MATCH($R225,LE_Curves!$E$5:$E$205,1)+1)-INDEX(LE_Curves!$B$5:$B$205,MATCH($R225,LE_Curves!$E$5:$E$205,1)))/(INDEX(LE_Curves!$E$5:$E$205,MATCH($R225,LE_Curves!$E$5:$E$205,1)+1)-INDEX(LE_Curves!$E$5:$E$205,MATCH($R225,LE_Curves!$E$5:$E$205,1))))))</f>
        <v/>
      </c>
      <c r="V225" s="11">
        <f>IF(Inputs!$D$26=0,0,IF($R225&lt;=Inputs!$C$26,0,IF($R225&gt;=INDEX(LE_Curves!$F$5:$F$205,201),INDEX(LE_Curves!$B$5:$B$205,201),INDEX(LE_Curves!$B$5:$B$205,MATCH($R225,LE_Curves!$F$5:$F$205,1))+($R225-INDEX(LE_Curves!$F$5:$F$205,MATCH($R225,LE_Curves!$F$5:$F$205,1)))*(INDEX(LE_Curves!$B$5:$B$205,MATCH($R225,LE_Curves!$F$5:$F$205,1)+1)-INDEX(LE_Curves!$B$5:$B$205,MATCH($R225,LE_Curves!$F$5:$F$205,1)))/(INDEX(LE_Curves!$F$5:$F$205,MATCH($R225,LE_Curves!$F$5:$F$205,1)+1)-INDEX(LE_Curves!$F$5:$F$205,MATCH($R225,LE_Curves!$F$5:$F$205,1))))))</f>
        <v/>
      </c>
      <c r="W225" s="11">
        <f>IF(Inputs!$D$27=0,0,IF($R225&lt;=Inputs!$C$27,0,IF($R225&gt;=INDEX(LE_Curves!$G$5:$G$205,201),INDEX(LE_Curves!$B$5:$B$205,201),INDEX(LE_Curves!$B$5:$B$205,MATCH($R225,LE_Curves!$G$5:$G$205,1))+($R225-INDEX(LE_Curves!$G$5:$G$205,MATCH($R225,LE_Curves!$G$5:$G$205,1)))*(INDEX(LE_Curves!$B$5:$B$205,MATCH($R225,LE_Curves!$G$5:$G$205,1)+1)-INDEX(LE_Curves!$B$5:$B$205,MATCH($R225,LE_Curves!$G$5:$G$205,1)))/(INDEX(LE_Curves!$G$5:$G$205,MATCH($R225,LE_Curves!$G$5:$G$205,1)+1)-INDEX(LE_Curves!$G$5:$G$205,MATCH($R225,LE_Curves!$G$5:$G$205,1))))))</f>
        <v/>
      </c>
      <c r="X225" s="11">
        <f>IF(Inputs!$D$28=0,0,IF($R225&lt;=Inputs!$C$28,0,IF($R225&gt;=INDEX(LE_Curves!$H$5:$H$205,201),INDEX(LE_Curves!$B$5:$B$205,201),INDEX(LE_Curves!$B$5:$B$205,MATCH($R225,LE_Curves!$H$5:$H$205,1))+($R225-INDEX(LE_Curves!$H$5:$H$205,MATCH($R225,LE_Curves!$H$5:$H$205,1)))*(INDEX(LE_Curves!$B$5:$B$205,MATCH($R225,LE_Curves!$H$5:$H$205,1)+1)-INDEX(LE_Curves!$B$5:$B$205,MATCH($R225,LE_Curves!$H$5:$H$205,1)))/(INDEX(LE_Curves!$H$5:$H$205,MATCH($R225,LE_Curves!$H$5:$H$205,1)+1)-INDEX(LE_Curves!$H$5:$H$205,MATCH($R225,LE_Curves!$H$5:$H$205,1))))))</f>
        <v/>
      </c>
      <c r="Y225" s="11">
        <f>IF(Inputs!$D$29=0,0,IF($R225&lt;=Inputs!$C$29,0,IF($R225&gt;=INDEX(LE_Curves!$I$5:$I$205,201),INDEX(LE_Curves!$B$5:$B$205,201),INDEX(LE_Curves!$B$5:$B$205,MATCH($R225,LE_Curves!$I$5:$I$205,1))+($R225-INDEX(LE_Curves!$I$5:$I$205,MATCH($R225,LE_Curves!$I$5:$I$205,1)))*(INDEX(LE_Curves!$B$5:$B$205,MATCH($R225,LE_Curves!$I$5:$I$205,1)+1)-INDEX(LE_Curves!$B$5:$B$205,MATCH($R225,LE_Curves!$I$5:$I$205,1)))/(INDEX(LE_Curves!$I$5:$I$205,MATCH($R225,LE_Curves!$I$5:$I$205,1)+1)-INDEX(LE_Curves!$I$5:$I$205,MATCH($R225,LE_Curves!$I$5:$I$205,1))))))</f>
        <v/>
      </c>
      <c r="Z225" s="11">
        <f>IF(Inputs!$D$30=0,0,IF($R225&lt;=Inputs!$C$30,0,IF($R225&gt;=INDEX(LE_Curves!$J$5:$J$205,201),INDEX(LE_Curves!$B$5:$B$205,201),INDEX(LE_Curves!$B$5:$B$205,MATCH($R225,LE_Curves!$J$5:$J$205,1))+($R225-INDEX(LE_Curves!$J$5:$J$205,MATCH($R225,LE_Curves!$J$5:$J$205,1)))*(INDEX(LE_Curves!$B$5:$B$205,MATCH($R225,LE_Curves!$J$5:$J$205,1)+1)-INDEX(LE_Curves!$B$5:$B$205,MATCH($R225,LE_Curves!$J$5:$J$205,1)))/(INDEX(LE_Curves!$J$5:$J$205,MATCH($R225,LE_Curves!$J$5:$J$205,1)+1)-INDEX(LE_Curves!$J$5:$J$205,MATCH($R225,LE_Curves!$J$5:$J$205,1))))))</f>
        <v/>
      </c>
      <c r="AA225" s="11">
        <f>IF(Inputs!$D$31=0,0,IF($R225&lt;=Inputs!$C$31,0,IF($R225&gt;=INDEX(LE_Curves!$K$5:$K$205,201),INDEX(LE_Curves!$B$5:$B$205,201),INDEX(LE_Curves!$B$5:$B$205,MATCH($R225,LE_Curves!$K$5:$K$205,1))+($R225-INDEX(LE_Curves!$K$5:$K$205,MATCH($R225,LE_Curves!$K$5:$K$205,1)))*(INDEX(LE_Curves!$B$5:$B$205,MATCH($R225,LE_Curves!$K$5:$K$205,1)+1)-INDEX(LE_Curves!$B$5:$B$205,MATCH($R225,LE_Curves!$K$5:$K$205,1)))/(INDEX(LE_Curves!$K$5:$K$205,MATCH($R225,LE_Curves!$K$5:$K$205,1)+1)-INDEX(LE_Curves!$K$5:$K$205,MATCH($R225,LE_Curves!$K$5:$K$205,1))))))</f>
        <v/>
      </c>
      <c r="AB225" s="11">
        <f>IF(Inputs!$D$32=0,0,IF($R225&lt;=Inputs!$C$32,0,IF($R225&gt;=INDEX(LE_Curves!$L$5:$L$205,201),INDEX(LE_Curves!$B$5:$B$205,201),INDEX(LE_Curves!$B$5:$B$205,MATCH($R225,LE_Curves!$L$5:$L$205,1))+($R225-INDEX(LE_Curves!$L$5:$L$205,MATCH($R225,LE_Curves!$L$5:$L$205,1)))*(INDEX(LE_Curves!$B$5:$B$205,MATCH($R225,LE_Curves!$L$5:$L$205,1)+1)-INDEX(LE_Curves!$B$5:$B$205,MATCH($R225,LE_Curves!$L$5:$L$205,1)))/(INDEX(LE_Curves!$L$5:$L$205,MATCH($R225,LE_Curves!$L$5:$L$205,1)+1)-INDEX(LE_Curves!$L$5:$L$205,MATCH($R225,LE_Curves!$L$5:$L$205,1))))))</f>
        <v/>
      </c>
      <c r="AC225" s="11">
        <f>IF(Inputs!$D$33=0,0,IF($R225&lt;=Inputs!$C$33,0,IF($R225&gt;=INDEX(LE_Curves!$M$5:$M$205,201),INDEX(LE_Curves!$B$5:$B$205,201),INDEX(LE_Curves!$B$5:$B$205,MATCH($R225,LE_Curves!$M$5:$M$205,1))+($R225-INDEX(LE_Curves!$M$5:$M$205,MATCH($R225,LE_Curves!$M$5:$M$205,1)))*(INDEX(LE_Curves!$B$5:$B$205,MATCH($R225,LE_Curves!$M$5:$M$205,1)+1)-INDEX(LE_Curves!$B$5:$B$205,MATCH($R225,LE_Curves!$M$5:$M$205,1)))/(INDEX(LE_Curves!$M$5:$M$205,MATCH($R225,LE_Curves!$M$5:$M$205,1)+1)-INDEX(LE_Curves!$M$5:$M$205,MATCH($R225,LE_Curves!$M$5:$M$205,1))))))</f>
        <v/>
      </c>
      <c r="AD225" s="11">
        <f>IF(Inputs!$D$34=0,0,IF($R225&lt;=Inputs!$C$34,0,IF($R225&gt;=INDEX(LE_Curves!$N$5:$N$205,201),INDEX(LE_Curves!$B$5:$B$205,201),INDEX(LE_Curves!$B$5:$B$205,MATCH($R225,LE_Curves!$N$5:$N$205,1))+($R225-INDEX(LE_Curves!$N$5:$N$205,MATCH($R225,LE_Curves!$N$5:$N$205,1)))*(INDEX(LE_Curves!$B$5:$B$205,MATCH($R225,LE_Curves!$N$5:$N$205,1)+1)-INDEX(LE_Curves!$B$5:$B$205,MATCH($R225,LE_Curves!$N$5:$N$205,1)))/(INDEX(LE_Curves!$N$5:$N$205,MATCH($R225,LE_Curves!$N$5:$N$205,1)+1)-INDEX(LE_Curves!$N$5:$N$205,MATCH($R225,LE_Curves!$N$5:$N$205,1))))))</f>
        <v/>
      </c>
      <c r="AE225" s="37">
        <f>SUM(S225:AD225)</f>
        <v/>
      </c>
    </row>
    <row r="226">
      <c r="A226" s="7" t="n">
        <v>195</v>
      </c>
      <c r="B226" s="37">
        <f>$B$3+($B$4-$B$3)*A226/200</f>
        <v/>
      </c>
      <c r="C226" s="11">
        <f>IF(Inputs!$D$23=0,0,IF($B226&lt;=Inputs!$C$23,0,IF($B226&gt;=INDEX(LE_Curves!$C$5:$C$205,201),INDEX(LE_Curves!$B$5:$B$205,201),INDEX(LE_Curves!$B$5:$B$205,MATCH($B226,LE_Curves!$C$5:$C$205,1))+($B226-INDEX(LE_Curves!$C$5:$C$205,MATCH($B226,LE_Curves!$C$5:$C$205,1)))*(INDEX(LE_Curves!$B$5:$B$205,MATCH($B226,LE_Curves!$C$5:$C$205,1)+1)-INDEX(LE_Curves!$B$5:$B$205,MATCH($B226,LE_Curves!$C$5:$C$205,1)))/(INDEX(LE_Curves!$C$5:$C$205,MATCH($B226,LE_Curves!$C$5:$C$205,1)+1)-INDEX(LE_Curves!$C$5:$C$205,MATCH($B226,LE_Curves!$C$5:$C$205,1))))))</f>
        <v/>
      </c>
      <c r="D226" s="11">
        <f>IF(Inputs!$D$24=0,0,IF($B226&lt;=Inputs!$C$24,0,IF($B226&gt;=INDEX(LE_Curves!$D$5:$D$205,201),INDEX(LE_Curves!$B$5:$B$205,201),INDEX(LE_Curves!$B$5:$B$205,MATCH($B226,LE_Curves!$D$5:$D$205,1))+($B226-INDEX(LE_Curves!$D$5:$D$205,MATCH($B226,LE_Curves!$D$5:$D$205,1)))*(INDEX(LE_Curves!$B$5:$B$205,MATCH($B226,LE_Curves!$D$5:$D$205,1)+1)-INDEX(LE_Curves!$B$5:$B$205,MATCH($B226,LE_Curves!$D$5:$D$205,1)))/(INDEX(LE_Curves!$D$5:$D$205,MATCH($B226,LE_Curves!$D$5:$D$205,1)+1)-INDEX(LE_Curves!$D$5:$D$205,MATCH($B226,LE_Curves!$D$5:$D$205,1))))))</f>
        <v/>
      </c>
      <c r="E226" s="11">
        <f>IF(Inputs!$D$25=0,0,IF($B226&lt;=Inputs!$C$25,0,IF($B226&gt;=INDEX(LE_Curves!$E$5:$E$205,201),INDEX(LE_Curves!$B$5:$B$205,201),INDEX(LE_Curves!$B$5:$B$205,MATCH($B226,LE_Curves!$E$5:$E$205,1))+($B226-INDEX(LE_Curves!$E$5:$E$205,MATCH($B226,LE_Curves!$E$5:$E$205,1)))*(INDEX(LE_Curves!$B$5:$B$205,MATCH($B226,LE_Curves!$E$5:$E$205,1)+1)-INDEX(LE_Curves!$B$5:$B$205,MATCH($B226,LE_Curves!$E$5:$E$205,1)))/(INDEX(LE_Curves!$E$5:$E$205,MATCH($B226,LE_Curves!$E$5:$E$205,1)+1)-INDEX(LE_Curves!$E$5:$E$205,MATCH($B226,LE_Curves!$E$5:$E$205,1))))))</f>
        <v/>
      </c>
      <c r="F226" s="11">
        <f>IF(Inputs!$D$26=0,0,IF($B226&lt;=Inputs!$C$26,0,IF($B226&gt;=INDEX(LE_Curves!$F$5:$F$205,201),INDEX(LE_Curves!$B$5:$B$205,201),INDEX(LE_Curves!$B$5:$B$205,MATCH($B226,LE_Curves!$F$5:$F$205,1))+($B226-INDEX(LE_Curves!$F$5:$F$205,MATCH($B226,LE_Curves!$F$5:$F$205,1)))*(INDEX(LE_Curves!$B$5:$B$205,MATCH($B226,LE_Curves!$F$5:$F$205,1)+1)-INDEX(LE_Curves!$B$5:$B$205,MATCH($B226,LE_Curves!$F$5:$F$205,1)))/(INDEX(LE_Curves!$F$5:$F$205,MATCH($B226,LE_Curves!$F$5:$F$205,1)+1)-INDEX(LE_Curves!$F$5:$F$205,MATCH($B226,LE_Curves!$F$5:$F$205,1))))))</f>
        <v/>
      </c>
      <c r="G226" s="11">
        <f>IF(Inputs!$D$27=0,0,IF($B226&lt;=Inputs!$C$27,0,IF($B226&gt;=INDEX(LE_Curves!$G$5:$G$205,201),INDEX(LE_Curves!$B$5:$B$205,201),INDEX(LE_Curves!$B$5:$B$205,MATCH($B226,LE_Curves!$G$5:$G$205,1))+($B226-INDEX(LE_Curves!$G$5:$G$205,MATCH($B226,LE_Curves!$G$5:$G$205,1)))*(INDEX(LE_Curves!$B$5:$B$205,MATCH($B226,LE_Curves!$G$5:$G$205,1)+1)-INDEX(LE_Curves!$B$5:$B$205,MATCH($B226,LE_Curves!$G$5:$G$205,1)))/(INDEX(LE_Curves!$G$5:$G$205,MATCH($B226,LE_Curves!$G$5:$G$205,1)+1)-INDEX(LE_Curves!$G$5:$G$205,MATCH($B226,LE_Curves!$G$5:$G$205,1))))))</f>
        <v/>
      </c>
      <c r="H226" s="11">
        <f>IF(Inputs!$D$28=0,0,IF($B226&lt;=Inputs!$C$28,0,IF($B226&gt;=INDEX(LE_Curves!$H$5:$H$205,201),INDEX(LE_Curves!$B$5:$B$205,201),INDEX(LE_Curves!$B$5:$B$205,MATCH($B226,LE_Curves!$H$5:$H$205,1))+($B226-INDEX(LE_Curves!$H$5:$H$205,MATCH($B226,LE_Curves!$H$5:$H$205,1)))*(INDEX(LE_Curves!$B$5:$B$205,MATCH($B226,LE_Curves!$H$5:$H$205,1)+1)-INDEX(LE_Curves!$B$5:$B$205,MATCH($B226,LE_Curves!$H$5:$H$205,1)))/(INDEX(LE_Curves!$H$5:$H$205,MATCH($B226,LE_Curves!$H$5:$H$205,1)+1)-INDEX(LE_Curves!$H$5:$H$205,MATCH($B226,LE_Curves!$H$5:$H$205,1))))))</f>
        <v/>
      </c>
      <c r="I226" s="11">
        <f>IF(Inputs!$D$29=0,0,IF($B226&lt;=Inputs!$C$29,0,IF($B226&gt;=INDEX(LE_Curves!$I$5:$I$205,201),INDEX(LE_Curves!$B$5:$B$205,201),INDEX(LE_Curves!$B$5:$B$205,MATCH($B226,LE_Curves!$I$5:$I$205,1))+($B226-INDEX(LE_Curves!$I$5:$I$205,MATCH($B226,LE_Curves!$I$5:$I$205,1)))*(INDEX(LE_Curves!$B$5:$B$205,MATCH($B226,LE_Curves!$I$5:$I$205,1)+1)-INDEX(LE_Curves!$B$5:$B$205,MATCH($B226,LE_Curves!$I$5:$I$205,1)))/(INDEX(LE_Curves!$I$5:$I$205,MATCH($B226,LE_Curves!$I$5:$I$205,1)+1)-INDEX(LE_Curves!$I$5:$I$205,MATCH($B226,LE_Curves!$I$5:$I$205,1))))))</f>
        <v/>
      </c>
      <c r="J226" s="11">
        <f>IF(Inputs!$D$30=0,0,IF($B226&lt;=Inputs!$C$30,0,IF($B226&gt;=INDEX(LE_Curves!$J$5:$J$205,201),INDEX(LE_Curves!$B$5:$B$205,201),INDEX(LE_Curves!$B$5:$B$205,MATCH($B226,LE_Curves!$J$5:$J$205,1))+($B226-INDEX(LE_Curves!$J$5:$J$205,MATCH($B226,LE_Curves!$J$5:$J$205,1)))*(INDEX(LE_Curves!$B$5:$B$205,MATCH($B226,LE_Curves!$J$5:$J$205,1)+1)-INDEX(LE_Curves!$B$5:$B$205,MATCH($B226,LE_Curves!$J$5:$J$205,1)))/(INDEX(LE_Curves!$J$5:$J$205,MATCH($B226,LE_Curves!$J$5:$J$205,1)+1)-INDEX(LE_Curves!$J$5:$J$205,MATCH($B226,LE_Curves!$J$5:$J$205,1))))))</f>
        <v/>
      </c>
      <c r="K226" s="11">
        <f>IF(Inputs!$D$31=0,0,IF($B226&lt;=Inputs!$C$31,0,IF($B226&gt;=INDEX(LE_Curves!$K$5:$K$205,201),INDEX(LE_Curves!$B$5:$B$205,201),INDEX(LE_Curves!$B$5:$B$205,MATCH($B226,LE_Curves!$K$5:$K$205,1))+($B226-INDEX(LE_Curves!$K$5:$K$205,MATCH($B226,LE_Curves!$K$5:$K$205,1)))*(INDEX(LE_Curves!$B$5:$B$205,MATCH($B226,LE_Curves!$K$5:$K$205,1)+1)-INDEX(LE_Curves!$B$5:$B$205,MATCH($B226,LE_Curves!$K$5:$K$205,1)))/(INDEX(LE_Curves!$K$5:$K$205,MATCH($B226,LE_Curves!$K$5:$K$205,1)+1)-INDEX(LE_Curves!$K$5:$K$205,MATCH($B226,LE_Curves!$K$5:$K$205,1))))))</f>
        <v/>
      </c>
      <c r="L226" s="11">
        <f>IF(Inputs!$D$32=0,0,IF($B226&lt;=Inputs!$C$32,0,IF($B226&gt;=INDEX(LE_Curves!$L$5:$L$205,201),INDEX(LE_Curves!$B$5:$B$205,201),INDEX(LE_Curves!$B$5:$B$205,MATCH($B226,LE_Curves!$L$5:$L$205,1))+($B226-INDEX(LE_Curves!$L$5:$L$205,MATCH($B226,LE_Curves!$L$5:$L$205,1)))*(INDEX(LE_Curves!$B$5:$B$205,MATCH($B226,LE_Curves!$L$5:$L$205,1)+1)-INDEX(LE_Curves!$B$5:$B$205,MATCH($B226,LE_Curves!$L$5:$L$205,1)))/(INDEX(LE_Curves!$L$5:$L$205,MATCH($B226,LE_Curves!$L$5:$L$205,1)+1)-INDEX(LE_Curves!$L$5:$L$205,MATCH($B226,LE_Curves!$L$5:$L$205,1))))))</f>
        <v/>
      </c>
      <c r="M226" s="11">
        <f>IF(Inputs!$D$33=0,0,IF($B226&lt;=Inputs!$C$33,0,IF($B226&gt;=INDEX(LE_Curves!$M$5:$M$205,201),INDEX(LE_Curves!$B$5:$B$205,201),INDEX(LE_Curves!$B$5:$B$205,MATCH($B226,LE_Curves!$M$5:$M$205,1))+($B226-INDEX(LE_Curves!$M$5:$M$205,MATCH($B226,LE_Curves!$M$5:$M$205,1)))*(INDEX(LE_Curves!$B$5:$B$205,MATCH($B226,LE_Curves!$M$5:$M$205,1)+1)-INDEX(LE_Curves!$B$5:$B$205,MATCH($B226,LE_Curves!$M$5:$M$205,1)))/(INDEX(LE_Curves!$M$5:$M$205,MATCH($B226,LE_Curves!$M$5:$M$205,1)+1)-INDEX(LE_Curves!$M$5:$M$205,MATCH($B226,LE_Curves!$M$5:$M$205,1))))))</f>
        <v/>
      </c>
      <c r="N226" s="11">
        <f>IF(Inputs!$D$34=0,0,IF($B226&lt;=Inputs!$C$34,0,IF($B226&gt;=INDEX(LE_Curves!$N$5:$N$205,201),INDEX(LE_Curves!$B$5:$B$205,201),INDEX(LE_Curves!$B$5:$B$205,MATCH($B226,LE_Curves!$N$5:$N$205,1))+($B226-INDEX(LE_Curves!$N$5:$N$205,MATCH($B226,LE_Curves!$N$5:$N$205,1)))*(INDEX(LE_Curves!$B$5:$B$205,MATCH($B226,LE_Curves!$N$5:$N$205,1)+1)-INDEX(LE_Curves!$B$5:$B$205,MATCH($B226,LE_Curves!$N$5:$N$205,1)))/(INDEX(LE_Curves!$N$5:$N$205,MATCH($B226,LE_Curves!$N$5:$N$205,1)+1)-INDEX(LE_Curves!$N$5:$N$205,MATCH($B226,LE_Curves!$N$5:$N$205,1))))))</f>
        <v/>
      </c>
      <c r="O226" s="11">
        <f>SUM(C226:N226)</f>
        <v/>
      </c>
      <c r="Q226" s="7" t="n">
        <v>195</v>
      </c>
      <c r="R226" s="23">
        <f>$B$6+($B$7-$B$6)*Q226/200</f>
        <v/>
      </c>
      <c r="S226" s="11">
        <f>IF(Inputs!$D$23=0,0,IF($R226&lt;=Inputs!$C$23,0,IF($R226&gt;=INDEX(LE_Curves!$C$5:$C$205,201),INDEX(LE_Curves!$B$5:$B$205,201),INDEX(LE_Curves!$B$5:$B$205,MATCH($R226,LE_Curves!$C$5:$C$205,1))+($R226-INDEX(LE_Curves!$C$5:$C$205,MATCH($R226,LE_Curves!$C$5:$C$205,1)))*(INDEX(LE_Curves!$B$5:$B$205,MATCH($R226,LE_Curves!$C$5:$C$205,1)+1)-INDEX(LE_Curves!$B$5:$B$205,MATCH($R226,LE_Curves!$C$5:$C$205,1)))/(INDEX(LE_Curves!$C$5:$C$205,MATCH($R226,LE_Curves!$C$5:$C$205,1)+1)-INDEX(LE_Curves!$C$5:$C$205,MATCH($R226,LE_Curves!$C$5:$C$205,1))))))</f>
        <v/>
      </c>
      <c r="T226" s="11">
        <f>IF(Inputs!$D$24=0,0,IF($R226&lt;=Inputs!$C$24,0,IF($R226&gt;=INDEX(LE_Curves!$D$5:$D$205,201),INDEX(LE_Curves!$B$5:$B$205,201),INDEX(LE_Curves!$B$5:$B$205,MATCH($R226,LE_Curves!$D$5:$D$205,1))+($R226-INDEX(LE_Curves!$D$5:$D$205,MATCH($R226,LE_Curves!$D$5:$D$205,1)))*(INDEX(LE_Curves!$B$5:$B$205,MATCH($R226,LE_Curves!$D$5:$D$205,1)+1)-INDEX(LE_Curves!$B$5:$B$205,MATCH($R226,LE_Curves!$D$5:$D$205,1)))/(INDEX(LE_Curves!$D$5:$D$205,MATCH($R226,LE_Curves!$D$5:$D$205,1)+1)-INDEX(LE_Curves!$D$5:$D$205,MATCH($R226,LE_Curves!$D$5:$D$205,1))))))</f>
        <v/>
      </c>
      <c r="U226" s="11">
        <f>IF(Inputs!$D$25=0,0,IF($R226&lt;=Inputs!$C$25,0,IF($R226&gt;=INDEX(LE_Curves!$E$5:$E$205,201),INDEX(LE_Curves!$B$5:$B$205,201),INDEX(LE_Curves!$B$5:$B$205,MATCH($R226,LE_Curves!$E$5:$E$205,1))+($R226-INDEX(LE_Curves!$E$5:$E$205,MATCH($R226,LE_Curves!$E$5:$E$205,1)))*(INDEX(LE_Curves!$B$5:$B$205,MATCH($R226,LE_Curves!$E$5:$E$205,1)+1)-INDEX(LE_Curves!$B$5:$B$205,MATCH($R226,LE_Curves!$E$5:$E$205,1)))/(INDEX(LE_Curves!$E$5:$E$205,MATCH($R226,LE_Curves!$E$5:$E$205,1)+1)-INDEX(LE_Curves!$E$5:$E$205,MATCH($R226,LE_Curves!$E$5:$E$205,1))))))</f>
        <v/>
      </c>
      <c r="V226" s="11">
        <f>IF(Inputs!$D$26=0,0,IF($R226&lt;=Inputs!$C$26,0,IF($R226&gt;=INDEX(LE_Curves!$F$5:$F$205,201),INDEX(LE_Curves!$B$5:$B$205,201),INDEX(LE_Curves!$B$5:$B$205,MATCH($R226,LE_Curves!$F$5:$F$205,1))+($R226-INDEX(LE_Curves!$F$5:$F$205,MATCH($R226,LE_Curves!$F$5:$F$205,1)))*(INDEX(LE_Curves!$B$5:$B$205,MATCH($R226,LE_Curves!$F$5:$F$205,1)+1)-INDEX(LE_Curves!$B$5:$B$205,MATCH($R226,LE_Curves!$F$5:$F$205,1)))/(INDEX(LE_Curves!$F$5:$F$205,MATCH($R226,LE_Curves!$F$5:$F$205,1)+1)-INDEX(LE_Curves!$F$5:$F$205,MATCH($R226,LE_Curves!$F$5:$F$205,1))))))</f>
        <v/>
      </c>
      <c r="W226" s="11">
        <f>IF(Inputs!$D$27=0,0,IF($R226&lt;=Inputs!$C$27,0,IF($R226&gt;=INDEX(LE_Curves!$G$5:$G$205,201),INDEX(LE_Curves!$B$5:$B$205,201),INDEX(LE_Curves!$B$5:$B$205,MATCH($R226,LE_Curves!$G$5:$G$205,1))+($R226-INDEX(LE_Curves!$G$5:$G$205,MATCH($R226,LE_Curves!$G$5:$G$205,1)))*(INDEX(LE_Curves!$B$5:$B$205,MATCH($R226,LE_Curves!$G$5:$G$205,1)+1)-INDEX(LE_Curves!$B$5:$B$205,MATCH($R226,LE_Curves!$G$5:$G$205,1)))/(INDEX(LE_Curves!$G$5:$G$205,MATCH($R226,LE_Curves!$G$5:$G$205,1)+1)-INDEX(LE_Curves!$G$5:$G$205,MATCH($R226,LE_Curves!$G$5:$G$205,1))))))</f>
        <v/>
      </c>
      <c r="X226" s="11">
        <f>IF(Inputs!$D$28=0,0,IF($R226&lt;=Inputs!$C$28,0,IF($R226&gt;=INDEX(LE_Curves!$H$5:$H$205,201),INDEX(LE_Curves!$B$5:$B$205,201),INDEX(LE_Curves!$B$5:$B$205,MATCH($R226,LE_Curves!$H$5:$H$205,1))+($R226-INDEX(LE_Curves!$H$5:$H$205,MATCH($R226,LE_Curves!$H$5:$H$205,1)))*(INDEX(LE_Curves!$B$5:$B$205,MATCH($R226,LE_Curves!$H$5:$H$205,1)+1)-INDEX(LE_Curves!$B$5:$B$205,MATCH($R226,LE_Curves!$H$5:$H$205,1)))/(INDEX(LE_Curves!$H$5:$H$205,MATCH($R226,LE_Curves!$H$5:$H$205,1)+1)-INDEX(LE_Curves!$H$5:$H$205,MATCH($R226,LE_Curves!$H$5:$H$205,1))))))</f>
        <v/>
      </c>
      <c r="Y226" s="11">
        <f>IF(Inputs!$D$29=0,0,IF($R226&lt;=Inputs!$C$29,0,IF($R226&gt;=INDEX(LE_Curves!$I$5:$I$205,201),INDEX(LE_Curves!$B$5:$B$205,201),INDEX(LE_Curves!$B$5:$B$205,MATCH($R226,LE_Curves!$I$5:$I$205,1))+($R226-INDEX(LE_Curves!$I$5:$I$205,MATCH($R226,LE_Curves!$I$5:$I$205,1)))*(INDEX(LE_Curves!$B$5:$B$205,MATCH($R226,LE_Curves!$I$5:$I$205,1)+1)-INDEX(LE_Curves!$B$5:$B$205,MATCH($R226,LE_Curves!$I$5:$I$205,1)))/(INDEX(LE_Curves!$I$5:$I$205,MATCH($R226,LE_Curves!$I$5:$I$205,1)+1)-INDEX(LE_Curves!$I$5:$I$205,MATCH($R226,LE_Curves!$I$5:$I$205,1))))))</f>
        <v/>
      </c>
      <c r="Z226" s="11">
        <f>IF(Inputs!$D$30=0,0,IF($R226&lt;=Inputs!$C$30,0,IF($R226&gt;=INDEX(LE_Curves!$J$5:$J$205,201),INDEX(LE_Curves!$B$5:$B$205,201),INDEX(LE_Curves!$B$5:$B$205,MATCH($R226,LE_Curves!$J$5:$J$205,1))+($R226-INDEX(LE_Curves!$J$5:$J$205,MATCH($R226,LE_Curves!$J$5:$J$205,1)))*(INDEX(LE_Curves!$B$5:$B$205,MATCH($R226,LE_Curves!$J$5:$J$205,1)+1)-INDEX(LE_Curves!$B$5:$B$205,MATCH($R226,LE_Curves!$J$5:$J$205,1)))/(INDEX(LE_Curves!$J$5:$J$205,MATCH($R226,LE_Curves!$J$5:$J$205,1)+1)-INDEX(LE_Curves!$J$5:$J$205,MATCH($R226,LE_Curves!$J$5:$J$205,1))))))</f>
        <v/>
      </c>
      <c r="AA226" s="11">
        <f>IF(Inputs!$D$31=0,0,IF($R226&lt;=Inputs!$C$31,0,IF($R226&gt;=INDEX(LE_Curves!$K$5:$K$205,201),INDEX(LE_Curves!$B$5:$B$205,201),INDEX(LE_Curves!$B$5:$B$205,MATCH($R226,LE_Curves!$K$5:$K$205,1))+($R226-INDEX(LE_Curves!$K$5:$K$205,MATCH($R226,LE_Curves!$K$5:$K$205,1)))*(INDEX(LE_Curves!$B$5:$B$205,MATCH($R226,LE_Curves!$K$5:$K$205,1)+1)-INDEX(LE_Curves!$B$5:$B$205,MATCH($R226,LE_Curves!$K$5:$K$205,1)))/(INDEX(LE_Curves!$K$5:$K$205,MATCH($R226,LE_Curves!$K$5:$K$205,1)+1)-INDEX(LE_Curves!$K$5:$K$205,MATCH($R226,LE_Curves!$K$5:$K$205,1))))))</f>
        <v/>
      </c>
      <c r="AB226" s="11">
        <f>IF(Inputs!$D$32=0,0,IF($R226&lt;=Inputs!$C$32,0,IF($R226&gt;=INDEX(LE_Curves!$L$5:$L$205,201),INDEX(LE_Curves!$B$5:$B$205,201),INDEX(LE_Curves!$B$5:$B$205,MATCH($R226,LE_Curves!$L$5:$L$205,1))+($R226-INDEX(LE_Curves!$L$5:$L$205,MATCH($R226,LE_Curves!$L$5:$L$205,1)))*(INDEX(LE_Curves!$B$5:$B$205,MATCH($R226,LE_Curves!$L$5:$L$205,1)+1)-INDEX(LE_Curves!$B$5:$B$205,MATCH($R226,LE_Curves!$L$5:$L$205,1)))/(INDEX(LE_Curves!$L$5:$L$205,MATCH($R226,LE_Curves!$L$5:$L$205,1)+1)-INDEX(LE_Curves!$L$5:$L$205,MATCH($R226,LE_Curves!$L$5:$L$205,1))))))</f>
        <v/>
      </c>
      <c r="AC226" s="11">
        <f>IF(Inputs!$D$33=0,0,IF($R226&lt;=Inputs!$C$33,0,IF($R226&gt;=INDEX(LE_Curves!$M$5:$M$205,201),INDEX(LE_Curves!$B$5:$B$205,201),INDEX(LE_Curves!$B$5:$B$205,MATCH($R226,LE_Curves!$M$5:$M$205,1))+($R226-INDEX(LE_Curves!$M$5:$M$205,MATCH($R226,LE_Curves!$M$5:$M$205,1)))*(INDEX(LE_Curves!$B$5:$B$205,MATCH($R226,LE_Curves!$M$5:$M$205,1)+1)-INDEX(LE_Curves!$B$5:$B$205,MATCH($R226,LE_Curves!$M$5:$M$205,1)))/(INDEX(LE_Curves!$M$5:$M$205,MATCH($R226,LE_Curves!$M$5:$M$205,1)+1)-INDEX(LE_Curves!$M$5:$M$205,MATCH($R226,LE_Curves!$M$5:$M$205,1))))))</f>
        <v/>
      </c>
      <c r="AD226" s="11">
        <f>IF(Inputs!$D$34=0,0,IF($R226&lt;=Inputs!$C$34,0,IF($R226&gt;=INDEX(LE_Curves!$N$5:$N$205,201),INDEX(LE_Curves!$B$5:$B$205,201),INDEX(LE_Curves!$B$5:$B$205,MATCH($R226,LE_Curves!$N$5:$N$205,1))+($R226-INDEX(LE_Curves!$N$5:$N$205,MATCH($R226,LE_Curves!$N$5:$N$205,1)))*(INDEX(LE_Curves!$B$5:$B$205,MATCH($R226,LE_Curves!$N$5:$N$205,1)+1)-INDEX(LE_Curves!$B$5:$B$205,MATCH($R226,LE_Curves!$N$5:$N$205,1)))/(INDEX(LE_Curves!$N$5:$N$205,MATCH($R226,LE_Curves!$N$5:$N$205,1)+1)-INDEX(LE_Curves!$N$5:$N$205,MATCH($R226,LE_Curves!$N$5:$N$205,1))))))</f>
        <v/>
      </c>
      <c r="AE226" s="37">
        <f>SUM(S226:AD226)</f>
        <v/>
      </c>
    </row>
    <row r="227">
      <c r="A227" s="7" t="n">
        <v>196</v>
      </c>
      <c r="B227" s="37">
        <f>$B$3+($B$4-$B$3)*A227/200</f>
        <v/>
      </c>
      <c r="C227" s="11">
        <f>IF(Inputs!$D$23=0,0,IF($B227&lt;=Inputs!$C$23,0,IF($B227&gt;=INDEX(LE_Curves!$C$5:$C$205,201),INDEX(LE_Curves!$B$5:$B$205,201),INDEX(LE_Curves!$B$5:$B$205,MATCH($B227,LE_Curves!$C$5:$C$205,1))+($B227-INDEX(LE_Curves!$C$5:$C$205,MATCH($B227,LE_Curves!$C$5:$C$205,1)))*(INDEX(LE_Curves!$B$5:$B$205,MATCH($B227,LE_Curves!$C$5:$C$205,1)+1)-INDEX(LE_Curves!$B$5:$B$205,MATCH($B227,LE_Curves!$C$5:$C$205,1)))/(INDEX(LE_Curves!$C$5:$C$205,MATCH($B227,LE_Curves!$C$5:$C$205,1)+1)-INDEX(LE_Curves!$C$5:$C$205,MATCH($B227,LE_Curves!$C$5:$C$205,1))))))</f>
        <v/>
      </c>
      <c r="D227" s="11">
        <f>IF(Inputs!$D$24=0,0,IF($B227&lt;=Inputs!$C$24,0,IF($B227&gt;=INDEX(LE_Curves!$D$5:$D$205,201),INDEX(LE_Curves!$B$5:$B$205,201),INDEX(LE_Curves!$B$5:$B$205,MATCH($B227,LE_Curves!$D$5:$D$205,1))+($B227-INDEX(LE_Curves!$D$5:$D$205,MATCH($B227,LE_Curves!$D$5:$D$205,1)))*(INDEX(LE_Curves!$B$5:$B$205,MATCH($B227,LE_Curves!$D$5:$D$205,1)+1)-INDEX(LE_Curves!$B$5:$B$205,MATCH($B227,LE_Curves!$D$5:$D$205,1)))/(INDEX(LE_Curves!$D$5:$D$205,MATCH($B227,LE_Curves!$D$5:$D$205,1)+1)-INDEX(LE_Curves!$D$5:$D$205,MATCH($B227,LE_Curves!$D$5:$D$205,1))))))</f>
        <v/>
      </c>
      <c r="E227" s="11">
        <f>IF(Inputs!$D$25=0,0,IF($B227&lt;=Inputs!$C$25,0,IF($B227&gt;=INDEX(LE_Curves!$E$5:$E$205,201),INDEX(LE_Curves!$B$5:$B$205,201),INDEX(LE_Curves!$B$5:$B$205,MATCH($B227,LE_Curves!$E$5:$E$205,1))+($B227-INDEX(LE_Curves!$E$5:$E$205,MATCH($B227,LE_Curves!$E$5:$E$205,1)))*(INDEX(LE_Curves!$B$5:$B$205,MATCH($B227,LE_Curves!$E$5:$E$205,1)+1)-INDEX(LE_Curves!$B$5:$B$205,MATCH($B227,LE_Curves!$E$5:$E$205,1)))/(INDEX(LE_Curves!$E$5:$E$205,MATCH($B227,LE_Curves!$E$5:$E$205,1)+1)-INDEX(LE_Curves!$E$5:$E$205,MATCH($B227,LE_Curves!$E$5:$E$205,1))))))</f>
        <v/>
      </c>
      <c r="F227" s="11">
        <f>IF(Inputs!$D$26=0,0,IF($B227&lt;=Inputs!$C$26,0,IF($B227&gt;=INDEX(LE_Curves!$F$5:$F$205,201),INDEX(LE_Curves!$B$5:$B$205,201),INDEX(LE_Curves!$B$5:$B$205,MATCH($B227,LE_Curves!$F$5:$F$205,1))+($B227-INDEX(LE_Curves!$F$5:$F$205,MATCH($B227,LE_Curves!$F$5:$F$205,1)))*(INDEX(LE_Curves!$B$5:$B$205,MATCH($B227,LE_Curves!$F$5:$F$205,1)+1)-INDEX(LE_Curves!$B$5:$B$205,MATCH($B227,LE_Curves!$F$5:$F$205,1)))/(INDEX(LE_Curves!$F$5:$F$205,MATCH($B227,LE_Curves!$F$5:$F$205,1)+1)-INDEX(LE_Curves!$F$5:$F$205,MATCH($B227,LE_Curves!$F$5:$F$205,1))))))</f>
        <v/>
      </c>
      <c r="G227" s="11">
        <f>IF(Inputs!$D$27=0,0,IF($B227&lt;=Inputs!$C$27,0,IF($B227&gt;=INDEX(LE_Curves!$G$5:$G$205,201),INDEX(LE_Curves!$B$5:$B$205,201),INDEX(LE_Curves!$B$5:$B$205,MATCH($B227,LE_Curves!$G$5:$G$205,1))+($B227-INDEX(LE_Curves!$G$5:$G$205,MATCH($B227,LE_Curves!$G$5:$G$205,1)))*(INDEX(LE_Curves!$B$5:$B$205,MATCH($B227,LE_Curves!$G$5:$G$205,1)+1)-INDEX(LE_Curves!$B$5:$B$205,MATCH($B227,LE_Curves!$G$5:$G$205,1)))/(INDEX(LE_Curves!$G$5:$G$205,MATCH($B227,LE_Curves!$G$5:$G$205,1)+1)-INDEX(LE_Curves!$G$5:$G$205,MATCH($B227,LE_Curves!$G$5:$G$205,1))))))</f>
        <v/>
      </c>
      <c r="H227" s="11">
        <f>IF(Inputs!$D$28=0,0,IF($B227&lt;=Inputs!$C$28,0,IF($B227&gt;=INDEX(LE_Curves!$H$5:$H$205,201),INDEX(LE_Curves!$B$5:$B$205,201),INDEX(LE_Curves!$B$5:$B$205,MATCH($B227,LE_Curves!$H$5:$H$205,1))+($B227-INDEX(LE_Curves!$H$5:$H$205,MATCH($B227,LE_Curves!$H$5:$H$205,1)))*(INDEX(LE_Curves!$B$5:$B$205,MATCH($B227,LE_Curves!$H$5:$H$205,1)+1)-INDEX(LE_Curves!$B$5:$B$205,MATCH($B227,LE_Curves!$H$5:$H$205,1)))/(INDEX(LE_Curves!$H$5:$H$205,MATCH($B227,LE_Curves!$H$5:$H$205,1)+1)-INDEX(LE_Curves!$H$5:$H$205,MATCH($B227,LE_Curves!$H$5:$H$205,1))))))</f>
        <v/>
      </c>
      <c r="I227" s="11">
        <f>IF(Inputs!$D$29=0,0,IF($B227&lt;=Inputs!$C$29,0,IF($B227&gt;=INDEX(LE_Curves!$I$5:$I$205,201),INDEX(LE_Curves!$B$5:$B$205,201),INDEX(LE_Curves!$B$5:$B$205,MATCH($B227,LE_Curves!$I$5:$I$205,1))+($B227-INDEX(LE_Curves!$I$5:$I$205,MATCH($B227,LE_Curves!$I$5:$I$205,1)))*(INDEX(LE_Curves!$B$5:$B$205,MATCH($B227,LE_Curves!$I$5:$I$205,1)+1)-INDEX(LE_Curves!$B$5:$B$205,MATCH($B227,LE_Curves!$I$5:$I$205,1)))/(INDEX(LE_Curves!$I$5:$I$205,MATCH($B227,LE_Curves!$I$5:$I$205,1)+1)-INDEX(LE_Curves!$I$5:$I$205,MATCH($B227,LE_Curves!$I$5:$I$205,1))))))</f>
        <v/>
      </c>
      <c r="J227" s="11">
        <f>IF(Inputs!$D$30=0,0,IF($B227&lt;=Inputs!$C$30,0,IF($B227&gt;=INDEX(LE_Curves!$J$5:$J$205,201),INDEX(LE_Curves!$B$5:$B$205,201),INDEX(LE_Curves!$B$5:$B$205,MATCH($B227,LE_Curves!$J$5:$J$205,1))+($B227-INDEX(LE_Curves!$J$5:$J$205,MATCH($B227,LE_Curves!$J$5:$J$205,1)))*(INDEX(LE_Curves!$B$5:$B$205,MATCH($B227,LE_Curves!$J$5:$J$205,1)+1)-INDEX(LE_Curves!$B$5:$B$205,MATCH($B227,LE_Curves!$J$5:$J$205,1)))/(INDEX(LE_Curves!$J$5:$J$205,MATCH($B227,LE_Curves!$J$5:$J$205,1)+1)-INDEX(LE_Curves!$J$5:$J$205,MATCH($B227,LE_Curves!$J$5:$J$205,1))))))</f>
        <v/>
      </c>
      <c r="K227" s="11">
        <f>IF(Inputs!$D$31=0,0,IF($B227&lt;=Inputs!$C$31,0,IF($B227&gt;=INDEX(LE_Curves!$K$5:$K$205,201),INDEX(LE_Curves!$B$5:$B$205,201),INDEX(LE_Curves!$B$5:$B$205,MATCH($B227,LE_Curves!$K$5:$K$205,1))+($B227-INDEX(LE_Curves!$K$5:$K$205,MATCH($B227,LE_Curves!$K$5:$K$205,1)))*(INDEX(LE_Curves!$B$5:$B$205,MATCH($B227,LE_Curves!$K$5:$K$205,1)+1)-INDEX(LE_Curves!$B$5:$B$205,MATCH($B227,LE_Curves!$K$5:$K$205,1)))/(INDEX(LE_Curves!$K$5:$K$205,MATCH($B227,LE_Curves!$K$5:$K$205,1)+1)-INDEX(LE_Curves!$K$5:$K$205,MATCH($B227,LE_Curves!$K$5:$K$205,1))))))</f>
        <v/>
      </c>
      <c r="L227" s="11">
        <f>IF(Inputs!$D$32=0,0,IF($B227&lt;=Inputs!$C$32,0,IF($B227&gt;=INDEX(LE_Curves!$L$5:$L$205,201),INDEX(LE_Curves!$B$5:$B$205,201),INDEX(LE_Curves!$B$5:$B$205,MATCH($B227,LE_Curves!$L$5:$L$205,1))+($B227-INDEX(LE_Curves!$L$5:$L$205,MATCH($B227,LE_Curves!$L$5:$L$205,1)))*(INDEX(LE_Curves!$B$5:$B$205,MATCH($B227,LE_Curves!$L$5:$L$205,1)+1)-INDEX(LE_Curves!$B$5:$B$205,MATCH($B227,LE_Curves!$L$5:$L$205,1)))/(INDEX(LE_Curves!$L$5:$L$205,MATCH($B227,LE_Curves!$L$5:$L$205,1)+1)-INDEX(LE_Curves!$L$5:$L$205,MATCH($B227,LE_Curves!$L$5:$L$205,1))))))</f>
        <v/>
      </c>
      <c r="M227" s="11">
        <f>IF(Inputs!$D$33=0,0,IF($B227&lt;=Inputs!$C$33,0,IF($B227&gt;=INDEX(LE_Curves!$M$5:$M$205,201),INDEX(LE_Curves!$B$5:$B$205,201),INDEX(LE_Curves!$B$5:$B$205,MATCH($B227,LE_Curves!$M$5:$M$205,1))+($B227-INDEX(LE_Curves!$M$5:$M$205,MATCH($B227,LE_Curves!$M$5:$M$205,1)))*(INDEX(LE_Curves!$B$5:$B$205,MATCH($B227,LE_Curves!$M$5:$M$205,1)+1)-INDEX(LE_Curves!$B$5:$B$205,MATCH($B227,LE_Curves!$M$5:$M$205,1)))/(INDEX(LE_Curves!$M$5:$M$205,MATCH($B227,LE_Curves!$M$5:$M$205,1)+1)-INDEX(LE_Curves!$M$5:$M$205,MATCH($B227,LE_Curves!$M$5:$M$205,1))))))</f>
        <v/>
      </c>
      <c r="N227" s="11">
        <f>IF(Inputs!$D$34=0,0,IF($B227&lt;=Inputs!$C$34,0,IF($B227&gt;=INDEX(LE_Curves!$N$5:$N$205,201),INDEX(LE_Curves!$B$5:$B$205,201),INDEX(LE_Curves!$B$5:$B$205,MATCH($B227,LE_Curves!$N$5:$N$205,1))+($B227-INDEX(LE_Curves!$N$5:$N$205,MATCH($B227,LE_Curves!$N$5:$N$205,1)))*(INDEX(LE_Curves!$B$5:$B$205,MATCH($B227,LE_Curves!$N$5:$N$205,1)+1)-INDEX(LE_Curves!$B$5:$B$205,MATCH($B227,LE_Curves!$N$5:$N$205,1)))/(INDEX(LE_Curves!$N$5:$N$205,MATCH($B227,LE_Curves!$N$5:$N$205,1)+1)-INDEX(LE_Curves!$N$5:$N$205,MATCH($B227,LE_Curves!$N$5:$N$205,1))))))</f>
        <v/>
      </c>
      <c r="O227" s="11">
        <f>SUM(C227:N227)</f>
        <v/>
      </c>
      <c r="Q227" s="7" t="n">
        <v>196</v>
      </c>
      <c r="R227" s="23">
        <f>$B$6+($B$7-$B$6)*Q227/200</f>
        <v/>
      </c>
      <c r="S227" s="11">
        <f>IF(Inputs!$D$23=0,0,IF($R227&lt;=Inputs!$C$23,0,IF($R227&gt;=INDEX(LE_Curves!$C$5:$C$205,201),INDEX(LE_Curves!$B$5:$B$205,201),INDEX(LE_Curves!$B$5:$B$205,MATCH($R227,LE_Curves!$C$5:$C$205,1))+($R227-INDEX(LE_Curves!$C$5:$C$205,MATCH($R227,LE_Curves!$C$5:$C$205,1)))*(INDEX(LE_Curves!$B$5:$B$205,MATCH($R227,LE_Curves!$C$5:$C$205,1)+1)-INDEX(LE_Curves!$B$5:$B$205,MATCH($R227,LE_Curves!$C$5:$C$205,1)))/(INDEX(LE_Curves!$C$5:$C$205,MATCH($R227,LE_Curves!$C$5:$C$205,1)+1)-INDEX(LE_Curves!$C$5:$C$205,MATCH($R227,LE_Curves!$C$5:$C$205,1))))))</f>
        <v/>
      </c>
      <c r="T227" s="11">
        <f>IF(Inputs!$D$24=0,0,IF($R227&lt;=Inputs!$C$24,0,IF($R227&gt;=INDEX(LE_Curves!$D$5:$D$205,201),INDEX(LE_Curves!$B$5:$B$205,201),INDEX(LE_Curves!$B$5:$B$205,MATCH($R227,LE_Curves!$D$5:$D$205,1))+($R227-INDEX(LE_Curves!$D$5:$D$205,MATCH($R227,LE_Curves!$D$5:$D$205,1)))*(INDEX(LE_Curves!$B$5:$B$205,MATCH($R227,LE_Curves!$D$5:$D$205,1)+1)-INDEX(LE_Curves!$B$5:$B$205,MATCH($R227,LE_Curves!$D$5:$D$205,1)))/(INDEX(LE_Curves!$D$5:$D$205,MATCH($R227,LE_Curves!$D$5:$D$205,1)+1)-INDEX(LE_Curves!$D$5:$D$205,MATCH($R227,LE_Curves!$D$5:$D$205,1))))))</f>
        <v/>
      </c>
      <c r="U227" s="11">
        <f>IF(Inputs!$D$25=0,0,IF($R227&lt;=Inputs!$C$25,0,IF($R227&gt;=INDEX(LE_Curves!$E$5:$E$205,201),INDEX(LE_Curves!$B$5:$B$205,201),INDEX(LE_Curves!$B$5:$B$205,MATCH($R227,LE_Curves!$E$5:$E$205,1))+($R227-INDEX(LE_Curves!$E$5:$E$205,MATCH($R227,LE_Curves!$E$5:$E$205,1)))*(INDEX(LE_Curves!$B$5:$B$205,MATCH($R227,LE_Curves!$E$5:$E$205,1)+1)-INDEX(LE_Curves!$B$5:$B$205,MATCH($R227,LE_Curves!$E$5:$E$205,1)))/(INDEX(LE_Curves!$E$5:$E$205,MATCH($R227,LE_Curves!$E$5:$E$205,1)+1)-INDEX(LE_Curves!$E$5:$E$205,MATCH($R227,LE_Curves!$E$5:$E$205,1))))))</f>
        <v/>
      </c>
      <c r="V227" s="11">
        <f>IF(Inputs!$D$26=0,0,IF($R227&lt;=Inputs!$C$26,0,IF($R227&gt;=INDEX(LE_Curves!$F$5:$F$205,201),INDEX(LE_Curves!$B$5:$B$205,201),INDEX(LE_Curves!$B$5:$B$205,MATCH($R227,LE_Curves!$F$5:$F$205,1))+($R227-INDEX(LE_Curves!$F$5:$F$205,MATCH($R227,LE_Curves!$F$5:$F$205,1)))*(INDEX(LE_Curves!$B$5:$B$205,MATCH($R227,LE_Curves!$F$5:$F$205,1)+1)-INDEX(LE_Curves!$B$5:$B$205,MATCH($R227,LE_Curves!$F$5:$F$205,1)))/(INDEX(LE_Curves!$F$5:$F$205,MATCH($R227,LE_Curves!$F$5:$F$205,1)+1)-INDEX(LE_Curves!$F$5:$F$205,MATCH($R227,LE_Curves!$F$5:$F$205,1))))))</f>
        <v/>
      </c>
      <c r="W227" s="11">
        <f>IF(Inputs!$D$27=0,0,IF($R227&lt;=Inputs!$C$27,0,IF($R227&gt;=INDEX(LE_Curves!$G$5:$G$205,201),INDEX(LE_Curves!$B$5:$B$205,201),INDEX(LE_Curves!$B$5:$B$205,MATCH($R227,LE_Curves!$G$5:$G$205,1))+($R227-INDEX(LE_Curves!$G$5:$G$205,MATCH($R227,LE_Curves!$G$5:$G$205,1)))*(INDEX(LE_Curves!$B$5:$B$205,MATCH($R227,LE_Curves!$G$5:$G$205,1)+1)-INDEX(LE_Curves!$B$5:$B$205,MATCH($R227,LE_Curves!$G$5:$G$205,1)))/(INDEX(LE_Curves!$G$5:$G$205,MATCH($R227,LE_Curves!$G$5:$G$205,1)+1)-INDEX(LE_Curves!$G$5:$G$205,MATCH($R227,LE_Curves!$G$5:$G$205,1))))))</f>
        <v/>
      </c>
      <c r="X227" s="11">
        <f>IF(Inputs!$D$28=0,0,IF($R227&lt;=Inputs!$C$28,0,IF($R227&gt;=INDEX(LE_Curves!$H$5:$H$205,201),INDEX(LE_Curves!$B$5:$B$205,201),INDEX(LE_Curves!$B$5:$B$205,MATCH($R227,LE_Curves!$H$5:$H$205,1))+($R227-INDEX(LE_Curves!$H$5:$H$205,MATCH($R227,LE_Curves!$H$5:$H$205,1)))*(INDEX(LE_Curves!$B$5:$B$205,MATCH($R227,LE_Curves!$H$5:$H$205,1)+1)-INDEX(LE_Curves!$B$5:$B$205,MATCH($R227,LE_Curves!$H$5:$H$205,1)))/(INDEX(LE_Curves!$H$5:$H$205,MATCH($R227,LE_Curves!$H$5:$H$205,1)+1)-INDEX(LE_Curves!$H$5:$H$205,MATCH($R227,LE_Curves!$H$5:$H$205,1))))))</f>
        <v/>
      </c>
      <c r="Y227" s="11">
        <f>IF(Inputs!$D$29=0,0,IF($R227&lt;=Inputs!$C$29,0,IF($R227&gt;=INDEX(LE_Curves!$I$5:$I$205,201),INDEX(LE_Curves!$B$5:$B$205,201),INDEX(LE_Curves!$B$5:$B$205,MATCH($R227,LE_Curves!$I$5:$I$205,1))+($R227-INDEX(LE_Curves!$I$5:$I$205,MATCH($R227,LE_Curves!$I$5:$I$205,1)))*(INDEX(LE_Curves!$B$5:$B$205,MATCH($R227,LE_Curves!$I$5:$I$205,1)+1)-INDEX(LE_Curves!$B$5:$B$205,MATCH($R227,LE_Curves!$I$5:$I$205,1)))/(INDEX(LE_Curves!$I$5:$I$205,MATCH($R227,LE_Curves!$I$5:$I$205,1)+1)-INDEX(LE_Curves!$I$5:$I$205,MATCH($R227,LE_Curves!$I$5:$I$205,1))))))</f>
        <v/>
      </c>
      <c r="Z227" s="11">
        <f>IF(Inputs!$D$30=0,0,IF($R227&lt;=Inputs!$C$30,0,IF($R227&gt;=INDEX(LE_Curves!$J$5:$J$205,201),INDEX(LE_Curves!$B$5:$B$205,201),INDEX(LE_Curves!$B$5:$B$205,MATCH($R227,LE_Curves!$J$5:$J$205,1))+($R227-INDEX(LE_Curves!$J$5:$J$205,MATCH($R227,LE_Curves!$J$5:$J$205,1)))*(INDEX(LE_Curves!$B$5:$B$205,MATCH($R227,LE_Curves!$J$5:$J$205,1)+1)-INDEX(LE_Curves!$B$5:$B$205,MATCH($R227,LE_Curves!$J$5:$J$205,1)))/(INDEX(LE_Curves!$J$5:$J$205,MATCH($R227,LE_Curves!$J$5:$J$205,1)+1)-INDEX(LE_Curves!$J$5:$J$205,MATCH($R227,LE_Curves!$J$5:$J$205,1))))))</f>
        <v/>
      </c>
      <c r="AA227" s="11">
        <f>IF(Inputs!$D$31=0,0,IF($R227&lt;=Inputs!$C$31,0,IF($R227&gt;=INDEX(LE_Curves!$K$5:$K$205,201),INDEX(LE_Curves!$B$5:$B$205,201),INDEX(LE_Curves!$B$5:$B$205,MATCH($R227,LE_Curves!$K$5:$K$205,1))+($R227-INDEX(LE_Curves!$K$5:$K$205,MATCH($R227,LE_Curves!$K$5:$K$205,1)))*(INDEX(LE_Curves!$B$5:$B$205,MATCH($R227,LE_Curves!$K$5:$K$205,1)+1)-INDEX(LE_Curves!$B$5:$B$205,MATCH($R227,LE_Curves!$K$5:$K$205,1)))/(INDEX(LE_Curves!$K$5:$K$205,MATCH($R227,LE_Curves!$K$5:$K$205,1)+1)-INDEX(LE_Curves!$K$5:$K$205,MATCH($R227,LE_Curves!$K$5:$K$205,1))))))</f>
        <v/>
      </c>
      <c r="AB227" s="11">
        <f>IF(Inputs!$D$32=0,0,IF($R227&lt;=Inputs!$C$32,0,IF($R227&gt;=INDEX(LE_Curves!$L$5:$L$205,201),INDEX(LE_Curves!$B$5:$B$205,201),INDEX(LE_Curves!$B$5:$B$205,MATCH($R227,LE_Curves!$L$5:$L$205,1))+($R227-INDEX(LE_Curves!$L$5:$L$205,MATCH($R227,LE_Curves!$L$5:$L$205,1)))*(INDEX(LE_Curves!$B$5:$B$205,MATCH($R227,LE_Curves!$L$5:$L$205,1)+1)-INDEX(LE_Curves!$B$5:$B$205,MATCH($R227,LE_Curves!$L$5:$L$205,1)))/(INDEX(LE_Curves!$L$5:$L$205,MATCH($R227,LE_Curves!$L$5:$L$205,1)+1)-INDEX(LE_Curves!$L$5:$L$205,MATCH($R227,LE_Curves!$L$5:$L$205,1))))))</f>
        <v/>
      </c>
      <c r="AC227" s="11">
        <f>IF(Inputs!$D$33=0,0,IF($R227&lt;=Inputs!$C$33,0,IF($R227&gt;=INDEX(LE_Curves!$M$5:$M$205,201),INDEX(LE_Curves!$B$5:$B$205,201),INDEX(LE_Curves!$B$5:$B$205,MATCH($R227,LE_Curves!$M$5:$M$205,1))+($R227-INDEX(LE_Curves!$M$5:$M$205,MATCH($R227,LE_Curves!$M$5:$M$205,1)))*(INDEX(LE_Curves!$B$5:$B$205,MATCH($R227,LE_Curves!$M$5:$M$205,1)+1)-INDEX(LE_Curves!$B$5:$B$205,MATCH($R227,LE_Curves!$M$5:$M$205,1)))/(INDEX(LE_Curves!$M$5:$M$205,MATCH($R227,LE_Curves!$M$5:$M$205,1)+1)-INDEX(LE_Curves!$M$5:$M$205,MATCH($R227,LE_Curves!$M$5:$M$205,1))))))</f>
        <v/>
      </c>
      <c r="AD227" s="11">
        <f>IF(Inputs!$D$34=0,0,IF($R227&lt;=Inputs!$C$34,0,IF($R227&gt;=INDEX(LE_Curves!$N$5:$N$205,201),INDEX(LE_Curves!$B$5:$B$205,201),INDEX(LE_Curves!$B$5:$B$205,MATCH($R227,LE_Curves!$N$5:$N$205,1))+($R227-INDEX(LE_Curves!$N$5:$N$205,MATCH($R227,LE_Curves!$N$5:$N$205,1)))*(INDEX(LE_Curves!$B$5:$B$205,MATCH($R227,LE_Curves!$N$5:$N$205,1)+1)-INDEX(LE_Curves!$B$5:$B$205,MATCH($R227,LE_Curves!$N$5:$N$205,1)))/(INDEX(LE_Curves!$N$5:$N$205,MATCH($R227,LE_Curves!$N$5:$N$205,1)+1)-INDEX(LE_Curves!$N$5:$N$205,MATCH($R227,LE_Curves!$N$5:$N$205,1))))))</f>
        <v/>
      </c>
      <c r="AE227" s="37">
        <f>SUM(S227:AD227)</f>
        <v/>
      </c>
    </row>
    <row r="228">
      <c r="A228" s="7" t="n">
        <v>197</v>
      </c>
      <c r="B228" s="37">
        <f>$B$3+($B$4-$B$3)*A228/200</f>
        <v/>
      </c>
      <c r="C228" s="11">
        <f>IF(Inputs!$D$23=0,0,IF($B228&lt;=Inputs!$C$23,0,IF($B228&gt;=INDEX(LE_Curves!$C$5:$C$205,201),INDEX(LE_Curves!$B$5:$B$205,201),INDEX(LE_Curves!$B$5:$B$205,MATCH($B228,LE_Curves!$C$5:$C$205,1))+($B228-INDEX(LE_Curves!$C$5:$C$205,MATCH($B228,LE_Curves!$C$5:$C$205,1)))*(INDEX(LE_Curves!$B$5:$B$205,MATCH($B228,LE_Curves!$C$5:$C$205,1)+1)-INDEX(LE_Curves!$B$5:$B$205,MATCH($B228,LE_Curves!$C$5:$C$205,1)))/(INDEX(LE_Curves!$C$5:$C$205,MATCH($B228,LE_Curves!$C$5:$C$205,1)+1)-INDEX(LE_Curves!$C$5:$C$205,MATCH($B228,LE_Curves!$C$5:$C$205,1))))))</f>
        <v/>
      </c>
      <c r="D228" s="11">
        <f>IF(Inputs!$D$24=0,0,IF($B228&lt;=Inputs!$C$24,0,IF($B228&gt;=INDEX(LE_Curves!$D$5:$D$205,201),INDEX(LE_Curves!$B$5:$B$205,201),INDEX(LE_Curves!$B$5:$B$205,MATCH($B228,LE_Curves!$D$5:$D$205,1))+($B228-INDEX(LE_Curves!$D$5:$D$205,MATCH($B228,LE_Curves!$D$5:$D$205,1)))*(INDEX(LE_Curves!$B$5:$B$205,MATCH($B228,LE_Curves!$D$5:$D$205,1)+1)-INDEX(LE_Curves!$B$5:$B$205,MATCH($B228,LE_Curves!$D$5:$D$205,1)))/(INDEX(LE_Curves!$D$5:$D$205,MATCH($B228,LE_Curves!$D$5:$D$205,1)+1)-INDEX(LE_Curves!$D$5:$D$205,MATCH($B228,LE_Curves!$D$5:$D$205,1))))))</f>
        <v/>
      </c>
      <c r="E228" s="11">
        <f>IF(Inputs!$D$25=0,0,IF($B228&lt;=Inputs!$C$25,0,IF($B228&gt;=INDEX(LE_Curves!$E$5:$E$205,201),INDEX(LE_Curves!$B$5:$B$205,201),INDEX(LE_Curves!$B$5:$B$205,MATCH($B228,LE_Curves!$E$5:$E$205,1))+($B228-INDEX(LE_Curves!$E$5:$E$205,MATCH($B228,LE_Curves!$E$5:$E$205,1)))*(INDEX(LE_Curves!$B$5:$B$205,MATCH($B228,LE_Curves!$E$5:$E$205,1)+1)-INDEX(LE_Curves!$B$5:$B$205,MATCH($B228,LE_Curves!$E$5:$E$205,1)))/(INDEX(LE_Curves!$E$5:$E$205,MATCH($B228,LE_Curves!$E$5:$E$205,1)+1)-INDEX(LE_Curves!$E$5:$E$205,MATCH($B228,LE_Curves!$E$5:$E$205,1))))))</f>
        <v/>
      </c>
      <c r="F228" s="11">
        <f>IF(Inputs!$D$26=0,0,IF($B228&lt;=Inputs!$C$26,0,IF($B228&gt;=INDEX(LE_Curves!$F$5:$F$205,201),INDEX(LE_Curves!$B$5:$B$205,201),INDEX(LE_Curves!$B$5:$B$205,MATCH($B228,LE_Curves!$F$5:$F$205,1))+($B228-INDEX(LE_Curves!$F$5:$F$205,MATCH($B228,LE_Curves!$F$5:$F$205,1)))*(INDEX(LE_Curves!$B$5:$B$205,MATCH($B228,LE_Curves!$F$5:$F$205,1)+1)-INDEX(LE_Curves!$B$5:$B$205,MATCH($B228,LE_Curves!$F$5:$F$205,1)))/(INDEX(LE_Curves!$F$5:$F$205,MATCH($B228,LE_Curves!$F$5:$F$205,1)+1)-INDEX(LE_Curves!$F$5:$F$205,MATCH($B228,LE_Curves!$F$5:$F$205,1))))))</f>
        <v/>
      </c>
      <c r="G228" s="11">
        <f>IF(Inputs!$D$27=0,0,IF($B228&lt;=Inputs!$C$27,0,IF($B228&gt;=INDEX(LE_Curves!$G$5:$G$205,201),INDEX(LE_Curves!$B$5:$B$205,201),INDEX(LE_Curves!$B$5:$B$205,MATCH($B228,LE_Curves!$G$5:$G$205,1))+($B228-INDEX(LE_Curves!$G$5:$G$205,MATCH($B228,LE_Curves!$G$5:$G$205,1)))*(INDEX(LE_Curves!$B$5:$B$205,MATCH($B228,LE_Curves!$G$5:$G$205,1)+1)-INDEX(LE_Curves!$B$5:$B$205,MATCH($B228,LE_Curves!$G$5:$G$205,1)))/(INDEX(LE_Curves!$G$5:$G$205,MATCH($B228,LE_Curves!$G$5:$G$205,1)+1)-INDEX(LE_Curves!$G$5:$G$205,MATCH($B228,LE_Curves!$G$5:$G$205,1))))))</f>
        <v/>
      </c>
      <c r="H228" s="11">
        <f>IF(Inputs!$D$28=0,0,IF($B228&lt;=Inputs!$C$28,0,IF($B228&gt;=INDEX(LE_Curves!$H$5:$H$205,201),INDEX(LE_Curves!$B$5:$B$205,201),INDEX(LE_Curves!$B$5:$B$205,MATCH($B228,LE_Curves!$H$5:$H$205,1))+($B228-INDEX(LE_Curves!$H$5:$H$205,MATCH($B228,LE_Curves!$H$5:$H$205,1)))*(INDEX(LE_Curves!$B$5:$B$205,MATCH($B228,LE_Curves!$H$5:$H$205,1)+1)-INDEX(LE_Curves!$B$5:$B$205,MATCH($B228,LE_Curves!$H$5:$H$205,1)))/(INDEX(LE_Curves!$H$5:$H$205,MATCH($B228,LE_Curves!$H$5:$H$205,1)+1)-INDEX(LE_Curves!$H$5:$H$205,MATCH($B228,LE_Curves!$H$5:$H$205,1))))))</f>
        <v/>
      </c>
      <c r="I228" s="11">
        <f>IF(Inputs!$D$29=0,0,IF($B228&lt;=Inputs!$C$29,0,IF($B228&gt;=INDEX(LE_Curves!$I$5:$I$205,201),INDEX(LE_Curves!$B$5:$B$205,201),INDEX(LE_Curves!$B$5:$B$205,MATCH($B228,LE_Curves!$I$5:$I$205,1))+($B228-INDEX(LE_Curves!$I$5:$I$205,MATCH($B228,LE_Curves!$I$5:$I$205,1)))*(INDEX(LE_Curves!$B$5:$B$205,MATCH($B228,LE_Curves!$I$5:$I$205,1)+1)-INDEX(LE_Curves!$B$5:$B$205,MATCH($B228,LE_Curves!$I$5:$I$205,1)))/(INDEX(LE_Curves!$I$5:$I$205,MATCH($B228,LE_Curves!$I$5:$I$205,1)+1)-INDEX(LE_Curves!$I$5:$I$205,MATCH($B228,LE_Curves!$I$5:$I$205,1))))))</f>
        <v/>
      </c>
      <c r="J228" s="11">
        <f>IF(Inputs!$D$30=0,0,IF($B228&lt;=Inputs!$C$30,0,IF($B228&gt;=INDEX(LE_Curves!$J$5:$J$205,201),INDEX(LE_Curves!$B$5:$B$205,201),INDEX(LE_Curves!$B$5:$B$205,MATCH($B228,LE_Curves!$J$5:$J$205,1))+($B228-INDEX(LE_Curves!$J$5:$J$205,MATCH($B228,LE_Curves!$J$5:$J$205,1)))*(INDEX(LE_Curves!$B$5:$B$205,MATCH($B228,LE_Curves!$J$5:$J$205,1)+1)-INDEX(LE_Curves!$B$5:$B$205,MATCH($B228,LE_Curves!$J$5:$J$205,1)))/(INDEX(LE_Curves!$J$5:$J$205,MATCH($B228,LE_Curves!$J$5:$J$205,1)+1)-INDEX(LE_Curves!$J$5:$J$205,MATCH($B228,LE_Curves!$J$5:$J$205,1))))))</f>
        <v/>
      </c>
      <c r="K228" s="11">
        <f>IF(Inputs!$D$31=0,0,IF($B228&lt;=Inputs!$C$31,0,IF($B228&gt;=INDEX(LE_Curves!$K$5:$K$205,201),INDEX(LE_Curves!$B$5:$B$205,201),INDEX(LE_Curves!$B$5:$B$205,MATCH($B228,LE_Curves!$K$5:$K$205,1))+($B228-INDEX(LE_Curves!$K$5:$K$205,MATCH($B228,LE_Curves!$K$5:$K$205,1)))*(INDEX(LE_Curves!$B$5:$B$205,MATCH($B228,LE_Curves!$K$5:$K$205,1)+1)-INDEX(LE_Curves!$B$5:$B$205,MATCH($B228,LE_Curves!$K$5:$K$205,1)))/(INDEX(LE_Curves!$K$5:$K$205,MATCH($B228,LE_Curves!$K$5:$K$205,1)+1)-INDEX(LE_Curves!$K$5:$K$205,MATCH($B228,LE_Curves!$K$5:$K$205,1))))))</f>
        <v/>
      </c>
      <c r="L228" s="11">
        <f>IF(Inputs!$D$32=0,0,IF($B228&lt;=Inputs!$C$32,0,IF($B228&gt;=INDEX(LE_Curves!$L$5:$L$205,201),INDEX(LE_Curves!$B$5:$B$205,201),INDEX(LE_Curves!$B$5:$B$205,MATCH($B228,LE_Curves!$L$5:$L$205,1))+($B228-INDEX(LE_Curves!$L$5:$L$205,MATCH($B228,LE_Curves!$L$5:$L$205,1)))*(INDEX(LE_Curves!$B$5:$B$205,MATCH($B228,LE_Curves!$L$5:$L$205,1)+1)-INDEX(LE_Curves!$B$5:$B$205,MATCH($B228,LE_Curves!$L$5:$L$205,1)))/(INDEX(LE_Curves!$L$5:$L$205,MATCH($B228,LE_Curves!$L$5:$L$205,1)+1)-INDEX(LE_Curves!$L$5:$L$205,MATCH($B228,LE_Curves!$L$5:$L$205,1))))))</f>
        <v/>
      </c>
      <c r="M228" s="11">
        <f>IF(Inputs!$D$33=0,0,IF($B228&lt;=Inputs!$C$33,0,IF($B228&gt;=INDEX(LE_Curves!$M$5:$M$205,201),INDEX(LE_Curves!$B$5:$B$205,201),INDEX(LE_Curves!$B$5:$B$205,MATCH($B228,LE_Curves!$M$5:$M$205,1))+($B228-INDEX(LE_Curves!$M$5:$M$205,MATCH($B228,LE_Curves!$M$5:$M$205,1)))*(INDEX(LE_Curves!$B$5:$B$205,MATCH($B228,LE_Curves!$M$5:$M$205,1)+1)-INDEX(LE_Curves!$B$5:$B$205,MATCH($B228,LE_Curves!$M$5:$M$205,1)))/(INDEX(LE_Curves!$M$5:$M$205,MATCH($B228,LE_Curves!$M$5:$M$205,1)+1)-INDEX(LE_Curves!$M$5:$M$205,MATCH($B228,LE_Curves!$M$5:$M$205,1))))))</f>
        <v/>
      </c>
      <c r="N228" s="11">
        <f>IF(Inputs!$D$34=0,0,IF($B228&lt;=Inputs!$C$34,0,IF($B228&gt;=INDEX(LE_Curves!$N$5:$N$205,201),INDEX(LE_Curves!$B$5:$B$205,201),INDEX(LE_Curves!$B$5:$B$205,MATCH($B228,LE_Curves!$N$5:$N$205,1))+($B228-INDEX(LE_Curves!$N$5:$N$205,MATCH($B228,LE_Curves!$N$5:$N$205,1)))*(INDEX(LE_Curves!$B$5:$B$205,MATCH($B228,LE_Curves!$N$5:$N$205,1)+1)-INDEX(LE_Curves!$B$5:$B$205,MATCH($B228,LE_Curves!$N$5:$N$205,1)))/(INDEX(LE_Curves!$N$5:$N$205,MATCH($B228,LE_Curves!$N$5:$N$205,1)+1)-INDEX(LE_Curves!$N$5:$N$205,MATCH($B228,LE_Curves!$N$5:$N$205,1))))))</f>
        <v/>
      </c>
      <c r="O228" s="11">
        <f>SUM(C228:N228)</f>
        <v/>
      </c>
      <c r="Q228" s="7" t="n">
        <v>197</v>
      </c>
      <c r="R228" s="23">
        <f>$B$6+($B$7-$B$6)*Q228/200</f>
        <v/>
      </c>
      <c r="S228" s="11">
        <f>IF(Inputs!$D$23=0,0,IF($R228&lt;=Inputs!$C$23,0,IF($R228&gt;=INDEX(LE_Curves!$C$5:$C$205,201),INDEX(LE_Curves!$B$5:$B$205,201),INDEX(LE_Curves!$B$5:$B$205,MATCH($R228,LE_Curves!$C$5:$C$205,1))+($R228-INDEX(LE_Curves!$C$5:$C$205,MATCH($R228,LE_Curves!$C$5:$C$205,1)))*(INDEX(LE_Curves!$B$5:$B$205,MATCH($R228,LE_Curves!$C$5:$C$205,1)+1)-INDEX(LE_Curves!$B$5:$B$205,MATCH($R228,LE_Curves!$C$5:$C$205,1)))/(INDEX(LE_Curves!$C$5:$C$205,MATCH($R228,LE_Curves!$C$5:$C$205,1)+1)-INDEX(LE_Curves!$C$5:$C$205,MATCH($R228,LE_Curves!$C$5:$C$205,1))))))</f>
        <v/>
      </c>
      <c r="T228" s="11">
        <f>IF(Inputs!$D$24=0,0,IF($R228&lt;=Inputs!$C$24,0,IF($R228&gt;=INDEX(LE_Curves!$D$5:$D$205,201),INDEX(LE_Curves!$B$5:$B$205,201),INDEX(LE_Curves!$B$5:$B$205,MATCH($R228,LE_Curves!$D$5:$D$205,1))+($R228-INDEX(LE_Curves!$D$5:$D$205,MATCH($R228,LE_Curves!$D$5:$D$205,1)))*(INDEX(LE_Curves!$B$5:$B$205,MATCH($R228,LE_Curves!$D$5:$D$205,1)+1)-INDEX(LE_Curves!$B$5:$B$205,MATCH($R228,LE_Curves!$D$5:$D$205,1)))/(INDEX(LE_Curves!$D$5:$D$205,MATCH($R228,LE_Curves!$D$5:$D$205,1)+1)-INDEX(LE_Curves!$D$5:$D$205,MATCH($R228,LE_Curves!$D$5:$D$205,1))))))</f>
        <v/>
      </c>
      <c r="U228" s="11">
        <f>IF(Inputs!$D$25=0,0,IF($R228&lt;=Inputs!$C$25,0,IF($R228&gt;=INDEX(LE_Curves!$E$5:$E$205,201),INDEX(LE_Curves!$B$5:$B$205,201),INDEX(LE_Curves!$B$5:$B$205,MATCH($R228,LE_Curves!$E$5:$E$205,1))+($R228-INDEX(LE_Curves!$E$5:$E$205,MATCH($R228,LE_Curves!$E$5:$E$205,1)))*(INDEX(LE_Curves!$B$5:$B$205,MATCH($R228,LE_Curves!$E$5:$E$205,1)+1)-INDEX(LE_Curves!$B$5:$B$205,MATCH($R228,LE_Curves!$E$5:$E$205,1)))/(INDEX(LE_Curves!$E$5:$E$205,MATCH($R228,LE_Curves!$E$5:$E$205,1)+1)-INDEX(LE_Curves!$E$5:$E$205,MATCH($R228,LE_Curves!$E$5:$E$205,1))))))</f>
        <v/>
      </c>
      <c r="V228" s="11">
        <f>IF(Inputs!$D$26=0,0,IF($R228&lt;=Inputs!$C$26,0,IF($R228&gt;=INDEX(LE_Curves!$F$5:$F$205,201),INDEX(LE_Curves!$B$5:$B$205,201),INDEX(LE_Curves!$B$5:$B$205,MATCH($R228,LE_Curves!$F$5:$F$205,1))+($R228-INDEX(LE_Curves!$F$5:$F$205,MATCH($R228,LE_Curves!$F$5:$F$205,1)))*(INDEX(LE_Curves!$B$5:$B$205,MATCH($R228,LE_Curves!$F$5:$F$205,1)+1)-INDEX(LE_Curves!$B$5:$B$205,MATCH($R228,LE_Curves!$F$5:$F$205,1)))/(INDEX(LE_Curves!$F$5:$F$205,MATCH($R228,LE_Curves!$F$5:$F$205,1)+1)-INDEX(LE_Curves!$F$5:$F$205,MATCH($R228,LE_Curves!$F$5:$F$205,1))))))</f>
        <v/>
      </c>
      <c r="W228" s="11">
        <f>IF(Inputs!$D$27=0,0,IF($R228&lt;=Inputs!$C$27,0,IF($R228&gt;=INDEX(LE_Curves!$G$5:$G$205,201),INDEX(LE_Curves!$B$5:$B$205,201),INDEX(LE_Curves!$B$5:$B$205,MATCH($R228,LE_Curves!$G$5:$G$205,1))+($R228-INDEX(LE_Curves!$G$5:$G$205,MATCH($R228,LE_Curves!$G$5:$G$205,1)))*(INDEX(LE_Curves!$B$5:$B$205,MATCH($R228,LE_Curves!$G$5:$G$205,1)+1)-INDEX(LE_Curves!$B$5:$B$205,MATCH($R228,LE_Curves!$G$5:$G$205,1)))/(INDEX(LE_Curves!$G$5:$G$205,MATCH($R228,LE_Curves!$G$5:$G$205,1)+1)-INDEX(LE_Curves!$G$5:$G$205,MATCH($R228,LE_Curves!$G$5:$G$205,1))))))</f>
        <v/>
      </c>
      <c r="X228" s="11">
        <f>IF(Inputs!$D$28=0,0,IF($R228&lt;=Inputs!$C$28,0,IF($R228&gt;=INDEX(LE_Curves!$H$5:$H$205,201),INDEX(LE_Curves!$B$5:$B$205,201),INDEX(LE_Curves!$B$5:$B$205,MATCH($R228,LE_Curves!$H$5:$H$205,1))+($R228-INDEX(LE_Curves!$H$5:$H$205,MATCH($R228,LE_Curves!$H$5:$H$205,1)))*(INDEX(LE_Curves!$B$5:$B$205,MATCH($R228,LE_Curves!$H$5:$H$205,1)+1)-INDEX(LE_Curves!$B$5:$B$205,MATCH($R228,LE_Curves!$H$5:$H$205,1)))/(INDEX(LE_Curves!$H$5:$H$205,MATCH($R228,LE_Curves!$H$5:$H$205,1)+1)-INDEX(LE_Curves!$H$5:$H$205,MATCH($R228,LE_Curves!$H$5:$H$205,1))))))</f>
        <v/>
      </c>
      <c r="Y228" s="11">
        <f>IF(Inputs!$D$29=0,0,IF($R228&lt;=Inputs!$C$29,0,IF($R228&gt;=INDEX(LE_Curves!$I$5:$I$205,201),INDEX(LE_Curves!$B$5:$B$205,201),INDEX(LE_Curves!$B$5:$B$205,MATCH($R228,LE_Curves!$I$5:$I$205,1))+($R228-INDEX(LE_Curves!$I$5:$I$205,MATCH($R228,LE_Curves!$I$5:$I$205,1)))*(INDEX(LE_Curves!$B$5:$B$205,MATCH($R228,LE_Curves!$I$5:$I$205,1)+1)-INDEX(LE_Curves!$B$5:$B$205,MATCH($R228,LE_Curves!$I$5:$I$205,1)))/(INDEX(LE_Curves!$I$5:$I$205,MATCH($R228,LE_Curves!$I$5:$I$205,1)+1)-INDEX(LE_Curves!$I$5:$I$205,MATCH($R228,LE_Curves!$I$5:$I$205,1))))))</f>
        <v/>
      </c>
      <c r="Z228" s="11">
        <f>IF(Inputs!$D$30=0,0,IF($R228&lt;=Inputs!$C$30,0,IF($R228&gt;=INDEX(LE_Curves!$J$5:$J$205,201),INDEX(LE_Curves!$B$5:$B$205,201),INDEX(LE_Curves!$B$5:$B$205,MATCH($R228,LE_Curves!$J$5:$J$205,1))+($R228-INDEX(LE_Curves!$J$5:$J$205,MATCH($R228,LE_Curves!$J$5:$J$205,1)))*(INDEX(LE_Curves!$B$5:$B$205,MATCH($R228,LE_Curves!$J$5:$J$205,1)+1)-INDEX(LE_Curves!$B$5:$B$205,MATCH($R228,LE_Curves!$J$5:$J$205,1)))/(INDEX(LE_Curves!$J$5:$J$205,MATCH($R228,LE_Curves!$J$5:$J$205,1)+1)-INDEX(LE_Curves!$J$5:$J$205,MATCH($R228,LE_Curves!$J$5:$J$205,1))))))</f>
        <v/>
      </c>
      <c r="AA228" s="11">
        <f>IF(Inputs!$D$31=0,0,IF($R228&lt;=Inputs!$C$31,0,IF($R228&gt;=INDEX(LE_Curves!$K$5:$K$205,201),INDEX(LE_Curves!$B$5:$B$205,201),INDEX(LE_Curves!$B$5:$B$205,MATCH($R228,LE_Curves!$K$5:$K$205,1))+($R228-INDEX(LE_Curves!$K$5:$K$205,MATCH($R228,LE_Curves!$K$5:$K$205,1)))*(INDEX(LE_Curves!$B$5:$B$205,MATCH($R228,LE_Curves!$K$5:$K$205,1)+1)-INDEX(LE_Curves!$B$5:$B$205,MATCH($R228,LE_Curves!$K$5:$K$205,1)))/(INDEX(LE_Curves!$K$5:$K$205,MATCH($R228,LE_Curves!$K$5:$K$205,1)+1)-INDEX(LE_Curves!$K$5:$K$205,MATCH($R228,LE_Curves!$K$5:$K$205,1))))))</f>
        <v/>
      </c>
      <c r="AB228" s="11">
        <f>IF(Inputs!$D$32=0,0,IF($R228&lt;=Inputs!$C$32,0,IF($R228&gt;=INDEX(LE_Curves!$L$5:$L$205,201),INDEX(LE_Curves!$B$5:$B$205,201),INDEX(LE_Curves!$B$5:$B$205,MATCH($R228,LE_Curves!$L$5:$L$205,1))+($R228-INDEX(LE_Curves!$L$5:$L$205,MATCH($R228,LE_Curves!$L$5:$L$205,1)))*(INDEX(LE_Curves!$B$5:$B$205,MATCH($R228,LE_Curves!$L$5:$L$205,1)+1)-INDEX(LE_Curves!$B$5:$B$205,MATCH($R228,LE_Curves!$L$5:$L$205,1)))/(INDEX(LE_Curves!$L$5:$L$205,MATCH($R228,LE_Curves!$L$5:$L$205,1)+1)-INDEX(LE_Curves!$L$5:$L$205,MATCH($R228,LE_Curves!$L$5:$L$205,1))))))</f>
        <v/>
      </c>
      <c r="AC228" s="11">
        <f>IF(Inputs!$D$33=0,0,IF($R228&lt;=Inputs!$C$33,0,IF($R228&gt;=INDEX(LE_Curves!$M$5:$M$205,201),INDEX(LE_Curves!$B$5:$B$205,201),INDEX(LE_Curves!$B$5:$B$205,MATCH($R228,LE_Curves!$M$5:$M$205,1))+($R228-INDEX(LE_Curves!$M$5:$M$205,MATCH($R228,LE_Curves!$M$5:$M$205,1)))*(INDEX(LE_Curves!$B$5:$B$205,MATCH($R228,LE_Curves!$M$5:$M$205,1)+1)-INDEX(LE_Curves!$B$5:$B$205,MATCH($R228,LE_Curves!$M$5:$M$205,1)))/(INDEX(LE_Curves!$M$5:$M$205,MATCH($R228,LE_Curves!$M$5:$M$205,1)+1)-INDEX(LE_Curves!$M$5:$M$205,MATCH($R228,LE_Curves!$M$5:$M$205,1))))))</f>
        <v/>
      </c>
      <c r="AD228" s="11">
        <f>IF(Inputs!$D$34=0,0,IF($R228&lt;=Inputs!$C$34,0,IF($R228&gt;=INDEX(LE_Curves!$N$5:$N$205,201),INDEX(LE_Curves!$B$5:$B$205,201),INDEX(LE_Curves!$B$5:$B$205,MATCH($R228,LE_Curves!$N$5:$N$205,1))+($R228-INDEX(LE_Curves!$N$5:$N$205,MATCH($R228,LE_Curves!$N$5:$N$205,1)))*(INDEX(LE_Curves!$B$5:$B$205,MATCH($R228,LE_Curves!$N$5:$N$205,1)+1)-INDEX(LE_Curves!$B$5:$B$205,MATCH($R228,LE_Curves!$N$5:$N$205,1)))/(INDEX(LE_Curves!$N$5:$N$205,MATCH($R228,LE_Curves!$N$5:$N$205,1)+1)-INDEX(LE_Curves!$N$5:$N$205,MATCH($R228,LE_Curves!$N$5:$N$205,1))))))</f>
        <v/>
      </c>
      <c r="AE228" s="37">
        <f>SUM(S228:AD228)</f>
        <v/>
      </c>
    </row>
    <row r="229">
      <c r="A229" s="7" t="n">
        <v>198</v>
      </c>
      <c r="B229" s="37">
        <f>$B$3+($B$4-$B$3)*A229/200</f>
        <v/>
      </c>
      <c r="C229" s="11">
        <f>IF(Inputs!$D$23=0,0,IF($B229&lt;=Inputs!$C$23,0,IF($B229&gt;=INDEX(LE_Curves!$C$5:$C$205,201),INDEX(LE_Curves!$B$5:$B$205,201),INDEX(LE_Curves!$B$5:$B$205,MATCH($B229,LE_Curves!$C$5:$C$205,1))+($B229-INDEX(LE_Curves!$C$5:$C$205,MATCH($B229,LE_Curves!$C$5:$C$205,1)))*(INDEX(LE_Curves!$B$5:$B$205,MATCH($B229,LE_Curves!$C$5:$C$205,1)+1)-INDEX(LE_Curves!$B$5:$B$205,MATCH($B229,LE_Curves!$C$5:$C$205,1)))/(INDEX(LE_Curves!$C$5:$C$205,MATCH($B229,LE_Curves!$C$5:$C$205,1)+1)-INDEX(LE_Curves!$C$5:$C$205,MATCH($B229,LE_Curves!$C$5:$C$205,1))))))</f>
        <v/>
      </c>
      <c r="D229" s="11">
        <f>IF(Inputs!$D$24=0,0,IF($B229&lt;=Inputs!$C$24,0,IF($B229&gt;=INDEX(LE_Curves!$D$5:$D$205,201),INDEX(LE_Curves!$B$5:$B$205,201),INDEX(LE_Curves!$B$5:$B$205,MATCH($B229,LE_Curves!$D$5:$D$205,1))+($B229-INDEX(LE_Curves!$D$5:$D$205,MATCH($B229,LE_Curves!$D$5:$D$205,1)))*(INDEX(LE_Curves!$B$5:$B$205,MATCH($B229,LE_Curves!$D$5:$D$205,1)+1)-INDEX(LE_Curves!$B$5:$B$205,MATCH($B229,LE_Curves!$D$5:$D$205,1)))/(INDEX(LE_Curves!$D$5:$D$205,MATCH($B229,LE_Curves!$D$5:$D$205,1)+1)-INDEX(LE_Curves!$D$5:$D$205,MATCH($B229,LE_Curves!$D$5:$D$205,1))))))</f>
        <v/>
      </c>
      <c r="E229" s="11">
        <f>IF(Inputs!$D$25=0,0,IF($B229&lt;=Inputs!$C$25,0,IF($B229&gt;=INDEX(LE_Curves!$E$5:$E$205,201),INDEX(LE_Curves!$B$5:$B$205,201),INDEX(LE_Curves!$B$5:$B$205,MATCH($B229,LE_Curves!$E$5:$E$205,1))+($B229-INDEX(LE_Curves!$E$5:$E$205,MATCH($B229,LE_Curves!$E$5:$E$205,1)))*(INDEX(LE_Curves!$B$5:$B$205,MATCH($B229,LE_Curves!$E$5:$E$205,1)+1)-INDEX(LE_Curves!$B$5:$B$205,MATCH($B229,LE_Curves!$E$5:$E$205,1)))/(INDEX(LE_Curves!$E$5:$E$205,MATCH($B229,LE_Curves!$E$5:$E$205,1)+1)-INDEX(LE_Curves!$E$5:$E$205,MATCH($B229,LE_Curves!$E$5:$E$205,1))))))</f>
        <v/>
      </c>
      <c r="F229" s="11">
        <f>IF(Inputs!$D$26=0,0,IF($B229&lt;=Inputs!$C$26,0,IF($B229&gt;=INDEX(LE_Curves!$F$5:$F$205,201),INDEX(LE_Curves!$B$5:$B$205,201),INDEX(LE_Curves!$B$5:$B$205,MATCH($B229,LE_Curves!$F$5:$F$205,1))+($B229-INDEX(LE_Curves!$F$5:$F$205,MATCH($B229,LE_Curves!$F$5:$F$205,1)))*(INDEX(LE_Curves!$B$5:$B$205,MATCH($B229,LE_Curves!$F$5:$F$205,1)+1)-INDEX(LE_Curves!$B$5:$B$205,MATCH($B229,LE_Curves!$F$5:$F$205,1)))/(INDEX(LE_Curves!$F$5:$F$205,MATCH($B229,LE_Curves!$F$5:$F$205,1)+1)-INDEX(LE_Curves!$F$5:$F$205,MATCH($B229,LE_Curves!$F$5:$F$205,1))))))</f>
        <v/>
      </c>
      <c r="G229" s="11">
        <f>IF(Inputs!$D$27=0,0,IF($B229&lt;=Inputs!$C$27,0,IF($B229&gt;=INDEX(LE_Curves!$G$5:$G$205,201),INDEX(LE_Curves!$B$5:$B$205,201),INDEX(LE_Curves!$B$5:$B$205,MATCH($B229,LE_Curves!$G$5:$G$205,1))+($B229-INDEX(LE_Curves!$G$5:$G$205,MATCH($B229,LE_Curves!$G$5:$G$205,1)))*(INDEX(LE_Curves!$B$5:$B$205,MATCH($B229,LE_Curves!$G$5:$G$205,1)+1)-INDEX(LE_Curves!$B$5:$B$205,MATCH($B229,LE_Curves!$G$5:$G$205,1)))/(INDEX(LE_Curves!$G$5:$G$205,MATCH($B229,LE_Curves!$G$5:$G$205,1)+1)-INDEX(LE_Curves!$G$5:$G$205,MATCH($B229,LE_Curves!$G$5:$G$205,1))))))</f>
        <v/>
      </c>
      <c r="H229" s="11">
        <f>IF(Inputs!$D$28=0,0,IF($B229&lt;=Inputs!$C$28,0,IF($B229&gt;=INDEX(LE_Curves!$H$5:$H$205,201),INDEX(LE_Curves!$B$5:$B$205,201),INDEX(LE_Curves!$B$5:$B$205,MATCH($B229,LE_Curves!$H$5:$H$205,1))+($B229-INDEX(LE_Curves!$H$5:$H$205,MATCH($B229,LE_Curves!$H$5:$H$205,1)))*(INDEX(LE_Curves!$B$5:$B$205,MATCH($B229,LE_Curves!$H$5:$H$205,1)+1)-INDEX(LE_Curves!$B$5:$B$205,MATCH($B229,LE_Curves!$H$5:$H$205,1)))/(INDEX(LE_Curves!$H$5:$H$205,MATCH($B229,LE_Curves!$H$5:$H$205,1)+1)-INDEX(LE_Curves!$H$5:$H$205,MATCH($B229,LE_Curves!$H$5:$H$205,1))))))</f>
        <v/>
      </c>
      <c r="I229" s="11">
        <f>IF(Inputs!$D$29=0,0,IF($B229&lt;=Inputs!$C$29,0,IF($B229&gt;=INDEX(LE_Curves!$I$5:$I$205,201),INDEX(LE_Curves!$B$5:$B$205,201),INDEX(LE_Curves!$B$5:$B$205,MATCH($B229,LE_Curves!$I$5:$I$205,1))+($B229-INDEX(LE_Curves!$I$5:$I$205,MATCH($B229,LE_Curves!$I$5:$I$205,1)))*(INDEX(LE_Curves!$B$5:$B$205,MATCH($B229,LE_Curves!$I$5:$I$205,1)+1)-INDEX(LE_Curves!$B$5:$B$205,MATCH($B229,LE_Curves!$I$5:$I$205,1)))/(INDEX(LE_Curves!$I$5:$I$205,MATCH($B229,LE_Curves!$I$5:$I$205,1)+1)-INDEX(LE_Curves!$I$5:$I$205,MATCH($B229,LE_Curves!$I$5:$I$205,1))))))</f>
        <v/>
      </c>
      <c r="J229" s="11">
        <f>IF(Inputs!$D$30=0,0,IF($B229&lt;=Inputs!$C$30,0,IF($B229&gt;=INDEX(LE_Curves!$J$5:$J$205,201),INDEX(LE_Curves!$B$5:$B$205,201),INDEX(LE_Curves!$B$5:$B$205,MATCH($B229,LE_Curves!$J$5:$J$205,1))+($B229-INDEX(LE_Curves!$J$5:$J$205,MATCH($B229,LE_Curves!$J$5:$J$205,1)))*(INDEX(LE_Curves!$B$5:$B$205,MATCH($B229,LE_Curves!$J$5:$J$205,1)+1)-INDEX(LE_Curves!$B$5:$B$205,MATCH($B229,LE_Curves!$J$5:$J$205,1)))/(INDEX(LE_Curves!$J$5:$J$205,MATCH($B229,LE_Curves!$J$5:$J$205,1)+1)-INDEX(LE_Curves!$J$5:$J$205,MATCH($B229,LE_Curves!$J$5:$J$205,1))))))</f>
        <v/>
      </c>
      <c r="K229" s="11">
        <f>IF(Inputs!$D$31=0,0,IF($B229&lt;=Inputs!$C$31,0,IF($B229&gt;=INDEX(LE_Curves!$K$5:$K$205,201),INDEX(LE_Curves!$B$5:$B$205,201),INDEX(LE_Curves!$B$5:$B$205,MATCH($B229,LE_Curves!$K$5:$K$205,1))+($B229-INDEX(LE_Curves!$K$5:$K$205,MATCH($B229,LE_Curves!$K$5:$K$205,1)))*(INDEX(LE_Curves!$B$5:$B$205,MATCH($B229,LE_Curves!$K$5:$K$205,1)+1)-INDEX(LE_Curves!$B$5:$B$205,MATCH($B229,LE_Curves!$K$5:$K$205,1)))/(INDEX(LE_Curves!$K$5:$K$205,MATCH($B229,LE_Curves!$K$5:$K$205,1)+1)-INDEX(LE_Curves!$K$5:$K$205,MATCH($B229,LE_Curves!$K$5:$K$205,1))))))</f>
        <v/>
      </c>
      <c r="L229" s="11">
        <f>IF(Inputs!$D$32=0,0,IF($B229&lt;=Inputs!$C$32,0,IF($B229&gt;=INDEX(LE_Curves!$L$5:$L$205,201),INDEX(LE_Curves!$B$5:$B$205,201),INDEX(LE_Curves!$B$5:$B$205,MATCH($B229,LE_Curves!$L$5:$L$205,1))+($B229-INDEX(LE_Curves!$L$5:$L$205,MATCH($B229,LE_Curves!$L$5:$L$205,1)))*(INDEX(LE_Curves!$B$5:$B$205,MATCH($B229,LE_Curves!$L$5:$L$205,1)+1)-INDEX(LE_Curves!$B$5:$B$205,MATCH($B229,LE_Curves!$L$5:$L$205,1)))/(INDEX(LE_Curves!$L$5:$L$205,MATCH($B229,LE_Curves!$L$5:$L$205,1)+1)-INDEX(LE_Curves!$L$5:$L$205,MATCH($B229,LE_Curves!$L$5:$L$205,1))))))</f>
        <v/>
      </c>
      <c r="M229" s="11">
        <f>IF(Inputs!$D$33=0,0,IF($B229&lt;=Inputs!$C$33,0,IF($B229&gt;=INDEX(LE_Curves!$M$5:$M$205,201),INDEX(LE_Curves!$B$5:$B$205,201),INDEX(LE_Curves!$B$5:$B$205,MATCH($B229,LE_Curves!$M$5:$M$205,1))+($B229-INDEX(LE_Curves!$M$5:$M$205,MATCH($B229,LE_Curves!$M$5:$M$205,1)))*(INDEX(LE_Curves!$B$5:$B$205,MATCH($B229,LE_Curves!$M$5:$M$205,1)+1)-INDEX(LE_Curves!$B$5:$B$205,MATCH($B229,LE_Curves!$M$5:$M$205,1)))/(INDEX(LE_Curves!$M$5:$M$205,MATCH($B229,LE_Curves!$M$5:$M$205,1)+1)-INDEX(LE_Curves!$M$5:$M$205,MATCH($B229,LE_Curves!$M$5:$M$205,1))))))</f>
        <v/>
      </c>
      <c r="N229" s="11">
        <f>IF(Inputs!$D$34=0,0,IF($B229&lt;=Inputs!$C$34,0,IF($B229&gt;=INDEX(LE_Curves!$N$5:$N$205,201),INDEX(LE_Curves!$B$5:$B$205,201),INDEX(LE_Curves!$B$5:$B$205,MATCH($B229,LE_Curves!$N$5:$N$205,1))+($B229-INDEX(LE_Curves!$N$5:$N$205,MATCH($B229,LE_Curves!$N$5:$N$205,1)))*(INDEX(LE_Curves!$B$5:$B$205,MATCH($B229,LE_Curves!$N$5:$N$205,1)+1)-INDEX(LE_Curves!$B$5:$B$205,MATCH($B229,LE_Curves!$N$5:$N$205,1)))/(INDEX(LE_Curves!$N$5:$N$205,MATCH($B229,LE_Curves!$N$5:$N$205,1)+1)-INDEX(LE_Curves!$N$5:$N$205,MATCH($B229,LE_Curves!$N$5:$N$205,1))))))</f>
        <v/>
      </c>
      <c r="O229" s="11">
        <f>SUM(C229:N229)</f>
        <v/>
      </c>
      <c r="Q229" s="7" t="n">
        <v>198</v>
      </c>
      <c r="R229" s="23">
        <f>$B$6+($B$7-$B$6)*Q229/200</f>
        <v/>
      </c>
      <c r="S229" s="11">
        <f>IF(Inputs!$D$23=0,0,IF($R229&lt;=Inputs!$C$23,0,IF($R229&gt;=INDEX(LE_Curves!$C$5:$C$205,201),INDEX(LE_Curves!$B$5:$B$205,201),INDEX(LE_Curves!$B$5:$B$205,MATCH($R229,LE_Curves!$C$5:$C$205,1))+($R229-INDEX(LE_Curves!$C$5:$C$205,MATCH($R229,LE_Curves!$C$5:$C$205,1)))*(INDEX(LE_Curves!$B$5:$B$205,MATCH($R229,LE_Curves!$C$5:$C$205,1)+1)-INDEX(LE_Curves!$B$5:$B$205,MATCH($R229,LE_Curves!$C$5:$C$205,1)))/(INDEX(LE_Curves!$C$5:$C$205,MATCH($R229,LE_Curves!$C$5:$C$205,1)+1)-INDEX(LE_Curves!$C$5:$C$205,MATCH($R229,LE_Curves!$C$5:$C$205,1))))))</f>
        <v/>
      </c>
      <c r="T229" s="11">
        <f>IF(Inputs!$D$24=0,0,IF($R229&lt;=Inputs!$C$24,0,IF($R229&gt;=INDEX(LE_Curves!$D$5:$D$205,201),INDEX(LE_Curves!$B$5:$B$205,201),INDEX(LE_Curves!$B$5:$B$205,MATCH($R229,LE_Curves!$D$5:$D$205,1))+($R229-INDEX(LE_Curves!$D$5:$D$205,MATCH($R229,LE_Curves!$D$5:$D$205,1)))*(INDEX(LE_Curves!$B$5:$B$205,MATCH($R229,LE_Curves!$D$5:$D$205,1)+1)-INDEX(LE_Curves!$B$5:$B$205,MATCH($R229,LE_Curves!$D$5:$D$205,1)))/(INDEX(LE_Curves!$D$5:$D$205,MATCH($R229,LE_Curves!$D$5:$D$205,1)+1)-INDEX(LE_Curves!$D$5:$D$205,MATCH($R229,LE_Curves!$D$5:$D$205,1))))))</f>
        <v/>
      </c>
      <c r="U229" s="11">
        <f>IF(Inputs!$D$25=0,0,IF($R229&lt;=Inputs!$C$25,0,IF($R229&gt;=INDEX(LE_Curves!$E$5:$E$205,201),INDEX(LE_Curves!$B$5:$B$205,201),INDEX(LE_Curves!$B$5:$B$205,MATCH($R229,LE_Curves!$E$5:$E$205,1))+($R229-INDEX(LE_Curves!$E$5:$E$205,MATCH($R229,LE_Curves!$E$5:$E$205,1)))*(INDEX(LE_Curves!$B$5:$B$205,MATCH($R229,LE_Curves!$E$5:$E$205,1)+1)-INDEX(LE_Curves!$B$5:$B$205,MATCH($R229,LE_Curves!$E$5:$E$205,1)))/(INDEX(LE_Curves!$E$5:$E$205,MATCH($R229,LE_Curves!$E$5:$E$205,1)+1)-INDEX(LE_Curves!$E$5:$E$205,MATCH($R229,LE_Curves!$E$5:$E$205,1))))))</f>
        <v/>
      </c>
      <c r="V229" s="11">
        <f>IF(Inputs!$D$26=0,0,IF($R229&lt;=Inputs!$C$26,0,IF($R229&gt;=INDEX(LE_Curves!$F$5:$F$205,201),INDEX(LE_Curves!$B$5:$B$205,201),INDEX(LE_Curves!$B$5:$B$205,MATCH($R229,LE_Curves!$F$5:$F$205,1))+($R229-INDEX(LE_Curves!$F$5:$F$205,MATCH($R229,LE_Curves!$F$5:$F$205,1)))*(INDEX(LE_Curves!$B$5:$B$205,MATCH($R229,LE_Curves!$F$5:$F$205,1)+1)-INDEX(LE_Curves!$B$5:$B$205,MATCH($R229,LE_Curves!$F$5:$F$205,1)))/(INDEX(LE_Curves!$F$5:$F$205,MATCH($R229,LE_Curves!$F$5:$F$205,1)+1)-INDEX(LE_Curves!$F$5:$F$205,MATCH($R229,LE_Curves!$F$5:$F$205,1))))))</f>
        <v/>
      </c>
      <c r="W229" s="11">
        <f>IF(Inputs!$D$27=0,0,IF($R229&lt;=Inputs!$C$27,0,IF($R229&gt;=INDEX(LE_Curves!$G$5:$G$205,201),INDEX(LE_Curves!$B$5:$B$205,201),INDEX(LE_Curves!$B$5:$B$205,MATCH($R229,LE_Curves!$G$5:$G$205,1))+($R229-INDEX(LE_Curves!$G$5:$G$205,MATCH($R229,LE_Curves!$G$5:$G$205,1)))*(INDEX(LE_Curves!$B$5:$B$205,MATCH($R229,LE_Curves!$G$5:$G$205,1)+1)-INDEX(LE_Curves!$B$5:$B$205,MATCH($R229,LE_Curves!$G$5:$G$205,1)))/(INDEX(LE_Curves!$G$5:$G$205,MATCH($R229,LE_Curves!$G$5:$G$205,1)+1)-INDEX(LE_Curves!$G$5:$G$205,MATCH($R229,LE_Curves!$G$5:$G$205,1))))))</f>
        <v/>
      </c>
      <c r="X229" s="11">
        <f>IF(Inputs!$D$28=0,0,IF($R229&lt;=Inputs!$C$28,0,IF($R229&gt;=INDEX(LE_Curves!$H$5:$H$205,201),INDEX(LE_Curves!$B$5:$B$205,201),INDEX(LE_Curves!$B$5:$B$205,MATCH($R229,LE_Curves!$H$5:$H$205,1))+($R229-INDEX(LE_Curves!$H$5:$H$205,MATCH($R229,LE_Curves!$H$5:$H$205,1)))*(INDEX(LE_Curves!$B$5:$B$205,MATCH($R229,LE_Curves!$H$5:$H$205,1)+1)-INDEX(LE_Curves!$B$5:$B$205,MATCH($R229,LE_Curves!$H$5:$H$205,1)))/(INDEX(LE_Curves!$H$5:$H$205,MATCH($R229,LE_Curves!$H$5:$H$205,1)+1)-INDEX(LE_Curves!$H$5:$H$205,MATCH($R229,LE_Curves!$H$5:$H$205,1))))))</f>
        <v/>
      </c>
      <c r="Y229" s="11">
        <f>IF(Inputs!$D$29=0,0,IF($R229&lt;=Inputs!$C$29,0,IF($R229&gt;=INDEX(LE_Curves!$I$5:$I$205,201),INDEX(LE_Curves!$B$5:$B$205,201),INDEX(LE_Curves!$B$5:$B$205,MATCH($R229,LE_Curves!$I$5:$I$205,1))+($R229-INDEX(LE_Curves!$I$5:$I$205,MATCH($R229,LE_Curves!$I$5:$I$205,1)))*(INDEX(LE_Curves!$B$5:$B$205,MATCH($R229,LE_Curves!$I$5:$I$205,1)+1)-INDEX(LE_Curves!$B$5:$B$205,MATCH($R229,LE_Curves!$I$5:$I$205,1)))/(INDEX(LE_Curves!$I$5:$I$205,MATCH($R229,LE_Curves!$I$5:$I$205,1)+1)-INDEX(LE_Curves!$I$5:$I$205,MATCH($R229,LE_Curves!$I$5:$I$205,1))))))</f>
        <v/>
      </c>
      <c r="Z229" s="11">
        <f>IF(Inputs!$D$30=0,0,IF($R229&lt;=Inputs!$C$30,0,IF($R229&gt;=INDEX(LE_Curves!$J$5:$J$205,201),INDEX(LE_Curves!$B$5:$B$205,201),INDEX(LE_Curves!$B$5:$B$205,MATCH($R229,LE_Curves!$J$5:$J$205,1))+($R229-INDEX(LE_Curves!$J$5:$J$205,MATCH($R229,LE_Curves!$J$5:$J$205,1)))*(INDEX(LE_Curves!$B$5:$B$205,MATCH($R229,LE_Curves!$J$5:$J$205,1)+1)-INDEX(LE_Curves!$B$5:$B$205,MATCH($R229,LE_Curves!$J$5:$J$205,1)))/(INDEX(LE_Curves!$J$5:$J$205,MATCH($R229,LE_Curves!$J$5:$J$205,1)+1)-INDEX(LE_Curves!$J$5:$J$205,MATCH($R229,LE_Curves!$J$5:$J$205,1))))))</f>
        <v/>
      </c>
      <c r="AA229" s="11">
        <f>IF(Inputs!$D$31=0,0,IF($R229&lt;=Inputs!$C$31,0,IF($R229&gt;=INDEX(LE_Curves!$K$5:$K$205,201),INDEX(LE_Curves!$B$5:$B$205,201),INDEX(LE_Curves!$B$5:$B$205,MATCH($R229,LE_Curves!$K$5:$K$205,1))+($R229-INDEX(LE_Curves!$K$5:$K$205,MATCH($R229,LE_Curves!$K$5:$K$205,1)))*(INDEX(LE_Curves!$B$5:$B$205,MATCH($R229,LE_Curves!$K$5:$K$205,1)+1)-INDEX(LE_Curves!$B$5:$B$205,MATCH($R229,LE_Curves!$K$5:$K$205,1)))/(INDEX(LE_Curves!$K$5:$K$205,MATCH($R229,LE_Curves!$K$5:$K$205,1)+1)-INDEX(LE_Curves!$K$5:$K$205,MATCH($R229,LE_Curves!$K$5:$K$205,1))))))</f>
        <v/>
      </c>
      <c r="AB229" s="11">
        <f>IF(Inputs!$D$32=0,0,IF($R229&lt;=Inputs!$C$32,0,IF($R229&gt;=INDEX(LE_Curves!$L$5:$L$205,201),INDEX(LE_Curves!$B$5:$B$205,201),INDEX(LE_Curves!$B$5:$B$205,MATCH($R229,LE_Curves!$L$5:$L$205,1))+($R229-INDEX(LE_Curves!$L$5:$L$205,MATCH($R229,LE_Curves!$L$5:$L$205,1)))*(INDEX(LE_Curves!$B$5:$B$205,MATCH($R229,LE_Curves!$L$5:$L$205,1)+1)-INDEX(LE_Curves!$B$5:$B$205,MATCH($R229,LE_Curves!$L$5:$L$205,1)))/(INDEX(LE_Curves!$L$5:$L$205,MATCH($R229,LE_Curves!$L$5:$L$205,1)+1)-INDEX(LE_Curves!$L$5:$L$205,MATCH($R229,LE_Curves!$L$5:$L$205,1))))))</f>
        <v/>
      </c>
      <c r="AC229" s="11">
        <f>IF(Inputs!$D$33=0,0,IF($R229&lt;=Inputs!$C$33,0,IF($R229&gt;=INDEX(LE_Curves!$M$5:$M$205,201),INDEX(LE_Curves!$B$5:$B$205,201),INDEX(LE_Curves!$B$5:$B$205,MATCH($R229,LE_Curves!$M$5:$M$205,1))+($R229-INDEX(LE_Curves!$M$5:$M$205,MATCH($R229,LE_Curves!$M$5:$M$205,1)))*(INDEX(LE_Curves!$B$5:$B$205,MATCH($R229,LE_Curves!$M$5:$M$205,1)+1)-INDEX(LE_Curves!$B$5:$B$205,MATCH($R229,LE_Curves!$M$5:$M$205,1)))/(INDEX(LE_Curves!$M$5:$M$205,MATCH($R229,LE_Curves!$M$5:$M$205,1)+1)-INDEX(LE_Curves!$M$5:$M$205,MATCH($R229,LE_Curves!$M$5:$M$205,1))))))</f>
        <v/>
      </c>
      <c r="AD229" s="11">
        <f>IF(Inputs!$D$34=0,0,IF($R229&lt;=Inputs!$C$34,0,IF($R229&gt;=INDEX(LE_Curves!$N$5:$N$205,201),INDEX(LE_Curves!$B$5:$B$205,201),INDEX(LE_Curves!$B$5:$B$205,MATCH($R229,LE_Curves!$N$5:$N$205,1))+($R229-INDEX(LE_Curves!$N$5:$N$205,MATCH($R229,LE_Curves!$N$5:$N$205,1)))*(INDEX(LE_Curves!$B$5:$B$205,MATCH($R229,LE_Curves!$N$5:$N$205,1)+1)-INDEX(LE_Curves!$B$5:$B$205,MATCH($R229,LE_Curves!$N$5:$N$205,1)))/(INDEX(LE_Curves!$N$5:$N$205,MATCH($R229,LE_Curves!$N$5:$N$205,1)+1)-INDEX(LE_Curves!$N$5:$N$205,MATCH($R229,LE_Curves!$N$5:$N$205,1))))))</f>
        <v/>
      </c>
      <c r="AE229" s="37">
        <f>SUM(S229:AD229)</f>
        <v/>
      </c>
    </row>
    <row r="230">
      <c r="A230" s="7" t="n">
        <v>199</v>
      </c>
      <c r="B230" s="37">
        <f>$B$3+($B$4-$B$3)*A230/200</f>
        <v/>
      </c>
      <c r="C230" s="11">
        <f>IF(Inputs!$D$23=0,0,IF($B230&lt;=Inputs!$C$23,0,IF($B230&gt;=INDEX(LE_Curves!$C$5:$C$205,201),INDEX(LE_Curves!$B$5:$B$205,201),INDEX(LE_Curves!$B$5:$B$205,MATCH($B230,LE_Curves!$C$5:$C$205,1))+($B230-INDEX(LE_Curves!$C$5:$C$205,MATCH($B230,LE_Curves!$C$5:$C$205,1)))*(INDEX(LE_Curves!$B$5:$B$205,MATCH($B230,LE_Curves!$C$5:$C$205,1)+1)-INDEX(LE_Curves!$B$5:$B$205,MATCH($B230,LE_Curves!$C$5:$C$205,1)))/(INDEX(LE_Curves!$C$5:$C$205,MATCH($B230,LE_Curves!$C$5:$C$205,1)+1)-INDEX(LE_Curves!$C$5:$C$205,MATCH($B230,LE_Curves!$C$5:$C$205,1))))))</f>
        <v/>
      </c>
      <c r="D230" s="11">
        <f>IF(Inputs!$D$24=0,0,IF($B230&lt;=Inputs!$C$24,0,IF($B230&gt;=INDEX(LE_Curves!$D$5:$D$205,201),INDEX(LE_Curves!$B$5:$B$205,201),INDEX(LE_Curves!$B$5:$B$205,MATCH($B230,LE_Curves!$D$5:$D$205,1))+($B230-INDEX(LE_Curves!$D$5:$D$205,MATCH($B230,LE_Curves!$D$5:$D$205,1)))*(INDEX(LE_Curves!$B$5:$B$205,MATCH($B230,LE_Curves!$D$5:$D$205,1)+1)-INDEX(LE_Curves!$B$5:$B$205,MATCH($B230,LE_Curves!$D$5:$D$205,1)))/(INDEX(LE_Curves!$D$5:$D$205,MATCH($B230,LE_Curves!$D$5:$D$205,1)+1)-INDEX(LE_Curves!$D$5:$D$205,MATCH($B230,LE_Curves!$D$5:$D$205,1))))))</f>
        <v/>
      </c>
      <c r="E230" s="11">
        <f>IF(Inputs!$D$25=0,0,IF($B230&lt;=Inputs!$C$25,0,IF($B230&gt;=INDEX(LE_Curves!$E$5:$E$205,201),INDEX(LE_Curves!$B$5:$B$205,201),INDEX(LE_Curves!$B$5:$B$205,MATCH($B230,LE_Curves!$E$5:$E$205,1))+($B230-INDEX(LE_Curves!$E$5:$E$205,MATCH($B230,LE_Curves!$E$5:$E$205,1)))*(INDEX(LE_Curves!$B$5:$B$205,MATCH($B230,LE_Curves!$E$5:$E$205,1)+1)-INDEX(LE_Curves!$B$5:$B$205,MATCH($B230,LE_Curves!$E$5:$E$205,1)))/(INDEX(LE_Curves!$E$5:$E$205,MATCH($B230,LE_Curves!$E$5:$E$205,1)+1)-INDEX(LE_Curves!$E$5:$E$205,MATCH($B230,LE_Curves!$E$5:$E$205,1))))))</f>
        <v/>
      </c>
      <c r="F230" s="11">
        <f>IF(Inputs!$D$26=0,0,IF($B230&lt;=Inputs!$C$26,0,IF($B230&gt;=INDEX(LE_Curves!$F$5:$F$205,201),INDEX(LE_Curves!$B$5:$B$205,201),INDEX(LE_Curves!$B$5:$B$205,MATCH($B230,LE_Curves!$F$5:$F$205,1))+($B230-INDEX(LE_Curves!$F$5:$F$205,MATCH($B230,LE_Curves!$F$5:$F$205,1)))*(INDEX(LE_Curves!$B$5:$B$205,MATCH($B230,LE_Curves!$F$5:$F$205,1)+1)-INDEX(LE_Curves!$B$5:$B$205,MATCH($B230,LE_Curves!$F$5:$F$205,1)))/(INDEX(LE_Curves!$F$5:$F$205,MATCH($B230,LE_Curves!$F$5:$F$205,1)+1)-INDEX(LE_Curves!$F$5:$F$205,MATCH($B230,LE_Curves!$F$5:$F$205,1))))))</f>
        <v/>
      </c>
      <c r="G230" s="11">
        <f>IF(Inputs!$D$27=0,0,IF($B230&lt;=Inputs!$C$27,0,IF($B230&gt;=INDEX(LE_Curves!$G$5:$G$205,201),INDEX(LE_Curves!$B$5:$B$205,201),INDEX(LE_Curves!$B$5:$B$205,MATCH($B230,LE_Curves!$G$5:$G$205,1))+($B230-INDEX(LE_Curves!$G$5:$G$205,MATCH($B230,LE_Curves!$G$5:$G$205,1)))*(INDEX(LE_Curves!$B$5:$B$205,MATCH($B230,LE_Curves!$G$5:$G$205,1)+1)-INDEX(LE_Curves!$B$5:$B$205,MATCH($B230,LE_Curves!$G$5:$G$205,1)))/(INDEX(LE_Curves!$G$5:$G$205,MATCH($B230,LE_Curves!$G$5:$G$205,1)+1)-INDEX(LE_Curves!$G$5:$G$205,MATCH($B230,LE_Curves!$G$5:$G$205,1))))))</f>
        <v/>
      </c>
      <c r="H230" s="11">
        <f>IF(Inputs!$D$28=0,0,IF($B230&lt;=Inputs!$C$28,0,IF($B230&gt;=INDEX(LE_Curves!$H$5:$H$205,201),INDEX(LE_Curves!$B$5:$B$205,201),INDEX(LE_Curves!$B$5:$B$205,MATCH($B230,LE_Curves!$H$5:$H$205,1))+($B230-INDEX(LE_Curves!$H$5:$H$205,MATCH($B230,LE_Curves!$H$5:$H$205,1)))*(INDEX(LE_Curves!$B$5:$B$205,MATCH($B230,LE_Curves!$H$5:$H$205,1)+1)-INDEX(LE_Curves!$B$5:$B$205,MATCH($B230,LE_Curves!$H$5:$H$205,1)))/(INDEX(LE_Curves!$H$5:$H$205,MATCH($B230,LE_Curves!$H$5:$H$205,1)+1)-INDEX(LE_Curves!$H$5:$H$205,MATCH($B230,LE_Curves!$H$5:$H$205,1))))))</f>
        <v/>
      </c>
      <c r="I230" s="11">
        <f>IF(Inputs!$D$29=0,0,IF($B230&lt;=Inputs!$C$29,0,IF($B230&gt;=INDEX(LE_Curves!$I$5:$I$205,201),INDEX(LE_Curves!$B$5:$B$205,201),INDEX(LE_Curves!$B$5:$B$205,MATCH($B230,LE_Curves!$I$5:$I$205,1))+($B230-INDEX(LE_Curves!$I$5:$I$205,MATCH($B230,LE_Curves!$I$5:$I$205,1)))*(INDEX(LE_Curves!$B$5:$B$205,MATCH($B230,LE_Curves!$I$5:$I$205,1)+1)-INDEX(LE_Curves!$B$5:$B$205,MATCH($B230,LE_Curves!$I$5:$I$205,1)))/(INDEX(LE_Curves!$I$5:$I$205,MATCH($B230,LE_Curves!$I$5:$I$205,1)+1)-INDEX(LE_Curves!$I$5:$I$205,MATCH($B230,LE_Curves!$I$5:$I$205,1))))))</f>
        <v/>
      </c>
      <c r="J230" s="11">
        <f>IF(Inputs!$D$30=0,0,IF($B230&lt;=Inputs!$C$30,0,IF($B230&gt;=INDEX(LE_Curves!$J$5:$J$205,201),INDEX(LE_Curves!$B$5:$B$205,201),INDEX(LE_Curves!$B$5:$B$205,MATCH($B230,LE_Curves!$J$5:$J$205,1))+($B230-INDEX(LE_Curves!$J$5:$J$205,MATCH($B230,LE_Curves!$J$5:$J$205,1)))*(INDEX(LE_Curves!$B$5:$B$205,MATCH($B230,LE_Curves!$J$5:$J$205,1)+1)-INDEX(LE_Curves!$B$5:$B$205,MATCH($B230,LE_Curves!$J$5:$J$205,1)))/(INDEX(LE_Curves!$J$5:$J$205,MATCH($B230,LE_Curves!$J$5:$J$205,1)+1)-INDEX(LE_Curves!$J$5:$J$205,MATCH($B230,LE_Curves!$J$5:$J$205,1))))))</f>
        <v/>
      </c>
      <c r="K230" s="11">
        <f>IF(Inputs!$D$31=0,0,IF($B230&lt;=Inputs!$C$31,0,IF($B230&gt;=INDEX(LE_Curves!$K$5:$K$205,201),INDEX(LE_Curves!$B$5:$B$205,201),INDEX(LE_Curves!$B$5:$B$205,MATCH($B230,LE_Curves!$K$5:$K$205,1))+($B230-INDEX(LE_Curves!$K$5:$K$205,MATCH($B230,LE_Curves!$K$5:$K$205,1)))*(INDEX(LE_Curves!$B$5:$B$205,MATCH($B230,LE_Curves!$K$5:$K$205,1)+1)-INDEX(LE_Curves!$B$5:$B$205,MATCH($B230,LE_Curves!$K$5:$K$205,1)))/(INDEX(LE_Curves!$K$5:$K$205,MATCH($B230,LE_Curves!$K$5:$K$205,1)+1)-INDEX(LE_Curves!$K$5:$K$205,MATCH($B230,LE_Curves!$K$5:$K$205,1))))))</f>
        <v/>
      </c>
      <c r="L230" s="11">
        <f>IF(Inputs!$D$32=0,0,IF($B230&lt;=Inputs!$C$32,0,IF($B230&gt;=INDEX(LE_Curves!$L$5:$L$205,201),INDEX(LE_Curves!$B$5:$B$205,201),INDEX(LE_Curves!$B$5:$B$205,MATCH($B230,LE_Curves!$L$5:$L$205,1))+($B230-INDEX(LE_Curves!$L$5:$L$205,MATCH($B230,LE_Curves!$L$5:$L$205,1)))*(INDEX(LE_Curves!$B$5:$B$205,MATCH($B230,LE_Curves!$L$5:$L$205,1)+1)-INDEX(LE_Curves!$B$5:$B$205,MATCH($B230,LE_Curves!$L$5:$L$205,1)))/(INDEX(LE_Curves!$L$5:$L$205,MATCH($B230,LE_Curves!$L$5:$L$205,1)+1)-INDEX(LE_Curves!$L$5:$L$205,MATCH($B230,LE_Curves!$L$5:$L$205,1))))))</f>
        <v/>
      </c>
      <c r="M230" s="11">
        <f>IF(Inputs!$D$33=0,0,IF($B230&lt;=Inputs!$C$33,0,IF($B230&gt;=INDEX(LE_Curves!$M$5:$M$205,201),INDEX(LE_Curves!$B$5:$B$205,201),INDEX(LE_Curves!$B$5:$B$205,MATCH($B230,LE_Curves!$M$5:$M$205,1))+($B230-INDEX(LE_Curves!$M$5:$M$205,MATCH($B230,LE_Curves!$M$5:$M$205,1)))*(INDEX(LE_Curves!$B$5:$B$205,MATCH($B230,LE_Curves!$M$5:$M$205,1)+1)-INDEX(LE_Curves!$B$5:$B$205,MATCH($B230,LE_Curves!$M$5:$M$205,1)))/(INDEX(LE_Curves!$M$5:$M$205,MATCH($B230,LE_Curves!$M$5:$M$205,1)+1)-INDEX(LE_Curves!$M$5:$M$205,MATCH($B230,LE_Curves!$M$5:$M$205,1))))))</f>
        <v/>
      </c>
      <c r="N230" s="11">
        <f>IF(Inputs!$D$34=0,0,IF($B230&lt;=Inputs!$C$34,0,IF($B230&gt;=INDEX(LE_Curves!$N$5:$N$205,201),INDEX(LE_Curves!$B$5:$B$205,201),INDEX(LE_Curves!$B$5:$B$205,MATCH($B230,LE_Curves!$N$5:$N$205,1))+($B230-INDEX(LE_Curves!$N$5:$N$205,MATCH($B230,LE_Curves!$N$5:$N$205,1)))*(INDEX(LE_Curves!$B$5:$B$205,MATCH($B230,LE_Curves!$N$5:$N$205,1)+1)-INDEX(LE_Curves!$B$5:$B$205,MATCH($B230,LE_Curves!$N$5:$N$205,1)))/(INDEX(LE_Curves!$N$5:$N$205,MATCH($B230,LE_Curves!$N$5:$N$205,1)+1)-INDEX(LE_Curves!$N$5:$N$205,MATCH($B230,LE_Curves!$N$5:$N$205,1))))))</f>
        <v/>
      </c>
      <c r="O230" s="11">
        <f>SUM(C230:N230)</f>
        <v/>
      </c>
      <c r="Q230" s="7" t="n">
        <v>199</v>
      </c>
      <c r="R230" s="23">
        <f>$B$6+($B$7-$B$6)*Q230/200</f>
        <v/>
      </c>
      <c r="S230" s="11">
        <f>IF(Inputs!$D$23=0,0,IF($R230&lt;=Inputs!$C$23,0,IF($R230&gt;=INDEX(LE_Curves!$C$5:$C$205,201),INDEX(LE_Curves!$B$5:$B$205,201),INDEX(LE_Curves!$B$5:$B$205,MATCH($R230,LE_Curves!$C$5:$C$205,1))+($R230-INDEX(LE_Curves!$C$5:$C$205,MATCH($R230,LE_Curves!$C$5:$C$205,1)))*(INDEX(LE_Curves!$B$5:$B$205,MATCH($R230,LE_Curves!$C$5:$C$205,1)+1)-INDEX(LE_Curves!$B$5:$B$205,MATCH($R230,LE_Curves!$C$5:$C$205,1)))/(INDEX(LE_Curves!$C$5:$C$205,MATCH($R230,LE_Curves!$C$5:$C$205,1)+1)-INDEX(LE_Curves!$C$5:$C$205,MATCH($R230,LE_Curves!$C$5:$C$205,1))))))</f>
        <v/>
      </c>
      <c r="T230" s="11">
        <f>IF(Inputs!$D$24=0,0,IF($R230&lt;=Inputs!$C$24,0,IF($R230&gt;=INDEX(LE_Curves!$D$5:$D$205,201),INDEX(LE_Curves!$B$5:$B$205,201),INDEX(LE_Curves!$B$5:$B$205,MATCH($R230,LE_Curves!$D$5:$D$205,1))+($R230-INDEX(LE_Curves!$D$5:$D$205,MATCH($R230,LE_Curves!$D$5:$D$205,1)))*(INDEX(LE_Curves!$B$5:$B$205,MATCH($R230,LE_Curves!$D$5:$D$205,1)+1)-INDEX(LE_Curves!$B$5:$B$205,MATCH($R230,LE_Curves!$D$5:$D$205,1)))/(INDEX(LE_Curves!$D$5:$D$205,MATCH($R230,LE_Curves!$D$5:$D$205,1)+1)-INDEX(LE_Curves!$D$5:$D$205,MATCH($R230,LE_Curves!$D$5:$D$205,1))))))</f>
        <v/>
      </c>
      <c r="U230" s="11">
        <f>IF(Inputs!$D$25=0,0,IF($R230&lt;=Inputs!$C$25,0,IF($R230&gt;=INDEX(LE_Curves!$E$5:$E$205,201),INDEX(LE_Curves!$B$5:$B$205,201),INDEX(LE_Curves!$B$5:$B$205,MATCH($R230,LE_Curves!$E$5:$E$205,1))+($R230-INDEX(LE_Curves!$E$5:$E$205,MATCH($R230,LE_Curves!$E$5:$E$205,1)))*(INDEX(LE_Curves!$B$5:$B$205,MATCH($R230,LE_Curves!$E$5:$E$205,1)+1)-INDEX(LE_Curves!$B$5:$B$205,MATCH($R230,LE_Curves!$E$5:$E$205,1)))/(INDEX(LE_Curves!$E$5:$E$205,MATCH($R230,LE_Curves!$E$5:$E$205,1)+1)-INDEX(LE_Curves!$E$5:$E$205,MATCH($R230,LE_Curves!$E$5:$E$205,1))))))</f>
        <v/>
      </c>
      <c r="V230" s="11">
        <f>IF(Inputs!$D$26=0,0,IF($R230&lt;=Inputs!$C$26,0,IF($R230&gt;=INDEX(LE_Curves!$F$5:$F$205,201),INDEX(LE_Curves!$B$5:$B$205,201),INDEX(LE_Curves!$B$5:$B$205,MATCH($R230,LE_Curves!$F$5:$F$205,1))+($R230-INDEX(LE_Curves!$F$5:$F$205,MATCH($R230,LE_Curves!$F$5:$F$205,1)))*(INDEX(LE_Curves!$B$5:$B$205,MATCH($R230,LE_Curves!$F$5:$F$205,1)+1)-INDEX(LE_Curves!$B$5:$B$205,MATCH($R230,LE_Curves!$F$5:$F$205,1)))/(INDEX(LE_Curves!$F$5:$F$205,MATCH($R230,LE_Curves!$F$5:$F$205,1)+1)-INDEX(LE_Curves!$F$5:$F$205,MATCH($R230,LE_Curves!$F$5:$F$205,1))))))</f>
        <v/>
      </c>
      <c r="W230" s="11">
        <f>IF(Inputs!$D$27=0,0,IF($R230&lt;=Inputs!$C$27,0,IF($R230&gt;=INDEX(LE_Curves!$G$5:$G$205,201),INDEX(LE_Curves!$B$5:$B$205,201),INDEX(LE_Curves!$B$5:$B$205,MATCH($R230,LE_Curves!$G$5:$G$205,1))+($R230-INDEX(LE_Curves!$G$5:$G$205,MATCH($R230,LE_Curves!$G$5:$G$205,1)))*(INDEX(LE_Curves!$B$5:$B$205,MATCH($R230,LE_Curves!$G$5:$G$205,1)+1)-INDEX(LE_Curves!$B$5:$B$205,MATCH($R230,LE_Curves!$G$5:$G$205,1)))/(INDEX(LE_Curves!$G$5:$G$205,MATCH($R230,LE_Curves!$G$5:$G$205,1)+1)-INDEX(LE_Curves!$G$5:$G$205,MATCH($R230,LE_Curves!$G$5:$G$205,1))))))</f>
        <v/>
      </c>
      <c r="X230" s="11">
        <f>IF(Inputs!$D$28=0,0,IF($R230&lt;=Inputs!$C$28,0,IF($R230&gt;=INDEX(LE_Curves!$H$5:$H$205,201),INDEX(LE_Curves!$B$5:$B$205,201),INDEX(LE_Curves!$B$5:$B$205,MATCH($R230,LE_Curves!$H$5:$H$205,1))+($R230-INDEX(LE_Curves!$H$5:$H$205,MATCH($R230,LE_Curves!$H$5:$H$205,1)))*(INDEX(LE_Curves!$B$5:$B$205,MATCH($R230,LE_Curves!$H$5:$H$205,1)+1)-INDEX(LE_Curves!$B$5:$B$205,MATCH($R230,LE_Curves!$H$5:$H$205,1)))/(INDEX(LE_Curves!$H$5:$H$205,MATCH($R230,LE_Curves!$H$5:$H$205,1)+1)-INDEX(LE_Curves!$H$5:$H$205,MATCH($R230,LE_Curves!$H$5:$H$205,1))))))</f>
        <v/>
      </c>
      <c r="Y230" s="11">
        <f>IF(Inputs!$D$29=0,0,IF($R230&lt;=Inputs!$C$29,0,IF($R230&gt;=INDEX(LE_Curves!$I$5:$I$205,201),INDEX(LE_Curves!$B$5:$B$205,201),INDEX(LE_Curves!$B$5:$B$205,MATCH($R230,LE_Curves!$I$5:$I$205,1))+($R230-INDEX(LE_Curves!$I$5:$I$205,MATCH($R230,LE_Curves!$I$5:$I$205,1)))*(INDEX(LE_Curves!$B$5:$B$205,MATCH($R230,LE_Curves!$I$5:$I$205,1)+1)-INDEX(LE_Curves!$B$5:$B$205,MATCH($R230,LE_Curves!$I$5:$I$205,1)))/(INDEX(LE_Curves!$I$5:$I$205,MATCH($R230,LE_Curves!$I$5:$I$205,1)+1)-INDEX(LE_Curves!$I$5:$I$205,MATCH($R230,LE_Curves!$I$5:$I$205,1))))))</f>
        <v/>
      </c>
      <c r="Z230" s="11">
        <f>IF(Inputs!$D$30=0,0,IF($R230&lt;=Inputs!$C$30,0,IF($R230&gt;=INDEX(LE_Curves!$J$5:$J$205,201),INDEX(LE_Curves!$B$5:$B$205,201),INDEX(LE_Curves!$B$5:$B$205,MATCH($R230,LE_Curves!$J$5:$J$205,1))+($R230-INDEX(LE_Curves!$J$5:$J$205,MATCH($R230,LE_Curves!$J$5:$J$205,1)))*(INDEX(LE_Curves!$B$5:$B$205,MATCH($R230,LE_Curves!$J$5:$J$205,1)+1)-INDEX(LE_Curves!$B$5:$B$205,MATCH($R230,LE_Curves!$J$5:$J$205,1)))/(INDEX(LE_Curves!$J$5:$J$205,MATCH($R230,LE_Curves!$J$5:$J$205,1)+1)-INDEX(LE_Curves!$J$5:$J$205,MATCH($R230,LE_Curves!$J$5:$J$205,1))))))</f>
        <v/>
      </c>
      <c r="AA230" s="11">
        <f>IF(Inputs!$D$31=0,0,IF($R230&lt;=Inputs!$C$31,0,IF($R230&gt;=INDEX(LE_Curves!$K$5:$K$205,201),INDEX(LE_Curves!$B$5:$B$205,201),INDEX(LE_Curves!$B$5:$B$205,MATCH($R230,LE_Curves!$K$5:$K$205,1))+($R230-INDEX(LE_Curves!$K$5:$K$205,MATCH($R230,LE_Curves!$K$5:$K$205,1)))*(INDEX(LE_Curves!$B$5:$B$205,MATCH($R230,LE_Curves!$K$5:$K$205,1)+1)-INDEX(LE_Curves!$B$5:$B$205,MATCH($R230,LE_Curves!$K$5:$K$205,1)))/(INDEX(LE_Curves!$K$5:$K$205,MATCH($R230,LE_Curves!$K$5:$K$205,1)+1)-INDEX(LE_Curves!$K$5:$K$205,MATCH($R230,LE_Curves!$K$5:$K$205,1))))))</f>
        <v/>
      </c>
      <c r="AB230" s="11">
        <f>IF(Inputs!$D$32=0,0,IF($R230&lt;=Inputs!$C$32,0,IF($R230&gt;=INDEX(LE_Curves!$L$5:$L$205,201),INDEX(LE_Curves!$B$5:$B$205,201),INDEX(LE_Curves!$B$5:$B$205,MATCH($R230,LE_Curves!$L$5:$L$205,1))+($R230-INDEX(LE_Curves!$L$5:$L$205,MATCH($R230,LE_Curves!$L$5:$L$205,1)))*(INDEX(LE_Curves!$B$5:$B$205,MATCH($R230,LE_Curves!$L$5:$L$205,1)+1)-INDEX(LE_Curves!$B$5:$B$205,MATCH($R230,LE_Curves!$L$5:$L$205,1)))/(INDEX(LE_Curves!$L$5:$L$205,MATCH($R230,LE_Curves!$L$5:$L$205,1)+1)-INDEX(LE_Curves!$L$5:$L$205,MATCH($R230,LE_Curves!$L$5:$L$205,1))))))</f>
        <v/>
      </c>
      <c r="AC230" s="11">
        <f>IF(Inputs!$D$33=0,0,IF($R230&lt;=Inputs!$C$33,0,IF($R230&gt;=INDEX(LE_Curves!$M$5:$M$205,201),INDEX(LE_Curves!$B$5:$B$205,201),INDEX(LE_Curves!$B$5:$B$205,MATCH($R230,LE_Curves!$M$5:$M$205,1))+($R230-INDEX(LE_Curves!$M$5:$M$205,MATCH($R230,LE_Curves!$M$5:$M$205,1)))*(INDEX(LE_Curves!$B$5:$B$205,MATCH($R230,LE_Curves!$M$5:$M$205,1)+1)-INDEX(LE_Curves!$B$5:$B$205,MATCH($R230,LE_Curves!$M$5:$M$205,1)))/(INDEX(LE_Curves!$M$5:$M$205,MATCH($R230,LE_Curves!$M$5:$M$205,1)+1)-INDEX(LE_Curves!$M$5:$M$205,MATCH($R230,LE_Curves!$M$5:$M$205,1))))))</f>
        <v/>
      </c>
      <c r="AD230" s="11">
        <f>IF(Inputs!$D$34=0,0,IF($R230&lt;=Inputs!$C$34,0,IF($R230&gt;=INDEX(LE_Curves!$N$5:$N$205,201),INDEX(LE_Curves!$B$5:$B$205,201),INDEX(LE_Curves!$B$5:$B$205,MATCH($R230,LE_Curves!$N$5:$N$205,1))+($R230-INDEX(LE_Curves!$N$5:$N$205,MATCH($R230,LE_Curves!$N$5:$N$205,1)))*(INDEX(LE_Curves!$B$5:$B$205,MATCH($R230,LE_Curves!$N$5:$N$205,1)+1)-INDEX(LE_Curves!$B$5:$B$205,MATCH($R230,LE_Curves!$N$5:$N$205,1)))/(INDEX(LE_Curves!$N$5:$N$205,MATCH($R230,LE_Curves!$N$5:$N$205,1)+1)-INDEX(LE_Curves!$N$5:$N$205,MATCH($R230,LE_Curves!$N$5:$N$205,1))))))</f>
        <v/>
      </c>
      <c r="AE230" s="37">
        <f>SUM(S230:AD230)</f>
        <v/>
      </c>
    </row>
    <row r="231">
      <c r="A231" s="7" t="n">
        <v>200</v>
      </c>
      <c r="B231" s="37">
        <f>$B$3+($B$4-$B$3)*A231/200</f>
        <v/>
      </c>
      <c r="C231" s="11">
        <f>IF(Inputs!$D$23=0,0,IF($B231&lt;=Inputs!$C$23,0,IF($B231&gt;=INDEX(LE_Curves!$C$5:$C$205,201),INDEX(LE_Curves!$B$5:$B$205,201),INDEX(LE_Curves!$B$5:$B$205,MATCH($B231,LE_Curves!$C$5:$C$205,1))+($B231-INDEX(LE_Curves!$C$5:$C$205,MATCH($B231,LE_Curves!$C$5:$C$205,1)))*(INDEX(LE_Curves!$B$5:$B$205,MATCH($B231,LE_Curves!$C$5:$C$205,1)+1)-INDEX(LE_Curves!$B$5:$B$205,MATCH($B231,LE_Curves!$C$5:$C$205,1)))/(INDEX(LE_Curves!$C$5:$C$205,MATCH($B231,LE_Curves!$C$5:$C$205,1)+1)-INDEX(LE_Curves!$C$5:$C$205,MATCH($B231,LE_Curves!$C$5:$C$205,1))))))</f>
        <v/>
      </c>
      <c r="D231" s="11">
        <f>IF(Inputs!$D$24=0,0,IF($B231&lt;=Inputs!$C$24,0,IF($B231&gt;=INDEX(LE_Curves!$D$5:$D$205,201),INDEX(LE_Curves!$B$5:$B$205,201),INDEX(LE_Curves!$B$5:$B$205,MATCH($B231,LE_Curves!$D$5:$D$205,1))+($B231-INDEX(LE_Curves!$D$5:$D$205,MATCH($B231,LE_Curves!$D$5:$D$205,1)))*(INDEX(LE_Curves!$B$5:$B$205,MATCH($B231,LE_Curves!$D$5:$D$205,1)+1)-INDEX(LE_Curves!$B$5:$B$205,MATCH($B231,LE_Curves!$D$5:$D$205,1)))/(INDEX(LE_Curves!$D$5:$D$205,MATCH($B231,LE_Curves!$D$5:$D$205,1)+1)-INDEX(LE_Curves!$D$5:$D$205,MATCH($B231,LE_Curves!$D$5:$D$205,1))))))</f>
        <v/>
      </c>
      <c r="E231" s="11">
        <f>IF(Inputs!$D$25=0,0,IF($B231&lt;=Inputs!$C$25,0,IF($B231&gt;=INDEX(LE_Curves!$E$5:$E$205,201),INDEX(LE_Curves!$B$5:$B$205,201),INDEX(LE_Curves!$B$5:$B$205,MATCH($B231,LE_Curves!$E$5:$E$205,1))+($B231-INDEX(LE_Curves!$E$5:$E$205,MATCH($B231,LE_Curves!$E$5:$E$205,1)))*(INDEX(LE_Curves!$B$5:$B$205,MATCH($B231,LE_Curves!$E$5:$E$205,1)+1)-INDEX(LE_Curves!$B$5:$B$205,MATCH($B231,LE_Curves!$E$5:$E$205,1)))/(INDEX(LE_Curves!$E$5:$E$205,MATCH($B231,LE_Curves!$E$5:$E$205,1)+1)-INDEX(LE_Curves!$E$5:$E$205,MATCH($B231,LE_Curves!$E$5:$E$205,1))))))</f>
        <v/>
      </c>
      <c r="F231" s="11">
        <f>IF(Inputs!$D$26=0,0,IF($B231&lt;=Inputs!$C$26,0,IF($B231&gt;=INDEX(LE_Curves!$F$5:$F$205,201),INDEX(LE_Curves!$B$5:$B$205,201),INDEX(LE_Curves!$B$5:$B$205,MATCH($B231,LE_Curves!$F$5:$F$205,1))+($B231-INDEX(LE_Curves!$F$5:$F$205,MATCH($B231,LE_Curves!$F$5:$F$205,1)))*(INDEX(LE_Curves!$B$5:$B$205,MATCH($B231,LE_Curves!$F$5:$F$205,1)+1)-INDEX(LE_Curves!$B$5:$B$205,MATCH($B231,LE_Curves!$F$5:$F$205,1)))/(INDEX(LE_Curves!$F$5:$F$205,MATCH($B231,LE_Curves!$F$5:$F$205,1)+1)-INDEX(LE_Curves!$F$5:$F$205,MATCH($B231,LE_Curves!$F$5:$F$205,1))))))</f>
        <v/>
      </c>
      <c r="G231" s="11">
        <f>IF(Inputs!$D$27=0,0,IF($B231&lt;=Inputs!$C$27,0,IF($B231&gt;=INDEX(LE_Curves!$G$5:$G$205,201),INDEX(LE_Curves!$B$5:$B$205,201),INDEX(LE_Curves!$B$5:$B$205,MATCH($B231,LE_Curves!$G$5:$G$205,1))+($B231-INDEX(LE_Curves!$G$5:$G$205,MATCH($B231,LE_Curves!$G$5:$G$205,1)))*(INDEX(LE_Curves!$B$5:$B$205,MATCH($B231,LE_Curves!$G$5:$G$205,1)+1)-INDEX(LE_Curves!$B$5:$B$205,MATCH($B231,LE_Curves!$G$5:$G$205,1)))/(INDEX(LE_Curves!$G$5:$G$205,MATCH($B231,LE_Curves!$G$5:$G$205,1)+1)-INDEX(LE_Curves!$G$5:$G$205,MATCH($B231,LE_Curves!$G$5:$G$205,1))))))</f>
        <v/>
      </c>
      <c r="H231" s="11">
        <f>IF(Inputs!$D$28=0,0,IF($B231&lt;=Inputs!$C$28,0,IF($B231&gt;=INDEX(LE_Curves!$H$5:$H$205,201),INDEX(LE_Curves!$B$5:$B$205,201),INDEX(LE_Curves!$B$5:$B$205,MATCH($B231,LE_Curves!$H$5:$H$205,1))+($B231-INDEX(LE_Curves!$H$5:$H$205,MATCH($B231,LE_Curves!$H$5:$H$205,1)))*(INDEX(LE_Curves!$B$5:$B$205,MATCH($B231,LE_Curves!$H$5:$H$205,1)+1)-INDEX(LE_Curves!$B$5:$B$205,MATCH($B231,LE_Curves!$H$5:$H$205,1)))/(INDEX(LE_Curves!$H$5:$H$205,MATCH($B231,LE_Curves!$H$5:$H$205,1)+1)-INDEX(LE_Curves!$H$5:$H$205,MATCH($B231,LE_Curves!$H$5:$H$205,1))))))</f>
        <v/>
      </c>
      <c r="I231" s="11">
        <f>IF(Inputs!$D$29=0,0,IF($B231&lt;=Inputs!$C$29,0,IF($B231&gt;=INDEX(LE_Curves!$I$5:$I$205,201),INDEX(LE_Curves!$B$5:$B$205,201),INDEX(LE_Curves!$B$5:$B$205,MATCH($B231,LE_Curves!$I$5:$I$205,1))+($B231-INDEX(LE_Curves!$I$5:$I$205,MATCH($B231,LE_Curves!$I$5:$I$205,1)))*(INDEX(LE_Curves!$B$5:$B$205,MATCH($B231,LE_Curves!$I$5:$I$205,1)+1)-INDEX(LE_Curves!$B$5:$B$205,MATCH($B231,LE_Curves!$I$5:$I$205,1)))/(INDEX(LE_Curves!$I$5:$I$205,MATCH($B231,LE_Curves!$I$5:$I$205,1)+1)-INDEX(LE_Curves!$I$5:$I$205,MATCH($B231,LE_Curves!$I$5:$I$205,1))))))</f>
        <v/>
      </c>
      <c r="J231" s="11">
        <f>IF(Inputs!$D$30=0,0,IF($B231&lt;=Inputs!$C$30,0,IF($B231&gt;=INDEX(LE_Curves!$J$5:$J$205,201),INDEX(LE_Curves!$B$5:$B$205,201),INDEX(LE_Curves!$B$5:$B$205,MATCH($B231,LE_Curves!$J$5:$J$205,1))+($B231-INDEX(LE_Curves!$J$5:$J$205,MATCH($B231,LE_Curves!$J$5:$J$205,1)))*(INDEX(LE_Curves!$B$5:$B$205,MATCH($B231,LE_Curves!$J$5:$J$205,1)+1)-INDEX(LE_Curves!$B$5:$B$205,MATCH($B231,LE_Curves!$J$5:$J$205,1)))/(INDEX(LE_Curves!$J$5:$J$205,MATCH($B231,LE_Curves!$J$5:$J$205,1)+1)-INDEX(LE_Curves!$J$5:$J$205,MATCH($B231,LE_Curves!$J$5:$J$205,1))))))</f>
        <v/>
      </c>
      <c r="K231" s="11">
        <f>IF(Inputs!$D$31=0,0,IF($B231&lt;=Inputs!$C$31,0,IF($B231&gt;=INDEX(LE_Curves!$K$5:$K$205,201),INDEX(LE_Curves!$B$5:$B$205,201),INDEX(LE_Curves!$B$5:$B$205,MATCH($B231,LE_Curves!$K$5:$K$205,1))+($B231-INDEX(LE_Curves!$K$5:$K$205,MATCH($B231,LE_Curves!$K$5:$K$205,1)))*(INDEX(LE_Curves!$B$5:$B$205,MATCH($B231,LE_Curves!$K$5:$K$205,1)+1)-INDEX(LE_Curves!$B$5:$B$205,MATCH($B231,LE_Curves!$K$5:$K$205,1)))/(INDEX(LE_Curves!$K$5:$K$205,MATCH($B231,LE_Curves!$K$5:$K$205,1)+1)-INDEX(LE_Curves!$K$5:$K$205,MATCH($B231,LE_Curves!$K$5:$K$205,1))))))</f>
        <v/>
      </c>
      <c r="L231" s="11">
        <f>IF(Inputs!$D$32=0,0,IF($B231&lt;=Inputs!$C$32,0,IF($B231&gt;=INDEX(LE_Curves!$L$5:$L$205,201),INDEX(LE_Curves!$B$5:$B$205,201),INDEX(LE_Curves!$B$5:$B$205,MATCH($B231,LE_Curves!$L$5:$L$205,1))+($B231-INDEX(LE_Curves!$L$5:$L$205,MATCH($B231,LE_Curves!$L$5:$L$205,1)))*(INDEX(LE_Curves!$B$5:$B$205,MATCH($B231,LE_Curves!$L$5:$L$205,1)+1)-INDEX(LE_Curves!$B$5:$B$205,MATCH($B231,LE_Curves!$L$5:$L$205,1)))/(INDEX(LE_Curves!$L$5:$L$205,MATCH($B231,LE_Curves!$L$5:$L$205,1)+1)-INDEX(LE_Curves!$L$5:$L$205,MATCH($B231,LE_Curves!$L$5:$L$205,1))))))</f>
        <v/>
      </c>
      <c r="M231" s="11">
        <f>IF(Inputs!$D$33=0,0,IF($B231&lt;=Inputs!$C$33,0,IF($B231&gt;=INDEX(LE_Curves!$M$5:$M$205,201),INDEX(LE_Curves!$B$5:$B$205,201),INDEX(LE_Curves!$B$5:$B$205,MATCH($B231,LE_Curves!$M$5:$M$205,1))+($B231-INDEX(LE_Curves!$M$5:$M$205,MATCH($B231,LE_Curves!$M$5:$M$205,1)))*(INDEX(LE_Curves!$B$5:$B$205,MATCH($B231,LE_Curves!$M$5:$M$205,1)+1)-INDEX(LE_Curves!$B$5:$B$205,MATCH($B231,LE_Curves!$M$5:$M$205,1)))/(INDEX(LE_Curves!$M$5:$M$205,MATCH($B231,LE_Curves!$M$5:$M$205,1)+1)-INDEX(LE_Curves!$M$5:$M$205,MATCH($B231,LE_Curves!$M$5:$M$205,1))))))</f>
        <v/>
      </c>
      <c r="N231" s="11">
        <f>IF(Inputs!$D$34=0,0,IF($B231&lt;=Inputs!$C$34,0,IF($B231&gt;=INDEX(LE_Curves!$N$5:$N$205,201),INDEX(LE_Curves!$B$5:$B$205,201),INDEX(LE_Curves!$B$5:$B$205,MATCH($B231,LE_Curves!$N$5:$N$205,1))+($B231-INDEX(LE_Curves!$N$5:$N$205,MATCH($B231,LE_Curves!$N$5:$N$205,1)))*(INDEX(LE_Curves!$B$5:$B$205,MATCH($B231,LE_Curves!$N$5:$N$205,1)+1)-INDEX(LE_Curves!$B$5:$B$205,MATCH($B231,LE_Curves!$N$5:$N$205,1)))/(INDEX(LE_Curves!$N$5:$N$205,MATCH($B231,LE_Curves!$N$5:$N$205,1)+1)-INDEX(LE_Curves!$N$5:$N$205,MATCH($B231,LE_Curves!$N$5:$N$205,1))))))</f>
        <v/>
      </c>
      <c r="O231" s="11">
        <f>SUM(C231:N231)</f>
        <v/>
      </c>
      <c r="Q231" s="7" t="n">
        <v>200</v>
      </c>
      <c r="R231" s="23">
        <f>$B$6+($B$7-$B$6)*Q231/200</f>
        <v/>
      </c>
      <c r="S231" s="11">
        <f>IF(Inputs!$D$23=0,0,IF($R231&lt;=Inputs!$C$23,0,IF($R231&gt;=INDEX(LE_Curves!$C$5:$C$205,201),INDEX(LE_Curves!$B$5:$B$205,201),INDEX(LE_Curves!$B$5:$B$205,MATCH($R231,LE_Curves!$C$5:$C$205,1))+($R231-INDEX(LE_Curves!$C$5:$C$205,MATCH($R231,LE_Curves!$C$5:$C$205,1)))*(INDEX(LE_Curves!$B$5:$B$205,MATCH($R231,LE_Curves!$C$5:$C$205,1)+1)-INDEX(LE_Curves!$B$5:$B$205,MATCH($R231,LE_Curves!$C$5:$C$205,1)))/(INDEX(LE_Curves!$C$5:$C$205,MATCH($R231,LE_Curves!$C$5:$C$205,1)+1)-INDEX(LE_Curves!$C$5:$C$205,MATCH($R231,LE_Curves!$C$5:$C$205,1))))))</f>
        <v/>
      </c>
      <c r="T231" s="11">
        <f>IF(Inputs!$D$24=0,0,IF($R231&lt;=Inputs!$C$24,0,IF($R231&gt;=INDEX(LE_Curves!$D$5:$D$205,201),INDEX(LE_Curves!$B$5:$B$205,201),INDEX(LE_Curves!$B$5:$B$205,MATCH($R231,LE_Curves!$D$5:$D$205,1))+($R231-INDEX(LE_Curves!$D$5:$D$205,MATCH($R231,LE_Curves!$D$5:$D$205,1)))*(INDEX(LE_Curves!$B$5:$B$205,MATCH($R231,LE_Curves!$D$5:$D$205,1)+1)-INDEX(LE_Curves!$B$5:$B$205,MATCH($R231,LE_Curves!$D$5:$D$205,1)))/(INDEX(LE_Curves!$D$5:$D$205,MATCH($R231,LE_Curves!$D$5:$D$205,1)+1)-INDEX(LE_Curves!$D$5:$D$205,MATCH($R231,LE_Curves!$D$5:$D$205,1))))))</f>
        <v/>
      </c>
      <c r="U231" s="11">
        <f>IF(Inputs!$D$25=0,0,IF($R231&lt;=Inputs!$C$25,0,IF($R231&gt;=INDEX(LE_Curves!$E$5:$E$205,201),INDEX(LE_Curves!$B$5:$B$205,201),INDEX(LE_Curves!$B$5:$B$205,MATCH($R231,LE_Curves!$E$5:$E$205,1))+($R231-INDEX(LE_Curves!$E$5:$E$205,MATCH($R231,LE_Curves!$E$5:$E$205,1)))*(INDEX(LE_Curves!$B$5:$B$205,MATCH($R231,LE_Curves!$E$5:$E$205,1)+1)-INDEX(LE_Curves!$B$5:$B$205,MATCH($R231,LE_Curves!$E$5:$E$205,1)))/(INDEX(LE_Curves!$E$5:$E$205,MATCH($R231,LE_Curves!$E$5:$E$205,1)+1)-INDEX(LE_Curves!$E$5:$E$205,MATCH($R231,LE_Curves!$E$5:$E$205,1))))))</f>
        <v/>
      </c>
      <c r="V231" s="11">
        <f>IF(Inputs!$D$26=0,0,IF($R231&lt;=Inputs!$C$26,0,IF($R231&gt;=INDEX(LE_Curves!$F$5:$F$205,201),INDEX(LE_Curves!$B$5:$B$205,201),INDEX(LE_Curves!$B$5:$B$205,MATCH($R231,LE_Curves!$F$5:$F$205,1))+($R231-INDEX(LE_Curves!$F$5:$F$205,MATCH($R231,LE_Curves!$F$5:$F$205,1)))*(INDEX(LE_Curves!$B$5:$B$205,MATCH($R231,LE_Curves!$F$5:$F$205,1)+1)-INDEX(LE_Curves!$B$5:$B$205,MATCH($R231,LE_Curves!$F$5:$F$205,1)))/(INDEX(LE_Curves!$F$5:$F$205,MATCH($R231,LE_Curves!$F$5:$F$205,1)+1)-INDEX(LE_Curves!$F$5:$F$205,MATCH($R231,LE_Curves!$F$5:$F$205,1))))))</f>
        <v/>
      </c>
      <c r="W231" s="11">
        <f>IF(Inputs!$D$27=0,0,IF($R231&lt;=Inputs!$C$27,0,IF($R231&gt;=INDEX(LE_Curves!$G$5:$G$205,201),INDEX(LE_Curves!$B$5:$B$205,201),INDEX(LE_Curves!$B$5:$B$205,MATCH($R231,LE_Curves!$G$5:$G$205,1))+($R231-INDEX(LE_Curves!$G$5:$G$205,MATCH($R231,LE_Curves!$G$5:$G$205,1)))*(INDEX(LE_Curves!$B$5:$B$205,MATCH($R231,LE_Curves!$G$5:$G$205,1)+1)-INDEX(LE_Curves!$B$5:$B$205,MATCH($R231,LE_Curves!$G$5:$G$205,1)))/(INDEX(LE_Curves!$G$5:$G$205,MATCH($R231,LE_Curves!$G$5:$G$205,1)+1)-INDEX(LE_Curves!$G$5:$G$205,MATCH($R231,LE_Curves!$G$5:$G$205,1))))))</f>
        <v/>
      </c>
      <c r="X231" s="11">
        <f>IF(Inputs!$D$28=0,0,IF($R231&lt;=Inputs!$C$28,0,IF($R231&gt;=INDEX(LE_Curves!$H$5:$H$205,201),INDEX(LE_Curves!$B$5:$B$205,201),INDEX(LE_Curves!$B$5:$B$205,MATCH($R231,LE_Curves!$H$5:$H$205,1))+($R231-INDEX(LE_Curves!$H$5:$H$205,MATCH($R231,LE_Curves!$H$5:$H$205,1)))*(INDEX(LE_Curves!$B$5:$B$205,MATCH($R231,LE_Curves!$H$5:$H$205,1)+1)-INDEX(LE_Curves!$B$5:$B$205,MATCH($R231,LE_Curves!$H$5:$H$205,1)))/(INDEX(LE_Curves!$H$5:$H$205,MATCH($R231,LE_Curves!$H$5:$H$205,1)+1)-INDEX(LE_Curves!$H$5:$H$205,MATCH($R231,LE_Curves!$H$5:$H$205,1))))))</f>
        <v/>
      </c>
      <c r="Y231" s="11">
        <f>IF(Inputs!$D$29=0,0,IF($R231&lt;=Inputs!$C$29,0,IF($R231&gt;=INDEX(LE_Curves!$I$5:$I$205,201),INDEX(LE_Curves!$B$5:$B$205,201),INDEX(LE_Curves!$B$5:$B$205,MATCH($R231,LE_Curves!$I$5:$I$205,1))+($R231-INDEX(LE_Curves!$I$5:$I$205,MATCH($R231,LE_Curves!$I$5:$I$205,1)))*(INDEX(LE_Curves!$B$5:$B$205,MATCH($R231,LE_Curves!$I$5:$I$205,1)+1)-INDEX(LE_Curves!$B$5:$B$205,MATCH($R231,LE_Curves!$I$5:$I$205,1)))/(INDEX(LE_Curves!$I$5:$I$205,MATCH($R231,LE_Curves!$I$5:$I$205,1)+1)-INDEX(LE_Curves!$I$5:$I$205,MATCH($R231,LE_Curves!$I$5:$I$205,1))))))</f>
        <v/>
      </c>
      <c r="Z231" s="11">
        <f>IF(Inputs!$D$30=0,0,IF($R231&lt;=Inputs!$C$30,0,IF($R231&gt;=INDEX(LE_Curves!$J$5:$J$205,201),INDEX(LE_Curves!$B$5:$B$205,201),INDEX(LE_Curves!$B$5:$B$205,MATCH($R231,LE_Curves!$J$5:$J$205,1))+($R231-INDEX(LE_Curves!$J$5:$J$205,MATCH($R231,LE_Curves!$J$5:$J$205,1)))*(INDEX(LE_Curves!$B$5:$B$205,MATCH($R231,LE_Curves!$J$5:$J$205,1)+1)-INDEX(LE_Curves!$B$5:$B$205,MATCH($R231,LE_Curves!$J$5:$J$205,1)))/(INDEX(LE_Curves!$J$5:$J$205,MATCH($R231,LE_Curves!$J$5:$J$205,1)+1)-INDEX(LE_Curves!$J$5:$J$205,MATCH($R231,LE_Curves!$J$5:$J$205,1))))))</f>
        <v/>
      </c>
      <c r="AA231" s="11">
        <f>IF(Inputs!$D$31=0,0,IF($R231&lt;=Inputs!$C$31,0,IF($R231&gt;=INDEX(LE_Curves!$K$5:$K$205,201),INDEX(LE_Curves!$B$5:$B$205,201),INDEX(LE_Curves!$B$5:$B$205,MATCH($R231,LE_Curves!$K$5:$K$205,1))+($R231-INDEX(LE_Curves!$K$5:$K$205,MATCH($R231,LE_Curves!$K$5:$K$205,1)))*(INDEX(LE_Curves!$B$5:$B$205,MATCH($R231,LE_Curves!$K$5:$K$205,1)+1)-INDEX(LE_Curves!$B$5:$B$205,MATCH($R231,LE_Curves!$K$5:$K$205,1)))/(INDEX(LE_Curves!$K$5:$K$205,MATCH($R231,LE_Curves!$K$5:$K$205,1)+1)-INDEX(LE_Curves!$K$5:$K$205,MATCH($R231,LE_Curves!$K$5:$K$205,1))))))</f>
        <v/>
      </c>
      <c r="AB231" s="11">
        <f>IF(Inputs!$D$32=0,0,IF($R231&lt;=Inputs!$C$32,0,IF($R231&gt;=INDEX(LE_Curves!$L$5:$L$205,201),INDEX(LE_Curves!$B$5:$B$205,201),INDEX(LE_Curves!$B$5:$B$205,MATCH($R231,LE_Curves!$L$5:$L$205,1))+($R231-INDEX(LE_Curves!$L$5:$L$205,MATCH($R231,LE_Curves!$L$5:$L$205,1)))*(INDEX(LE_Curves!$B$5:$B$205,MATCH($R231,LE_Curves!$L$5:$L$205,1)+1)-INDEX(LE_Curves!$B$5:$B$205,MATCH($R231,LE_Curves!$L$5:$L$205,1)))/(INDEX(LE_Curves!$L$5:$L$205,MATCH($R231,LE_Curves!$L$5:$L$205,1)+1)-INDEX(LE_Curves!$L$5:$L$205,MATCH($R231,LE_Curves!$L$5:$L$205,1))))))</f>
        <v/>
      </c>
      <c r="AC231" s="11">
        <f>IF(Inputs!$D$33=0,0,IF($R231&lt;=Inputs!$C$33,0,IF($R231&gt;=INDEX(LE_Curves!$M$5:$M$205,201),INDEX(LE_Curves!$B$5:$B$205,201),INDEX(LE_Curves!$B$5:$B$205,MATCH($R231,LE_Curves!$M$5:$M$205,1))+($R231-INDEX(LE_Curves!$M$5:$M$205,MATCH($R231,LE_Curves!$M$5:$M$205,1)))*(INDEX(LE_Curves!$B$5:$B$205,MATCH($R231,LE_Curves!$M$5:$M$205,1)+1)-INDEX(LE_Curves!$B$5:$B$205,MATCH($R231,LE_Curves!$M$5:$M$205,1)))/(INDEX(LE_Curves!$M$5:$M$205,MATCH($R231,LE_Curves!$M$5:$M$205,1)+1)-INDEX(LE_Curves!$M$5:$M$205,MATCH($R231,LE_Curves!$M$5:$M$205,1))))))</f>
        <v/>
      </c>
      <c r="AD231" s="11">
        <f>IF(Inputs!$D$34=0,0,IF($R231&lt;=Inputs!$C$34,0,IF($R231&gt;=INDEX(LE_Curves!$N$5:$N$205,201),INDEX(LE_Curves!$B$5:$B$205,201),INDEX(LE_Curves!$B$5:$B$205,MATCH($R231,LE_Curves!$N$5:$N$205,1))+($R231-INDEX(LE_Curves!$N$5:$N$205,MATCH($R231,LE_Curves!$N$5:$N$205,1)))*(INDEX(LE_Curves!$B$5:$B$205,MATCH($R231,LE_Curves!$N$5:$N$205,1)+1)-INDEX(LE_Curves!$B$5:$B$205,MATCH($R231,LE_Curves!$N$5:$N$205,1)))/(INDEX(LE_Curves!$N$5:$N$205,MATCH($R231,LE_Curves!$N$5:$N$205,1)+1)-INDEX(LE_Curves!$N$5:$N$205,MATCH($R231,LE_Curves!$N$5:$N$205,1))))))</f>
        <v/>
      </c>
      <c r="AE231" s="37">
        <f>SUM(S231:AD231)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Design — perforation friction targets</t>
        </is>
      </c>
    </row>
    <row r="3">
      <c r="A3" s="17" t="inlineStr">
        <is>
          <t>Cluster</t>
        </is>
      </c>
      <c r="B3" s="17" t="inlineStr">
        <is>
          <t>Shots</t>
        </is>
      </c>
      <c r="C3" s="17" t="inlineStr">
        <is>
          <t>d, mm</t>
        </is>
      </c>
      <c r="D3" s="17" t="inlineStr">
        <is>
          <t>ΔP_perf start, MPa</t>
        </is>
      </c>
      <c r="E3" s="17" t="inlineStr">
        <is>
          <t>ΔP_perf end (lumped erosion), MPa</t>
        </is>
      </c>
    </row>
    <row r="4">
      <c r="A4" s="7">
        <f>Inputs!A23</f>
        <v/>
      </c>
      <c r="B4" s="15">
        <f>Inputs!D23</f>
        <v/>
      </c>
      <c r="C4" s="16">
        <f>Inputs!E23</f>
        <v/>
      </c>
      <c r="D4" s="16">
        <f>IF(B4&gt;0,Inputs!$B$12*Inputs!$B$5*Inputs!$B$20^2/(B4^2*C4^4*Inputs!F23^2),0)</f>
        <v/>
      </c>
      <c r="E4" s="16">
        <f>IF(B4&gt;0,Inputs!$B$12*Inputs!$B$5*Inputs!$B$20^2/(B4^2*(C4*Erosion!$B$45/Inputs!$B$21)^4*Erosion!$B$46^2),0)</f>
        <v/>
      </c>
    </row>
    <row r="5">
      <c r="A5" s="7">
        <f>Inputs!A24</f>
        <v/>
      </c>
      <c r="B5" s="15">
        <f>Inputs!D24</f>
        <v/>
      </c>
      <c r="C5" s="16">
        <f>Inputs!E24</f>
        <v/>
      </c>
      <c r="D5" s="16">
        <f>IF(B5&gt;0,Inputs!$B$12*Inputs!$B$5*Inputs!$B$20^2/(B5^2*C5^4*Inputs!F24^2),0)</f>
        <v/>
      </c>
      <c r="E5" s="16">
        <f>IF(B5&gt;0,Inputs!$B$12*Inputs!$B$5*Inputs!$B$20^2/(B5^2*(C5*Erosion!$B$45/Inputs!$B$21)^4*Erosion!$B$46^2),0)</f>
        <v/>
      </c>
    </row>
    <row r="6">
      <c r="A6" s="7">
        <f>Inputs!A25</f>
        <v/>
      </c>
      <c r="B6" s="15">
        <f>Inputs!D25</f>
        <v/>
      </c>
      <c r="C6" s="16">
        <f>Inputs!E25</f>
        <v/>
      </c>
      <c r="D6" s="16">
        <f>IF(B6&gt;0,Inputs!$B$12*Inputs!$B$5*Inputs!$B$20^2/(B6^2*C6^4*Inputs!F25^2),0)</f>
        <v/>
      </c>
      <c r="E6" s="16">
        <f>IF(B6&gt;0,Inputs!$B$12*Inputs!$B$5*Inputs!$B$20^2/(B6^2*(C6*Erosion!$B$45/Inputs!$B$21)^4*Erosion!$B$46^2),0)</f>
        <v/>
      </c>
    </row>
    <row r="7">
      <c r="A7" s="7">
        <f>Inputs!A26</f>
        <v/>
      </c>
      <c r="B7" s="15">
        <f>Inputs!D26</f>
        <v/>
      </c>
      <c r="C7" s="16">
        <f>Inputs!E26</f>
        <v/>
      </c>
      <c r="D7" s="16">
        <f>IF(B7&gt;0,Inputs!$B$12*Inputs!$B$5*Inputs!$B$20^2/(B7^2*C7^4*Inputs!F26^2),0)</f>
        <v/>
      </c>
      <c r="E7" s="16">
        <f>IF(B7&gt;0,Inputs!$B$12*Inputs!$B$5*Inputs!$B$20^2/(B7^2*(C7*Erosion!$B$45/Inputs!$B$21)^4*Erosion!$B$46^2),0)</f>
        <v/>
      </c>
    </row>
    <row r="8">
      <c r="A8" s="7">
        <f>Inputs!A27</f>
        <v/>
      </c>
      <c r="B8" s="15">
        <f>Inputs!D27</f>
        <v/>
      </c>
      <c r="C8" s="16">
        <f>Inputs!E27</f>
        <v/>
      </c>
      <c r="D8" s="16">
        <f>IF(B8&gt;0,Inputs!$B$12*Inputs!$B$5*Inputs!$B$20^2/(B8^2*C8^4*Inputs!F27^2),0)</f>
        <v/>
      </c>
      <c r="E8" s="16">
        <f>IF(B8&gt;0,Inputs!$B$12*Inputs!$B$5*Inputs!$B$20^2/(B8^2*(C8*Erosion!$B$45/Inputs!$B$21)^4*Erosion!$B$46^2),0)</f>
        <v/>
      </c>
    </row>
    <row r="9">
      <c r="A9" s="7">
        <f>Inputs!A28</f>
        <v/>
      </c>
      <c r="B9" s="15">
        <f>Inputs!D28</f>
        <v/>
      </c>
      <c r="C9" s="16">
        <f>Inputs!E28</f>
        <v/>
      </c>
      <c r="D9" s="16">
        <f>IF(B9&gt;0,Inputs!$B$12*Inputs!$B$5*Inputs!$B$20^2/(B9^2*C9^4*Inputs!F28^2),0)</f>
        <v/>
      </c>
      <c r="E9" s="16">
        <f>IF(B9&gt;0,Inputs!$B$12*Inputs!$B$5*Inputs!$B$20^2/(B9^2*(C9*Erosion!$B$45/Inputs!$B$21)^4*Erosion!$B$46^2),0)</f>
        <v/>
      </c>
    </row>
    <row r="10">
      <c r="A10" s="7">
        <f>Inputs!A29</f>
        <v/>
      </c>
      <c r="B10" s="15">
        <f>Inputs!D29</f>
        <v/>
      </c>
      <c r="C10" s="16">
        <f>Inputs!E29</f>
        <v/>
      </c>
      <c r="D10" s="16">
        <f>IF(B10&gt;0,Inputs!$B$12*Inputs!$B$5*Inputs!$B$20^2/(B10^2*C10^4*Inputs!F29^2),0)</f>
        <v/>
      </c>
      <c r="E10" s="16">
        <f>IF(B10&gt;0,Inputs!$B$12*Inputs!$B$5*Inputs!$B$20^2/(B10^2*(C10*Erosion!$B$45/Inputs!$B$21)^4*Erosion!$B$46^2),0)</f>
        <v/>
      </c>
    </row>
    <row r="11">
      <c r="A11" s="7">
        <f>Inputs!A30</f>
        <v/>
      </c>
      <c r="B11" s="15">
        <f>Inputs!D30</f>
        <v/>
      </c>
      <c r="C11" s="16">
        <f>Inputs!E30</f>
        <v/>
      </c>
      <c r="D11" s="16">
        <f>IF(B11&gt;0,Inputs!$B$12*Inputs!$B$5*Inputs!$B$20^2/(B11^2*C11^4*Inputs!F30^2),0)</f>
        <v/>
      </c>
      <c r="E11" s="16">
        <f>IF(B11&gt;0,Inputs!$B$12*Inputs!$B$5*Inputs!$B$20^2/(B11^2*(C11*Erosion!$B$45/Inputs!$B$21)^4*Erosion!$B$46^2),0)</f>
        <v/>
      </c>
    </row>
    <row r="12">
      <c r="A12" s="7">
        <f>Inputs!A31</f>
        <v/>
      </c>
      <c r="B12" s="15">
        <f>Inputs!D31</f>
        <v/>
      </c>
      <c r="C12" s="16">
        <f>Inputs!E31</f>
        <v/>
      </c>
      <c r="D12" s="16">
        <f>IF(B12&gt;0,Inputs!$B$12*Inputs!$B$5*Inputs!$B$20^2/(B12^2*C12^4*Inputs!F31^2),0)</f>
        <v/>
      </c>
      <c r="E12" s="16">
        <f>IF(B12&gt;0,Inputs!$B$12*Inputs!$B$5*Inputs!$B$20^2/(B12^2*(C12*Erosion!$B$45/Inputs!$B$21)^4*Erosion!$B$46^2),0)</f>
        <v/>
      </c>
    </row>
    <row r="13">
      <c r="A13" s="7">
        <f>Inputs!A32</f>
        <v/>
      </c>
      <c r="B13" s="15">
        <f>Inputs!D32</f>
        <v/>
      </c>
      <c r="C13" s="16">
        <f>Inputs!E32</f>
        <v/>
      </c>
      <c r="D13" s="16">
        <f>IF(B13&gt;0,Inputs!$B$12*Inputs!$B$5*Inputs!$B$20^2/(B13^2*C13^4*Inputs!F32^2),0)</f>
        <v/>
      </c>
      <c r="E13" s="16">
        <f>IF(B13&gt;0,Inputs!$B$12*Inputs!$B$5*Inputs!$B$20^2/(B13^2*(C13*Erosion!$B$45/Inputs!$B$21)^4*Erosion!$B$46^2),0)</f>
        <v/>
      </c>
    </row>
    <row r="14">
      <c r="A14" s="7">
        <f>Inputs!A33</f>
        <v/>
      </c>
      <c r="B14" s="15">
        <f>Inputs!D33</f>
        <v/>
      </c>
      <c r="C14" s="16">
        <f>Inputs!E33</f>
        <v/>
      </c>
      <c r="D14" s="16">
        <f>IF(B14&gt;0,Inputs!$B$12*Inputs!$B$5*Inputs!$B$20^2/(B14^2*C14^4*Inputs!F33^2),0)</f>
        <v/>
      </c>
      <c r="E14" s="16">
        <f>IF(B14&gt;0,Inputs!$B$12*Inputs!$B$5*Inputs!$B$20^2/(B14^2*(C14*Erosion!$B$45/Inputs!$B$21)^4*Erosion!$B$46^2),0)</f>
        <v/>
      </c>
    </row>
    <row r="15">
      <c r="A15" s="7">
        <f>Inputs!A34</f>
        <v/>
      </c>
      <c r="B15" s="15">
        <f>Inputs!D34</f>
        <v/>
      </c>
      <c r="C15" s="16">
        <f>Inputs!E34</f>
        <v/>
      </c>
      <c r="D15" s="16">
        <f>IF(B15&gt;0,Inputs!$B$12*Inputs!$B$5*Inputs!$B$20^2/(B15^2*C15^4*Inputs!F34^2),0)</f>
        <v/>
      </c>
      <c r="E15" s="16">
        <f>IF(B15&gt;0,Inputs!$B$12*Inputs!$B$5*Inputs!$B$20^2/(B15^2*(C15*Erosion!$B$45/Inputs!$B$21)^4*Erosion!$B$46^2),0)</f>
        <v/>
      </c>
    </row>
    <row r="17">
      <c r="A17" s="7" t="inlineStr">
        <is>
          <t>Stress spread of active clusters, MPa</t>
        </is>
      </c>
      <c r="B17" s="16">
        <f>MAX(Inputs!L23:L34)-MIN(Inputs!J23:J34)</f>
        <v/>
      </c>
    </row>
    <row r="18">
      <c r="A18" s="7" t="inlineStr">
        <is>
          <t>Mean ΔP_perf start / stress spread</t>
        </is>
      </c>
      <c r="B18" s="16">
        <f>SUMIF(B4:B15,"&gt;0",D4:D15)/Inputs!B18/B17</f>
        <v/>
      </c>
    </row>
    <row r="19">
      <c r="A19" s="7" t="inlineStr">
        <is>
          <t>Mean ΔP_perf end / stress spread</t>
        </is>
      </c>
      <c r="B19" s="16">
        <f>SUMIF(B4:B15,"&gt;0",E4:E15)/Inputs!B18/B17</f>
        <v/>
      </c>
    </row>
    <row r="22">
      <c r="A22" s="6" t="inlineStr">
        <is>
          <t>Perforation friction matrix at stage rate, MPa (rows: total shots per stage, columns: entry hole, mm)</t>
        </is>
      </c>
    </row>
    <row r="23">
      <c r="A23" s="6" t="inlineStr">
        <is>
          <t>Sharp entry (Cd0)</t>
        </is>
      </c>
    </row>
    <row r="24">
      <c r="A24" s="17" t="inlineStr">
        <is>
          <t>Total shots \ d, mm</t>
        </is>
      </c>
      <c r="B24" s="14" t="n">
        <v>7.6</v>
      </c>
      <c r="C24" s="14" t="n">
        <v>8.4</v>
      </c>
      <c r="D24" s="14" t="n">
        <v>8.9</v>
      </c>
      <c r="E24" s="14" t="n">
        <v>9.5</v>
      </c>
      <c r="F24" s="14" t="n">
        <v>10.2</v>
      </c>
      <c r="G24" s="14" t="n">
        <v>10.9</v>
      </c>
      <c r="H24" s="14" t="n">
        <v>11.4</v>
      </c>
      <c r="I24" s="14" t="n">
        <v>12.7</v>
      </c>
    </row>
    <row r="25">
      <c r="A25" s="9" t="n">
        <v>12</v>
      </c>
      <c r="B25" s="16">
        <f>Inputs!$B$12*Inputs!$B$5*Inputs!$B$4^2/($A25^2*B$24^4*Inputs!$B$7^2)</f>
        <v/>
      </c>
      <c r="C25" s="16">
        <f>Inputs!$B$12*Inputs!$B$5*Inputs!$B$4^2/($A25^2*C$24^4*Inputs!$B$7^2)</f>
        <v/>
      </c>
      <c r="D25" s="16">
        <f>Inputs!$B$12*Inputs!$B$5*Inputs!$B$4^2/($A25^2*D$24^4*Inputs!$B$7^2)</f>
        <v/>
      </c>
      <c r="E25" s="16">
        <f>Inputs!$B$12*Inputs!$B$5*Inputs!$B$4^2/($A25^2*E$24^4*Inputs!$B$7^2)</f>
        <v/>
      </c>
      <c r="F25" s="16">
        <f>Inputs!$B$12*Inputs!$B$5*Inputs!$B$4^2/($A25^2*F$24^4*Inputs!$B$7^2)</f>
        <v/>
      </c>
      <c r="G25" s="16">
        <f>Inputs!$B$12*Inputs!$B$5*Inputs!$B$4^2/($A25^2*G$24^4*Inputs!$B$7^2)</f>
        <v/>
      </c>
      <c r="H25" s="16">
        <f>Inputs!$B$12*Inputs!$B$5*Inputs!$B$4^2/($A25^2*H$24^4*Inputs!$B$7^2)</f>
        <v/>
      </c>
      <c r="I25" s="16">
        <f>Inputs!$B$12*Inputs!$B$5*Inputs!$B$4^2/($A25^2*I$24^4*Inputs!$B$7^2)</f>
        <v/>
      </c>
    </row>
    <row r="26">
      <c r="A26" s="9" t="n">
        <v>18</v>
      </c>
      <c r="B26" s="16">
        <f>Inputs!$B$12*Inputs!$B$5*Inputs!$B$4^2/($A26^2*B$24^4*Inputs!$B$7^2)</f>
        <v/>
      </c>
      <c r="C26" s="16">
        <f>Inputs!$B$12*Inputs!$B$5*Inputs!$B$4^2/($A26^2*C$24^4*Inputs!$B$7^2)</f>
        <v/>
      </c>
      <c r="D26" s="16">
        <f>Inputs!$B$12*Inputs!$B$5*Inputs!$B$4^2/($A26^2*D$24^4*Inputs!$B$7^2)</f>
        <v/>
      </c>
      <c r="E26" s="16">
        <f>Inputs!$B$12*Inputs!$B$5*Inputs!$B$4^2/($A26^2*E$24^4*Inputs!$B$7^2)</f>
        <v/>
      </c>
      <c r="F26" s="16">
        <f>Inputs!$B$12*Inputs!$B$5*Inputs!$B$4^2/($A26^2*F$24^4*Inputs!$B$7^2)</f>
        <v/>
      </c>
      <c r="G26" s="16">
        <f>Inputs!$B$12*Inputs!$B$5*Inputs!$B$4^2/($A26^2*G$24^4*Inputs!$B$7^2)</f>
        <v/>
      </c>
      <c r="H26" s="16">
        <f>Inputs!$B$12*Inputs!$B$5*Inputs!$B$4^2/($A26^2*H$24^4*Inputs!$B$7^2)</f>
        <v/>
      </c>
      <c r="I26" s="16">
        <f>Inputs!$B$12*Inputs!$B$5*Inputs!$B$4^2/($A26^2*I$24^4*Inputs!$B$7^2)</f>
        <v/>
      </c>
    </row>
    <row r="27">
      <c r="A27" s="9" t="n">
        <v>24</v>
      </c>
      <c r="B27" s="16">
        <f>Inputs!$B$12*Inputs!$B$5*Inputs!$B$4^2/($A27^2*B$24^4*Inputs!$B$7^2)</f>
        <v/>
      </c>
      <c r="C27" s="16">
        <f>Inputs!$B$12*Inputs!$B$5*Inputs!$B$4^2/($A27^2*C$24^4*Inputs!$B$7^2)</f>
        <v/>
      </c>
      <c r="D27" s="16">
        <f>Inputs!$B$12*Inputs!$B$5*Inputs!$B$4^2/($A27^2*D$24^4*Inputs!$B$7^2)</f>
        <v/>
      </c>
      <c r="E27" s="16">
        <f>Inputs!$B$12*Inputs!$B$5*Inputs!$B$4^2/($A27^2*E$24^4*Inputs!$B$7^2)</f>
        <v/>
      </c>
      <c r="F27" s="16">
        <f>Inputs!$B$12*Inputs!$B$5*Inputs!$B$4^2/($A27^2*F$24^4*Inputs!$B$7^2)</f>
        <v/>
      </c>
      <c r="G27" s="16">
        <f>Inputs!$B$12*Inputs!$B$5*Inputs!$B$4^2/($A27^2*G$24^4*Inputs!$B$7^2)</f>
        <v/>
      </c>
      <c r="H27" s="16">
        <f>Inputs!$B$12*Inputs!$B$5*Inputs!$B$4^2/($A27^2*H$24^4*Inputs!$B$7^2)</f>
        <v/>
      </c>
      <c r="I27" s="16">
        <f>Inputs!$B$12*Inputs!$B$5*Inputs!$B$4^2/($A27^2*I$24^4*Inputs!$B$7^2)</f>
        <v/>
      </c>
    </row>
    <row r="28">
      <c r="A28" s="9" t="n">
        <v>30</v>
      </c>
      <c r="B28" s="16">
        <f>Inputs!$B$12*Inputs!$B$5*Inputs!$B$4^2/($A28^2*B$24^4*Inputs!$B$7^2)</f>
        <v/>
      </c>
      <c r="C28" s="16">
        <f>Inputs!$B$12*Inputs!$B$5*Inputs!$B$4^2/($A28^2*C$24^4*Inputs!$B$7^2)</f>
        <v/>
      </c>
      <c r="D28" s="16">
        <f>Inputs!$B$12*Inputs!$B$5*Inputs!$B$4^2/($A28^2*D$24^4*Inputs!$B$7^2)</f>
        <v/>
      </c>
      <c r="E28" s="16">
        <f>Inputs!$B$12*Inputs!$B$5*Inputs!$B$4^2/($A28^2*E$24^4*Inputs!$B$7^2)</f>
        <v/>
      </c>
      <c r="F28" s="16">
        <f>Inputs!$B$12*Inputs!$B$5*Inputs!$B$4^2/($A28^2*F$24^4*Inputs!$B$7^2)</f>
        <v/>
      </c>
      <c r="G28" s="16">
        <f>Inputs!$B$12*Inputs!$B$5*Inputs!$B$4^2/($A28^2*G$24^4*Inputs!$B$7^2)</f>
        <v/>
      </c>
      <c r="H28" s="16">
        <f>Inputs!$B$12*Inputs!$B$5*Inputs!$B$4^2/($A28^2*H$24^4*Inputs!$B$7^2)</f>
        <v/>
      </c>
      <c r="I28" s="16">
        <f>Inputs!$B$12*Inputs!$B$5*Inputs!$B$4^2/($A28^2*I$24^4*Inputs!$B$7^2)</f>
        <v/>
      </c>
    </row>
    <row r="29">
      <c r="A29" s="9" t="n">
        <v>36</v>
      </c>
      <c r="B29" s="16">
        <f>Inputs!$B$12*Inputs!$B$5*Inputs!$B$4^2/($A29^2*B$24^4*Inputs!$B$7^2)</f>
        <v/>
      </c>
      <c r="C29" s="16">
        <f>Inputs!$B$12*Inputs!$B$5*Inputs!$B$4^2/($A29^2*C$24^4*Inputs!$B$7^2)</f>
        <v/>
      </c>
      <c r="D29" s="16">
        <f>Inputs!$B$12*Inputs!$B$5*Inputs!$B$4^2/($A29^2*D$24^4*Inputs!$B$7^2)</f>
        <v/>
      </c>
      <c r="E29" s="16">
        <f>Inputs!$B$12*Inputs!$B$5*Inputs!$B$4^2/($A29^2*E$24^4*Inputs!$B$7^2)</f>
        <v/>
      </c>
      <c r="F29" s="16">
        <f>Inputs!$B$12*Inputs!$B$5*Inputs!$B$4^2/($A29^2*F$24^4*Inputs!$B$7^2)</f>
        <v/>
      </c>
      <c r="G29" s="16">
        <f>Inputs!$B$12*Inputs!$B$5*Inputs!$B$4^2/($A29^2*G$24^4*Inputs!$B$7^2)</f>
        <v/>
      </c>
      <c r="H29" s="16">
        <f>Inputs!$B$12*Inputs!$B$5*Inputs!$B$4^2/($A29^2*H$24^4*Inputs!$B$7^2)</f>
        <v/>
      </c>
      <c r="I29" s="16">
        <f>Inputs!$B$12*Inputs!$B$5*Inputs!$B$4^2/($A29^2*I$24^4*Inputs!$B$7^2)</f>
        <v/>
      </c>
    </row>
    <row r="30">
      <c r="A30" s="9" t="n">
        <v>42</v>
      </c>
      <c r="B30" s="16">
        <f>Inputs!$B$12*Inputs!$B$5*Inputs!$B$4^2/($A30^2*B$24^4*Inputs!$B$7^2)</f>
        <v/>
      </c>
      <c r="C30" s="16">
        <f>Inputs!$B$12*Inputs!$B$5*Inputs!$B$4^2/($A30^2*C$24^4*Inputs!$B$7^2)</f>
        <v/>
      </c>
      <c r="D30" s="16">
        <f>Inputs!$B$12*Inputs!$B$5*Inputs!$B$4^2/($A30^2*D$24^4*Inputs!$B$7^2)</f>
        <v/>
      </c>
      <c r="E30" s="16">
        <f>Inputs!$B$12*Inputs!$B$5*Inputs!$B$4^2/($A30^2*E$24^4*Inputs!$B$7^2)</f>
        <v/>
      </c>
      <c r="F30" s="16">
        <f>Inputs!$B$12*Inputs!$B$5*Inputs!$B$4^2/($A30^2*F$24^4*Inputs!$B$7^2)</f>
        <v/>
      </c>
      <c r="G30" s="16">
        <f>Inputs!$B$12*Inputs!$B$5*Inputs!$B$4^2/($A30^2*G$24^4*Inputs!$B$7^2)</f>
        <v/>
      </c>
      <c r="H30" s="16">
        <f>Inputs!$B$12*Inputs!$B$5*Inputs!$B$4^2/($A30^2*H$24^4*Inputs!$B$7^2)</f>
        <v/>
      </c>
      <c r="I30" s="16">
        <f>Inputs!$B$12*Inputs!$B$5*Inputs!$B$4^2/($A30^2*I$24^4*Inputs!$B$7^2)</f>
        <v/>
      </c>
    </row>
    <row r="31">
      <c r="A31" s="9" t="n">
        <v>48</v>
      </c>
      <c r="B31" s="16">
        <f>Inputs!$B$12*Inputs!$B$5*Inputs!$B$4^2/($A31^2*B$24^4*Inputs!$B$7^2)</f>
        <v/>
      </c>
      <c r="C31" s="16">
        <f>Inputs!$B$12*Inputs!$B$5*Inputs!$B$4^2/($A31^2*C$24^4*Inputs!$B$7^2)</f>
        <v/>
      </c>
      <c r="D31" s="16">
        <f>Inputs!$B$12*Inputs!$B$5*Inputs!$B$4^2/($A31^2*D$24^4*Inputs!$B$7^2)</f>
        <v/>
      </c>
      <c r="E31" s="16">
        <f>Inputs!$B$12*Inputs!$B$5*Inputs!$B$4^2/($A31^2*E$24^4*Inputs!$B$7^2)</f>
        <v/>
      </c>
      <c r="F31" s="16">
        <f>Inputs!$B$12*Inputs!$B$5*Inputs!$B$4^2/($A31^2*F$24^4*Inputs!$B$7^2)</f>
        <v/>
      </c>
      <c r="G31" s="16">
        <f>Inputs!$B$12*Inputs!$B$5*Inputs!$B$4^2/($A31^2*G$24^4*Inputs!$B$7^2)</f>
        <v/>
      </c>
      <c r="H31" s="16">
        <f>Inputs!$B$12*Inputs!$B$5*Inputs!$B$4^2/($A31^2*H$24^4*Inputs!$B$7^2)</f>
        <v/>
      </c>
      <c r="I31" s="16">
        <f>Inputs!$B$12*Inputs!$B$5*Inputs!$B$4^2/($A31^2*I$24^4*Inputs!$B$7^2)</f>
        <v/>
      </c>
    </row>
    <row r="32">
      <c r="A32" s="9" t="n">
        <v>54</v>
      </c>
      <c r="B32" s="16">
        <f>Inputs!$B$12*Inputs!$B$5*Inputs!$B$4^2/($A32^2*B$24^4*Inputs!$B$7^2)</f>
        <v/>
      </c>
      <c r="C32" s="16">
        <f>Inputs!$B$12*Inputs!$B$5*Inputs!$B$4^2/($A32^2*C$24^4*Inputs!$B$7^2)</f>
        <v/>
      </c>
      <c r="D32" s="16">
        <f>Inputs!$B$12*Inputs!$B$5*Inputs!$B$4^2/($A32^2*D$24^4*Inputs!$B$7^2)</f>
        <v/>
      </c>
      <c r="E32" s="16">
        <f>Inputs!$B$12*Inputs!$B$5*Inputs!$B$4^2/($A32^2*E$24^4*Inputs!$B$7^2)</f>
        <v/>
      </c>
      <c r="F32" s="16">
        <f>Inputs!$B$12*Inputs!$B$5*Inputs!$B$4^2/($A32^2*F$24^4*Inputs!$B$7^2)</f>
        <v/>
      </c>
      <c r="G32" s="16">
        <f>Inputs!$B$12*Inputs!$B$5*Inputs!$B$4^2/($A32^2*G$24^4*Inputs!$B$7^2)</f>
        <v/>
      </c>
      <c r="H32" s="16">
        <f>Inputs!$B$12*Inputs!$B$5*Inputs!$B$4^2/($A32^2*H$24^4*Inputs!$B$7^2)</f>
        <v/>
      </c>
      <c r="I32" s="16">
        <f>Inputs!$B$12*Inputs!$B$5*Inputs!$B$4^2/($A32^2*I$24^4*Inputs!$B$7^2)</f>
        <v/>
      </c>
    </row>
    <row r="33">
      <c r="A33" s="9" t="n">
        <v>60</v>
      </c>
      <c r="B33" s="16">
        <f>Inputs!$B$12*Inputs!$B$5*Inputs!$B$4^2/($A33^2*B$24^4*Inputs!$B$7^2)</f>
        <v/>
      </c>
      <c r="C33" s="16">
        <f>Inputs!$B$12*Inputs!$B$5*Inputs!$B$4^2/($A33^2*C$24^4*Inputs!$B$7^2)</f>
        <v/>
      </c>
      <c r="D33" s="16">
        <f>Inputs!$B$12*Inputs!$B$5*Inputs!$B$4^2/($A33^2*D$24^4*Inputs!$B$7^2)</f>
        <v/>
      </c>
      <c r="E33" s="16">
        <f>Inputs!$B$12*Inputs!$B$5*Inputs!$B$4^2/($A33^2*E$24^4*Inputs!$B$7^2)</f>
        <v/>
      </c>
      <c r="F33" s="16">
        <f>Inputs!$B$12*Inputs!$B$5*Inputs!$B$4^2/($A33^2*F$24^4*Inputs!$B$7^2)</f>
        <v/>
      </c>
      <c r="G33" s="16">
        <f>Inputs!$B$12*Inputs!$B$5*Inputs!$B$4^2/($A33^2*G$24^4*Inputs!$B$7^2)</f>
        <v/>
      </c>
      <c r="H33" s="16">
        <f>Inputs!$B$12*Inputs!$B$5*Inputs!$B$4^2/($A33^2*H$24^4*Inputs!$B$7^2)</f>
        <v/>
      </c>
      <c r="I33" s="16">
        <f>Inputs!$B$12*Inputs!$B$5*Inputs!$B$4^2/($A33^2*I$24^4*Inputs!$B$7^2)</f>
        <v/>
      </c>
    </row>
    <row r="34">
      <c r="A34" s="9" t="n">
        <v>66</v>
      </c>
      <c r="B34" s="16">
        <f>Inputs!$B$12*Inputs!$B$5*Inputs!$B$4^2/($A34^2*B$24^4*Inputs!$B$7^2)</f>
        <v/>
      </c>
      <c r="C34" s="16">
        <f>Inputs!$B$12*Inputs!$B$5*Inputs!$B$4^2/($A34^2*C$24^4*Inputs!$B$7^2)</f>
        <v/>
      </c>
      <c r="D34" s="16">
        <f>Inputs!$B$12*Inputs!$B$5*Inputs!$B$4^2/($A34^2*D$24^4*Inputs!$B$7^2)</f>
        <v/>
      </c>
      <c r="E34" s="16">
        <f>Inputs!$B$12*Inputs!$B$5*Inputs!$B$4^2/($A34^2*E$24^4*Inputs!$B$7^2)</f>
        <v/>
      </c>
      <c r="F34" s="16">
        <f>Inputs!$B$12*Inputs!$B$5*Inputs!$B$4^2/($A34^2*F$24^4*Inputs!$B$7^2)</f>
        <v/>
      </c>
      <c r="G34" s="16">
        <f>Inputs!$B$12*Inputs!$B$5*Inputs!$B$4^2/($A34^2*G$24^4*Inputs!$B$7^2)</f>
        <v/>
      </c>
      <c r="H34" s="16">
        <f>Inputs!$B$12*Inputs!$B$5*Inputs!$B$4^2/($A34^2*H$24^4*Inputs!$B$7^2)</f>
        <v/>
      </c>
      <c r="I34" s="16">
        <f>Inputs!$B$12*Inputs!$B$5*Inputs!$B$4^2/($A34^2*I$24^4*Inputs!$B$7^2)</f>
        <v/>
      </c>
    </row>
    <row r="35">
      <c r="A35" s="9" t="n">
        <v>72</v>
      </c>
      <c r="B35" s="16">
        <f>Inputs!$B$12*Inputs!$B$5*Inputs!$B$4^2/($A35^2*B$24^4*Inputs!$B$7^2)</f>
        <v/>
      </c>
      <c r="C35" s="16">
        <f>Inputs!$B$12*Inputs!$B$5*Inputs!$B$4^2/($A35^2*C$24^4*Inputs!$B$7^2)</f>
        <v/>
      </c>
      <c r="D35" s="16">
        <f>Inputs!$B$12*Inputs!$B$5*Inputs!$B$4^2/($A35^2*D$24^4*Inputs!$B$7^2)</f>
        <v/>
      </c>
      <c r="E35" s="16">
        <f>Inputs!$B$12*Inputs!$B$5*Inputs!$B$4^2/($A35^2*E$24^4*Inputs!$B$7^2)</f>
        <v/>
      </c>
      <c r="F35" s="16">
        <f>Inputs!$B$12*Inputs!$B$5*Inputs!$B$4^2/($A35^2*F$24^4*Inputs!$B$7^2)</f>
        <v/>
      </c>
      <c r="G35" s="16">
        <f>Inputs!$B$12*Inputs!$B$5*Inputs!$B$4^2/($A35^2*G$24^4*Inputs!$B$7^2)</f>
        <v/>
      </c>
      <c r="H35" s="16">
        <f>Inputs!$B$12*Inputs!$B$5*Inputs!$B$4^2/($A35^2*H$24^4*Inputs!$B$7^2)</f>
        <v/>
      </c>
      <c r="I35" s="16">
        <f>Inputs!$B$12*Inputs!$B$5*Inputs!$B$4^2/($A35^2*I$24^4*Inputs!$B$7^2)</f>
        <v/>
      </c>
    </row>
    <row r="37">
      <c r="A37" s="6" t="inlineStr">
        <is>
          <t>Rounded entry (Cd_max, no diameter growth)</t>
        </is>
      </c>
    </row>
    <row r="38">
      <c r="A38" s="17" t="inlineStr">
        <is>
          <t>Total shots \ d, mm</t>
        </is>
      </c>
      <c r="B38" s="14" t="n">
        <v>7.6</v>
      </c>
      <c r="C38" s="14" t="n">
        <v>8.4</v>
      </c>
      <c r="D38" s="14" t="n">
        <v>8.9</v>
      </c>
      <c r="E38" s="14" t="n">
        <v>9.5</v>
      </c>
      <c r="F38" s="14" t="n">
        <v>10.2</v>
      </c>
      <c r="G38" s="14" t="n">
        <v>10.9</v>
      </c>
      <c r="H38" s="14" t="n">
        <v>11.4</v>
      </c>
      <c r="I38" s="14" t="n">
        <v>12.7</v>
      </c>
    </row>
    <row r="39">
      <c r="A39" s="9" t="n">
        <v>12</v>
      </c>
      <c r="B39" s="16">
        <f>Inputs!$B$12*Inputs!$B$5*Inputs!$B$4^2/($A39^2*B$38^4*Inputs!$B$8^2)</f>
        <v/>
      </c>
      <c r="C39" s="16">
        <f>Inputs!$B$12*Inputs!$B$5*Inputs!$B$4^2/($A39^2*C$38^4*Inputs!$B$8^2)</f>
        <v/>
      </c>
      <c r="D39" s="16">
        <f>Inputs!$B$12*Inputs!$B$5*Inputs!$B$4^2/($A39^2*D$38^4*Inputs!$B$8^2)</f>
        <v/>
      </c>
      <c r="E39" s="16">
        <f>Inputs!$B$12*Inputs!$B$5*Inputs!$B$4^2/($A39^2*E$38^4*Inputs!$B$8^2)</f>
        <v/>
      </c>
      <c r="F39" s="16">
        <f>Inputs!$B$12*Inputs!$B$5*Inputs!$B$4^2/($A39^2*F$38^4*Inputs!$B$8^2)</f>
        <v/>
      </c>
      <c r="G39" s="16">
        <f>Inputs!$B$12*Inputs!$B$5*Inputs!$B$4^2/($A39^2*G$38^4*Inputs!$B$8^2)</f>
        <v/>
      </c>
      <c r="H39" s="16">
        <f>Inputs!$B$12*Inputs!$B$5*Inputs!$B$4^2/($A39^2*H$38^4*Inputs!$B$8^2)</f>
        <v/>
      </c>
      <c r="I39" s="16">
        <f>Inputs!$B$12*Inputs!$B$5*Inputs!$B$4^2/($A39^2*I$38^4*Inputs!$B$8^2)</f>
        <v/>
      </c>
    </row>
    <row r="40">
      <c r="A40" s="9" t="n">
        <v>18</v>
      </c>
      <c r="B40" s="16">
        <f>Inputs!$B$12*Inputs!$B$5*Inputs!$B$4^2/($A40^2*B$38^4*Inputs!$B$8^2)</f>
        <v/>
      </c>
      <c r="C40" s="16">
        <f>Inputs!$B$12*Inputs!$B$5*Inputs!$B$4^2/($A40^2*C$38^4*Inputs!$B$8^2)</f>
        <v/>
      </c>
      <c r="D40" s="16">
        <f>Inputs!$B$12*Inputs!$B$5*Inputs!$B$4^2/($A40^2*D$38^4*Inputs!$B$8^2)</f>
        <v/>
      </c>
      <c r="E40" s="16">
        <f>Inputs!$B$12*Inputs!$B$5*Inputs!$B$4^2/($A40^2*E$38^4*Inputs!$B$8^2)</f>
        <v/>
      </c>
      <c r="F40" s="16">
        <f>Inputs!$B$12*Inputs!$B$5*Inputs!$B$4^2/($A40^2*F$38^4*Inputs!$B$8^2)</f>
        <v/>
      </c>
      <c r="G40" s="16">
        <f>Inputs!$B$12*Inputs!$B$5*Inputs!$B$4^2/($A40^2*G$38^4*Inputs!$B$8^2)</f>
        <v/>
      </c>
      <c r="H40" s="16">
        <f>Inputs!$B$12*Inputs!$B$5*Inputs!$B$4^2/($A40^2*H$38^4*Inputs!$B$8^2)</f>
        <v/>
      </c>
      <c r="I40" s="16">
        <f>Inputs!$B$12*Inputs!$B$5*Inputs!$B$4^2/($A40^2*I$38^4*Inputs!$B$8^2)</f>
        <v/>
      </c>
    </row>
    <row r="41">
      <c r="A41" s="9" t="n">
        <v>24</v>
      </c>
      <c r="B41" s="16">
        <f>Inputs!$B$12*Inputs!$B$5*Inputs!$B$4^2/($A41^2*B$38^4*Inputs!$B$8^2)</f>
        <v/>
      </c>
      <c r="C41" s="16">
        <f>Inputs!$B$12*Inputs!$B$5*Inputs!$B$4^2/($A41^2*C$38^4*Inputs!$B$8^2)</f>
        <v/>
      </c>
      <c r="D41" s="16">
        <f>Inputs!$B$12*Inputs!$B$5*Inputs!$B$4^2/($A41^2*D$38^4*Inputs!$B$8^2)</f>
        <v/>
      </c>
      <c r="E41" s="16">
        <f>Inputs!$B$12*Inputs!$B$5*Inputs!$B$4^2/($A41^2*E$38^4*Inputs!$B$8^2)</f>
        <v/>
      </c>
      <c r="F41" s="16">
        <f>Inputs!$B$12*Inputs!$B$5*Inputs!$B$4^2/($A41^2*F$38^4*Inputs!$B$8^2)</f>
        <v/>
      </c>
      <c r="G41" s="16">
        <f>Inputs!$B$12*Inputs!$B$5*Inputs!$B$4^2/($A41^2*G$38^4*Inputs!$B$8^2)</f>
        <v/>
      </c>
      <c r="H41" s="16">
        <f>Inputs!$B$12*Inputs!$B$5*Inputs!$B$4^2/($A41^2*H$38^4*Inputs!$B$8^2)</f>
        <v/>
      </c>
      <c r="I41" s="16">
        <f>Inputs!$B$12*Inputs!$B$5*Inputs!$B$4^2/($A41^2*I$38^4*Inputs!$B$8^2)</f>
        <v/>
      </c>
    </row>
    <row r="42">
      <c r="A42" s="9" t="n">
        <v>30</v>
      </c>
      <c r="B42" s="16">
        <f>Inputs!$B$12*Inputs!$B$5*Inputs!$B$4^2/($A42^2*B$38^4*Inputs!$B$8^2)</f>
        <v/>
      </c>
      <c r="C42" s="16">
        <f>Inputs!$B$12*Inputs!$B$5*Inputs!$B$4^2/($A42^2*C$38^4*Inputs!$B$8^2)</f>
        <v/>
      </c>
      <c r="D42" s="16">
        <f>Inputs!$B$12*Inputs!$B$5*Inputs!$B$4^2/($A42^2*D$38^4*Inputs!$B$8^2)</f>
        <v/>
      </c>
      <c r="E42" s="16">
        <f>Inputs!$B$12*Inputs!$B$5*Inputs!$B$4^2/($A42^2*E$38^4*Inputs!$B$8^2)</f>
        <v/>
      </c>
      <c r="F42" s="16">
        <f>Inputs!$B$12*Inputs!$B$5*Inputs!$B$4^2/($A42^2*F$38^4*Inputs!$B$8^2)</f>
        <v/>
      </c>
      <c r="G42" s="16">
        <f>Inputs!$B$12*Inputs!$B$5*Inputs!$B$4^2/($A42^2*G$38^4*Inputs!$B$8^2)</f>
        <v/>
      </c>
      <c r="H42" s="16">
        <f>Inputs!$B$12*Inputs!$B$5*Inputs!$B$4^2/($A42^2*H$38^4*Inputs!$B$8^2)</f>
        <v/>
      </c>
      <c r="I42" s="16">
        <f>Inputs!$B$12*Inputs!$B$5*Inputs!$B$4^2/($A42^2*I$38^4*Inputs!$B$8^2)</f>
        <v/>
      </c>
    </row>
    <row r="43">
      <c r="A43" s="9" t="n">
        <v>36</v>
      </c>
      <c r="B43" s="16">
        <f>Inputs!$B$12*Inputs!$B$5*Inputs!$B$4^2/($A43^2*B$38^4*Inputs!$B$8^2)</f>
        <v/>
      </c>
      <c r="C43" s="16">
        <f>Inputs!$B$12*Inputs!$B$5*Inputs!$B$4^2/($A43^2*C$38^4*Inputs!$B$8^2)</f>
        <v/>
      </c>
      <c r="D43" s="16">
        <f>Inputs!$B$12*Inputs!$B$5*Inputs!$B$4^2/($A43^2*D$38^4*Inputs!$B$8^2)</f>
        <v/>
      </c>
      <c r="E43" s="16">
        <f>Inputs!$B$12*Inputs!$B$5*Inputs!$B$4^2/($A43^2*E$38^4*Inputs!$B$8^2)</f>
        <v/>
      </c>
      <c r="F43" s="16">
        <f>Inputs!$B$12*Inputs!$B$5*Inputs!$B$4^2/($A43^2*F$38^4*Inputs!$B$8^2)</f>
        <v/>
      </c>
      <c r="G43" s="16">
        <f>Inputs!$B$12*Inputs!$B$5*Inputs!$B$4^2/($A43^2*G$38^4*Inputs!$B$8^2)</f>
        <v/>
      </c>
      <c r="H43" s="16">
        <f>Inputs!$B$12*Inputs!$B$5*Inputs!$B$4^2/($A43^2*H$38^4*Inputs!$B$8^2)</f>
        <v/>
      </c>
      <c r="I43" s="16">
        <f>Inputs!$B$12*Inputs!$B$5*Inputs!$B$4^2/($A43^2*I$38^4*Inputs!$B$8^2)</f>
        <v/>
      </c>
    </row>
    <row r="44">
      <c r="A44" s="9" t="n">
        <v>42</v>
      </c>
      <c r="B44" s="16">
        <f>Inputs!$B$12*Inputs!$B$5*Inputs!$B$4^2/($A44^2*B$38^4*Inputs!$B$8^2)</f>
        <v/>
      </c>
      <c r="C44" s="16">
        <f>Inputs!$B$12*Inputs!$B$5*Inputs!$B$4^2/($A44^2*C$38^4*Inputs!$B$8^2)</f>
        <v/>
      </c>
      <c r="D44" s="16">
        <f>Inputs!$B$12*Inputs!$B$5*Inputs!$B$4^2/($A44^2*D$38^4*Inputs!$B$8^2)</f>
        <v/>
      </c>
      <c r="E44" s="16">
        <f>Inputs!$B$12*Inputs!$B$5*Inputs!$B$4^2/($A44^2*E$38^4*Inputs!$B$8^2)</f>
        <v/>
      </c>
      <c r="F44" s="16">
        <f>Inputs!$B$12*Inputs!$B$5*Inputs!$B$4^2/($A44^2*F$38^4*Inputs!$B$8^2)</f>
        <v/>
      </c>
      <c r="G44" s="16">
        <f>Inputs!$B$12*Inputs!$B$5*Inputs!$B$4^2/($A44^2*G$38^4*Inputs!$B$8^2)</f>
        <v/>
      </c>
      <c r="H44" s="16">
        <f>Inputs!$B$12*Inputs!$B$5*Inputs!$B$4^2/($A44^2*H$38^4*Inputs!$B$8^2)</f>
        <v/>
      </c>
      <c r="I44" s="16">
        <f>Inputs!$B$12*Inputs!$B$5*Inputs!$B$4^2/($A44^2*I$38^4*Inputs!$B$8^2)</f>
        <v/>
      </c>
    </row>
    <row r="45">
      <c r="A45" s="9" t="n">
        <v>48</v>
      </c>
      <c r="B45" s="16">
        <f>Inputs!$B$12*Inputs!$B$5*Inputs!$B$4^2/($A45^2*B$38^4*Inputs!$B$8^2)</f>
        <v/>
      </c>
      <c r="C45" s="16">
        <f>Inputs!$B$12*Inputs!$B$5*Inputs!$B$4^2/($A45^2*C$38^4*Inputs!$B$8^2)</f>
        <v/>
      </c>
      <c r="D45" s="16">
        <f>Inputs!$B$12*Inputs!$B$5*Inputs!$B$4^2/($A45^2*D$38^4*Inputs!$B$8^2)</f>
        <v/>
      </c>
      <c r="E45" s="16">
        <f>Inputs!$B$12*Inputs!$B$5*Inputs!$B$4^2/($A45^2*E$38^4*Inputs!$B$8^2)</f>
        <v/>
      </c>
      <c r="F45" s="16">
        <f>Inputs!$B$12*Inputs!$B$5*Inputs!$B$4^2/($A45^2*F$38^4*Inputs!$B$8^2)</f>
        <v/>
      </c>
      <c r="G45" s="16">
        <f>Inputs!$B$12*Inputs!$B$5*Inputs!$B$4^2/($A45^2*G$38^4*Inputs!$B$8^2)</f>
        <v/>
      </c>
      <c r="H45" s="16">
        <f>Inputs!$B$12*Inputs!$B$5*Inputs!$B$4^2/($A45^2*H$38^4*Inputs!$B$8^2)</f>
        <v/>
      </c>
      <c r="I45" s="16">
        <f>Inputs!$B$12*Inputs!$B$5*Inputs!$B$4^2/($A45^2*I$38^4*Inputs!$B$8^2)</f>
        <v/>
      </c>
    </row>
    <row r="46">
      <c r="A46" s="9" t="n">
        <v>54</v>
      </c>
      <c r="B46" s="16">
        <f>Inputs!$B$12*Inputs!$B$5*Inputs!$B$4^2/($A46^2*B$38^4*Inputs!$B$8^2)</f>
        <v/>
      </c>
      <c r="C46" s="16">
        <f>Inputs!$B$12*Inputs!$B$5*Inputs!$B$4^2/($A46^2*C$38^4*Inputs!$B$8^2)</f>
        <v/>
      </c>
      <c r="D46" s="16">
        <f>Inputs!$B$12*Inputs!$B$5*Inputs!$B$4^2/($A46^2*D$38^4*Inputs!$B$8^2)</f>
        <v/>
      </c>
      <c r="E46" s="16">
        <f>Inputs!$B$12*Inputs!$B$5*Inputs!$B$4^2/($A46^2*E$38^4*Inputs!$B$8^2)</f>
        <v/>
      </c>
      <c r="F46" s="16">
        <f>Inputs!$B$12*Inputs!$B$5*Inputs!$B$4^2/($A46^2*F$38^4*Inputs!$B$8^2)</f>
        <v/>
      </c>
      <c r="G46" s="16">
        <f>Inputs!$B$12*Inputs!$B$5*Inputs!$B$4^2/($A46^2*G$38^4*Inputs!$B$8^2)</f>
        <v/>
      </c>
      <c r="H46" s="16">
        <f>Inputs!$B$12*Inputs!$B$5*Inputs!$B$4^2/($A46^2*H$38^4*Inputs!$B$8^2)</f>
        <v/>
      </c>
      <c r="I46" s="16">
        <f>Inputs!$B$12*Inputs!$B$5*Inputs!$B$4^2/($A46^2*I$38^4*Inputs!$B$8^2)</f>
        <v/>
      </c>
    </row>
    <row r="47">
      <c r="A47" s="9" t="n">
        <v>60</v>
      </c>
      <c r="B47" s="16">
        <f>Inputs!$B$12*Inputs!$B$5*Inputs!$B$4^2/($A47^2*B$38^4*Inputs!$B$8^2)</f>
        <v/>
      </c>
      <c r="C47" s="16">
        <f>Inputs!$B$12*Inputs!$B$5*Inputs!$B$4^2/($A47^2*C$38^4*Inputs!$B$8^2)</f>
        <v/>
      </c>
      <c r="D47" s="16">
        <f>Inputs!$B$12*Inputs!$B$5*Inputs!$B$4^2/($A47^2*D$38^4*Inputs!$B$8^2)</f>
        <v/>
      </c>
      <c r="E47" s="16">
        <f>Inputs!$B$12*Inputs!$B$5*Inputs!$B$4^2/($A47^2*E$38^4*Inputs!$B$8^2)</f>
        <v/>
      </c>
      <c r="F47" s="16">
        <f>Inputs!$B$12*Inputs!$B$5*Inputs!$B$4^2/($A47^2*F$38^4*Inputs!$B$8^2)</f>
        <v/>
      </c>
      <c r="G47" s="16">
        <f>Inputs!$B$12*Inputs!$B$5*Inputs!$B$4^2/($A47^2*G$38^4*Inputs!$B$8^2)</f>
        <v/>
      </c>
      <c r="H47" s="16">
        <f>Inputs!$B$12*Inputs!$B$5*Inputs!$B$4^2/($A47^2*H$38^4*Inputs!$B$8^2)</f>
        <v/>
      </c>
      <c r="I47" s="16">
        <f>Inputs!$B$12*Inputs!$B$5*Inputs!$B$4^2/($A47^2*I$38^4*Inputs!$B$8^2)</f>
        <v/>
      </c>
    </row>
    <row r="48">
      <c r="A48" s="9" t="n">
        <v>66</v>
      </c>
      <c r="B48" s="16">
        <f>Inputs!$B$12*Inputs!$B$5*Inputs!$B$4^2/($A48^2*B$38^4*Inputs!$B$8^2)</f>
        <v/>
      </c>
      <c r="C48" s="16">
        <f>Inputs!$B$12*Inputs!$B$5*Inputs!$B$4^2/($A48^2*C$38^4*Inputs!$B$8^2)</f>
        <v/>
      </c>
      <c r="D48" s="16">
        <f>Inputs!$B$12*Inputs!$B$5*Inputs!$B$4^2/($A48^2*D$38^4*Inputs!$B$8^2)</f>
        <v/>
      </c>
      <c r="E48" s="16">
        <f>Inputs!$B$12*Inputs!$B$5*Inputs!$B$4^2/($A48^2*E$38^4*Inputs!$B$8^2)</f>
        <v/>
      </c>
      <c r="F48" s="16">
        <f>Inputs!$B$12*Inputs!$B$5*Inputs!$B$4^2/($A48^2*F$38^4*Inputs!$B$8^2)</f>
        <v/>
      </c>
      <c r="G48" s="16">
        <f>Inputs!$B$12*Inputs!$B$5*Inputs!$B$4^2/($A48^2*G$38^4*Inputs!$B$8^2)</f>
        <v/>
      </c>
      <c r="H48" s="16">
        <f>Inputs!$B$12*Inputs!$B$5*Inputs!$B$4^2/($A48^2*H$38^4*Inputs!$B$8^2)</f>
        <v/>
      </c>
      <c r="I48" s="16">
        <f>Inputs!$B$12*Inputs!$B$5*Inputs!$B$4^2/($A48^2*I$38^4*Inputs!$B$8^2)</f>
        <v/>
      </c>
    </row>
    <row r="49">
      <c r="A49" s="9" t="n">
        <v>72</v>
      </c>
      <c r="B49" s="16">
        <f>Inputs!$B$12*Inputs!$B$5*Inputs!$B$4^2/($A49^2*B$38^4*Inputs!$B$8^2)</f>
        <v/>
      </c>
      <c r="C49" s="16">
        <f>Inputs!$B$12*Inputs!$B$5*Inputs!$B$4^2/($A49^2*C$38^4*Inputs!$B$8^2)</f>
        <v/>
      </c>
      <c r="D49" s="16">
        <f>Inputs!$B$12*Inputs!$B$5*Inputs!$B$4^2/($A49^2*D$38^4*Inputs!$B$8^2)</f>
        <v/>
      </c>
      <c r="E49" s="16">
        <f>Inputs!$B$12*Inputs!$B$5*Inputs!$B$4^2/($A49^2*E$38^4*Inputs!$B$8^2)</f>
        <v/>
      </c>
      <c r="F49" s="16">
        <f>Inputs!$B$12*Inputs!$B$5*Inputs!$B$4^2/($A49^2*F$38^4*Inputs!$B$8^2)</f>
        <v/>
      </c>
      <c r="G49" s="16">
        <f>Inputs!$B$12*Inputs!$B$5*Inputs!$B$4^2/($A49^2*G$38^4*Inputs!$B$8^2)</f>
        <v/>
      </c>
      <c r="H49" s="16">
        <f>Inputs!$B$12*Inputs!$B$5*Inputs!$B$4^2/($A49^2*H$38^4*Inputs!$B$8^2)</f>
        <v/>
      </c>
      <c r="I49" s="16">
        <f>Inputs!$B$12*Inputs!$B$5*Inputs!$B$4^2/($A49^2*I$38^4*Inputs!$B$8^2)</f>
        <v/>
      </c>
    </row>
    <row r="52">
      <c r="A52" s="6" t="inlineStr">
        <is>
          <t>Required total shots for a target friction</t>
        </is>
      </c>
    </row>
    <row r="53">
      <c r="A53" s="7" t="inlineStr">
        <is>
          <t>Target ΔP_perf, MPa</t>
        </is>
      </c>
      <c r="B53" s="8" t="n">
        <v>10</v>
      </c>
    </row>
    <row r="54">
      <c r="A54" s="7" t="inlineStr">
        <is>
          <t>Entry hole d, mm</t>
        </is>
      </c>
      <c r="B54" s="8" t="n">
        <v>10.2</v>
      </c>
    </row>
    <row r="55">
      <c r="A55" s="7" t="inlineStr">
        <is>
          <t>Cd assumed</t>
        </is>
      </c>
      <c r="B55" s="8" t="n">
        <v>0.5600000000000001</v>
      </c>
    </row>
    <row r="56">
      <c r="A56" s="7" t="inlineStr">
        <is>
          <t>Required total shots (exact)</t>
        </is>
      </c>
      <c r="B56" s="27">
        <f>Inputs!B4/(B54^2*B55)*SQRT(Inputs!B12*Inputs!B5/B53)</f>
        <v/>
      </c>
    </row>
    <row r="57">
      <c r="A57" s="7" t="inlineStr">
        <is>
          <t>Shots per cluster (exact)</t>
        </is>
      </c>
      <c r="B57" s="29">
        <f>B56/Inputs!B18</f>
        <v/>
      </c>
    </row>
    <row r="58">
      <c r="A58" s="5" t="inlineStr">
        <is>
          <t>Same target held at END of stage: start target ≈ target / friction retained (Erosion!B47); iterate because retention depends on shots.</t>
        </is>
      </c>
    </row>
  </sheetData>
  <conditionalFormatting sqref="B25:I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I4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Cluster entry curves P_i(q) = σ_i + ΔP_perf(q) + ΔP_nwb(q)  — solver lookup tables, MPa</t>
        </is>
      </c>
    </row>
    <row r="2">
      <c r="A2" s="5" t="inlineStr">
        <is>
          <t>q grid spans 0…Q so any split can be represented. Inactive clusters return 0 and are skipped by the solver.</t>
        </is>
      </c>
    </row>
    <row r="4">
      <c r="A4" s="17" t="inlineStr">
        <is>
          <t>k</t>
        </is>
      </c>
      <c r="B4" s="17" t="inlineStr">
        <is>
          <t>q, m³/min</t>
        </is>
      </c>
      <c r="C4" s="17">
        <f>Inputs!A23</f>
        <v/>
      </c>
      <c r="D4" s="17">
        <f>Inputs!A24</f>
        <v/>
      </c>
      <c r="E4" s="17">
        <f>Inputs!A25</f>
        <v/>
      </c>
      <c r="F4" s="17">
        <f>Inputs!A26</f>
        <v/>
      </c>
      <c r="G4" s="17">
        <f>Inputs!A27</f>
        <v/>
      </c>
      <c r="H4" s="17">
        <f>Inputs!A28</f>
        <v/>
      </c>
      <c r="I4" s="17">
        <f>Inputs!A29</f>
        <v/>
      </c>
      <c r="J4" s="17">
        <f>Inputs!A30</f>
        <v/>
      </c>
      <c r="K4" s="17">
        <f>Inputs!A31</f>
        <v/>
      </c>
      <c r="L4" s="17">
        <f>Inputs!A32</f>
        <v/>
      </c>
      <c r="M4" s="17">
        <f>Inputs!A33</f>
        <v/>
      </c>
      <c r="N4" s="17">
        <f>Inputs!A34</f>
        <v/>
      </c>
    </row>
    <row r="5">
      <c r="A5" s="7" t="n">
        <v>0</v>
      </c>
      <c r="B5" s="37">
        <f>Inputs!$B$4*A5/200</f>
        <v/>
      </c>
      <c r="C5" s="11">
        <f>IF(Inputs!$D$23=0,0,Inputs!$C$23+Inputs!$B$12*Inputs!$B$5*$B5^2/(Inputs!$D$23^2*Inputs!$H$23^4*Inputs!$I$23^2)+Inputs!$G$23*$B5^Inputs!$B$11)</f>
        <v/>
      </c>
      <c r="D5" s="11">
        <f>IF(Inputs!$D$24=0,0,Inputs!$C$24+Inputs!$B$12*Inputs!$B$5*$B5^2/(Inputs!$D$24^2*Inputs!$H$24^4*Inputs!$I$24^2)+Inputs!$G$24*$B5^Inputs!$B$11)</f>
        <v/>
      </c>
      <c r="E5" s="11">
        <f>IF(Inputs!$D$25=0,0,Inputs!$C$25+Inputs!$B$12*Inputs!$B$5*$B5^2/(Inputs!$D$25^2*Inputs!$H$25^4*Inputs!$I$25^2)+Inputs!$G$25*$B5^Inputs!$B$11)</f>
        <v/>
      </c>
      <c r="F5" s="11">
        <f>IF(Inputs!$D$26=0,0,Inputs!$C$26+Inputs!$B$12*Inputs!$B$5*$B5^2/(Inputs!$D$26^2*Inputs!$H$26^4*Inputs!$I$26^2)+Inputs!$G$26*$B5^Inputs!$B$11)</f>
        <v/>
      </c>
      <c r="G5" s="11">
        <f>IF(Inputs!$D$27=0,0,Inputs!$C$27+Inputs!$B$12*Inputs!$B$5*$B5^2/(Inputs!$D$27^2*Inputs!$H$27^4*Inputs!$I$27^2)+Inputs!$G$27*$B5^Inputs!$B$11)</f>
        <v/>
      </c>
      <c r="H5" s="11">
        <f>IF(Inputs!$D$28=0,0,Inputs!$C$28+Inputs!$B$12*Inputs!$B$5*$B5^2/(Inputs!$D$28^2*Inputs!$H$28^4*Inputs!$I$28^2)+Inputs!$G$28*$B5^Inputs!$B$11)</f>
        <v/>
      </c>
      <c r="I5" s="11">
        <f>IF(Inputs!$D$29=0,0,Inputs!$C$29+Inputs!$B$12*Inputs!$B$5*$B5^2/(Inputs!$D$29^2*Inputs!$H$29^4*Inputs!$I$29^2)+Inputs!$G$29*$B5^Inputs!$B$11)</f>
        <v/>
      </c>
      <c r="J5" s="11">
        <f>IF(Inputs!$D$30=0,0,Inputs!$C$30+Inputs!$B$12*Inputs!$B$5*$B5^2/(Inputs!$D$30^2*Inputs!$H$30^4*Inputs!$I$30^2)+Inputs!$G$30*$B5^Inputs!$B$11)</f>
        <v/>
      </c>
      <c r="K5" s="11">
        <f>IF(Inputs!$D$31=0,0,Inputs!$C$31+Inputs!$B$12*Inputs!$B$5*$B5^2/(Inputs!$D$31^2*Inputs!$H$31^4*Inputs!$I$31^2)+Inputs!$G$31*$B5^Inputs!$B$11)</f>
        <v/>
      </c>
      <c r="L5" s="11">
        <f>IF(Inputs!$D$32=0,0,Inputs!$C$32+Inputs!$B$12*Inputs!$B$5*$B5^2/(Inputs!$D$32^2*Inputs!$H$32^4*Inputs!$I$32^2)+Inputs!$G$32*$B5^Inputs!$B$11)</f>
        <v/>
      </c>
      <c r="M5" s="11">
        <f>IF(Inputs!$D$33=0,0,Inputs!$C$33+Inputs!$B$12*Inputs!$B$5*$B5^2/(Inputs!$D$33^2*Inputs!$H$33^4*Inputs!$I$33^2)+Inputs!$G$33*$B5^Inputs!$B$11)</f>
        <v/>
      </c>
      <c r="N5" s="11">
        <f>IF(Inputs!$D$34=0,0,Inputs!$C$34+Inputs!$B$12*Inputs!$B$5*$B5^2/(Inputs!$D$34^2*Inputs!$H$34^4*Inputs!$I$34^2)+Inputs!$G$34*$B5^Inputs!$B$11)</f>
        <v/>
      </c>
    </row>
    <row r="6">
      <c r="A6" s="7" t="n">
        <v>1</v>
      </c>
      <c r="B6" s="37">
        <f>Inputs!$B$4*A6/200</f>
        <v/>
      </c>
      <c r="C6" s="11">
        <f>IF(Inputs!$D$23=0,0,Inputs!$C$23+Inputs!$B$12*Inputs!$B$5*$B6^2/(Inputs!$D$23^2*Inputs!$H$23^4*Inputs!$I$23^2)+Inputs!$G$23*$B6^Inputs!$B$11)</f>
        <v/>
      </c>
      <c r="D6" s="11">
        <f>IF(Inputs!$D$24=0,0,Inputs!$C$24+Inputs!$B$12*Inputs!$B$5*$B6^2/(Inputs!$D$24^2*Inputs!$H$24^4*Inputs!$I$24^2)+Inputs!$G$24*$B6^Inputs!$B$11)</f>
        <v/>
      </c>
      <c r="E6" s="11">
        <f>IF(Inputs!$D$25=0,0,Inputs!$C$25+Inputs!$B$12*Inputs!$B$5*$B6^2/(Inputs!$D$25^2*Inputs!$H$25^4*Inputs!$I$25^2)+Inputs!$G$25*$B6^Inputs!$B$11)</f>
        <v/>
      </c>
      <c r="F6" s="11">
        <f>IF(Inputs!$D$26=0,0,Inputs!$C$26+Inputs!$B$12*Inputs!$B$5*$B6^2/(Inputs!$D$26^2*Inputs!$H$26^4*Inputs!$I$26^2)+Inputs!$G$26*$B6^Inputs!$B$11)</f>
        <v/>
      </c>
      <c r="G6" s="11">
        <f>IF(Inputs!$D$27=0,0,Inputs!$C$27+Inputs!$B$12*Inputs!$B$5*$B6^2/(Inputs!$D$27^2*Inputs!$H$27^4*Inputs!$I$27^2)+Inputs!$G$27*$B6^Inputs!$B$11)</f>
        <v/>
      </c>
      <c r="H6" s="11">
        <f>IF(Inputs!$D$28=0,0,Inputs!$C$28+Inputs!$B$12*Inputs!$B$5*$B6^2/(Inputs!$D$28^2*Inputs!$H$28^4*Inputs!$I$28^2)+Inputs!$G$28*$B6^Inputs!$B$11)</f>
        <v/>
      </c>
      <c r="I6" s="11">
        <f>IF(Inputs!$D$29=0,0,Inputs!$C$29+Inputs!$B$12*Inputs!$B$5*$B6^2/(Inputs!$D$29^2*Inputs!$H$29^4*Inputs!$I$29^2)+Inputs!$G$29*$B6^Inputs!$B$11)</f>
        <v/>
      </c>
      <c r="J6" s="11">
        <f>IF(Inputs!$D$30=0,0,Inputs!$C$30+Inputs!$B$12*Inputs!$B$5*$B6^2/(Inputs!$D$30^2*Inputs!$H$30^4*Inputs!$I$30^2)+Inputs!$G$30*$B6^Inputs!$B$11)</f>
        <v/>
      </c>
      <c r="K6" s="11">
        <f>IF(Inputs!$D$31=0,0,Inputs!$C$31+Inputs!$B$12*Inputs!$B$5*$B6^2/(Inputs!$D$31^2*Inputs!$H$31^4*Inputs!$I$31^2)+Inputs!$G$31*$B6^Inputs!$B$11)</f>
        <v/>
      </c>
      <c r="L6" s="11">
        <f>IF(Inputs!$D$32=0,0,Inputs!$C$32+Inputs!$B$12*Inputs!$B$5*$B6^2/(Inputs!$D$32^2*Inputs!$H$32^4*Inputs!$I$32^2)+Inputs!$G$32*$B6^Inputs!$B$11)</f>
        <v/>
      </c>
      <c r="M6" s="11">
        <f>IF(Inputs!$D$33=0,0,Inputs!$C$33+Inputs!$B$12*Inputs!$B$5*$B6^2/(Inputs!$D$33^2*Inputs!$H$33^4*Inputs!$I$33^2)+Inputs!$G$33*$B6^Inputs!$B$11)</f>
        <v/>
      </c>
      <c r="N6" s="11">
        <f>IF(Inputs!$D$34=0,0,Inputs!$C$34+Inputs!$B$12*Inputs!$B$5*$B6^2/(Inputs!$D$34^2*Inputs!$H$34^4*Inputs!$I$34^2)+Inputs!$G$34*$B6^Inputs!$B$11)</f>
        <v/>
      </c>
    </row>
    <row r="7">
      <c r="A7" s="7" t="n">
        <v>2</v>
      </c>
      <c r="B7" s="37">
        <f>Inputs!$B$4*A7/200</f>
        <v/>
      </c>
      <c r="C7" s="11">
        <f>IF(Inputs!$D$23=0,0,Inputs!$C$23+Inputs!$B$12*Inputs!$B$5*$B7^2/(Inputs!$D$23^2*Inputs!$H$23^4*Inputs!$I$23^2)+Inputs!$G$23*$B7^Inputs!$B$11)</f>
        <v/>
      </c>
      <c r="D7" s="11">
        <f>IF(Inputs!$D$24=0,0,Inputs!$C$24+Inputs!$B$12*Inputs!$B$5*$B7^2/(Inputs!$D$24^2*Inputs!$H$24^4*Inputs!$I$24^2)+Inputs!$G$24*$B7^Inputs!$B$11)</f>
        <v/>
      </c>
      <c r="E7" s="11">
        <f>IF(Inputs!$D$25=0,0,Inputs!$C$25+Inputs!$B$12*Inputs!$B$5*$B7^2/(Inputs!$D$25^2*Inputs!$H$25^4*Inputs!$I$25^2)+Inputs!$G$25*$B7^Inputs!$B$11)</f>
        <v/>
      </c>
      <c r="F7" s="11">
        <f>IF(Inputs!$D$26=0,0,Inputs!$C$26+Inputs!$B$12*Inputs!$B$5*$B7^2/(Inputs!$D$26^2*Inputs!$H$26^4*Inputs!$I$26^2)+Inputs!$G$26*$B7^Inputs!$B$11)</f>
        <v/>
      </c>
      <c r="G7" s="11">
        <f>IF(Inputs!$D$27=0,0,Inputs!$C$27+Inputs!$B$12*Inputs!$B$5*$B7^2/(Inputs!$D$27^2*Inputs!$H$27^4*Inputs!$I$27^2)+Inputs!$G$27*$B7^Inputs!$B$11)</f>
        <v/>
      </c>
      <c r="H7" s="11">
        <f>IF(Inputs!$D$28=0,0,Inputs!$C$28+Inputs!$B$12*Inputs!$B$5*$B7^2/(Inputs!$D$28^2*Inputs!$H$28^4*Inputs!$I$28^2)+Inputs!$G$28*$B7^Inputs!$B$11)</f>
        <v/>
      </c>
      <c r="I7" s="11">
        <f>IF(Inputs!$D$29=0,0,Inputs!$C$29+Inputs!$B$12*Inputs!$B$5*$B7^2/(Inputs!$D$29^2*Inputs!$H$29^4*Inputs!$I$29^2)+Inputs!$G$29*$B7^Inputs!$B$11)</f>
        <v/>
      </c>
      <c r="J7" s="11">
        <f>IF(Inputs!$D$30=0,0,Inputs!$C$30+Inputs!$B$12*Inputs!$B$5*$B7^2/(Inputs!$D$30^2*Inputs!$H$30^4*Inputs!$I$30^2)+Inputs!$G$30*$B7^Inputs!$B$11)</f>
        <v/>
      </c>
      <c r="K7" s="11">
        <f>IF(Inputs!$D$31=0,0,Inputs!$C$31+Inputs!$B$12*Inputs!$B$5*$B7^2/(Inputs!$D$31^2*Inputs!$H$31^4*Inputs!$I$31^2)+Inputs!$G$31*$B7^Inputs!$B$11)</f>
        <v/>
      </c>
      <c r="L7" s="11">
        <f>IF(Inputs!$D$32=0,0,Inputs!$C$32+Inputs!$B$12*Inputs!$B$5*$B7^2/(Inputs!$D$32^2*Inputs!$H$32^4*Inputs!$I$32^2)+Inputs!$G$32*$B7^Inputs!$B$11)</f>
        <v/>
      </c>
      <c r="M7" s="11">
        <f>IF(Inputs!$D$33=0,0,Inputs!$C$33+Inputs!$B$12*Inputs!$B$5*$B7^2/(Inputs!$D$33^2*Inputs!$H$33^4*Inputs!$I$33^2)+Inputs!$G$33*$B7^Inputs!$B$11)</f>
        <v/>
      </c>
      <c r="N7" s="11">
        <f>IF(Inputs!$D$34=0,0,Inputs!$C$34+Inputs!$B$12*Inputs!$B$5*$B7^2/(Inputs!$D$34^2*Inputs!$H$34^4*Inputs!$I$34^2)+Inputs!$G$34*$B7^Inputs!$B$11)</f>
        <v/>
      </c>
    </row>
    <row r="8">
      <c r="A8" s="7" t="n">
        <v>3</v>
      </c>
      <c r="B8" s="37">
        <f>Inputs!$B$4*A8/200</f>
        <v/>
      </c>
      <c r="C8" s="11">
        <f>IF(Inputs!$D$23=0,0,Inputs!$C$23+Inputs!$B$12*Inputs!$B$5*$B8^2/(Inputs!$D$23^2*Inputs!$H$23^4*Inputs!$I$23^2)+Inputs!$G$23*$B8^Inputs!$B$11)</f>
        <v/>
      </c>
      <c r="D8" s="11">
        <f>IF(Inputs!$D$24=0,0,Inputs!$C$24+Inputs!$B$12*Inputs!$B$5*$B8^2/(Inputs!$D$24^2*Inputs!$H$24^4*Inputs!$I$24^2)+Inputs!$G$24*$B8^Inputs!$B$11)</f>
        <v/>
      </c>
      <c r="E8" s="11">
        <f>IF(Inputs!$D$25=0,0,Inputs!$C$25+Inputs!$B$12*Inputs!$B$5*$B8^2/(Inputs!$D$25^2*Inputs!$H$25^4*Inputs!$I$25^2)+Inputs!$G$25*$B8^Inputs!$B$11)</f>
        <v/>
      </c>
      <c r="F8" s="11">
        <f>IF(Inputs!$D$26=0,0,Inputs!$C$26+Inputs!$B$12*Inputs!$B$5*$B8^2/(Inputs!$D$26^2*Inputs!$H$26^4*Inputs!$I$26^2)+Inputs!$G$26*$B8^Inputs!$B$11)</f>
        <v/>
      </c>
      <c r="G8" s="11">
        <f>IF(Inputs!$D$27=0,0,Inputs!$C$27+Inputs!$B$12*Inputs!$B$5*$B8^2/(Inputs!$D$27^2*Inputs!$H$27^4*Inputs!$I$27^2)+Inputs!$G$27*$B8^Inputs!$B$11)</f>
        <v/>
      </c>
      <c r="H8" s="11">
        <f>IF(Inputs!$D$28=0,0,Inputs!$C$28+Inputs!$B$12*Inputs!$B$5*$B8^2/(Inputs!$D$28^2*Inputs!$H$28^4*Inputs!$I$28^2)+Inputs!$G$28*$B8^Inputs!$B$11)</f>
        <v/>
      </c>
      <c r="I8" s="11">
        <f>IF(Inputs!$D$29=0,0,Inputs!$C$29+Inputs!$B$12*Inputs!$B$5*$B8^2/(Inputs!$D$29^2*Inputs!$H$29^4*Inputs!$I$29^2)+Inputs!$G$29*$B8^Inputs!$B$11)</f>
        <v/>
      </c>
      <c r="J8" s="11">
        <f>IF(Inputs!$D$30=0,0,Inputs!$C$30+Inputs!$B$12*Inputs!$B$5*$B8^2/(Inputs!$D$30^2*Inputs!$H$30^4*Inputs!$I$30^2)+Inputs!$G$30*$B8^Inputs!$B$11)</f>
        <v/>
      </c>
      <c r="K8" s="11">
        <f>IF(Inputs!$D$31=0,0,Inputs!$C$31+Inputs!$B$12*Inputs!$B$5*$B8^2/(Inputs!$D$31^2*Inputs!$H$31^4*Inputs!$I$31^2)+Inputs!$G$31*$B8^Inputs!$B$11)</f>
        <v/>
      </c>
      <c r="L8" s="11">
        <f>IF(Inputs!$D$32=0,0,Inputs!$C$32+Inputs!$B$12*Inputs!$B$5*$B8^2/(Inputs!$D$32^2*Inputs!$H$32^4*Inputs!$I$32^2)+Inputs!$G$32*$B8^Inputs!$B$11)</f>
        <v/>
      </c>
      <c r="M8" s="11">
        <f>IF(Inputs!$D$33=0,0,Inputs!$C$33+Inputs!$B$12*Inputs!$B$5*$B8^2/(Inputs!$D$33^2*Inputs!$H$33^4*Inputs!$I$33^2)+Inputs!$G$33*$B8^Inputs!$B$11)</f>
        <v/>
      </c>
      <c r="N8" s="11">
        <f>IF(Inputs!$D$34=0,0,Inputs!$C$34+Inputs!$B$12*Inputs!$B$5*$B8^2/(Inputs!$D$34^2*Inputs!$H$34^4*Inputs!$I$34^2)+Inputs!$G$34*$B8^Inputs!$B$11)</f>
        <v/>
      </c>
    </row>
    <row r="9">
      <c r="A9" s="7" t="n">
        <v>4</v>
      </c>
      <c r="B9" s="37">
        <f>Inputs!$B$4*A9/200</f>
        <v/>
      </c>
      <c r="C9" s="11">
        <f>IF(Inputs!$D$23=0,0,Inputs!$C$23+Inputs!$B$12*Inputs!$B$5*$B9^2/(Inputs!$D$23^2*Inputs!$H$23^4*Inputs!$I$23^2)+Inputs!$G$23*$B9^Inputs!$B$11)</f>
        <v/>
      </c>
      <c r="D9" s="11">
        <f>IF(Inputs!$D$24=0,0,Inputs!$C$24+Inputs!$B$12*Inputs!$B$5*$B9^2/(Inputs!$D$24^2*Inputs!$H$24^4*Inputs!$I$24^2)+Inputs!$G$24*$B9^Inputs!$B$11)</f>
        <v/>
      </c>
      <c r="E9" s="11">
        <f>IF(Inputs!$D$25=0,0,Inputs!$C$25+Inputs!$B$12*Inputs!$B$5*$B9^2/(Inputs!$D$25^2*Inputs!$H$25^4*Inputs!$I$25^2)+Inputs!$G$25*$B9^Inputs!$B$11)</f>
        <v/>
      </c>
      <c r="F9" s="11">
        <f>IF(Inputs!$D$26=0,0,Inputs!$C$26+Inputs!$B$12*Inputs!$B$5*$B9^2/(Inputs!$D$26^2*Inputs!$H$26^4*Inputs!$I$26^2)+Inputs!$G$26*$B9^Inputs!$B$11)</f>
        <v/>
      </c>
      <c r="G9" s="11">
        <f>IF(Inputs!$D$27=0,0,Inputs!$C$27+Inputs!$B$12*Inputs!$B$5*$B9^2/(Inputs!$D$27^2*Inputs!$H$27^4*Inputs!$I$27^2)+Inputs!$G$27*$B9^Inputs!$B$11)</f>
        <v/>
      </c>
      <c r="H9" s="11">
        <f>IF(Inputs!$D$28=0,0,Inputs!$C$28+Inputs!$B$12*Inputs!$B$5*$B9^2/(Inputs!$D$28^2*Inputs!$H$28^4*Inputs!$I$28^2)+Inputs!$G$28*$B9^Inputs!$B$11)</f>
        <v/>
      </c>
      <c r="I9" s="11">
        <f>IF(Inputs!$D$29=0,0,Inputs!$C$29+Inputs!$B$12*Inputs!$B$5*$B9^2/(Inputs!$D$29^2*Inputs!$H$29^4*Inputs!$I$29^2)+Inputs!$G$29*$B9^Inputs!$B$11)</f>
        <v/>
      </c>
      <c r="J9" s="11">
        <f>IF(Inputs!$D$30=0,0,Inputs!$C$30+Inputs!$B$12*Inputs!$B$5*$B9^2/(Inputs!$D$30^2*Inputs!$H$30^4*Inputs!$I$30^2)+Inputs!$G$30*$B9^Inputs!$B$11)</f>
        <v/>
      </c>
      <c r="K9" s="11">
        <f>IF(Inputs!$D$31=0,0,Inputs!$C$31+Inputs!$B$12*Inputs!$B$5*$B9^2/(Inputs!$D$31^2*Inputs!$H$31^4*Inputs!$I$31^2)+Inputs!$G$31*$B9^Inputs!$B$11)</f>
        <v/>
      </c>
      <c r="L9" s="11">
        <f>IF(Inputs!$D$32=0,0,Inputs!$C$32+Inputs!$B$12*Inputs!$B$5*$B9^2/(Inputs!$D$32^2*Inputs!$H$32^4*Inputs!$I$32^2)+Inputs!$G$32*$B9^Inputs!$B$11)</f>
        <v/>
      </c>
      <c r="M9" s="11">
        <f>IF(Inputs!$D$33=0,0,Inputs!$C$33+Inputs!$B$12*Inputs!$B$5*$B9^2/(Inputs!$D$33^2*Inputs!$H$33^4*Inputs!$I$33^2)+Inputs!$G$33*$B9^Inputs!$B$11)</f>
        <v/>
      </c>
      <c r="N9" s="11">
        <f>IF(Inputs!$D$34=0,0,Inputs!$C$34+Inputs!$B$12*Inputs!$B$5*$B9^2/(Inputs!$D$34^2*Inputs!$H$34^4*Inputs!$I$34^2)+Inputs!$G$34*$B9^Inputs!$B$11)</f>
        <v/>
      </c>
    </row>
    <row r="10">
      <c r="A10" s="7" t="n">
        <v>5</v>
      </c>
      <c r="B10" s="37">
        <f>Inputs!$B$4*A10/200</f>
        <v/>
      </c>
      <c r="C10" s="11">
        <f>IF(Inputs!$D$23=0,0,Inputs!$C$23+Inputs!$B$12*Inputs!$B$5*$B10^2/(Inputs!$D$23^2*Inputs!$H$23^4*Inputs!$I$23^2)+Inputs!$G$23*$B10^Inputs!$B$11)</f>
        <v/>
      </c>
      <c r="D10" s="11">
        <f>IF(Inputs!$D$24=0,0,Inputs!$C$24+Inputs!$B$12*Inputs!$B$5*$B10^2/(Inputs!$D$24^2*Inputs!$H$24^4*Inputs!$I$24^2)+Inputs!$G$24*$B10^Inputs!$B$11)</f>
        <v/>
      </c>
      <c r="E10" s="11">
        <f>IF(Inputs!$D$25=0,0,Inputs!$C$25+Inputs!$B$12*Inputs!$B$5*$B10^2/(Inputs!$D$25^2*Inputs!$H$25^4*Inputs!$I$25^2)+Inputs!$G$25*$B10^Inputs!$B$11)</f>
        <v/>
      </c>
      <c r="F10" s="11">
        <f>IF(Inputs!$D$26=0,0,Inputs!$C$26+Inputs!$B$12*Inputs!$B$5*$B10^2/(Inputs!$D$26^2*Inputs!$H$26^4*Inputs!$I$26^2)+Inputs!$G$26*$B10^Inputs!$B$11)</f>
        <v/>
      </c>
      <c r="G10" s="11">
        <f>IF(Inputs!$D$27=0,0,Inputs!$C$27+Inputs!$B$12*Inputs!$B$5*$B10^2/(Inputs!$D$27^2*Inputs!$H$27^4*Inputs!$I$27^2)+Inputs!$G$27*$B10^Inputs!$B$11)</f>
        <v/>
      </c>
      <c r="H10" s="11">
        <f>IF(Inputs!$D$28=0,0,Inputs!$C$28+Inputs!$B$12*Inputs!$B$5*$B10^2/(Inputs!$D$28^2*Inputs!$H$28^4*Inputs!$I$28^2)+Inputs!$G$28*$B10^Inputs!$B$11)</f>
        <v/>
      </c>
      <c r="I10" s="11">
        <f>IF(Inputs!$D$29=0,0,Inputs!$C$29+Inputs!$B$12*Inputs!$B$5*$B10^2/(Inputs!$D$29^2*Inputs!$H$29^4*Inputs!$I$29^2)+Inputs!$G$29*$B10^Inputs!$B$11)</f>
        <v/>
      </c>
      <c r="J10" s="11">
        <f>IF(Inputs!$D$30=0,0,Inputs!$C$30+Inputs!$B$12*Inputs!$B$5*$B10^2/(Inputs!$D$30^2*Inputs!$H$30^4*Inputs!$I$30^2)+Inputs!$G$30*$B10^Inputs!$B$11)</f>
        <v/>
      </c>
      <c r="K10" s="11">
        <f>IF(Inputs!$D$31=0,0,Inputs!$C$31+Inputs!$B$12*Inputs!$B$5*$B10^2/(Inputs!$D$31^2*Inputs!$H$31^4*Inputs!$I$31^2)+Inputs!$G$31*$B10^Inputs!$B$11)</f>
        <v/>
      </c>
      <c r="L10" s="11">
        <f>IF(Inputs!$D$32=0,0,Inputs!$C$32+Inputs!$B$12*Inputs!$B$5*$B10^2/(Inputs!$D$32^2*Inputs!$H$32^4*Inputs!$I$32^2)+Inputs!$G$32*$B10^Inputs!$B$11)</f>
        <v/>
      </c>
      <c r="M10" s="11">
        <f>IF(Inputs!$D$33=0,0,Inputs!$C$33+Inputs!$B$12*Inputs!$B$5*$B10^2/(Inputs!$D$33^2*Inputs!$H$33^4*Inputs!$I$33^2)+Inputs!$G$33*$B10^Inputs!$B$11)</f>
        <v/>
      </c>
      <c r="N10" s="11">
        <f>IF(Inputs!$D$34=0,0,Inputs!$C$34+Inputs!$B$12*Inputs!$B$5*$B10^2/(Inputs!$D$34^2*Inputs!$H$34^4*Inputs!$I$34^2)+Inputs!$G$34*$B10^Inputs!$B$11)</f>
        <v/>
      </c>
    </row>
    <row r="11">
      <c r="A11" s="7" t="n">
        <v>6</v>
      </c>
      <c r="B11" s="37">
        <f>Inputs!$B$4*A11/200</f>
        <v/>
      </c>
      <c r="C11" s="11">
        <f>IF(Inputs!$D$23=0,0,Inputs!$C$23+Inputs!$B$12*Inputs!$B$5*$B11^2/(Inputs!$D$23^2*Inputs!$H$23^4*Inputs!$I$23^2)+Inputs!$G$23*$B11^Inputs!$B$11)</f>
        <v/>
      </c>
      <c r="D11" s="11">
        <f>IF(Inputs!$D$24=0,0,Inputs!$C$24+Inputs!$B$12*Inputs!$B$5*$B11^2/(Inputs!$D$24^2*Inputs!$H$24^4*Inputs!$I$24^2)+Inputs!$G$24*$B11^Inputs!$B$11)</f>
        <v/>
      </c>
      <c r="E11" s="11">
        <f>IF(Inputs!$D$25=0,0,Inputs!$C$25+Inputs!$B$12*Inputs!$B$5*$B11^2/(Inputs!$D$25^2*Inputs!$H$25^4*Inputs!$I$25^2)+Inputs!$G$25*$B11^Inputs!$B$11)</f>
        <v/>
      </c>
      <c r="F11" s="11">
        <f>IF(Inputs!$D$26=0,0,Inputs!$C$26+Inputs!$B$12*Inputs!$B$5*$B11^2/(Inputs!$D$26^2*Inputs!$H$26^4*Inputs!$I$26^2)+Inputs!$G$26*$B11^Inputs!$B$11)</f>
        <v/>
      </c>
      <c r="G11" s="11">
        <f>IF(Inputs!$D$27=0,0,Inputs!$C$27+Inputs!$B$12*Inputs!$B$5*$B11^2/(Inputs!$D$27^2*Inputs!$H$27^4*Inputs!$I$27^2)+Inputs!$G$27*$B11^Inputs!$B$11)</f>
        <v/>
      </c>
      <c r="H11" s="11">
        <f>IF(Inputs!$D$28=0,0,Inputs!$C$28+Inputs!$B$12*Inputs!$B$5*$B11^2/(Inputs!$D$28^2*Inputs!$H$28^4*Inputs!$I$28^2)+Inputs!$G$28*$B11^Inputs!$B$11)</f>
        <v/>
      </c>
      <c r="I11" s="11">
        <f>IF(Inputs!$D$29=0,0,Inputs!$C$29+Inputs!$B$12*Inputs!$B$5*$B11^2/(Inputs!$D$29^2*Inputs!$H$29^4*Inputs!$I$29^2)+Inputs!$G$29*$B11^Inputs!$B$11)</f>
        <v/>
      </c>
      <c r="J11" s="11">
        <f>IF(Inputs!$D$30=0,0,Inputs!$C$30+Inputs!$B$12*Inputs!$B$5*$B11^2/(Inputs!$D$30^2*Inputs!$H$30^4*Inputs!$I$30^2)+Inputs!$G$30*$B11^Inputs!$B$11)</f>
        <v/>
      </c>
      <c r="K11" s="11">
        <f>IF(Inputs!$D$31=0,0,Inputs!$C$31+Inputs!$B$12*Inputs!$B$5*$B11^2/(Inputs!$D$31^2*Inputs!$H$31^4*Inputs!$I$31^2)+Inputs!$G$31*$B11^Inputs!$B$11)</f>
        <v/>
      </c>
      <c r="L11" s="11">
        <f>IF(Inputs!$D$32=0,0,Inputs!$C$32+Inputs!$B$12*Inputs!$B$5*$B11^2/(Inputs!$D$32^2*Inputs!$H$32^4*Inputs!$I$32^2)+Inputs!$G$32*$B11^Inputs!$B$11)</f>
        <v/>
      </c>
      <c r="M11" s="11">
        <f>IF(Inputs!$D$33=0,0,Inputs!$C$33+Inputs!$B$12*Inputs!$B$5*$B11^2/(Inputs!$D$33^2*Inputs!$H$33^4*Inputs!$I$33^2)+Inputs!$G$33*$B11^Inputs!$B$11)</f>
        <v/>
      </c>
      <c r="N11" s="11">
        <f>IF(Inputs!$D$34=0,0,Inputs!$C$34+Inputs!$B$12*Inputs!$B$5*$B11^2/(Inputs!$D$34^2*Inputs!$H$34^4*Inputs!$I$34^2)+Inputs!$G$34*$B11^Inputs!$B$11)</f>
        <v/>
      </c>
    </row>
    <row r="12">
      <c r="A12" s="7" t="n">
        <v>7</v>
      </c>
      <c r="B12" s="37">
        <f>Inputs!$B$4*A12/200</f>
        <v/>
      </c>
      <c r="C12" s="11">
        <f>IF(Inputs!$D$23=0,0,Inputs!$C$23+Inputs!$B$12*Inputs!$B$5*$B12^2/(Inputs!$D$23^2*Inputs!$H$23^4*Inputs!$I$23^2)+Inputs!$G$23*$B12^Inputs!$B$11)</f>
        <v/>
      </c>
      <c r="D12" s="11">
        <f>IF(Inputs!$D$24=0,0,Inputs!$C$24+Inputs!$B$12*Inputs!$B$5*$B12^2/(Inputs!$D$24^2*Inputs!$H$24^4*Inputs!$I$24^2)+Inputs!$G$24*$B12^Inputs!$B$11)</f>
        <v/>
      </c>
      <c r="E12" s="11">
        <f>IF(Inputs!$D$25=0,0,Inputs!$C$25+Inputs!$B$12*Inputs!$B$5*$B12^2/(Inputs!$D$25^2*Inputs!$H$25^4*Inputs!$I$25^2)+Inputs!$G$25*$B12^Inputs!$B$11)</f>
        <v/>
      </c>
      <c r="F12" s="11">
        <f>IF(Inputs!$D$26=0,0,Inputs!$C$26+Inputs!$B$12*Inputs!$B$5*$B12^2/(Inputs!$D$26^2*Inputs!$H$26^4*Inputs!$I$26^2)+Inputs!$G$26*$B12^Inputs!$B$11)</f>
        <v/>
      </c>
      <c r="G12" s="11">
        <f>IF(Inputs!$D$27=0,0,Inputs!$C$27+Inputs!$B$12*Inputs!$B$5*$B12^2/(Inputs!$D$27^2*Inputs!$H$27^4*Inputs!$I$27^2)+Inputs!$G$27*$B12^Inputs!$B$11)</f>
        <v/>
      </c>
      <c r="H12" s="11">
        <f>IF(Inputs!$D$28=0,0,Inputs!$C$28+Inputs!$B$12*Inputs!$B$5*$B12^2/(Inputs!$D$28^2*Inputs!$H$28^4*Inputs!$I$28^2)+Inputs!$G$28*$B12^Inputs!$B$11)</f>
        <v/>
      </c>
      <c r="I12" s="11">
        <f>IF(Inputs!$D$29=0,0,Inputs!$C$29+Inputs!$B$12*Inputs!$B$5*$B12^2/(Inputs!$D$29^2*Inputs!$H$29^4*Inputs!$I$29^2)+Inputs!$G$29*$B12^Inputs!$B$11)</f>
        <v/>
      </c>
      <c r="J12" s="11">
        <f>IF(Inputs!$D$30=0,0,Inputs!$C$30+Inputs!$B$12*Inputs!$B$5*$B12^2/(Inputs!$D$30^2*Inputs!$H$30^4*Inputs!$I$30^2)+Inputs!$G$30*$B12^Inputs!$B$11)</f>
        <v/>
      </c>
      <c r="K12" s="11">
        <f>IF(Inputs!$D$31=0,0,Inputs!$C$31+Inputs!$B$12*Inputs!$B$5*$B12^2/(Inputs!$D$31^2*Inputs!$H$31^4*Inputs!$I$31^2)+Inputs!$G$31*$B12^Inputs!$B$11)</f>
        <v/>
      </c>
      <c r="L12" s="11">
        <f>IF(Inputs!$D$32=0,0,Inputs!$C$32+Inputs!$B$12*Inputs!$B$5*$B12^2/(Inputs!$D$32^2*Inputs!$H$32^4*Inputs!$I$32^2)+Inputs!$G$32*$B12^Inputs!$B$11)</f>
        <v/>
      </c>
      <c r="M12" s="11">
        <f>IF(Inputs!$D$33=0,0,Inputs!$C$33+Inputs!$B$12*Inputs!$B$5*$B12^2/(Inputs!$D$33^2*Inputs!$H$33^4*Inputs!$I$33^2)+Inputs!$G$33*$B12^Inputs!$B$11)</f>
        <v/>
      </c>
      <c r="N12" s="11">
        <f>IF(Inputs!$D$34=0,0,Inputs!$C$34+Inputs!$B$12*Inputs!$B$5*$B12^2/(Inputs!$D$34^2*Inputs!$H$34^4*Inputs!$I$34^2)+Inputs!$G$34*$B12^Inputs!$B$11)</f>
        <v/>
      </c>
    </row>
    <row r="13">
      <c r="A13" s="7" t="n">
        <v>8</v>
      </c>
      <c r="B13" s="37">
        <f>Inputs!$B$4*A13/200</f>
        <v/>
      </c>
      <c r="C13" s="11">
        <f>IF(Inputs!$D$23=0,0,Inputs!$C$23+Inputs!$B$12*Inputs!$B$5*$B13^2/(Inputs!$D$23^2*Inputs!$H$23^4*Inputs!$I$23^2)+Inputs!$G$23*$B13^Inputs!$B$11)</f>
        <v/>
      </c>
      <c r="D13" s="11">
        <f>IF(Inputs!$D$24=0,0,Inputs!$C$24+Inputs!$B$12*Inputs!$B$5*$B13^2/(Inputs!$D$24^2*Inputs!$H$24^4*Inputs!$I$24^2)+Inputs!$G$24*$B13^Inputs!$B$11)</f>
        <v/>
      </c>
      <c r="E13" s="11">
        <f>IF(Inputs!$D$25=0,0,Inputs!$C$25+Inputs!$B$12*Inputs!$B$5*$B13^2/(Inputs!$D$25^2*Inputs!$H$25^4*Inputs!$I$25^2)+Inputs!$G$25*$B13^Inputs!$B$11)</f>
        <v/>
      </c>
      <c r="F13" s="11">
        <f>IF(Inputs!$D$26=0,0,Inputs!$C$26+Inputs!$B$12*Inputs!$B$5*$B13^2/(Inputs!$D$26^2*Inputs!$H$26^4*Inputs!$I$26^2)+Inputs!$G$26*$B13^Inputs!$B$11)</f>
        <v/>
      </c>
      <c r="G13" s="11">
        <f>IF(Inputs!$D$27=0,0,Inputs!$C$27+Inputs!$B$12*Inputs!$B$5*$B13^2/(Inputs!$D$27^2*Inputs!$H$27^4*Inputs!$I$27^2)+Inputs!$G$27*$B13^Inputs!$B$11)</f>
        <v/>
      </c>
      <c r="H13" s="11">
        <f>IF(Inputs!$D$28=0,0,Inputs!$C$28+Inputs!$B$12*Inputs!$B$5*$B13^2/(Inputs!$D$28^2*Inputs!$H$28^4*Inputs!$I$28^2)+Inputs!$G$28*$B13^Inputs!$B$11)</f>
        <v/>
      </c>
      <c r="I13" s="11">
        <f>IF(Inputs!$D$29=0,0,Inputs!$C$29+Inputs!$B$12*Inputs!$B$5*$B13^2/(Inputs!$D$29^2*Inputs!$H$29^4*Inputs!$I$29^2)+Inputs!$G$29*$B13^Inputs!$B$11)</f>
        <v/>
      </c>
      <c r="J13" s="11">
        <f>IF(Inputs!$D$30=0,0,Inputs!$C$30+Inputs!$B$12*Inputs!$B$5*$B13^2/(Inputs!$D$30^2*Inputs!$H$30^4*Inputs!$I$30^2)+Inputs!$G$30*$B13^Inputs!$B$11)</f>
        <v/>
      </c>
      <c r="K13" s="11">
        <f>IF(Inputs!$D$31=0,0,Inputs!$C$31+Inputs!$B$12*Inputs!$B$5*$B13^2/(Inputs!$D$31^2*Inputs!$H$31^4*Inputs!$I$31^2)+Inputs!$G$31*$B13^Inputs!$B$11)</f>
        <v/>
      </c>
      <c r="L13" s="11">
        <f>IF(Inputs!$D$32=0,0,Inputs!$C$32+Inputs!$B$12*Inputs!$B$5*$B13^2/(Inputs!$D$32^2*Inputs!$H$32^4*Inputs!$I$32^2)+Inputs!$G$32*$B13^Inputs!$B$11)</f>
        <v/>
      </c>
      <c r="M13" s="11">
        <f>IF(Inputs!$D$33=0,0,Inputs!$C$33+Inputs!$B$12*Inputs!$B$5*$B13^2/(Inputs!$D$33^2*Inputs!$H$33^4*Inputs!$I$33^2)+Inputs!$G$33*$B13^Inputs!$B$11)</f>
        <v/>
      </c>
      <c r="N13" s="11">
        <f>IF(Inputs!$D$34=0,0,Inputs!$C$34+Inputs!$B$12*Inputs!$B$5*$B13^2/(Inputs!$D$34^2*Inputs!$H$34^4*Inputs!$I$34^2)+Inputs!$G$34*$B13^Inputs!$B$11)</f>
        <v/>
      </c>
    </row>
    <row r="14">
      <c r="A14" s="7" t="n">
        <v>9</v>
      </c>
      <c r="B14" s="37">
        <f>Inputs!$B$4*A14/200</f>
        <v/>
      </c>
      <c r="C14" s="11">
        <f>IF(Inputs!$D$23=0,0,Inputs!$C$23+Inputs!$B$12*Inputs!$B$5*$B14^2/(Inputs!$D$23^2*Inputs!$H$23^4*Inputs!$I$23^2)+Inputs!$G$23*$B14^Inputs!$B$11)</f>
        <v/>
      </c>
      <c r="D14" s="11">
        <f>IF(Inputs!$D$24=0,0,Inputs!$C$24+Inputs!$B$12*Inputs!$B$5*$B14^2/(Inputs!$D$24^2*Inputs!$H$24^4*Inputs!$I$24^2)+Inputs!$G$24*$B14^Inputs!$B$11)</f>
        <v/>
      </c>
      <c r="E14" s="11">
        <f>IF(Inputs!$D$25=0,0,Inputs!$C$25+Inputs!$B$12*Inputs!$B$5*$B14^2/(Inputs!$D$25^2*Inputs!$H$25^4*Inputs!$I$25^2)+Inputs!$G$25*$B14^Inputs!$B$11)</f>
        <v/>
      </c>
      <c r="F14" s="11">
        <f>IF(Inputs!$D$26=0,0,Inputs!$C$26+Inputs!$B$12*Inputs!$B$5*$B14^2/(Inputs!$D$26^2*Inputs!$H$26^4*Inputs!$I$26^2)+Inputs!$G$26*$B14^Inputs!$B$11)</f>
        <v/>
      </c>
      <c r="G14" s="11">
        <f>IF(Inputs!$D$27=0,0,Inputs!$C$27+Inputs!$B$12*Inputs!$B$5*$B14^2/(Inputs!$D$27^2*Inputs!$H$27^4*Inputs!$I$27^2)+Inputs!$G$27*$B14^Inputs!$B$11)</f>
        <v/>
      </c>
      <c r="H14" s="11">
        <f>IF(Inputs!$D$28=0,0,Inputs!$C$28+Inputs!$B$12*Inputs!$B$5*$B14^2/(Inputs!$D$28^2*Inputs!$H$28^4*Inputs!$I$28^2)+Inputs!$G$28*$B14^Inputs!$B$11)</f>
        <v/>
      </c>
      <c r="I14" s="11">
        <f>IF(Inputs!$D$29=0,0,Inputs!$C$29+Inputs!$B$12*Inputs!$B$5*$B14^2/(Inputs!$D$29^2*Inputs!$H$29^4*Inputs!$I$29^2)+Inputs!$G$29*$B14^Inputs!$B$11)</f>
        <v/>
      </c>
      <c r="J14" s="11">
        <f>IF(Inputs!$D$30=0,0,Inputs!$C$30+Inputs!$B$12*Inputs!$B$5*$B14^2/(Inputs!$D$30^2*Inputs!$H$30^4*Inputs!$I$30^2)+Inputs!$G$30*$B14^Inputs!$B$11)</f>
        <v/>
      </c>
      <c r="K14" s="11">
        <f>IF(Inputs!$D$31=0,0,Inputs!$C$31+Inputs!$B$12*Inputs!$B$5*$B14^2/(Inputs!$D$31^2*Inputs!$H$31^4*Inputs!$I$31^2)+Inputs!$G$31*$B14^Inputs!$B$11)</f>
        <v/>
      </c>
      <c r="L14" s="11">
        <f>IF(Inputs!$D$32=0,0,Inputs!$C$32+Inputs!$B$12*Inputs!$B$5*$B14^2/(Inputs!$D$32^2*Inputs!$H$32^4*Inputs!$I$32^2)+Inputs!$G$32*$B14^Inputs!$B$11)</f>
        <v/>
      </c>
      <c r="M14" s="11">
        <f>IF(Inputs!$D$33=0,0,Inputs!$C$33+Inputs!$B$12*Inputs!$B$5*$B14^2/(Inputs!$D$33^2*Inputs!$H$33^4*Inputs!$I$33^2)+Inputs!$G$33*$B14^Inputs!$B$11)</f>
        <v/>
      </c>
      <c r="N14" s="11">
        <f>IF(Inputs!$D$34=0,0,Inputs!$C$34+Inputs!$B$12*Inputs!$B$5*$B14^2/(Inputs!$D$34^2*Inputs!$H$34^4*Inputs!$I$34^2)+Inputs!$G$34*$B14^Inputs!$B$11)</f>
        <v/>
      </c>
    </row>
    <row r="15">
      <c r="A15" s="7" t="n">
        <v>10</v>
      </c>
      <c r="B15" s="37">
        <f>Inputs!$B$4*A15/200</f>
        <v/>
      </c>
      <c r="C15" s="11">
        <f>IF(Inputs!$D$23=0,0,Inputs!$C$23+Inputs!$B$12*Inputs!$B$5*$B15^2/(Inputs!$D$23^2*Inputs!$H$23^4*Inputs!$I$23^2)+Inputs!$G$23*$B15^Inputs!$B$11)</f>
        <v/>
      </c>
      <c r="D15" s="11">
        <f>IF(Inputs!$D$24=0,0,Inputs!$C$24+Inputs!$B$12*Inputs!$B$5*$B15^2/(Inputs!$D$24^2*Inputs!$H$24^4*Inputs!$I$24^2)+Inputs!$G$24*$B15^Inputs!$B$11)</f>
        <v/>
      </c>
      <c r="E15" s="11">
        <f>IF(Inputs!$D$25=0,0,Inputs!$C$25+Inputs!$B$12*Inputs!$B$5*$B15^2/(Inputs!$D$25^2*Inputs!$H$25^4*Inputs!$I$25^2)+Inputs!$G$25*$B15^Inputs!$B$11)</f>
        <v/>
      </c>
      <c r="F15" s="11">
        <f>IF(Inputs!$D$26=0,0,Inputs!$C$26+Inputs!$B$12*Inputs!$B$5*$B15^2/(Inputs!$D$26^2*Inputs!$H$26^4*Inputs!$I$26^2)+Inputs!$G$26*$B15^Inputs!$B$11)</f>
        <v/>
      </c>
      <c r="G15" s="11">
        <f>IF(Inputs!$D$27=0,0,Inputs!$C$27+Inputs!$B$12*Inputs!$B$5*$B15^2/(Inputs!$D$27^2*Inputs!$H$27^4*Inputs!$I$27^2)+Inputs!$G$27*$B15^Inputs!$B$11)</f>
        <v/>
      </c>
      <c r="H15" s="11">
        <f>IF(Inputs!$D$28=0,0,Inputs!$C$28+Inputs!$B$12*Inputs!$B$5*$B15^2/(Inputs!$D$28^2*Inputs!$H$28^4*Inputs!$I$28^2)+Inputs!$G$28*$B15^Inputs!$B$11)</f>
        <v/>
      </c>
      <c r="I15" s="11">
        <f>IF(Inputs!$D$29=0,0,Inputs!$C$29+Inputs!$B$12*Inputs!$B$5*$B15^2/(Inputs!$D$29^2*Inputs!$H$29^4*Inputs!$I$29^2)+Inputs!$G$29*$B15^Inputs!$B$11)</f>
        <v/>
      </c>
      <c r="J15" s="11">
        <f>IF(Inputs!$D$30=0,0,Inputs!$C$30+Inputs!$B$12*Inputs!$B$5*$B15^2/(Inputs!$D$30^2*Inputs!$H$30^4*Inputs!$I$30^2)+Inputs!$G$30*$B15^Inputs!$B$11)</f>
        <v/>
      </c>
      <c r="K15" s="11">
        <f>IF(Inputs!$D$31=0,0,Inputs!$C$31+Inputs!$B$12*Inputs!$B$5*$B15^2/(Inputs!$D$31^2*Inputs!$H$31^4*Inputs!$I$31^2)+Inputs!$G$31*$B15^Inputs!$B$11)</f>
        <v/>
      </c>
      <c r="L15" s="11">
        <f>IF(Inputs!$D$32=0,0,Inputs!$C$32+Inputs!$B$12*Inputs!$B$5*$B15^2/(Inputs!$D$32^2*Inputs!$H$32^4*Inputs!$I$32^2)+Inputs!$G$32*$B15^Inputs!$B$11)</f>
        <v/>
      </c>
      <c r="M15" s="11">
        <f>IF(Inputs!$D$33=0,0,Inputs!$C$33+Inputs!$B$12*Inputs!$B$5*$B15^2/(Inputs!$D$33^2*Inputs!$H$33^4*Inputs!$I$33^2)+Inputs!$G$33*$B15^Inputs!$B$11)</f>
        <v/>
      </c>
      <c r="N15" s="11">
        <f>IF(Inputs!$D$34=0,0,Inputs!$C$34+Inputs!$B$12*Inputs!$B$5*$B15^2/(Inputs!$D$34^2*Inputs!$H$34^4*Inputs!$I$34^2)+Inputs!$G$34*$B15^Inputs!$B$11)</f>
        <v/>
      </c>
    </row>
    <row r="16">
      <c r="A16" s="7" t="n">
        <v>11</v>
      </c>
      <c r="B16" s="37">
        <f>Inputs!$B$4*A16/200</f>
        <v/>
      </c>
      <c r="C16" s="11">
        <f>IF(Inputs!$D$23=0,0,Inputs!$C$23+Inputs!$B$12*Inputs!$B$5*$B16^2/(Inputs!$D$23^2*Inputs!$H$23^4*Inputs!$I$23^2)+Inputs!$G$23*$B16^Inputs!$B$11)</f>
        <v/>
      </c>
      <c r="D16" s="11">
        <f>IF(Inputs!$D$24=0,0,Inputs!$C$24+Inputs!$B$12*Inputs!$B$5*$B16^2/(Inputs!$D$24^2*Inputs!$H$24^4*Inputs!$I$24^2)+Inputs!$G$24*$B16^Inputs!$B$11)</f>
        <v/>
      </c>
      <c r="E16" s="11">
        <f>IF(Inputs!$D$25=0,0,Inputs!$C$25+Inputs!$B$12*Inputs!$B$5*$B16^2/(Inputs!$D$25^2*Inputs!$H$25^4*Inputs!$I$25^2)+Inputs!$G$25*$B16^Inputs!$B$11)</f>
        <v/>
      </c>
      <c r="F16" s="11">
        <f>IF(Inputs!$D$26=0,0,Inputs!$C$26+Inputs!$B$12*Inputs!$B$5*$B16^2/(Inputs!$D$26^2*Inputs!$H$26^4*Inputs!$I$26^2)+Inputs!$G$26*$B16^Inputs!$B$11)</f>
        <v/>
      </c>
      <c r="G16" s="11">
        <f>IF(Inputs!$D$27=0,0,Inputs!$C$27+Inputs!$B$12*Inputs!$B$5*$B16^2/(Inputs!$D$27^2*Inputs!$H$27^4*Inputs!$I$27^2)+Inputs!$G$27*$B16^Inputs!$B$11)</f>
        <v/>
      </c>
      <c r="H16" s="11">
        <f>IF(Inputs!$D$28=0,0,Inputs!$C$28+Inputs!$B$12*Inputs!$B$5*$B16^2/(Inputs!$D$28^2*Inputs!$H$28^4*Inputs!$I$28^2)+Inputs!$G$28*$B16^Inputs!$B$11)</f>
        <v/>
      </c>
      <c r="I16" s="11">
        <f>IF(Inputs!$D$29=0,0,Inputs!$C$29+Inputs!$B$12*Inputs!$B$5*$B16^2/(Inputs!$D$29^2*Inputs!$H$29^4*Inputs!$I$29^2)+Inputs!$G$29*$B16^Inputs!$B$11)</f>
        <v/>
      </c>
      <c r="J16" s="11">
        <f>IF(Inputs!$D$30=0,0,Inputs!$C$30+Inputs!$B$12*Inputs!$B$5*$B16^2/(Inputs!$D$30^2*Inputs!$H$30^4*Inputs!$I$30^2)+Inputs!$G$30*$B16^Inputs!$B$11)</f>
        <v/>
      </c>
      <c r="K16" s="11">
        <f>IF(Inputs!$D$31=0,0,Inputs!$C$31+Inputs!$B$12*Inputs!$B$5*$B16^2/(Inputs!$D$31^2*Inputs!$H$31^4*Inputs!$I$31^2)+Inputs!$G$31*$B16^Inputs!$B$11)</f>
        <v/>
      </c>
      <c r="L16" s="11">
        <f>IF(Inputs!$D$32=0,0,Inputs!$C$32+Inputs!$B$12*Inputs!$B$5*$B16^2/(Inputs!$D$32^2*Inputs!$H$32^4*Inputs!$I$32^2)+Inputs!$G$32*$B16^Inputs!$B$11)</f>
        <v/>
      </c>
      <c r="M16" s="11">
        <f>IF(Inputs!$D$33=0,0,Inputs!$C$33+Inputs!$B$12*Inputs!$B$5*$B16^2/(Inputs!$D$33^2*Inputs!$H$33^4*Inputs!$I$33^2)+Inputs!$G$33*$B16^Inputs!$B$11)</f>
        <v/>
      </c>
      <c r="N16" s="11">
        <f>IF(Inputs!$D$34=0,0,Inputs!$C$34+Inputs!$B$12*Inputs!$B$5*$B16^2/(Inputs!$D$34^2*Inputs!$H$34^4*Inputs!$I$34^2)+Inputs!$G$34*$B16^Inputs!$B$11)</f>
        <v/>
      </c>
    </row>
    <row r="17">
      <c r="A17" s="7" t="n">
        <v>12</v>
      </c>
      <c r="B17" s="37">
        <f>Inputs!$B$4*A17/200</f>
        <v/>
      </c>
      <c r="C17" s="11">
        <f>IF(Inputs!$D$23=0,0,Inputs!$C$23+Inputs!$B$12*Inputs!$B$5*$B17^2/(Inputs!$D$23^2*Inputs!$H$23^4*Inputs!$I$23^2)+Inputs!$G$23*$B17^Inputs!$B$11)</f>
        <v/>
      </c>
      <c r="D17" s="11">
        <f>IF(Inputs!$D$24=0,0,Inputs!$C$24+Inputs!$B$12*Inputs!$B$5*$B17^2/(Inputs!$D$24^2*Inputs!$H$24^4*Inputs!$I$24^2)+Inputs!$G$24*$B17^Inputs!$B$11)</f>
        <v/>
      </c>
      <c r="E17" s="11">
        <f>IF(Inputs!$D$25=0,0,Inputs!$C$25+Inputs!$B$12*Inputs!$B$5*$B17^2/(Inputs!$D$25^2*Inputs!$H$25^4*Inputs!$I$25^2)+Inputs!$G$25*$B17^Inputs!$B$11)</f>
        <v/>
      </c>
      <c r="F17" s="11">
        <f>IF(Inputs!$D$26=0,0,Inputs!$C$26+Inputs!$B$12*Inputs!$B$5*$B17^2/(Inputs!$D$26^2*Inputs!$H$26^4*Inputs!$I$26^2)+Inputs!$G$26*$B17^Inputs!$B$11)</f>
        <v/>
      </c>
      <c r="G17" s="11">
        <f>IF(Inputs!$D$27=0,0,Inputs!$C$27+Inputs!$B$12*Inputs!$B$5*$B17^2/(Inputs!$D$27^2*Inputs!$H$27^4*Inputs!$I$27^2)+Inputs!$G$27*$B17^Inputs!$B$11)</f>
        <v/>
      </c>
      <c r="H17" s="11">
        <f>IF(Inputs!$D$28=0,0,Inputs!$C$28+Inputs!$B$12*Inputs!$B$5*$B17^2/(Inputs!$D$28^2*Inputs!$H$28^4*Inputs!$I$28^2)+Inputs!$G$28*$B17^Inputs!$B$11)</f>
        <v/>
      </c>
      <c r="I17" s="11">
        <f>IF(Inputs!$D$29=0,0,Inputs!$C$29+Inputs!$B$12*Inputs!$B$5*$B17^2/(Inputs!$D$29^2*Inputs!$H$29^4*Inputs!$I$29^2)+Inputs!$G$29*$B17^Inputs!$B$11)</f>
        <v/>
      </c>
      <c r="J17" s="11">
        <f>IF(Inputs!$D$30=0,0,Inputs!$C$30+Inputs!$B$12*Inputs!$B$5*$B17^2/(Inputs!$D$30^2*Inputs!$H$30^4*Inputs!$I$30^2)+Inputs!$G$30*$B17^Inputs!$B$11)</f>
        <v/>
      </c>
      <c r="K17" s="11">
        <f>IF(Inputs!$D$31=0,0,Inputs!$C$31+Inputs!$B$12*Inputs!$B$5*$B17^2/(Inputs!$D$31^2*Inputs!$H$31^4*Inputs!$I$31^2)+Inputs!$G$31*$B17^Inputs!$B$11)</f>
        <v/>
      </c>
      <c r="L17" s="11">
        <f>IF(Inputs!$D$32=0,0,Inputs!$C$32+Inputs!$B$12*Inputs!$B$5*$B17^2/(Inputs!$D$32^2*Inputs!$H$32^4*Inputs!$I$32^2)+Inputs!$G$32*$B17^Inputs!$B$11)</f>
        <v/>
      </c>
      <c r="M17" s="11">
        <f>IF(Inputs!$D$33=0,0,Inputs!$C$33+Inputs!$B$12*Inputs!$B$5*$B17^2/(Inputs!$D$33^2*Inputs!$H$33^4*Inputs!$I$33^2)+Inputs!$G$33*$B17^Inputs!$B$11)</f>
        <v/>
      </c>
      <c r="N17" s="11">
        <f>IF(Inputs!$D$34=0,0,Inputs!$C$34+Inputs!$B$12*Inputs!$B$5*$B17^2/(Inputs!$D$34^2*Inputs!$H$34^4*Inputs!$I$34^2)+Inputs!$G$34*$B17^Inputs!$B$11)</f>
        <v/>
      </c>
    </row>
    <row r="18">
      <c r="A18" s="7" t="n">
        <v>13</v>
      </c>
      <c r="B18" s="37">
        <f>Inputs!$B$4*A18/200</f>
        <v/>
      </c>
      <c r="C18" s="11">
        <f>IF(Inputs!$D$23=0,0,Inputs!$C$23+Inputs!$B$12*Inputs!$B$5*$B18^2/(Inputs!$D$23^2*Inputs!$H$23^4*Inputs!$I$23^2)+Inputs!$G$23*$B18^Inputs!$B$11)</f>
        <v/>
      </c>
      <c r="D18" s="11">
        <f>IF(Inputs!$D$24=0,0,Inputs!$C$24+Inputs!$B$12*Inputs!$B$5*$B18^2/(Inputs!$D$24^2*Inputs!$H$24^4*Inputs!$I$24^2)+Inputs!$G$24*$B18^Inputs!$B$11)</f>
        <v/>
      </c>
      <c r="E18" s="11">
        <f>IF(Inputs!$D$25=0,0,Inputs!$C$25+Inputs!$B$12*Inputs!$B$5*$B18^2/(Inputs!$D$25^2*Inputs!$H$25^4*Inputs!$I$25^2)+Inputs!$G$25*$B18^Inputs!$B$11)</f>
        <v/>
      </c>
      <c r="F18" s="11">
        <f>IF(Inputs!$D$26=0,0,Inputs!$C$26+Inputs!$B$12*Inputs!$B$5*$B18^2/(Inputs!$D$26^2*Inputs!$H$26^4*Inputs!$I$26^2)+Inputs!$G$26*$B18^Inputs!$B$11)</f>
        <v/>
      </c>
      <c r="G18" s="11">
        <f>IF(Inputs!$D$27=0,0,Inputs!$C$27+Inputs!$B$12*Inputs!$B$5*$B18^2/(Inputs!$D$27^2*Inputs!$H$27^4*Inputs!$I$27^2)+Inputs!$G$27*$B18^Inputs!$B$11)</f>
        <v/>
      </c>
      <c r="H18" s="11">
        <f>IF(Inputs!$D$28=0,0,Inputs!$C$28+Inputs!$B$12*Inputs!$B$5*$B18^2/(Inputs!$D$28^2*Inputs!$H$28^4*Inputs!$I$28^2)+Inputs!$G$28*$B18^Inputs!$B$11)</f>
        <v/>
      </c>
      <c r="I18" s="11">
        <f>IF(Inputs!$D$29=0,0,Inputs!$C$29+Inputs!$B$12*Inputs!$B$5*$B18^2/(Inputs!$D$29^2*Inputs!$H$29^4*Inputs!$I$29^2)+Inputs!$G$29*$B18^Inputs!$B$11)</f>
        <v/>
      </c>
      <c r="J18" s="11">
        <f>IF(Inputs!$D$30=0,0,Inputs!$C$30+Inputs!$B$12*Inputs!$B$5*$B18^2/(Inputs!$D$30^2*Inputs!$H$30^4*Inputs!$I$30^2)+Inputs!$G$30*$B18^Inputs!$B$11)</f>
        <v/>
      </c>
      <c r="K18" s="11">
        <f>IF(Inputs!$D$31=0,0,Inputs!$C$31+Inputs!$B$12*Inputs!$B$5*$B18^2/(Inputs!$D$31^2*Inputs!$H$31^4*Inputs!$I$31^2)+Inputs!$G$31*$B18^Inputs!$B$11)</f>
        <v/>
      </c>
      <c r="L18" s="11">
        <f>IF(Inputs!$D$32=0,0,Inputs!$C$32+Inputs!$B$12*Inputs!$B$5*$B18^2/(Inputs!$D$32^2*Inputs!$H$32^4*Inputs!$I$32^2)+Inputs!$G$32*$B18^Inputs!$B$11)</f>
        <v/>
      </c>
      <c r="M18" s="11">
        <f>IF(Inputs!$D$33=0,0,Inputs!$C$33+Inputs!$B$12*Inputs!$B$5*$B18^2/(Inputs!$D$33^2*Inputs!$H$33^4*Inputs!$I$33^2)+Inputs!$G$33*$B18^Inputs!$B$11)</f>
        <v/>
      </c>
      <c r="N18" s="11">
        <f>IF(Inputs!$D$34=0,0,Inputs!$C$34+Inputs!$B$12*Inputs!$B$5*$B18^2/(Inputs!$D$34^2*Inputs!$H$34^4*Inputs!$I$34^2)+Inputs!$G$34*$B18^Inputs!$B$11)</f>
        <v/>
      </c>
    </row>
    <row r="19">
      <c r="A19" s="7" t="n">
        <v>14</v>
      </c>
      <c r="B19" s="37">
        <f>Inputs!$B$4*A19/200</f>
        <v/>
      </c>
      <c r="C19" s="11">
        <f>IF(Inputs!$D$23=0,0,Inputs!$C$23+Inputs!$B$12*Inputs!$B$5*$B19^2/(Inputs!$D$23^2*Inputs!$H$23^4*Inputs!$I$23^2)+Inputs!$G$23*$B19^Inputs!$B$11)</f>
        <v/>
      </c>
      <c r="D19" s="11">
        <f>IF(Inputs!$D$24=0,0,Inputs!$C$24+Inputs!$B$12*Inputs!$B$5*$B19^2/(Inputs!$D$24^2*Inputs!$H$24^4*Inputs!$I$24^2)+Inputs!$G$24*$B19^Inputs!$B$11)</f>
        <v/>
      </c>
      <c r="E19" s="11">
        <f>IF(Inputs!$D$25=0,0,Inputs!$C$25+Inputs!$B$12*Inputs!$B$5*$B19^2/(Inputs!$D$25^2*Inputs!$H$25^4*Inputs!$I$25^2)+Inputs!$G$25*$B19^Inputs!$B$11)</f>
        <v/>
      </c>
      <c r="F19" s="11">
        <f>IF(Inputs!$D$26=0,0,Inputs!$C$26+Inputs!$B$12*Inputs!$B$5*$B19^2/(Inputs!$D$26^2*Inputs!$H$26^4*Inputs!$I$26^2)+Inputs!$G$26*$B19^Inputs!$B$11)</f>
        <v/>
      </c>
      <c r="G19" s="11">
        <f>IF(Inputs!$D$27=0,0,Inputs!$C$27+Inputs!$B$12*Inputs!$B$5*$B19^2/(Inputs!$D$27^2*Inputs!$H$27^4*Inputs!$I$27^2)+Inputs!$G$27*$B19^Inputs!$B$11)</f>
        <v/>
      </c>
      <c r="H19" s="11">
        <f>IF(Inputs!$D$28=0,0,Inputs!$C$28+Inputs!$B$12*Inputs!$B$5*$B19^2/(Inputs!$D$28^2*Inputs!$H$28^4*Inputs!$I$28^2)+Inputs!$G$28*$B19^Inputs!$B$11)</f>
        <v/>
      </c>
      <c r="I19" s="11">
        <f>IF(Inputs!$D$29=0,0,Inputs!$C$29+Inputs!$B$12*Inputs!$B$5*$B19^2/(Inputs!$D$29^2*Inputs!$H$29^4*Inputs!$I$29^2)+Inputs!$G$29*$B19^Inputs!$B$11)</f>
        <v/>
      </c>
      <c r="J19" s="11">
        <f>IF(Inputs!$D$30=0,0,Inputs!$C$30+Inputs!$B$12*Inputs!$B$5*$B19^2/(Inputs!$D$30^2*Inputs!$H$30^4*Inputs!$I$30^2)+Inputs!$G$30*$B19^Inputs!$B$11)</f>
        <v/>
      </c>
      <c r="K19" s="11">
        <f>IF(Inputs!$D$31=0,0,Inputs!$C$31+Inputs!$B$12*Inputs!$B$5*$B19^2/(Inputs!$D$31^2*Inputs!$H$31^4*Inputs!$I$31^2)+Inputs!$G$31*$B19^Inputs!$B$11)</f>
        <v/>
      </c>
      <c r="L19" s="11">
        <f>IF(Inputs!$D$32=0,0,Inputs!$C$32+Inputs!$B$12*Inputs!$B$5*$B19^2/(Inputs!$D$32^2*Inputs!$H$32^4*Inputs!$I$32^2)+Inputs!$G$32*$B19^Inputs!$B$11)</f>
        <v/>
      </c>
      <c r="M19" s="11">
        <f>IF(Inputs!$D$33=0,0,Inputs!$C$33+Inputs!$B$12*Inputs!$B$5*$B19^2/(Inputs!$D$33^2*Inputs!$H$33^4*Inputs!$I$33^2)+Inputs!$G$33*$B19^Inputs!$B$11)</f>
        <v/>
      </c>
      <c r="N19" s="11">
        <f>IF(Inputs!$D$34=0,0,Inputs!$C$34+Inputs!$B$12*Inputs!$B$5*$B19^2/(Inputs!$D$34^2*Inputs!$H$34^4*Inputs!$I$34^2)+Inputs!$G$34*$B19^Inputs!$B$11)</f>
        <v/>
      </c>
    </row>
    <row r="20">
      <c r="A20" s="7" t="n">
        <v>15</v>
      </c>
      <c r="B20" s="37">
        <f>Inputs!$B$4*A20/200</f>
        <v/>
      </c>
      <c r="C20" s="11">
        <f>IF(Inputs!$D$23=0,0,Inputs!$C$23+Inputs!$B$12*Inputs!$B$5*$B20^2/(Inputs!$D$23^2*Inputs!$H$23^4*Inputs!$I$23^2)+Inputs!$G$23*$B20^Inputs!$B$11)</f>
        <v/>
      </c>
      <c r="D20" s="11">
        <f>IF(Inputs!$D$24=0,0,Inputs!$C$24+Inputs!$B$12*Inputs!$B$5*$B20^2/(Inputs!$D$24^2*Inputs!$H$24^4*Inputs!$I$24^2)+Inputs!$G$24*$B20^Inputs!$B$11)</f>
        <v/>
      </c>
      <c r="E20" s="11">
        <f>IF(Inputs!$D$25=0,0,Inputs!$C$25+Inputs!$B$12*Inputs!$B$5*$B20^2/(Inputs!$D$25^2*Inputs!$H$25^4*Inputs!$I$25^2)+Inputs!$G$25*$B20^Inputs!$B$11)</f>
        <v/>
      </c>
      <c r="F20" s="11">
        <f>IF(Inputs!$D$26=0,0,Inputs!$C$26+Inputs!$B$12*Inputs!$B$5*$B20^2/(Inputs!$D$26^2*Inputs!$H$26^4*Inputs!$I$26^2)+Inputs!$G$26*$B20^Inputs!$B$11)</f>
        <v/>
      </c>
      <c r="G20" s="11">
        <f>IF(Inputs!$D$27=0,0,Inputs!$C$27+Inputs!$B$12*Inputs!$B$5*$B20^2/(Inputs!$D$27^2*Inputs!$H$27^4*Inputs!$I$27^2)+Inputs!$G$27*$B20^Inputs!$B$11)</f>
        <v/>
      </c>
      <c r="H20" s="11">
        <f>IF(Inputs!$D$28=0,0,Inputs!$C$28+Inputs!$B$12*Inputs!$B$5*$B20^2/(Inputs!$D$28^2*Inputs!$H$28^4*Inputs!$I$28^2)+Inputs!$G$28*$B20^Inputs!$B$11)</f>
        <v/>
      </c>
      <c r="I20" s="11">
        <f>IF(Inputs!$D$29=0,0,Inputs!$C$29+Inputs!$B$12*Inputs!$B$5*$B20^2/(Inputs!$D$29^2*Inputs!$H$29^4*Inputs!$I$29^2)+Inputs!$G$29*$B20^Inputs!$B$11)</f>
        <v/>
      </c>
      <c r="J20" s="11">
        <f>IF(Inputs!$D$30=0,0,Inputs!$C$30+Inputs!$B$12*Inputs!$B$5*$B20^2/(Inputs!$D$30^2*Inputs!$H$30^4*Inputs!$I$30^2)+Inputs!$G$30*$B20^Inputs!$B$11)</f>
        <v/>
      </c>
      <c r="K20" s="11">
        <f>IF(Inputs!$D$31=0,0,Inputs!$C$31+Inputs!$B$12*Inputs!$B$5*$B20^2/(Inputs!$D$31^2*Inputs!$H$31^4*Inputs!$I$31^2)+Inputs!$G$31*$B20^Inputs!$B$11)</f>
        <v/>
      </c>
      <c r="L20" s="11">
        <f>IF(Inputs!$D$32=0,0,Inputs!$C$32+Inputs!$B$12*Inputs!$B$5*$B20^2/(Inputs!$D$32^2*Inputs!$H$32^4*Inputs!$I$32^2)+Inputs!$G$32*$B20^Inputs!$B$11)</f>
        <v/>
      </c>
      <c r="M20" s="11">
        <f>IF(Inputs!$D$33=0,0,Inputs!$C$33+Inputs!$B$12*Inputs!$B$5*$B20^2/(Inputs!$D$33^2*Inputs!$H$33^4*Inputs!$I$33^2)+Inputs!$G$33*$B20^Inputs!$B$11)</f>
        <v/>
      </c>
      <c r="N20" s="11">
        <f>IF(Inputs!$D$34=0,0,Inputs!$C$34+Inputs!$B$12*Inputs!$B$5*$B20^2/(Inputs!$D$34^2*Inputs!$H$34^4*Inputs!$I$34^2)+Inputs!$G$34*$B20^Inputs!$B$11)</f>
        <v/>
      </c>
    </row>
    <row r="21">
      <c r="A21" s="7" t="n">
        <v>16</v>
      </c>
      <c r="B21" s="37">
        <f>Inputs!$B$4*A21/200</f>
        <v/>
      </c>
      <c r="C21" s="11">
        <f>IF(Inputs!$D$23=0,0,Inputs!$C$23+Inputs!$B$12*Inputs!$B$5*$B21^2/(Inputs!$D$23^2*Inputs!$H$23^4*Inputs!$I$23^2)+Inputs!$G$23*$B21^Inputs!$B$11)</f>
        <v/>
      </c>
      <c r="D21" s="11">
        <f>IF(Inputs!$D$24=0,0,Inputs!$C$24+Inputs!$B$12*Inputs!$B$5*$B21^2/(Inputs!$D$24^2*Inputs!$H$24^4*Inputs!$I$24^2)+Inputs!$G$24*$B21^Inputs!$B$11)</f>
        <v/>
      </c>
      <c r="E21" s="11">
        <f>IF(Inputs!$D$25=0,0,Inputs!$C$25+Inputs!$B$12*Inputs!$B$5*$B21^2/(Inputs!$D$25^2*Inputs!$H$25^4*Inputs!$I$25^2)+Inputs!$G$25*$B21^Inputs!$B$11)</f>
        <v/>
      </c>
      <c r="F21" s="11">
        <f>IF(Inputs!$D$26=0,0,Inputs!$C$26+Inputs!$B$12*Inputs!$B$5*$B21^2/(Inputs!$D$26^2*Inputs!$H$26^4*Inputs!$I$26^2)+Inputs!$G$26*$B21^Inputs!$B$11)</f>
        <v/>
      </c>
      <c r="G21" s="11">
        <f>IF(Inputs!$D$27=0,0,Inputs!$C$27+Inputs!$B$12*Inputs!$B$5*$B21^2/(Inputs!$D$27^2*Inputs!$H$27^4*Inputs!$I$27^2)+Inputs!$G$27*$B21^Inputs!$B$11)</f>
        <v/>
      </c>
      <c r="H21" s="11">
        <f>IF(Inputs!$D$28=0,0,Inputs!$C$28+Inputs!$B$12*Inputs!$B$5*$B21^2/(Inputs!$D$28^2*Inputs!$H$28^4*Inputs!$I$28^2)+Inputs!$G$28*$B21^Inputs!$B$11)</f>
        <v/>
      </c>
      <c r="I21" s="11">
        <f>IF(Inputs!$D$29=0,0,Inputs!$C$29+Inputs!$B$12*Inputs!$B$5*$B21^2/(Inputs!$D$29^2*Inputs!$H$29^4*Inputs!$I$29^2)+Inputs!$G$29*$B21^Inputs!$B$11)</f>
        <v/>
      </c>
      <c r="J21" s="11">
        <f>IF(Inputs!$D$30=0,0,Inputs!$C$30+Inputs!$B$12*Inputs!$B$5*$B21^2/(Inputs!$D$30^2*Inputs!$H$30^4*Inputs!$I$30^2)+Inputs!$G$30*$B21^Inputs!$B$11)</f>
        <v/>
      </c>
      <c r="K21" s="11">
        <f>IF(Inputs!$D$31=0,0,Inputs!$C$31+Inputs!$B$12*Inputs!$B$5*$B21^2/(Inputs!$D$31^2*Inputs!$H$31^4*Inputs!$I$31^2)+Inputs!$G$31*$B21^Inputs!$B$11)</f>
        <v/>
      </c>
      <c r="L21" s="11">
        <f>IF(Inputs!$D$32=0,0,Inputs!$C$32+Inputs!$B$12*Inputs!$B$5*$B21^2/(Inputs!$D$32^2*Inputs!$H$32^4*Inputs!$I$32^2)+Inputs!$G$32*$B21^Inputs!$B$11)</f>
        <v/>
      </c>
      <c r="M21" s="11">
        <f>IF(Inputs!$D$33=0,0,Inputs!$C$33+Inputs!$B$12*Inputs!$B$5*$B21^2/(Inputs!$D$33^2*Inputs!$H$33^4*Inputs!$I$33^2)+Inputs!$G$33*$B21^Inputs!$B$11)</f>
        <v/>
      </c>
      <c r="N21" s="11">
        <f>IF(Inputs!$D$34=0,0,Inputs!$C$34+Inputs!$B$12*Inputs!$B$5*$B21^2/(Inputs!$D$34^2*Inputs!$H$34^4*Inputs!$I$34^2)+Inputs!$G$34*$B21^Inputs!$B$11)</f>
        <v/>
      </c>
    </row>
    <row r="22">
      <c r="A22" s="7" t="n">
        <v>17</v>
      </c>
      <c r="B22" s="37">
        <f>Inputs!$B$4*A22/200</f>
        <v/>
      </c>
      <c r="C22" s="11">
        <f>IF(Inputs!$D$23=0,0,Inputs!$C$23+Inputs!$B$12*Inputs!$B$5*$B22^2/(Inputs!$D$23^2*Inputs!$H$23^4*Inputs!$I$23^2)+Inputs!$G$23*$B22^Inputs!$B$11)</f>
        <v/>
      </c>
      <c r="D22" s="11">
        <f>IF(Inputs!$D$24=0,0,Inputs!$C$24+Inputs!$B$12*Inputs!$B$5*$B22^2/(Inputs!$D$24^2*Inputs!$H$24^4*Inputs!$I$24^2)+Inputs!$G$24*$B22^Inputs!$B$11)</f>
        <v/>
      </c>
      <c r="E22" s="11">
        <f>IF(Inputs!$D$25=0,0,Inputs!$C$25+Inputs!$B$12*Inputs!$B$5*$B22^2/(Inputs!$D$25^2*Inputs!$H$25^4*Inputs!$I$25^2)+Inputs!$G$25*$B22^Inputs!$B$11)</f>
        <v/>
      </c>
      <c r="F22" s="11">
        <f>IF(Inputs!$D$26=0,0,Inputs!$C$26+Inputs!$B$12*Inputs!$B$5*$B22^2/(Inputs!$D$26^2*Inputs!$H$26^4*Inputs!$I$26^2)+Inputs!$G$26*$B22^Inputs!$B$11)</f>
        <v/>
      </c>
      <c r="G22" s="11">
        <f>IF(Inputs!$D$27=0,0,Inputs!$C$27+Inputs!$B$12*Inputs!$B$5*$B22^2/(Inputs!$D$27^2*Inputs!$H$27^4*Inputs!$I$27^2)+Inputs!$G$27*$B22^Inputs!$B$11)</f>
        <v/>
      </c>
      <c r="H22" s="11">
        <f>IF(Inputs!$D$28=0,0,Inputs!$C$28+Inputs!$B$12*Inputs!$B$5*$B22^2/(Inputs!$D$28^2*Inputs!$H$28^4*Inputs!$I$28^2)+Inputs!$G$28*$B22^Inputs!$B$11)</f>
        <v/>
      </c>
      <c r="I22" s="11">
        <f>IF(Inputs!$D$29=0,0,Inputs!$C$29+Inputs!$B$12*Inputs!$B$5*$B22^2/(Inputs!$D$29^2*Inputs!$H$29^4*Inputs!$I$29^2)+Inputs!$G$29*$B22^Inputs!$B$11)</f>
        <v/>
      </c>
      <c r="J22" s="11">
        <f>IF(Inputs!$D$30=0,0,Inputs!$C$30+Inputs!$B$12*Inputs!$B$5*$B22^2/(Inputs!$D$30^2*Inputs!$H$30^4*Inputs!$I$30^2)+Inputs!$G$30*$B22^Inputs!$B$11)</f>
        <v/>
      </c>
      <c r="K22" s="11">
        <f>IF(Inputs!$D$31=0,0,Inputs!$C$31+Inputs!$B$12*Inputs!$B$5*$B22^2/(Inputs!$D$31^2*Inputs!$H$31^4*Inputs!$I$31^2)+Inputs!$G$31*$B22^Inputs!$B$11)</f>
        <v/>
      </c>
      <c r="L22" s="11">
        <f>IF(Inputs!$D$32=0,0,Inputs!$C$32+Inputs!$B$12*Inputs!$B$5*$B22^2/(Inputs!$D$32^2*Inputs!$H$32^4*Inputs!$I$32^2)+Inputs!$G$32*$B22^Inputs!$B$11)</f>
        <v/>
      </c>
      <c r="M22" s="11">
        <f>IF(Inputs!$D$33=0,0,Inputs!$C$33+Inputs!$B$12*Inputs!$B$5*$B22^2/(Inputs!$D$33^2*Inputs!$H$33^4*Inputs!$I$33^2)+Inputs!$G$33*$B22^Inputs!$B$11)</f>
        <v/>
      </c>
      <c r="N22" s="11">
        <f>IF(Inputs!$D$34=0,0,Inputs!$C$34+Inputs!$B$12*Inputs!$B$5*$B22^2/(Inputs!$D$34^2*Inputs!$H$34^4*Inputs!$I$34^2)+Inputs!$G$34*$B22^Inputs!$B$11)</f>
        <v/>
      </c>
    </row>
    <row r="23">
      <c r="A23" s="7" t="n">
        <v>18</v>
      </c>
      <c r="B23" s="37">
        <f>Inputs!$B$4*A23/200</f>
        <v/>
      </c>
      <c r="C23" s="11">
        <f>IF(Inputs!$D$23=0,0,Inputs!$C$23+Inputs!$B$12*Inputs!$B$5*$B23^2/(Inputs!$D$23^2*Inputs!$H$23^4*Inputs!$I$23^2)+Inputs!$G$23*$B23^Inputs!$B$11)</f>
        <v/>
      </c>
      <c r="D23" s="11">
        <f>IF(Inputs!$D$24=0,0,Inputs!$C$24+Inputs!$B$12*Inputs!$B$5*$B23^2/(Inputs!$D$24^2*Inputs!$H$24^4*Inputs!$I$24^2)+Inputs!$G$24*$B23^Inputs!$B$11)</f>
        <v/>
      </c>
      <c r="E23" s="11">
        <f>IF(Inputs!$D$25=0,0,Inputs!$C$25+Inputs!$B$12*Inputs!$B$5*$B23^2/(Inputs!$D$25^2*Inputs!$H$25^4*Inputs!$I$25^2)+Inputs!$G$25*$B23^Inputs!$B$11)</f>
        <v/>
      </c>
      <c r="F23" s="11">
        <f>IF(Inputs!$D$26=0,0,Inputs!$C$26+Inputs!$B$12*Inputs!$B$5*$B23^2/(Inputs!$D$26^2*Inputs!$H$26^4*Inputs!$I$26^2)+Inputs!$G$26*$B23^Inputs!$B$11)</f>
        <v/>
      </c>
      <c r="G23" s="11">
        <f>IF(Inputs!$D$27=0,0,Inputs!$C$27+Inputs!$B$12*Inputs!$B$5*$B23^2/(Inputs!$D$27^2*Inputs!$H$27^4*Inputs!$I$27^2)+Inputs!$G$27*$B23^Inputs!$B$11)</f>
        <v/>
      </c>
      <c r="H23" s="11">
        <f>IF(Inputs!$D$28=0,0,Inputs!$C$28+Inputs!$B$12*Inputs!$B$5*$B23^2/(Inputs!$D$28^2*Inputs!$H$28^4*Inputs!$I$28^2)+Inputs!$G$28*$B23^Inputs!$B$11)</f>
        <v/>
      </c>
      <c r="I23" s="11">
        <f>IF(Inputs!$D$29=0,0,Inputs!$C$29+Inputs!$B$12*Inputs!$B$5*$B23^2/(Inputs!$D$29^2*Inputs!$H$29^4*Inputs!$I$29^2)+Inputs!$G$29*$B23^Inputs!$B$11)</f>
        <v/>
      </c>
      <c r="J23" s="11">
        <f>IF(Inputs!$D$30=0,0,Inputs!$C$30+Inputs!$B$12*Inputs!$B$5*$B23^2/(Inputs!$D$30^2*Inputs!$H$30^4*Inputs!$I$30^2)+Inputs!$G$30*$B23^Inputs!$B$11)</f>
        <v/>
      </c>
      <c r="K23" s="11">
        <f>IF(Inputs!$D$31=0,0,Inputs!$C$31+Inputs!$B$12*Inputs!$B$5*$B23^2/(Inputs!$D$31^2*Inputs!$H$31^4*Inputs!$I$31^2)+Inputs!$G$31*$B23^Inputs!$B$11)</f>
        <v/>
      </c>
      <c r="L23" s="11">
        <f>IF(Inputs!$D$32=0,0,Inputs!$C$32+Inputs!$B$12*Inputs!$B$5*$B23^2/(Inputs!$D$32^2*Inputs!$H$32^4*Inputs!$I$32^2)+Inputs!$G$32*$B23^Inputs!$B$11)</f>
        <v/>
      </c>
      <c r="M23" s="11">
        <f>IF(Inputs!$D$33=0,0,Inputs!$C$33+Inputs!$B$12*Inputs!$B$5*$B23^2/(Inputs!$D$33^2*Inputs!$H$33^4*Inputs!$I$33^2)+Inputs!$G$33*$B23^Inputs!$B$11)</f>
        <v/>
      </c>
      <c r="N23" s="11">
        <f>IF(Inputs!$D$34=0,0,Inputs!$C$34+Inputs!$B$12*Inputs!$B$5*$B23^2/(Inputs!$D$34^2*Inputs!$H$34^4*Inputs!$I$34^2)+Inputs!$G$34*$B23^Inputs!$B$11)</f>
        <v/>
      </c>
    </row>
    <row r="24">
      <c r="A24" s="7" t="n">
        <v>19</v>
      </c>
      <c r="B24" s="37">
        <f>Inputs!$B$4*A24/200</f>
        <v/>
      </c>
      <c r="C24" s="11">
        <f>IF(Inputs!$D$23=0,0,Inputs!$C$23+Inputs!$B$12*Inputs!$B$5*$B24^2/(Inputs!$D$23^2*Inputs!$H$23^4*Inputs!$I$23^2)+Inputs!$G$23*$B24^Inputs!$B$11)</f>
        <v/>
      </c>
      <c r="D24" s="11">
        <f>IF(Inputs!$D$24=0,0,Inputs!$C$24+Inputs!$B$12*Inputs!$B$5*$B24^2/(Inputs!$D$24^2*Inputs!$H$24^4*Inputs!$I$24^2)+Inputs!$G$24*$B24^Inputs!$B$11)</f>
        <v/>
      </c>
      <c r="E24" s="11">
        <f>IF(Inputs!$D$25=0,0,Inputs!$C$25+Inputs!$B$12*Inputs!$B$5*$B24^2/(Inputs!$D$25^2*Inputs!$H$25^4*Inputs!$I$25^2)+Inputs!$G$25*$B24^Inputs!$B$11)</f>
        <v/>
      </c>
      <c r="F24" s="11">
        <f>IF(Inputs!$D$26=0,0,Inputs!$C$26+Inputs!$B$12*Inputs!$B$5*$B24^2/(Inputs!$D$26^2*Inputs!$H$26^4*Inputs!$I$26^2)+Inputs!$G$26*$B24^Inputs!$B$11)</f>
        <v/>
      </c>
      <c r="G24" s="11">
        <f>IF(Inputs!$D$27=0,0,Inputs!$C$27+Inputs!$B$12*Inputs!$B$5*$B24^2/(Inputs!$D$27^2*Inputs!$H$27^4*Inputs!$I$27^2)+Inputs!$G$27*$B24^Inputs!$B$11)</f>
        <v/>
      </c>
      <c r="H24" s="11">
        <f>IF(Inputs!$D$28=0,0,Inputs!$C$28+Inputs!$B$12*Inputs!$B$5*$B24^2/(Inputs!$D$28^2*Inputs!$H$28^4*Inputs!$I$28^2)+Inputs!$G$28*$B24^Inputs!$B$11)</f>
        <v/>
      </c>
      <c r="I24" s="11">
        <f>IF(Inputs!$D$29=0,0,Inputs!$C$29+Inputs!$B$12*Inputs!$B$5*$B24^2/(Inputs!$D$29^2*Inputs!$H$29^4*Inputs!$I$29^2)+Inputs!$G$29*$B24^Inputs!$B$11)</f>
        <v/>
      </c>
      <c r="J24" s="11">
        <f>IF(Inputs!$D$30=0,0,Inputs!$C$30+Inputs!$B$12*Inputs!$B$5*$B24^2/(Inputs!$D$30^2*Inputs!$H$30^4*Inputs!$I$30^2)+Inputs!$G$30*$B24^Inputs!$B$11)</f>
        <v/>
      </c>
      <c r="K24" s="11">
        <f>IF(Inputs!$D$31=0,0,Inputs!$C$31+Inputs!$B$12*Inputs!$B$5*$B24^2/(Inputs!$D$31^2*Inputs!$H$31^4*Inputs!$I$31^2)+Inputs!$G$31*$B24^Inputs!$B$11)</f>
        <v/>
      </c>
      <c r="L24" s="11">
        <f>IF(Inputs!$D$32=0,0,Inputs!$C$32+Inputs!$B$12*Inputs!$B$5*$B24^2/(Inputs!$D$32^2*Inputs!$H$32^4*Inputs!$I$32^2)+Inputs!$G$32*$B24^Inputs!$B$11)</f>
        <v/>
      </c>
      <c r="M24" s="11">
        <f>IF(Inputs!$D$33=0,0,Inputs!$C$33+Inputs!$B$12*Inputs!$B$5*$B24^2/(Inputs!$D$33^2*Inputs!$H$33^4*Inputs!$I$33^2)+Inputs!$G$33*$B24^Inputs!$B$11)</f>
        <v/>
      </c>
      <c r="N24" s="11">
        <f>IF(Inputs!$D$34=0,0,Inputs!$C$34+Inputs!$B$12*Inputs!$B$5*$B24^2/(Inputs!$D$34^2*Inputs!$H$34^4*Inputs!$I$34^2)+Inputs!$G$34*$B24^Inputs!$B$11)</f>
        <v/>
      </c>
    </row>
    <row r="25">
      <c r="A25" s="7" t="n">
        <v>20</v>
      </c>
      <c r="B25" s="37">
        <f>Inputs!$B$4*A25/200</f>
        <v/>
      </c>
      <c r="C25" s="11">
        <f>IF(Inputs!$D$23=0,0,Inputs!$C$23+Inputs!$B$12*Inputs!$B$5*$B25^2/(Inputs!$D$23^2*Inputs!$H$23^4*Inputs!$I$23^2)+Inputs!$G$23*$B25^Inputs!$B$11)</f>
        <v/>
      </c>
      <c r="D25" s="11">
        <f>IF(Inputs!$D$24=0,0,Inputs!$C$24+Inputs!$B$12*Inputs!$B$5*$B25^2/(Inputs!$D$24^2*Inputs!$H$24^4*Inputs!$I$24^2)+Inputs!$G$24*$B25^Inputs!$B$11)</f>
        <v/>
      </c>
      <c r="E25" s="11">
        <f>IF(Inputs!$D$25=0,0,Inputs!$C$25+Inputs!$B$12*Inputs!$B$5*$B25^2/(Inputs!$D$25^2*Inputs!$H$25^4*Inputs!$I$25^2)+Inputs!$G$25*$B25^Inputs!$B$11)</f>
        <v/>
      </c>
      <c r="F25" s="11">
        <f>IF(Inputs!$D$26=0,0,Inputs!$C$26+Inputs!$B$12*Inputs!$B$5*$B25^2/(Inputs!$D$26^2*Inputs!$H$26^4*Inputs!$I$26^2)+Inputs!$G$26*$B25^Inputs!$B$11)</f>
        <v/>
      </c>
      <c r="G25" s="11">
        <f>IF(Inputs!$D$27=0,0,Inputs!$C$27+Inputs!$B$12*Inputs!$B$5*$B25^2/(Inputs!$D$27^2*Inputs!$H$27^4*Inputs!$I$27^2)+Inputs!$G$27*$B25^Inputs!$B$11)</f>
        <v/>
      </c>
      <c r="H25" s="11">
        <f>IF(Inputs!$D$28=0,0,Inputs!$C$28+Inputs!$B$12*Inputs!$B$5*$B25^2/(Inputs!$D$28^2*Inputs!$H$28^4*Inputs!$I$28^2)+Inputs!$G$28*$B25^Inputs!$B$11)</f>
        <v/>
      </c>
      <c r="I25" s="11">
        <f>IF(Inputs!$D$29=0,0,Inputs!$C$29+Inputs!$B$12*Inputs!$B$5*$B25^2/(Inputs!$D$29^2*Inputs!$H$29^4*Inputs!$I$29^2)+Inputs!$G$29*$B25^Inputs!$B$11)</f>
        <v/>
      </c>
      <c r="J25" s="11">
        <f>IF(Inputs!$D$30=0,0,Inputs!$C$30+Inputs!$B$12*Inputs!$B$5*$B25^2/(Inputs!$D$30^2*Inputs!$H$30^4*Inputs!$I$30^2)+Inputs!$G$30*$B25^Inputs!$B$11)</f>
        <v/>
      </c>
      <c r="K25" s="11">
        <f>IF(Inputs!$D$31=0,0,Inputs!$C$31+Inputs!$B$12*Inputs!$B$5*$B25^2/(Inputs!$D$31^2*Inputs!$H$31^4*Inputs!$I$31^2)+Inputs!$G$31*$B25^Inputs!$B$11)</f>
        <v/>
      </c>
      <c r="L25" s="11">
        <f>IF(Inputs!$D$32=0,0,Inputs!$C$32+Inputs!$B$12*Inputs!$B$5*$B25^2/(Inputs!$D$32^2*Inputs!$H$32^4*Inputs!$I$32^2)+Inputs!$G$32*$B25^Inputs!$B$11)</f>
        <v/>
      </c>
      <c r="M25" s="11">
        <f>IF(Inputs!$D$33=0,0,Inputs!$C$33+Inputs!$B$12*Inputs!$B$5*$B25^2/(Inputs!$D$33^2*Inputs!$H$33^4*Inputs!$I$33^2)+Inputs!$G$33*$B25^Inputs!$B$11)</f>
        <v/>
      </c>
      <c r="N25" s="11">
        <f>IF(Inputs!$D$34=0,0,Inputs!$C$34+Inputs!$B$12*Inputs!$B$5*$B25^2/(Inputs!$D$34^2*Inputs!$H$34^4*Inputs!$I$34^2)+Inputs!$G$34*$B25^Inputs!$B$11)</f>
        <v/>
      </c>
    </row>
    <row r="26">
      <c r="A26" s="7" t="n">
        <v>21</v>
      </c>
      <c r="B26" s="37">
        <f>Inputs!$B$4*A26/200</f>
        <v/>
      </c>
      <c r="C26" s="11">
        <f>IF(Inputs!$D$23=0,0,Inputs!$C$23+Inputs!$B$12*Inputs!$B$5*$B26^2/(Inputs!$D$23^2*Inputs!$H$23^4*Inputs!$I$23^2)+Inputs!$G$23*$B26^Inputs!$B$11)</f>
        <v/>
      </c>
      <c r="D26" s="11">
        <f>IF(Inputs!$D$24=0,0,Inputs!$C$24+Inputs!$B$12*Inputs!$B$5*$B26^2/(Inputs!$D$24^2*Inputs!$H$24^4*Inputs!$I$24^2)+Inputs!$G$24*$B26^Inputs!$B$11)</f>
        <v/>
      </c>
      <c r="E26" s="11">
        <f>IF(Inputs!$D$25=0,0,Inputs!$C$25+Inputs!$B$12*Inputs!$B$5*$B26^2/(Inputs!$D$25^2*Inputs!$H$25^4*Inputs!$I$25^2)+Inputs!$G$25*$B26^Inputs!$B$11)</f>
        <v/>
      </c>
      <c r="F26" s="11">
        <f>IF(Inputs!$D$26=0,0,Inputs!$C$26+Inputs!$B$12*Inputs!$B$5*$B26^2/(Inputs!$D$26^2*Inputs!$H$26^4*Inputs!$I$26^2)+Inputs!$G$26*$B26^Inputs!$B$11)</f>
        <v/>
      </c>
      <c r="G26" s="11">
        <f>IF(Inputs!$D$27=0,0,Inputs!$C$27+Inputs!$B$12*Inputs!$B$5*$B26^2/(Inputs!$D$27^2*Inputs!$H$27^4*Inputs!$I$27^2)+Inputs!$G$27*$B26^Inputs!$B$11)</f>
        <v/>
      </c>
      <c r="H26" s="11">
        <f>IF(Inputs!$D$28=0,0,Inputs!$C$28+Inputs!$B$12*Inputs!$B$5*$B26^2/(Inputs!$D$28^2*Inputs!$H$28^4*Inputs!$I$28^2)+Inputs!$G$28*$B26^Inputs!$B$11)</f>
        <v/>
      </c>
      <c r="I26" s="11">
        <f>IF(Inputs!$D$29=0,0,Inputs!$C$29+Inputs!$B$12*Inputs!$B$5*$B26^2/(Inputs!$D$29^2*Inputs!$H$29^4*Inputs!$I$29^2)+Inputs!$G$29*$B26^Inputs!$B$11)</f>
        <v/>
      </c>
      <c r="J26" s="11">
        <f>IF(Inputs!$D$30=0,0,Inputs!$C$30+Inputs!$B$12*Inputs!$B$5*$B26^2/(Inputs!$D$30^2*Inputs!$H$30^4*Inputs!$I$30^2)+Inputs!$G$30*$B26^Inputs!$B$11)</f>
        <v/>
      </c>
      <c r="K26" s="11">
        <f>IF(Inputs!$D$31=0,0,Inputs!$C$31+Inputs!$B$12*Inputs!$B$5*$B26^2/(Inputs!$D$31^2*Inputs!$H$31^4*Inputs!$I$31^2)+Inputs!$G$31*$B26^Inputs!$B$11)</f>
        <v/>
      </c>
      <c r="L26" s="11">
        <f>IF(Inputs!$D$32=0,0,Inputs!$C$32+Inputs!$B$12*Inputs!$B$5*$B26^2/(Inputs!$D$32^2*Inputs!$H$32^4*Inputs!$I$32^2)+Inputs!$G$32*$B26^Inputs!$B$11)</f>
        <v/>
      </c>
      <c r="M26" s="11">
        <f>IF(Inputs!$D$33=0,0,Inputs!$C$33+Inputs!$B$12*Inputs!$B$5*$B26^2/(Inputs!$D$33^2*Inputs!$H$33^4*Inputs!$I$33^2)+Inputs!$G$33*$B26^Inputs!$B$11)</f>
        <v/>
      </c>
      <c r="N26" s="11">
        <f>IF(Inputs!$D$34=0,0,Inputs!$C$34+Inputs!$B$12*Inputs!$B$5*$B26^2/(Inputs!$D$34^2*Inputs!$H$34^4*Inputs!$I$34^2)+Inputs!$G$34*$B26^Inputs!$B$11)</f>
        <v/>
      </c>
    </row>
    <row r="27">
      <c r="A27" s="7" t="n">
        <v>22</v>
      </c>
      <c r="B27" s="37">
        <f>Inputs!$B$4*A27/200</f>
        <v/>
      </c>
      <c r="C27" s="11">
        <f>IF(Inputs!$D$23=0,0,Inputs!$C$23+Inputs!$B$12*Inputs!$B$5*$B27^2/(Inputs!$D$23^2*Inputs!$H$23^4*Inputs!$I$23^2)+Inputs!$G$23*$B27^Inputs!$B$11)</f>
        <v/>
      </c>
      <c r="D27" s="11">
        <f>IF(Inputs!$D$24=0,0,Inputs!$C$24+Inputs!$B$12*Inputs!$B$5*$B27^2/(Inputs!$D$24^2*Inputs!$H$24^4*Inputs!$I$24^2)+Inputs!$G$24*$B27^Inputs!$B$11)</f>
        <v/>
      </c>
      <c r="E27" s="11">
        <f>IF(Inputs!$D$25=0,0,Inputs!$C$25+Inputs!$B$12*Inputs!$B$5*$B27^2/(Inputs!$D$25^2*Inputs!$H$25^4*Inputs!$I$25^2)+Inputs!$G$25*$B27^Inputs!$B$11)</f>
        <v/>
      </c>
      <c r="F27" s="11">
        <f>IF(Inputs!$D$26=0,0,Inputs!$C$26+Inputs!$B$12*Inputs!$B$5*$B27^2/(Inputs!$D$26^2*Inputs!$H$26^4*Inputs!$I$26^2)+Inputs!$G$26*$B27^Inputs!$B$11)</f>
        <v/>
      </c>
      <c r="G27" s="11">
        <f>IF(Inputs!$D$27=0,0,Inputs!$C$27+Inputs!$B$12*Inputs!$B$5*$B27^2/(Inputs!$D$27^2*Inputs!$H$27^4*Inputs!$I$27^2)+Inputs!$G$27*$B27^Inputs!$B$11)</f>
        <v/>
      </c>
      <c r="H27" s="11">
        <f>IF(Inputs!$D$28=0,0,Inputs!$C$28+Inputs!$B$12*Inputs!$B$5*$B27^2/(Inputs!$D$28^2*Inputs!$H$28^4*Inputs!$I$28^2)+Inputs!$G$28*$B27^Inputs!$B$11)</f>
        <v/>
      </c>
      <c r="I27" s="11">
        <f>IF(Inputs!$D$29=0,0,Inputs!$C$29+Inputs!$B$12*Inputs!$B$5*$B27^2/(Inputs!$D$29^2*Inputs!$H$29^4*Inputs!$I$29^2)+Inputs!$G$29*$B27^Inputs!$B$11)</f>
        <v/>
      </c>
      <c r="J27" s="11">
        <f>IF(Inputs!$D$30=0,0,Inputs!$C$30+Inputs!$B$12*Inputs!$B$5*$B27^2/(Inputs!$D$30^2*Inputs!$H$30^4*Inputs!$I$30^2)+Inputs!$G$30*$B27^Inputs!$B$11)</f>
        <v/>
      </c>
      <c r="K27" s="11">
        <f>IF(Inputs!$D$31=0,0,Inputs!$C$31+Inputs!$B$12*Inputs!$B$5*$B27^2/(Inputs!$D$31^2*Inputs!$H$31^4*Inputs!$I$31^2)+Inputs!$G$31*$B27^Inputs!$B$11)</f>
        <v/>
      </c>
      <c r="L27" s="11">
        <f>IF(Inputs!$D$32=0,0,Inputs!$C$32+Inputs!$B$12*Inputs!$B$5*$B27^2/(Inputs!$D$32^2*Inputs!$H$32^4*Inputs!$I$32^2)+Inputs!$G$32*$B27^Inputs!$B$11)</f>
        <v/>
      </c>
      <c r="M27" s="11">
        <f>IF(Inputs!$D$33=0,0,Inputs!$C$33+Inputs!$B$12*Inputs!$B$5*$B27^2/(Inputs!$D$33^2*Inputs!$H$33^4*Inputs!$I$33^2)+Inputs!$G$33*$B27^Inputs!$B$11)</f>
        <v/>
      </c>
      <c r="N27" s="11">
        <f>IF(Inputs!$D$34=0,0,Inputs!$C$34+Inputs!$B$12*Inputs!$B$5*$B27^2/(Inputs!$D$34^2*Inputs!$H$34^4*Inputs!$I$34^2)+Inputs!$G$34*$B27^Inputs!$B$11)</f>
        <v/>
      </c>
    </row>
    <row r="28">
      <c r="A28" s="7" t="n">
        <v>23</v>
      </c>
      <c r="B28" s="37">
        <f>Inputs!$B$4*A28/200</f>
        <v/>
      </c>
      <c r="C28" s="11">
        <f>IF(Inputs!$D$23=0,0,Inputs!$C$23+Inputs!$B$12*Inputs!$B$5*$B28^2/(Inputs!$D$23^2*Inputs!$H$23^4*Inputs!$I$23^2)+Inputs!$G$23*$B28^Inputs!$B$11)</f>
        <v/>
      </c>
      <c r="D28" s="11">
        <f>IF(Inputs!$D$24=0,0,Inputs!$C$24+Inputs!$B$12*Inputs!$B$5*$B28^2/(Inputs!$D$24^2*Inputs!$H$24^4*Inputs!$I$24^2)+Inputs!$G$24*$B28^Inputs!$B$11)</f>
        <v/>
      </c>
      <c r="E28" s="11">
        <f>IF(Inputs!$D$25=0,0,Inputs!$C$25+Inputs!$B$12*Inputs!$B$5*$B28^2/(Inputs!$D$25^2*Inputs!$H$25^4*Inputs!$I$25^2)+Inputs!$G$25*$B28^Inputs!$B$11)</f>
        <v/>
      </c>
      <c r="F28" s="11">
        <f>IF(Inputs!$D$26=0,0,Inputs!$C$26+Inputs!$B$12*Inputs!$B$5*$B28^2/(Inputs!$D$26^2*Inputs!$H$26^4*Inputs!$I$26^2)+Inputs!$G$26*$B28^Inputs!$B$11)</f>
        <v/>
      </c>
      <c r="G28" s="11">
        <f>IF(Inputs!$D$27=0,0,Inputs!$C$27+Inputs!$B$12*Inputs!$B$5*$B28^2/(Inputs!$D$27^2*Inputs!$H$27^4*Inputs!$I$27^2)+Inputs!$G$27*$B28^Inputs!$B$11)</f>
        <v/>
      </c>
      <c r="H28" s="11">
        <f>IF(Inputs!$D$28=0,0,Inputs!$C$28+Inputs!$B$12*Inputs!$B$5*$B28^2/(Inputs!$D$28^2*Inputs!$H$28^4*Inputs!$I$28^2)+Inputs!$G$28*$B28^Inputs!$B$11)</f>
        <v/>
      </c>
      <c r="I28" s="11">
        <f>IF(Inputs!$D$29=0,0,Inputs!$C$29+Inputs!$B$12*Inputs!$B$5*$B28^2/(Inputs!$D$29^2*Inputs!$H$29^4*Inputs!$I$29^2)+Inputs!$G$29*$B28^Inputs!$B$11)</f>
        <v/>
      </c>
      <c r="J28" s="11">
        <f>IF(Inputs!$D$30=0,0,Inputs!$C$30+Inputs!$B$12*Inputs!$B$5*$B28^2/(Inputs!$D$30^2*Inputs!$H$30^4*Inputs!$I$30^2)+Inputs!$G$30*$B28^Inputs!$B$11)</f>
        <v/>
      </c>
      <c r="K28" s="11">
        <f>IF(Inputs!$D$31=0,0,Inputs!$C$31+Inputs!$B$12*Inputs!$B$5*$B28^2/(Inputs!$D$31^2*Inputs!$H$31^4*Inputs!$I$31^2)+Inputs!$G$31*$B28^Inputs!$B$11)</f>
        <v/>
      </c>
      <c r="L28" s="11">
        <f>IF(Inputs!$D$32=0,0,Inputs!$C$32+Inputs!$B$12*Inputs!$B$5*$B28^2/(Inputs!$D$32^2*Inputs!$H$32^4*Inputs!$I$32^2)+Inputs!$G$32*$B28^Inputs!$B$11)</f>
        <v/>
      </c>
      <c r="M28" s="11">
        <f>IF(Inputs!$D$33=0,0,Inputs!$C$33+Inputs!$B$12*Inputs!$B$5*$B28^2/(Inputs!$D$33^2*Inputs!$H$33^4*Inputs!$I$33^2)+Inputs!$G$33*$B28^Inputs!$B$11)</f>
        <v/>
      </c>
      <c r="N28" s="11">
        <f>IF(Inputs!$D$34=0,0,Inputs!$C$34+Inputs!$B$12*Inputs!$B$5*$B28^2/(Inputs!$D$34^2*Inputs!$H$34^4*Inputs!$I$34^2)+Inputs!$G$34*$B28^Inputs!$B$11)</f>
        <v/>
      </c>
    </row>
    <row r="29">
      <c r="A29" s="7" t="n">
        <v>24</v>
      </c>
      <c r="B29" s="37">
        <f>Inputs!$B$4*A29/200</f>
        <v/>
      </c>
      <c r="C29" s="11">
        <f>IF(Inputs!$D$23=0,0,Inputs!$C$23+Inputs!$B$12*Inputs!$B$5*$B29^2/(Inputs!$D$23^2*Inputs!$H$23^4*Inputs!$I$23^2)+Inputs!$G$23*$B29^Inputs!$B$11)</f>
        <v/>
      </c>
      <c r="D29" s="11">
        <f>IF(Inputs!$D$24=0,0,Inputs!$C$24+Inputs!$B$12*Inputs!$B$5*$B29^2/(Inputs!$D$24^2*Inputs!$H$24^4*Inputs!$I$24^2)+Inputs!$G$24*$B29^Inputs!$B$11)</f>
        <v/>
      </c>
      <c r="E29" s="11">
        <f>IF(Inputs!$D$25=0,0,Inputs!$C$25+Inputs!$B$12*Inputs!$B$5*$B29^2/(Inputs!$D$25^2*Inputs!$H$25^4*Inputs!$I$25^2)+Inputs!$G$25*$B29^Inputs!$B$11)</f>
        <v/>
      </c>
      <c r="F29" s="11">
        <f>IF(Inputs!$D$26=0,0,Inputs!$C$26+Inputs!$B$12*Inputs!$B$5*$B29^2/(Inputs!$D$26^2*Inputs!$H$26^4*Inputs!$I$26^2)+Inputs!$G$26*$B29^Inputs!$B$11)</f>
        <v/>
      </c>
      <c r="G29" s="11">
        <f>IF(Inputs!$D$27=0,0,Inputs!$C$27+Inputs!$B$12*Inputs!$B$5*$B29^2/(Inputs!$D$27^2*Inputs!$H$27^4*Inputs!$I$27^2)+Inputs!$G$27*$B29^Inputs!$B$11)</f>
        <v/>
      </c>
      <c r="H29" s="11">
        <f>IF(Inputs!$D$28=0,0,Inputs!$C$28+Inputs!$B$12*Inputs!$B$5*$B29^2/(Inputs!$D$28^2*Inputs!$H$28^4*Inputs!$I$28^2)+Inputs!$G$28*$B29^Inputs!$B$11)</f>
        <v/>
      </c>
      <c r="I29" s="11">
        <f>IF(Inputs!$D$29=0,0,Inputs!$C$29+Inputs!$B$12*Inputs!$B$5*$B29^2/(Inputs!$D$29^2*Inputs!$H$29^4*Inputs!$I$29^2)+Inputs!$G$29*$B29^Inputs!$B$11)</f>
        <v/>
      </c>
      <c r="J29" s="11">
        <f>IF(Inputs!$D$30=0,0,Inputs!$C$30+Inputs!$B$12*Inputs!$B$5*$B29^2/(Inputs!$D$30^2*Inputs!$H$30^4*Inputs!$I$30^2)+Inputs!$G$30*$B29^Inputs!$B$11)</f>
        <v/>
      </c>
      <c r="K29" s="11">
        <f>IF(Inputs!$D$31=0,0,Inputs!$C$31+Inputs!$B$12*Inputs!$B$5*$B29^2/(Inputs!$D$31^2*Inputs!$H$31^4*Inputs!$I$31^2)+Inputs!$G$31*$B29^Inputs!$B$11)</f>
        <v/>
      </c>
      <c r="L29" s="11">
        <f>IF(Inputs!$D$32=0,0,Inputs!$C$32+Inputs!$B$12*Inputs!$B$5*$B29^2/(Inputs!$D$32^2*Inputs!$H$32^4*Inputs!$I$32^2)+Inputs!$G$32*$B29^Inputs!$B$11)</f>
        <v/>
      </c>
      <c r="M29" s="11">
        <f>IF(Inputs!$D$33=0,0,Inputs!$C$33+Inputs!$B$12*Inputs!$B$5*$B29^2/(Inputs!$D$33^2*Inputs!$H$33^4*Inputs!$I$33^2)+Inputs!$G$33*$B29^Inputs!$B$11)</f>
        <v/>
      </c>
      <c r="N29" s="11">
        <f>IF(Inputs!$D$34=0,0,Inputs!$C$34+Inputs!$B$12*Inputs!$B$5*$B29^2/(Inputs!$D$34^2*Inputs!$H$34^4*Inputs!$I$34^2)+Inputs!$G$34*$B29^Inputs!$B$11)</f>
        <v/>
      </c>
    </row>
    <row r="30">
      <c r="A30" s="7" t="n">
        <v>25</v>
      </c>
      <c r="B30" s="37">
        <f>Inputs!$B$4*A30/200</f>
        <v/>
      </c>
      <c r="C30" s="11">
        <f>IF(Inputs!$D$23=0,0,Inputs!$C$23+Inputs!$B$12*Inputs!$B$5*$B30^2/(Inputs!$D$23^2*Inputs!$H$23^4*Inputs!$I$23^2)+Inputs!$G$23*$B30^Inputs!$B$11)</f>
        <v/>
      </c>
      <c r="D30" s="11">
        <f>IF(Inputs!$D$24=0,0,Inputs!$C$24+Inputs!$B$12*Inputs!$B$5*$B30^2/(Inputs!$D$24^2*Inputs!$H$24^4*Inputs!$I$24^2)+Inputs!$G$24*$B30^Inputs!$B$11)</f>
        <v/>
      </c>
      <c r="E30" s="11">
        <f>IF(Inputs!$D$25=0,0,Inputs!$C$25+Inputs!$B$12*Inputs!$B$5*$B30^2/(Inputs!$D$25^2*Inputs!$H$25^4*Inputs!$I$25^2)+Inputs!$G$25*$B30^Inputs!$B$11)</f>
        <v/>
      </c>
      <c r="F30" s="11">
        <f>IF(Inputs!$D$26=0,0,Inputs!$C$26+Inputs!$B$12*Inputs!$B$5*$B30^2/(Inputs!$D$26^2*Inputs!$H$26^4*Inputs!$I$26^2)+Inputs!$G$26*$B30^Inputs!$B$11)</f>
        <v/>
      </c>
      <c r="G30" s="11">
        <f>IF(Inputs!$D$27=0,0,Inputs!$C$27+Inputs!$B$12*Inputs!$B$5*$B30^2/(Inputs!$D$27^2*Inputs!$H$27^4*Inputs!$I$27^2)+Inputs!$G$27*$B30^Inputs!$B$11)</f>
        <v/>
      </c>
      <c r="H30" s="11">
        <f>IF(Inputs!$D$28=0,0,Inputs!$C$28+Inputs!$B$12*Inputs!$B$5*$B30^2/(Inputs!$D$28^2*Inputs!$H$28^4*Inputs!$I$28^2)+Inputs!$G$28*$B30^Inputs!$B$11)</f>
        <v/>
      </c>
      <c r="I30" s="11">
        <f>IF(Inputs!$D$29=0,0,Inputs!$C$29+Inputs!$B$12*Inputs!$B$5*$B30^2/(Inputs!$D$29^2*Inputs!$H$29^4*Inputs!$I$29^2)+Inputs!$G$29*$B30^Inputs!$B$11)</f>
        <v/>
      </c>
      <c r="J30" s="11">
        <f>IF(Inputs!$D$30=0,0,Inputs!$C$30+Inputs!$B$12*Inputs!$B$5*$B30^2/(Inputs!$D$30^2*Inputs!$H$30^4*Inputs!$I$30^2)+Inputs!$G$30*$B30^Inputs!$B$11)</f>
        <v/>
      </c>
      <c r="K30" s="11">
        <f>IF(Inputs!$D$31=0,0,Inputs!$C$31+Inputs!$B$12*Inputs!$B$5*$B30^2/(Inputs!$D$31^2*Inputs!$H$31^4*Inputs!$I$31^2)+Inputs!$G$31*$B30^Inputs!$B$11)</f>
        <v/>
      </c>
      <c r="L30" s="11">
        <f>IF(Inputs!$D$32=0,0,Inputs!$C$32+Inputs!$B$12*Inputs!$B$5*$B30^2/(Inputs!$D$32^2*Inputs!$H$32^4*Inputs!$I$32^2)+Inputs!$G$32*$B30^Inputs!$B$11)</f>
        <v/>
      </c>
      <c r="M30" s="11">
        <f>IF(Inputs!$D$33=0,0,Inputs!$C$33+Inputs!$B$12*Inputs!$B$5*$B30^2/(Inputs!$D$33^2*Inputs!$H$33^4*Inputs!$I$33^2)+Inputs!$G$33*$B30^Inputs!$B$11)</f>
        <v/>
      </c>
      <c r="N30" s="11">
        <f>IF(Inputs!$D$34=0,0,Inputs!$C$34+Inputs!$B$12*Inputs!$B$5*$B30^2/(Inputs!$D$34^2*Inputs!$H$34^4*Inputs!$I$34^2)+Inputs!$G$34*$B30^Inputs!$B$11)</f>
        <v/>
      </c>
    </row>
    <row r="31">
      <c r="A31" s="7" t="n">
        <v>26</v>
      </c>
      <c r="B31" s="37">
        <f>Inputs!$B$4*A31/200</f>
        <v/>
      </c>
      <c r="C31" s="11">
        <f>IF(Inputs!$D$23=0,0,Inputs!$C$23+Inputs!$B$12*Inputs!$B$5*$B31^2/(Inputs!$D$23^2*Inputs!$H$23^4*Inputs!$I$23^2)+Inputs!$G$23*$B31^Inputs!$B$11)</f>
        <v/>
      </c>
      <c r="D31" s="11">
        <f>IF(Inputs!$D$24=0,0,Inputs!$C$24+Inputs!$B$12*Inputs!$B$5*$B31^2/(Inputs!$D$24^2*Inputs!$H$24^4*Inputs!$I$24^2)+Inputs!$G$24*$B31^Inputs!$B$11)</f>
        <v/>
      </c>
      <c r="E31" s="11">
        <f>IF(Inputs!$D$25=0,0,Inputs!$C$25+Inputs!$B$12*Inputs!$B$5*$B31^2/(Inputs!$D$25^2*Inputs!$H$25^4*Inputs!$I$25^2)+Inputs!$G$25*$B31^Inputs!$B$11)</f>
        <v/>
      </c>
      <c r="F31" s="11">
        <f>IF(Inputs!$D$26=0,0,Inputs!$C$26+Inputs!$B$12*Inputs!$B$5*$B31^2/(Inputs!$D$26^2*Inputs!$H$26^4*Inputs!$I$26^2)+Inputs!$G$26*$B31^Inputs!$B$11)</f>
        <v/>
      </c>
      <c r="G31" s="11">
        <f>IF(Inputs!$D$27=0,0,Inputs!$C$27+Inputs!$B$12*Inputs!$B$5*$B31^2/(Inputs!$D$27^2*Inputs!$H$27^4*Inputs!$I$27^2)+Inputs!$G$27*$B31^Inputs!$B$11)</f>
        <v/>
      </c>
      <c r="H31" s="11">
        <f>IF(Inputs!$D$28=0,0,Inputs!$C$28+Inputs!$B$12*Inputs!$B$5*$B31^2/(Inputs!$D$28^2*Inputs!$H$28^4*Inputs!$I$28^2)+Inputs!$G$28*$B31^Inputs!$B$11)</f>
        <v/>
      </c>
      <c r="I31" s="11">
        <f>IF(Inputs!$D$29=0,0,Inputs!$C$29+Inputs!$B$12*Inputs!$B$5*$B31^2/(Inputs!$D$29^2*Inputs!$H$29^4*Inputs!$I$29^2)+Inputs!$G$29*$B31^Inputs!$B$11)</f>
        <v/>
      </c>
      <c r="J31" s="11">
        <f>IF(Inputs!$D$30=0,0,Inputs!$C$30+Inputs!$B$12*Inputs!$B$5*$B31^2/(Inputs!$D$30^2*Inputs!$H$30^4*Inputs!$I$30^2)+Inputs!$G$30*$B31^Inputs!$B$11)</f>
        <v/>
      </c>
      <c r="K31" s="11">
        <f>IF(Inputs!$D$31=0,0,Inputs!$C$31+Inputs!$B$12*Inputs!$B$5*$B31^2/(Inputs!$D$31^2*Inputs!$H$31^4*Inputs!$I$31^2)+Inputs!$G$31*$B31^Inputs!$B$11)</f>
        <v/>
      </c>
      <c r="L31" s="11">
        <f>IF(Inputs!$D$32=0,0,Inputs!$C$32+Inputs!$B$12*Inputs!$B$5*$B31^2/(Inputs!$D$32^2*Inputs!$H$32^4*Inputs!$I$32^2)+Inputs!$G$32*$B31^Inputs!$B$11)</f>
        <v/>
      </c>
      <c r="M31" s="11">
        <f>IF(Inputs!$D$33=0,0,Inputs!$C$33+Inputs!$B$12*Inputs!$B$5*$B31^2/(Inputs!$D$33^2*Inputs!$H$33^4*Inputs!$I$33^2)+Inputs!$G$33*$B31^Inputs!$B$11)</f>
        <v/>
      </c>
      <c r="N31" s="11">
        <f>IF(Inputs!$D$34=0,0,Inputs!$C$34+Inputs!$B$12*Inputs!$B$5*$B31^2/(Inputs!$D$34^2*Inputs!$H$34^4*Inputs!$I$34^2)+Inputs!$G$34*$B31^Inputs!$B$11)</f>
        <v/>
      </c>
    </row>
    <row r="32">
      <c r="A32" s="7" t="n">
        <v>27</v>
      </c>
      <c r="B32" s="37">
        <f>Inputs!$B$4*A32/200</f>
        <v/>
      </c>
      <c r="C32" s="11">
        <f>IF(Inputs!$D$23=0,0,Inputs!$C$23+Inputs!$B$12*Inputs!$B$5*$B32^2/(Inputs!$D$23^2*Inputs!$H$23^4*Inputs!$I$23^2)+Inputs!$G$23*$B32^Inputs!$B$11)</f>
        <v/>
      </c>
      <c r="D32" s="11">
        <f>IF(Inputs!$D$24=0,0,Inputs!$C$24+Inputs!$B$12*Inputs!$B$5*$B32^2/(Inputs!$D$24^2*Inputs!$H$24^4*Inputs!$I$24^2)+Inputs!$G$24*$B32^Inputs!$B$11)</f>
        <v/>
      </c>
      <c r="E32" s="11">
        <f>IF(Inputs!$D$25=0,0,Inputs!$C$25+Inputs!$B$12*Inputs!$B$5*$B32^2/(Inputs!$D$25^2*Inputs!$H$25^4*Inputs!$I$25^2)+Inputs!$G$25*$B32^Inputs!$B$11)</f>
        <v/>
      </c>
      <c r="F32" s="11">
        <f>IF(Inputs!$D$26=0,0,Inputs!$C$26+Inputs!$B$12*Inputs!$B$5*$B32^2/(Inputs!$D$26^2*Inputs!$H$26^4*Inputs!$I$26^2)+Inputs!$G$26*$B32^Inputs!$B$11)</f>
        <v/>
      </c>
      <c r="G32" s="11">
        <f>IF(Inputs!$D$27=0,0,Inputs!$C$27+Inputs!$B$12*Inputs!$B$5*$B32^2/(Inputs!$D$27^2*Inputs!$H$27^4*Inputs!$I$27^2)+Inputs!$G$27*$B32^Inputs!$B$11)</f>
        <v/>
      </c>
      <c r="H32" s="11">
        <f>IF(Inputs!$D$28=0,0,Inputs!$C$28+Inputs!$B$12*Inputs!$B$5*$B32^2/(Inputs!$D$28^2*Inputs!$H$28^4*Inputs!$I$28^2)+Inputs!$G$28*$B32^Inputs!$B$11)</f>
        <v/>
      </c>
      <c r="I32" s="11">
        <f>IF(Inputs!$D$29=0,0,Inputs!$C$29+Inputs!$B$12*Inputs!$B$5*$B32^2/(Inputs!$D$29^2*Inputs!$H$29^4*Inputs!$I$29^2)+Inputs!$G$29*$B32^Inputs!$B$11)</f>
        <v/>
      </c>
      <c r="J32" s="11">
        <f>IF(Inputs!$D$30=0,0,Inputs!$C$30+Inputs!$B$12*Inputs!$B$5*$B32^2/(Inputs!$D$30^2*Inputs!$H$30^4*Inputs!$I$30^2)+Inputs!$G$30*$B32^Inputs!$B$11)</f>
        <v/>
      </c>
      <c r="K32" s="11">
        <f>IF(Inputs!$D$31=0,0,Inputs!$C$31+Inputs!$B$12*Inputs!$B$5*$B32^2/(Inputs!$D$31^2*Inputs!$H$31^4*Inputs!$I$31^2)+Inputs!$G$31*$B32^Inputs!$B$11)</f>
        <v/>
      </c>
      <c r="L32" s="11">
        <f>IF(Inputs!$D$32=0,0,Inputs!$C$32+Inputs!$B$12*Inputs!$B$5*$B32^2/(Inputs!$D$32^2*Inputs!$H$32^4*Inputs!$I$32^2)+Inputs!$G$32*$B32^Inputs!$B$11)</f>
        <v/>
      </c>
      <c r="M32" s="11">
        <f>IF(Inputs!$D$33=0,0,Inputs!$C$33+Inputs!$B$12*Inputs!$B$5*$B32^2/(Inputs!$D$33^2*Inputs!$H$33^4*Inputs!$I$33^2)+Inputs!$G$33*$B32^Inputs!$B$11)</f>
        <v/>
      </c>
      <c r="N32" s="11">
        <f>IF(Inputs!$D$34=0,0,Inputs!$C$34+Inputs!$B$12*Inputs!$B$5*$B32^2/(Inputs!$D$34^2*Inputs!$H$34^4*Inputs!$I$34^2)+Inputs!$G$34*$B32^Inputs!$B$11)</f>
        <v/>
      </c>
    </row>
    <row r="33">
      <c r="A33" s="7" t="n">
        <v>28</v>
      </c>
      <c r="B33" s="37">
        <f>Inputs!$B$4*A33/200</f>
        <v/>
      </c>
      <c r="C33" s="11">
        <f>IF(Inputs!$D$23=0,0,Inputs!$C$23+Inputs!$B$12*Inputs!$B$5*$B33^2/(Inputs!$D$23^2*Inputs!$H$23^4*Inputs!$I$23^2)+Inputs!$G$23*$B33^Inputs!$B$11)</f>
        <v/>
      </c>
      <c r="D33" s="11">
        <f>IF(Inputs!$D$24=0,0,Inputs!$C$24+Inputs!$B$12*Inputs!$B$5*$B33^2/(Inputs!$D$24^2*Inputs!$H$24^4*Inputs!$I$24^2)+Inputs!$G$24*$B33^Inputs!$B$11)</f>
        <v/>
      </c>
      <c r="E33" s="11">
        <f>IF(Inputs!$D$25=0,0,Inputs!$C$25+Inputs!$B$12*Inputs!$B$5*$B33^2/(Inputs!$D$25^2*Inputs!$H$25^4*Inputs!$I$25^2)+Inputs!$G$25*$B33^Inputs!$B$11)</f>
        <v/>
      </c>
      <c r="F33" s="11">
        <f>IF(Inputs!$D$26=0,0,Inputs!$C$26+Inputs!$B$12*Inputs!$B$5*$B33^2/(Inputs!$D$26^2*Inputs!$H$26^4*Inputs!$I$26^2)+Inputs!$G$26*$B33^Inputs!$B$11)</f>
        <v/>
      </c>
      <c r="G33" s="11">
        <f>IF(Inputs!$D$27=0,0,Inputs!$C$27+Inputs!$B$12*Inputs!$B$5*$B33^2/(Inputs!$D$27^2*Inputs!$H$27^4*Inputs!$I$27^2)+Inputs!$G$27*$B33^Inputs!$B$11)</f>
        <v/>
      </c>
      <c r="H33" s="11">
        <f>IF(Inputs!$D$28=0,0,Inputs!$C$28+Inputs!$B$12*Inputs!$B$5*$B33^2/(Inputs!$D$28^2*Inputs!$H$28^4*Inputs!$I$28^2)+Inputs!$G$28*$B33^Inputs!$B$11)</f>
        <v/>
      </c>
      <c r="I33" s="11">
        <f>IF(Inputs!$D$29=0,0,Inputs!$C$29+Inputs!$B$12*Inputs!$B$5*$B33^2/(Inputs!$D$29^2*Inputs!$H$29^4*Inputs!$I$29^2)+Inputs!$G$29*$B33^Inputs!$B$11)</f>
        <v/>
      </c>
      <c r="J33" s="11">
        <f>IF(Inputs!$D$30=0,0,Inputs!$C$30+Inputs!$B$12*Inputs!$B$5*$B33^2/(Inputs!$D$30^2*Inputs!$H$30^4*Inputs!$I$30^2)+Inputs!$G$30*$B33^Inputs!$B$11)</f>
        <v/>
      </c>
      <c r="K33" s="11">
        <f>IF(Inputs!$D$31=0,0,Inputs!$C$31+Inputs!$B$12*Inputs!$B$5*$B33^2/(Inputs!$D$31^2*Inputs!$H$31^4*Inputs!$I$31^2)+Inputs!$G$31*$B33^Inputs!$B$11)</f>
        <v/>
      </c>
      <c r="L33" s="11">
        <f>IF(Inputs!$D$32=0,0,Inputs!$C$32+Inputs!$B$12*Inputs!$B$5*$B33^2/(Inputs!$D$32^2*Inputs!$H$32^4*Inputs!$I$32^2)+Inputs!$G$32*$B33^Inputs!$B$11)</f>
        <v/>
      </c>
      <c r="M33" s="11">
        <f>IF(Inputs!$D$33=0,0,Inputs!$C$33+Inputs!$B$12*Inputs!$B$5*$B33^2/(Inputs!$D$33^2*Inputs!$H$33^4*Inputs!$I$33^2)+Inputs!$G$33*$B33^Inputs!$B$11)</f>
        <v/>
      </c>
      <c r="N33" s="11">
        <f>IF(Inputs!$D$34=0,0,Inputs!$C$34+Inputs!$B$12*Inputs!$B$5*$B33^2/(Inputs!$D$34^2*Inputs!$H$34^4*Inputs!$I$34^2)+Inputs!$G$34*$B33^Inputs!$B$11)</f>
        <v/>
      </c>
    </row>
    <row r="34">
      <c r="A34" s="7" t="n">
        <v>29</v>
      </c>
      <c r="B34" s="37">
        <f>Inputs!$B$4*A34/200</f>
        <v/>
      </c>
      <c r="C34" s="11">
        <f>IF(Inputs!$D$23=0,0,Inputs!$C$23+Inputs!$B$12*Inputs!$B$5*$B34^2/(Inputs!$D$23^2*Inputs!$H$23^4*Inputs!$I$23^2)+Inputs!$G$23*$B34^Inputs!$B$11)</f>
        <v/>
      </c>
      <c r="D34" s="11">
        <f>IF(Inputs!$D$24=0,0,Inputs!$C$24+Inputs!$B$12*Inputs!$B$5*$B34^2/(Inputs!$D$24^2*Inputs!$H$24^4*Inputs!$I$24^2)+Inputs!$G$24*$B34^Inputs!$B$11)</f>
        <v/>
      </c>
      <c r="E34" s="11">
        <f>IF(Inputs!$D$25=0,0,Inputs!$C$25+Inputs!$B$12*Inputs!$B$5*$B34^2/(Inputs!$D$25^2*Inputs!$H$25^4*Inputs!$I$25^2)+Inputs!$G$25*$B34^Inputs!$B$11)</f>
        <v/>
      </c>
      <c r="F34" s="11">
        <f>IF(Inputs!$D$26=0,0,Inputs!$C$26+Inputs!$B$12*Inputs!$B$5*$B34^2/(Inputs!$D$26^2*Inputs!$H$26^4*Inputs!$I$26^2)+Inputs!$G$26*$B34^Inputs!$B$11)</f>
        <v/>
      </c>
      <c r="G34" s="11">
        <f>IF(Inputs!$D$27=0,0,Inputs!$C$27+Inputs!$B$12*Inputs!$B$5*$B34^2/(Inputs!$D$27^2*Inputs!$H$27^4*Inputs!$I$27^2)+Inputs!$G$27*$B34^Inputs!$B$11)</f>
        <v/>
      </c>
      <c r="H34" s="11">
        <f>IF(Inputs!$D$28=0,0,Inputs!$C$28+Inputs!$B$12*Inputs!$B$5*$B34^2/(Inputs!$D$28^2*Inputs!$H$28^4*Inputs!$I$28^2)+Inputs!$G$28*$B34^Inputs!$B$11)</f>
        <v/>
      </c>
      <c r="I34" s="11">
        <f>IF(Inputs!$D$29=0,0,Inputs!$C$29+Inputs!$B$12*Inputs!$B$5*$B34^2/(Inputs!$D$29^2*Inputs!$H$29^4*Inputs!$I$29^2)+Inputs!$G$29*$B34^Inputs!$B$11)</f>
        <v/>
      </c>
      <c r="J34" s="11">
        <f>IF(Inputs!$D$30=0,0,Inputs!$C$30+Inputs!$B$12*Inputs!$B$5*$B34^2/(Inputs!$D$30^2*Inputs!$H$30^4*Inputs!$I$30^2)+Inputs!$G$30*$B34^Inputs!$B$11)</f>
        <v/>
      </c>
      <c r="K34" s="11">
        <f>IF(Inputs!$D$31=0,0,Inputs!$C$31+Inputs!$B$12*Inputs!$B$5*$B34^2/(Inputs!$D$31^2*Inputs!$H$31^4*Inputs!$I$31^2)+Inputs!$G$31*$B34^Inputs!$B$11)</f>
        <v/>
      </c>
      <c r="L34" s="11">
        <f>IF(Inputs!$D$32=0,0,Inputs!$C$32+Inputs!$B$12*Inputs!$B$5*$B34^2/(Inputs!$D$32^2*Inputs!$H$32^4*Inputs!$I$32^2)+Inputs!$G$32*$B34^Inputs!$B$11)</f>
        <v/>
      </c>
      <c r="M34" s="11">
        <f>IF(Inputs!$D$33=0,0,Inputs!$C$33+Inputs!$B$12*Inputs!$B$5*$B34^2/(Inputs!$D$33^2*Inputs!$H$33^4*Inputs!$I$33^2)+Inputs!$G$33*$B34^Inputs!$B$11)</f>
        <v/>
      </c>
      <c r="N34" s="11">
        <f>IF(Inputs!$D$34=0,0,Inputs!$C$34+Inputs!$B$12*Inputs!$B$5*$B34^2/(Inputs!$D$34^2*Inputs!$H$34^4*Inputs!$I$34^2)+Inputs!$G$34*$B34^Inputs!$B$11)</f>
        <v/>
      </c>
    </row>
    <row r="35">
      <c r="A35" s="7" t="n">
        <v>30</v>
      </c>
      <c r="B35" s="37">
        <f>Inputs!$B$4*A35/200</f>
        <v/>
      </c>
      <c r="C35" s="11">
        <f>IF(Inputs!$D$23=0,0,Inputs!$C$23+Inputs!$B$12*Inputs!$B$5*$B35^2/(Inputs!$D$23^2*Inputs!$H$23^4*Inputs!$I$23^2)+Inputs!$G$23*$B35^Inputs!$B$11)</f>
        <v/>
      </c>
      <c r="D35" s="11">
        <f>IF(Inputs!$D$24=0,0,Inputs!$C$24+Inputs!$B$12*Inputs!$B$5*$B35^2/(Inputs!$D$24^2*Inputs!$H$24^4*Inputs!$I$24^2)+Inputs!$G$24*$B35^Inputs!$B$11)</f>
        <v/>
      </c>
      <c r="E35" s="11">
        <f>IF(Inputs!$D$25=0,0,Inputs!$C$25+Inputs!$B$12*Inputs!$B$5*$B35^2/(Inputs!$D$25^2*Inputs!$H$25^4*Inputs!$I$25^2)+Inputs!$G$25*$B35^Inputs!$B$11)</f>
        <v/>
      </c>
      <c r="F35" s="11">
        <f>IF(Inputs!$D$26=0,0,Inputs!$C$26+Inputs!$B$12*Inputs!$B$5*$B35^2/(Inputs!$D$26^2*Inputs!$H$26^4*Inputs!$I$26^2)+Inputs!$G$26*$B35^Inputs!$B$11)</f>
        <v/>
      </c>
      <c r="G35" s="11">
        <f>IF(Inputs!$D$27=0,0,Inputs!$C$27+Inputs!$B$12*Inputs!$B$5*$B35^2/(Inputs!$D$27^2*Inputs!$H$27^4*Inputs!$I$27^2)+Inputs!$G$27*$B35^Inputs!$B$11)</f>
        <v/>
      </c>
      <c r="H35" s="11">
        <f>IF(Inputs!$D$28=0,0,Inputs!$C$28+Inputs!$B$12*Inputs!$B$5*$B35^2/(Inputs!$D$28^2*Inputs!$H$28^4*Inputs!$I$28^2)+Inputs!$G$28*$B35^Inputs!$B$11)</f>
        <v/>
      </c>
      <c r="I35" s="11">
        <f>IF(Inputs!$D$29=0,0,Inputs!$C$29+Inputs!$B$12*Inputs!$B$5*$B35^2/(Inputs!$D$29^2*Inputs!$H$29^4*Inputs!$I$29^2)+Inputs!$G$29*$B35^Inputs!$B$11)</f>
        <v/>
      </c>
      <c r="J35" s="11">
        <f>IF(Inputs!$D$30=0,0,Inputs!$C$30+Inputs!$B$12*Inputs!$B$5*$B35^2/(Inputs!$D$30^2*Inputs!$H$30^4*Inputs!$I$30^2)+Inputs!$G$30*$B35^Inputs!$B$11)</f>
        <v/>
      </c>
      <c r="K35" s="11">
        <f>IF(Inputs!$D$31=0,0,Inputs!$C$31+Inputs!$B$12*Inputs!$B$5*$B35^2/(Inputs!$D$31^2*Inputs!$H$31^4*Inputs!$I$31^2)+Inputs!$G$31*$B35^Inputs!$B$11)</f>
        <v/>
      </c>
      <c r="L35" s="11">
        <f>IF(Inputs!$D$32=0,0,Inputs!$C$32+Inputs!$B$12*Inputs!$B$5*$B35^2/(Inputs!$D$32^2*Inputs!$H$32^4*Inputs!$I$32^2)+Inputs!$G$32*$B35^Inputs!$B$11)</f>
        <v/>
      </c>
      <c r="M35" s="11">
        <f>IF(Inputs!$D$33=0,0,Inputs!$C$33+Inputs!$B$12*Inputs!$B$5*$B35^2/(Inputs!$D$33^2*Inputs!$H$33^4*Inputs!$I$33^2)+Inputs!$G$33*$B35^Inputs!$B$11)</f>
        <v/>
      </c>
      <c r="N35" s="11">
        <f>IF(Inputs!$D$34=0,0,Inputs!$C$34+Inputs!$B$12*Inputs!$B$5*$B35^2/(Inputs!$D$34^2*Inputs!$H$34^4*Inputs!$I$34^2)+Inputs!$G$34*$B35^Inputs!$B$11)</f>
        <v/>
      </c>
    </row>
    <row r="36">
      <c r="A36" s="7" t="n">
        <v>31</v>
      </c>
      <c r="B36" s="37">
        <f>Inputs!$B$4*A36/200</f>
        <v/>
      </c>
      <c r="C36" s="11">
        <f>IF(Inputs!$D$23=0,0,Inputs!$C$23+Inputs!$B$12*Inputs!$B$5*$B36^2/(Inputs!$D$23^2*Inputs!$H$23^4*Inputs!$I$23^2)+Inputs!$G$23*$B36^Inputs!$B$11)</f>
        <v/>
      </c>
      <c r="D36" s="11">
        <f>IF(Inputs!$D$24=0,0,Inputs!$C$24+Inputs!$B$12*Inputs!$B$5*$B36^2/(Inputs!$D$24^2*Inputs!$H$24^4*Inputs!$I$24^2)+Inputs!$G$24*$B36^Inputs!$B$11)</f>
        <v/>
      </c>
      <c r="E36" s="11">
        <f>IF(Inputs!$D$25=0,0,Inputs!$C$25+Inputs!$B$12*Inputs!$B$5*$B36^2/(Inputs!$D$25^2*Inputs!$H$25^4*Inputs!$I$25^2)+Inputs!$G$25*$B36^Inputs!$B$11)</f>
        <v/>
      </c>
      <c r="F36" s="11">
        <f>IF(Inputs!$D$26=0,0,Inputs!$C$26+Inputs!$B$12*Inputs!$B$5*$B36^2/(Inputs!$D$26^2*Inputs!$H$26^4*Inputs!$I$26^2)+Inputs!$G$26*$B36^Inputs!$B$11)</f>
        <v/>
      </c>
      <c r="G36" s="11">
        <f>IF(Inputs!$D$27=0,0,Inputs!$C$27+Inputs!$B$12*Inputs!$B$5*$B36^2/(Inputs!$D$27^2*Inputs!$H$27^4*Inputs!$I$27^2)+Inputs!$G$27*$B36^Inputs!$B$11)</f>
        <v/>
      </c>
      <c r="H36" s="11">
        <f>IF(Inputs!$D$28=0,0,Inputs!$C$28+Inputs!$B$12*Inputs!$B$5*$B36^2/(Inputs!$D$28^2*Inputs!$H$28^4*Inputs!$I$28^2)+Inputs!$G$28*$B36^Inputs!$B$11)</f>
        <v/>
      </c>
      <c r="I36" s="11">
        <f>IF(Inputs!$D$29=0,0,Inputs!$C$29+Inputs!$B$12*Inputs!$B$5*$B36^2/(Inputs!$D$29^2*Inputs!$H$29^4*Inputs!$I$29^2)+Inputs!$G$29*$B36^Inputs!$B$11)</f>
        <v/>
      </c>
      <c r="J36" s="11">
        <f>IF(Inputs!$D$30=0,0,Inputs!$C$30+Inputs!$B$12*Inputs!$B$5*$B36^2/(Inputs!$D$30^2*Inputs!$H$30^4*Inputs!$I$30^2)+Inputs!$G$30*$B36^Inputs!$B$11)</f>
        <v/>
      </c>
      <c r="K36" s="11">
        <f>IF(Inputs!$D$31=0,0,Inputs!$C$31+Inputs!$B$12*Inputs!$B$5*$B36^2/(Inputs!$D$31^2*Inputs!$H$31^4*Inputs!$I$31^2)+Inputs!$G$31*$B36^Inputs!$B$11)</f>
        <v/>
      </c>
      <c r="L36" s="11">
        <f>IF(Inputs!$D$32=0,0,Inputs!$C$32+Inputs!$B$12*Inputs!$B$5*$B36^2/(Inputs!$D$32^2*Inputs!$H$32^4*Inputs!$I$32^2)+Inputs!$G$32*$B36^Inputs!$B$11)</f>
        <v/>
      </c>
      <c r="M36" s="11">
        <f>IF(Inputs!$D$33=0,0,Inputs!$C$33+Inputs!$B$12*Inputs!$B$5*$B36^2/(Inputs!$D$33^2*Inputs!$H$33^4*Inputs!$I$33^2)+Inputs!$G$33*$B36^Inputs!$B$11)</f>
        <v/>
      </c>
      <c r="N36" s="11">
        <f>IF(Inputs!$D$34=0,0,Inputs!$C$34+Inputs!$B$12*Inputs!$B$5*$B36^2/(Inputs!$D$34^2*Inputs!$H$34^4*Inputs!$I$34^2)+Inputs!$G$34*$B36^Inputs!$B$11)</f>
        <v/>
      </c>
    </row>
    <row r="37">
      <c r="A37" s="7" t="n">
        <v>32</v>
      </c>
      <c r="B37" s="37">
        <f>Inputs!$B$4*A37/200</f>
        <v/>
      </c>
      <c r="C37" s="11">
        <f>IF(Inputs!$D$23=0,0,Inputs!$C$23+Inputs!$B$12*Inputs!$B$5*$B37^2/(Inputs!$D$23^2*Inputs!$H$23^4*Inputs!$I$23^2)+Inputs!$G$23*$B37^Inputs!$B$11)</f>
        <v/>
      </c>
      <c r="D37" s="11">
        <f>IF(Inputs!$D$24=0,0,Inputs!$C$24+Inputs!$B$12*Inputs!$B$5*$B37^2/(Inputs!$D$24^2*Inputs!$H$24^4*Inputs!$I$24^2)+Inputs!$G$24*$B37^Inputs!$B$11)</f>
        <v/>
      </c>
      <c r="E37" s="11">
        <f>IF(Inputs!$D$25=0,0,Inputs!$C$25+Inputs!$B$12*Inputs!$B$5*$B37^2/(Inputs!$D$25^2*Inputs!$H$25^4*Inputs!$I$25^2)+Inputs!$G$25*$B37^Inputs!$B$11)</f>
        <v/>
      </c>
      <c r="F37" s="11">
        <f>IF(Inputs!$D$26=0,0,Inputs!$C$26+Inputs!$B$12*Inputs!$B$5*$B37^2/(Inputs!$D$26^2*Inputs!$H$26^4*Inputs!$I$26^2)+Inputs!$G$26*$B37^Inputs!$B$11)</f>
        <v/>
      </c>
      <c r="G37" s="11">
        <f>IF(Inputs!$D$27=0,0,Inputs!$C$27+Inputs!$B$12*Inputs!$B$5*$B37^2/(Inputs!$D$27^2*Inputs!$H$27^4*Inputs!$I$27^2)+Inputs!$G$27*$B37^Inputs!$B$11)</f>
        <v/>
      </c>
      <c r="H37" s="11">
        <f>IF(Inputs!$D$28=0,0,Inputs!$C$28+Inputs!$B$12*Inputs!$B$5*$B37^2/(Inputs!$D$28^2*Inputs!$H$28^4*Inputs!$I$28^2)+Inputs!$G$28*$B37^Inputs!$B$11)</f>
        <v/>
      </c>
      <c r="I37" s="11">
        <f>IF(Inputs!$D$29=0,0,Inputs!$C$29+Inputs!$B$12*Inputs!$B$5*$B37^2/(Inputs!$D$29^2*Inputs!$H$29^4*Inputs!$I$29^2)+Inputs!$G$29*$B37^Inputs!$B$11)</f>
        <v/>
      </c>
      <c r="J37" s="11">
        <f>IF(Inputs!$D$30=0,0,Inputs!$C$30+Inputs!$B$12*Inputs!$B$5*$B37^2/(Inputs!$D$30^2*Inputs!$H$30^4*Inputs!$I$30^2)+Inputs!$G$30*$B37^Inputs!$B$11)</f>
        <v/>
      </c>
      <c r="K37" s="11">
        <f>IF(Inputs!$D$31=0,0,Inputs!$C$31+Inputs!$B$12*Inputs!$B$5*$B37^2/(Inputs!$D$31^2*Inputs!$H$31^4*Inputs!$I$31^2)+Inputs!$G$31*$B37^Inputs!$B$11)</f>
        <v/>
      </c>
      <c r="L37" s="11">
        <f>IF(Inputs!$D$32=0,0,Inputs!$C$32+Inputs!$B$12*Inputs!$B$5*$B37^2/(Inputs!$D$32^2*Inputs!$H$32^4*Inputs!$I$32^2)+Inputs!$G$32*$B37^Inputs!$B$11)</f>
        <v/>
      </c>
      <c r="M37" s="11">
        <f>IF(Inputs!$D$33=0,0,Inputs!$C$33+Inputs!$B$12*Inputs!$B$5*$B37^2/(Inputs!$D$33^2*Inputs!$H$33^4*Inputs!$I$33^2)+Inputs!$G$33*$B37^Inputs!$B$11)</f>
        <v/>
      </c>
      <c r="N37" s="11">
        <f>IF(Inputs!$D$34=0,0,Inputs!$C$34+Inputs!$B$12*Inputs!$B$5*$B37^2/(Inputs!$D$34^2*Inputs!$H$34^4*Inputs!$I$34^2)+Inputs!$G$34*$B37^Inputs!$B$11)</f>
        <v/>
      </c>
    </row>
    <row r="38">
      <c r="A38" s="7" t="n">
        <v>33</v>
      </c>
      <c r="B38" s="37">
        <f>Inputs!$B$4*A38/200</f>
        <v/>
      </c>
      <c r="C38" s="11">
        <f>IF(Inputs!$D$23=0,0,Inputs!$C$23+Inputs!$B$12*Inputs!$B$5*$B38^2/(Inputs!$D$23^2*Inputs!$H$23^4*Inputs!$I$23^2)+Inputs!$G$23*$B38^Inputs!$B$11)</f>
        <v/>
      </c>
      <c r="D38" s="11">
        <f>IF(Inputs!$D$24=0,0,Inputs!$C$24+Inputs!$B$12*Inputs!$B$5*$B38^2/(Inputs!$D$24^2*Inputs!$H$24^4*Inputs!$I$24^2)+Inputs!$G$24*$B38^Inputs!$B$11)</f>
        <v/>
      </c>
      <c r="E38" s="11">
        <f>IF(Inputs!$D$25=0,0,Inputs!$C$25+Inputs!$B$12*Inputs!$B$5*$B38^2/(Inputs!$D$25^2*Inputs!$H$25^4*Inputs!$I$25^2)+Inputs!$G$25*$B38^Inputs!$B$11)</f>
        <v/>
      </c>
      <c r="F38" s="11">
        <f>IF(Inputs!$D$26=0,0,Inputs!$C$26+Inputs!$B$12*Inputs!$B$5*$B38^2/(Inputs!$D$26^2*Inputs!$H$26^4*Inputs!$I$26^2)+Inputs!$G$26*$B38^Inputs!$B$11)</f>
        <v/>
      </c>
      <c r="G38" s="11">
        <f>IF(Inputs!$D$27=0,0,Inputs!$C$27+Inputs!$B$12*Inputs!$B$5*$B38^2/(Inputs!$D$27^2*Inputs!$H$27^4*Inputs!$I$27^2)+Inputs!$G$27*$B38^Inputs!$B$11)</f>
        <v/>
      </c>
      <c r="H38" s="11">
        <f>IF(Inputs!$D$28=0,0,Inputs!$C$28+Inputs!$B$12*Inputs!$B$5*$B38^2/(Inputs!$D$28^2*Inputs!$H$28^4*Inputs!$I$28^2)+Inputs!$G$28*$B38^Inputs!$B$11)</f>
        <v/>
      </c>
      <c r="I38" s="11">
        <f>IF(Inputs!$D$29=0,0,Inputs!$C$29+Inputs!$B$12*Inputs!$B$5*$B38^2/(Inputs!$D$29^2*Inputs!$H$29^4*Inputs!$I$29^2)+Inputs!$G$29*$B38^Inputs!$B$11)</f>
        <v/>
      </c>
      <c r="J38" s="11">
        <f>IF(Inputs!$D$30=0,0,Inputs!$C$30+Inputs!$B$12*Inputs!$B$5*$B38^2/(Inputs!$D$30^2*Inputs!$H$30^4*Inputs!$I$30^2)+Inputs!$G$30*$B38^Inputs!$B$11)</f>
        <v/>
      </c>
      <c r="K38" s="11">
        <f>IF(Inputs!$D$31=0,0,Inputs!$C$31+Inputs!$B$12*Inputs!$B$5*$B38^2/(Inputs!$D$31^2*Inputs!$H$31^4*Inputs!$I$31^2)+Inputs!$G$31*$B38^Inputs!$B$11)</f>
        <v/>
      </c>
      <c r="L38" s="11">
        <f>IF(Inputs!$D$32=0,0,Inputs!$C$32+Inputs!$B$12*Inputs!$B$5*$B38^2/(Inputs!$D$32^2*Inputs!$H$32^4*Inputs!$I$32^2)+Inputs!$G$32*$B38^Inputs!$B$11)</f>
        <v/>
      </c>
      <c r="M38" s="11">
        <f>IF(Inputs!$D$33=0,0,Inputs!$C$33+Inputs!$B$12*Inputs!$B$5*$B38^2/(Inputs!$D$33^2*Inputs!$H$33^4*Inputs!$I$33^2)+Inputs!$G$33*$B38^Inputs!$B$11)</f>
        <v/>
      </c>
      <c r="N38" s="11">
        <f>IF(Inputs!$D$34=0,0,Inputs!$C$34+Inputs!$B$12*Inputs!$B$5*$B38^2/(Inputs!$D$34^2*Inputs!$H$34^4*Inputs!$I$34^2)+Inputs!$G$34*$B38^Inputs!$B$11)</f>
        <v/>
      </c>
    </row>
    <row r="39">
      <c r="A39" s="7" t="n">
        <v>34</v>
      </c>
      <c r="B39" s="37">
        <f>Inputs!$B$4*A39/200</f>
        <v/>
      </c>
      <c r="C39" s="11">
        <f>IF(Inputs!$D$23=0,0,Inputs!$C$23+Inputs!$B$12*Inputs!$B$5*$B39^2/(Inputs!$D$23^2*Inputs!$H$23^4*Inputs!$I$23^2)+Inputs!$G$23*$B39^Inputs!$B$11)</f>
        <v/>
      </c>
      <c r="D39" s="11">
        <f>IF(Inputs!$D$24=0,0,Inputs!$C$24+Inputs!$B$12*Inputs!$B$5*$B39^2/(Inputs!$D$24^2*Inputs!$H$24^4*Inputs!$I$24^2)+Inputs!$G$24*$B39^Inputs!$B$11)</f>
        <v/>
      </c>
      <c r="E39" s="11">
        <f>IF(Inputs!$D$25=0,0,Inputs!$C$25+Inputs!$B$12*Inputs!$B$5*$B39^2/(Inputs!$D$25^2*Inputs!$H$25^4*Inputs!$I$25^2)+Inputs!$G$25*$B39^Inputs!$B$11)</f>
        <v/>
      </c>
      <c r="F39" s="11">
        <f>IF(Inputs!$D$26=0,0,Inputs!$C$26+Inputs!$B$12*Inputs!$B$5*$B39^2/(Inputs!$D$26^2*Inputs!$H$26^4*Inputs!$I$26^2)+Inputs!$G$26*$B39^Inputs!$B$11)</f>
        <v/>
      </c>
      <c r="G39" s="11">
        <f>IF(Inputs!$D$27=0,0,Inputs!$C$27+Inputs!$B$12*Inputs!$B$5*$B39^2/(Inputs!$D$27^2*Inputs!$H$27^4*Inputs!$I$27^2)+Inputs!$G$27*$B39^Inputs!$B$11)</f>
        <v/>
      </c>
      <c r="H39" s="11">
        <f>IF(Inputs!$D$28=0,0,Inputs!$C$28+Inputs!$B$12*Inputs!$B$5*$B39^2/(Inputs!$D$28^2*Inputs!$H$28^4*Inputs!$I$28^2)+Inputs!$G$28*$B39^Inputs!$B$11)</f>
        <v/>
      </c>
      <c r="I39" s="11">
        <f>IF(Inputs!$D$29=0,0,Inputs!$C$29+Inputs!$B$12*Inputs!$B$5*$B39^2/(Inputs!$D$29^2*Inputs!$H$29^4*Inputs!$I$29^2)+Inputs!$G$29*$B39^Inputs!$B$11)</f>
        <v/>
      </c>
      <c r="J39" s="11">
        <f>IF(Inputs!$D$30=0,0,Inputs!$C$30+Inputs!$B$12*Inputs!$B$5*$B39^2/(Inputs!$D$30^2*Inputs!$H$30^4*Inputs!$I$30^2)+Inputs!$G$30*$B39^Inputs!$B$11)</f>
        <v/>
      </c>
      <c r="K39" s="11">
        <f>IF(Inputs!$D$31=0,0,Inputs!$C$31+Inputs!$B$12*Inputs!$B$5*$B39^2/(Inputs!$D$31^2*Inputs!$H$31^4*Inputs!$I$31^2)+Inputs!$G$31*$B39^Inputs!$B$11)</f>
        <v/>
      </c>
      <c r="L39" s="11">
        <f>IF(Inputs!$D$32=0,0,Inputs!$C$32+Inputs!$B$12*Inputs!$B$5*$B39^2/(Inputs!$D$32^2*Inputs!$H$32^4*Inputs!$I$32^2)+Inputs!$G$32*$B39^Inputs!$B$11)</f>
        <v/>
      </c>
      <c r="M39" s="11">
        <f>IF(Inputs!$D$33=0,0,Inputs!$C$33+Inputs!$B$12*Inputs!$B$5*$B39^2/(Inputs!$D$33^2*Inputs!$H$33^4*Inputs!$I$33^2)+Inputs!$G$33*$B39^Inputs!$B$11)</f>
        <v/>
      </c>
      <c r="N39" s="11">
        <f>IF(Inputs!$D$34=0,0,Inputs!$C$34+Inputs!$B$12*Inputs!$B$5*$B39^2/(Inputs!$D$34^2*Inputs!$H$34^4*Inputs!$I$34^2)+Inputs!$G$34*$B39^Inputs!$B$11)</f>
        <v/>
      </c>
    </row>
    <row r="40">
      <c r="A40" s="7" t="n">
        <v>35</v>
      </c>
      <c r="B40" s="37">
        <f>Inputs!$B$4*A40/200</f>
        <v/>
      </c>
      <c r="C40" s="11">
        <f>IF(Inputs!$D$23=0,0,Inputs!$C$23+Inputs!$B$12*Inputs!$B$5*$B40^2/(Inputs!$D$23^2*Inputs!$H$23^4*Inputs!$I$23^2)+Inputs!$G$23*$B40^Inputs!$B$11)</f>
        <v/>
      </c>
      <c r="D40" s="11">
        <f>IF(Inputs!$D$24=0,0,Inputs!$C$24+Inputs!$B$12*Inputs!$B$5*$B40^2/(Inputs!$D$24^2*Inputs!$H$24^4*Inputs!$I$24^2)+Inputs!$G$24*$B40^Inputs!$B$11)</f>
        <v/>
      </c>
      <c r="E40" s="11">
        <f>IF(Inputs!$D$25=0,0,Inputs!$C$25+Inputs!$B$12*Inputs!$B$5*$B40^2/(Inputs!$D$25^2*Inputs!$H$25^4*Inputs!$I$25^2)+Inputs!$G$25*$B40^Inputs!$B$11)</f>
        <v/>
      </c>
      <c r="F40" s="11">
        <f>IF(Inputs!$D$26=0,0,Inputs!$C$26+Inputs!$B$12*Inputs!$B$5*$B40^2/(Inputs!$D$26^2*Inputs!$H$26^4*Inputs!$I$26^2)+Inputs!$G$26*$B40^Inputs!$B$11)</f>
        <v/>
      </c>
      <c r="G40" s="11">
        <f>IF(Inputs!$D$27=0,0,Inputs!$C$27+Inputs!$B$12*Inputs!$B$5*$B40^2/(Inputs!$D$27^2*Inputs!$H$27^4*Inputs!$I$27^2)+Inputs!$G$27*$B40^Inputs!$B$11)</f>
        <v/>
      </c>
      <c r="H40" s="11">
        <f>IF(Inputs!$D$28=0,0,Inputs!$C$28+Inputs!$B$12*Inputs!$B$5*$B40^2/(Inputs!$D$28^2*Inputs!$H$28^4*Inputs!$I$28^2)+Inputs!$G$28*$B40^Inputs!$B$11)</f>
        <v/>
      </c>
      <c r="I40" s="11">
        <f>IF(Inputs!$D$29=0,0,Inputs!$C$29+Inputs!$B$12*Inputs!$B$5*$B40^2/(Inputs!$D$29^2*Inputs!$H$29^4*Inputs!$I$29^2)+Inputs!$G$29*$B40^Inputs!$B$11)</f>
        <v/>
      </c>
      <c r="J40" s="11">
        <f>IF(Inputs!$D$30=0,0,Inputs!$C$30+Inputs!$B$12*Inputs!$B$5*$B40^2/(Inputs!$D$30^2*Inputs!$H$30^4*Inputs!$I$30^2)+Inputs!$G$30*$B40^Inputs!$B$11)</f>
        <v/>
      </c>
      <c r="K40" s="11">
        <f>IF(Inputs!$D$31=0,0,Inputs!$C$31+Inputs!$B$12*Inputs!$B$5*$B40^2/(Inputs!$D$31^2*Inputs!$H$31^4*Inputs!$I$31^2)+Inputs!$G$31*$B40^Inputs!$B$11)</f>
        <v/>
      </c>
      <c r="L40" s="11">
        <f>IF(Inputs!$D$32=0,0,Inputs!$C$32+Inputs!$B$12*Inputs!$B$5*$B40^2/(Inputs!$D$32^2*Inputs!$H$32^4*Inputs!$I$32^2)+Inputs!$G$32*$B40^Inputs!$B$11)</f>
        <v/>
      </c>
      <c r="M40" s="11">
        <f>IF(Inputs!$D$33=0,0,Inputs!$C$33+Inputs!$B$12*Inputs!$B$5*$B40^2/(Inputs!$D$33^2*Inputs!$H$33^4*Inputs!$I$33^2)+Inputs!$G$33*$B40^Inputs!$B$11)</f>
        <v/>
      </c>
      <c r="N40" s="11">
        <f>IF(Inputs!$D$34=0,0,Inputs!$C$34+Inputs!$B$12*Inputs!$B$5*$B40^2/(Inputs!$D$34^2*Inputs!$H$34^4*Inputs!$I$34^2)+Inputs!$G$34*$B40^Inputs!$B$11)</f>
        <v/>
      </c>
    </row>
    <row r="41">
      <c r="A41" s="7" t="n">
        <v>36</v>
      </c>
      <c r="B41" s="37">
        <f>Inputs!$B$4*A41/200</f>
        <v/>
      </c>
      <c r="C41" s="11">
        <f>IF(Inputs!$D$23=0,0,Inputs!$C$23+Inputs!$B$12*Inputs!$B$5*$B41^2/(Inputs!$D$23^2*Inputs!$H$23^4*Inputs!$I$23^2)+Inputs!$G$23*$B41^Inputs!$B$11)</f>
        <v/>
      </c>
      <c r="D41" s="11">
        <f>IF(Inputs!$D$24=0,0,Inputs!$C$24+Inputs!$B$12*Inputs!$B$5*$B41^2/(Inputs!$D$24^2*Inputs!$H$24^4*Inputs!$I$24^2)+Inputs!$G$24*$B41^Inputs!$B$11)</f>
        <v/>
      </c>
      <c r="E41" s="11">
        <f>IF(Inputs!$D$25=0,0,Inputs!$C$25+Inputs!$B$12*Inputs!$B$5*$B41^2/(Inputs!$D$25^2*Inputs!$H$25^4*Inputs!$I$25^2)+Inputs!$G$25*$B41^Inputs!$B$11)</f>
        <v/>
      </c>
      <c r="F41" s="11">
        <f>IF(Inputs!$D$26=0,0,Inputs!$C$26+Inputs!$B$12*Inputs!$B$5*$B41^2/(Inputs!$D$26^2*Inputs!$H$26^4*Inputs!$I$26^2)+Inputs!$G$26*$B41^Inputs!$B$11)</f>
        <v/>
      </c>
      <c r="G41" s="11">
        <f>IF(Inputs!$D$27=0,0,Inputs!$C$27+Inputs!$B$12*Inputs!$B$5*$B41^2/(Inputs!$D$27^2*Inputs!$H$27^4*Inputs!$I$27^2)+Inputs!$G$27*$B41^Inputs!$B$11)</f>
        <v/>
      </c>
      <c r="H41" s="11">
        <f>IF(Inputs!$D$28=0,0,Inputs!$C$28+Inputs!$B$12*Inputs!$B$5*$B41^2/(Inputs!$D$28^2*Inputs!$H$28^4*Inputs!$I$28^2)+Inputs!$G$28*$B41^Inputs!$B$11)</f>
        <v/>
      </c>
      <c r="I41" s="11">
        <f>IF(Inputs!$D$29=0,0,Inputs!$C$29+Inputs!$B$12*Inputs!$B$5*$B41^2/(Inputs!$D$29^2*Inputs!$H$29^4*Inputs!$I$29^2)+Inputs!$G$29*$B41^Inputs!$B$11)</f>
        <v/>
      </c>
      <c r="J41" s="11">
        <f>IF(Inputs!$D$30=0,0,Inputs!$C$30+Inputs!$B$12*Inputs!$B$5*$B41^2/(Inputs!$D$30^2*Inputs!$H$30^4*Inputs!$I$30^2)+Inputs!$G$30*$B41^Inputs!$B$11)</f>
        <v/>
      </c>
      <c r="K41" s="11">
        <f>IF(Inputs!$D$31=0,0,Inputs!$C$31+Inputs!$B$12*Inputs!$B$5*$B41^2/(Inputs!$D$31^2*Inputs!$H$31^4*Inputs!$I$31^2)+Inputs!$G$31*$B41^Inputs!$B$11)</f>
        <v/>
      </c>
      <c r="L41" s="11">
        <f>IF(Inputs!$D$32=0,0,Inputs!$C$32+Inputs!$B$12*Inputs!$B$5*$B41^2/(Inputs!$D$32^2*Inputs!$H$32^4*Inputs!$I$32^2)+Inputs!$G$32*$B41^Inputs!$B$11)</f>
        <v/>
      </c>
      <c r="M41" s="11">
        <f>IF(Inputs!$D$33=0,0,Inputs!$C$33+Inputs!$B$12*Inputs!$B$5*$B41^2/(Inputs!$D$33^2*Inputs!$H$33^4*Inputs!$I$33^2)+Inputs!$G$33*$B41^Inputs!$B$11)</f>
        <v/>
      </c>
      <c r="N41" s="11">
        <f>IF(Inputs!$D$34=0,0,Inputs!$C$34+Inputs!$B$12*Inputs!$B$5*$B41^2/(Inputs!$D$34^2*Inputs!$H$34^4*Inputs!$I$34^2)+Inputs!$G$34*$B41^Inputs!$B$11)</f>
        <v/>
      </c>
    </row>
    <row r="42">
      <c r="A42" s="7" t="n">
        <v>37</v>
      </c>
      <c r="B42" s="37">
        <f>Inputs!$B$4*A42/200</f>
        <v/>
      </c>
      <c r="C42" s="11">
        <f>IF(Inputs!$D$23=0,0,Inputs!$C$23+Inputs!$B$12*Inputs!$B$5*$B42^2/(Inputs!$D$23^2*Inputs!$H$23^4*Inputs!$I$23^2)+Inputs!$G$23*$B42^Inputs!$B$11)</f>
        <v/>
      </c>
      <c r="D42" s="11">
        <f>IF(Inputs!$D$24=0,0,Inputs!$C$24+Inputs!$B$12*Inputs!$B$5*$B42^2/(Inputs!$D$24^2*Inputs!$H$24^4*Inputs!$I$24^2)+Inputs!$G$24*$B42^Inputs!$B$11)</f>
        <v/>
      </c>
      <c r="E42" s="11">
        <f>IF(Inputs!$D$25=0,0,Inputs!$C$25+Inputs!$B$12*Inputs!$B$5*$B42^2/(Inputs!$D$25^2*Inputs!$H$25^4*Inputs!$I$25^2)+Inputs!$G$25*$B42^Inputs!$B$11)</f>
        <v/>
      </c>
      <c r="F42" s="11">
        <f>IF(Inputs!$D$26=0,0,Inputs!$C$26+Inputs!$B$12*Inputs!$B$5*$B42^2/(Inputs!$D$26^2*Inputs!$H$26^4*Inputs!$I$26^2)+Inputs!$G$26*$B42^Inputs!$B$11)</f>
        <v/>
      </c>
      <c r="G42" s="11">
        <f>IF(Inputs!$D$27=0,0,Inputs!$C$27+Inputs!$B$12*Inputs!$B$5*$B42^2/(Inputs!$D$27^2*Inputs!$H$27^4*Inputs!$I$27^2)+Inputs!$G$27*$B42^Inputs!$B$11)</f>
        <v/>
      </c>
      <c r="H42" s="11">
        <f>IF(Inputs!$D$28=0,0,Inputs!$C$28+Inputs!$B$12*Inputs!$B$5*$B42^2/(Inputs!$D$28^2*Inputs!$H$28^4*Inputs!$I$28^2)+Inputs!$G$28*$B42^Inputs!$B$11)</f>
        <v/>
      </c>
      <c r="I42" s="11">
        <f>IF(Inputs!$D$29=0,0,Inputs!$C$29+Inputs!$B$12*Inputs!$B$5*$B42^2/(Inputs!$D$29^2*Inputs!$H$29^4*Inputs!$I$29^2)+Inputs!$G$29*$B42^Inputs!$B$11)</f>
        <v/>
      </c>
      <c r="J42" s="11">
        <f>IF(Inputs!$D$30=0,0,Inputs!$C$30+Inputs!$B$12*Inputs!$B$5*$B42^2/(Inputs!$D$30^2*Inputs!$H$30^4*Inputs!$I$30^2)+Inputs!$G$30*$B42^Inputs!$B$11)</f>
        <v/>
      </c>
      <c r="K42" s="11">
        <f>IF(Inputs!$D$31=0,0,Inputs!$C$31+Inputs!$B$12*Inputs!$B$5*$B42^2/(Inputs!$D$31^2*Inputs!$H$31^4*Inputs!$I$31^2)+Inputs!$G$31*$B42^Inputs!$B$11)</f>
        <v/>
      </c>
      <c r="L42" s="11">
        <f>IF(Inputs!$D$32=0,0,Inputs!$C$32+Inputs!$B$12*Inputs!$B$5*$B42^2/(Inputs!$D$32^2*Inputs!$H$32^4*Inputs!$I$32^2)+Inputs!$G$32*$B42^Inputs!$B$11)</f>
        <v/>
      </c>
      <c r="M42" s="11">
        <f>IF(Inputs!$D$33=0,0,Inputs!$C$33+Inputs!$B$12*Inputs!$B$5*$B42^2/(Inputs!$D$33^2*Inputs!$H$33^4*Inputs!$I$33^2)+Inputs!$G$33*$B42^Inputs!$B$11)</f>
        <v/>
      </c>
      <c r="N42" s="11">
        <f>IF(Inputs!$D$34=0,0,Inputs!$C$34+Inputs!$B$12*Inputs!$B$5*$B42^2/(Inputs!$D$34^2*Inputs!$H$34^4*Inputs!$I$34^2)+Inputs!$G$34*$B42^Inputs!$B$11)</f>
        <v/>
      </c>
    </row>
    <row r="43">
      <c r="A43" s="7" t="n">
        <v>38</v>
      </c>
      <c r="B43" s="37">
        <f>Inputs!$B$4*A43/200</f>
        <v/>
      </c>
      <c r="C43" s="11">
        <f>IF(Inputs!$D$23=0,0,Inputs!$C$23+Inputs!$B$12*Inputs!$B$5*$B43^2/(Inputs!$D$23^2*Inputs!$H$23^4*Inputs!$I$23^2)+Inputs!$G$23*$B43^Inputs!$B$11)</f>
        <v/>
      </c>
      <c r="D43" s="11">
        <f>IF(Inputs!$D$24=0,0,Inputs!$C$24+Inputs!$B$12*Inputs!$B$5*$B43^2/(Inputs!$D$24^2*Inputs!$H$24^4*Inputs!$I$24^2)+Inputs!$G$24*$B43^Inputs!$B$11)</f>
        <v/>
      </c>
      <c r="E43" s="11">
        <f>IF(Inputs!$D$25=0,0,Inputs!$C$25+Inputs!$B$12*Inputs!$B$5*$B43^2/(Inputs!$D$25^2*Inputs!$H$25^4*Inputs!$I$25^2)+Inputs!$G$25*$B43^Inputs!$B$11)</f>
        <v/>
      </c>
      <c r="F43" s="11">
        <f>IF(Inputs!$D$26=0,0,Inputs!$C$26+Inputs!$B$12*Inputs!$B$5*$B43^2/(Inputs!$D$26^2*Inputs!$H$26^4*Inputs!$I$26^2)+Inputs!$G$26*$B43^Inputs!$B$11)</f>
        <v/>
      </c>
      <c r="G43" s="11">
        <f>IF(Inputs!$D$27=0,0,Inputs!$C$27+Inputs!$B$12*Inputs!$B$5*$B43^2/(Inputs!$D$27^2*Inputs!$H$27^4*Inputs!$I$27^2)+Inputs!$G$27*$B43^Inputs!$B$11)</f>
        <v/>
      </c>
      <c r="H43" s="11">
        <f>IF(Inputs!$D$28=0,0,Inputs!$C$28+Inputs!$B$12*Inputs!$B$5*$B43^2/(Inputs!$D$28^2*Inputs!$H$28^4*Inputs!$I$28^2)+Inputs!$G$28*$B43^Inputs!$B$11)</f>
        <v/>
      </c>
      <c r="I43" s="11">
        <f>IF(Inputs!$D$29=0,0,Inputs!$C$29+Inputs!$B$12*Inputs!$B$5*$B43^2/(Inputs!$D$29^2*Inputs!$H$29^4*Inputs!$I$29^2)+Inputs!$G$29*$B43^Inputs!$B$11)</f>
        <v/>
      </c>
      <c r="J43" s="11">
        <f>IF(Inputs!$D$30=0,0,Inputs!$C$30+Inputs!$B$12*Inputs!$B$5*$B43^2/(Inputs!$D$30^2*Inputs!$H$30^4*Inputs!$I$30^2)+Inputs!$G$30*$B43^Inputs!$B$11)</f>
        <v/>
      </c>
      <c r="K43" s="11">
        <f>IF(Inputs!$D$31=0,0,Inputs!$C$31+Inputs!$B$12*Inputs!$B$5*$B43^2/(Inputs!$D$31^2*Inputs!$H$31^4*Inputs!$I$31^2)+Inputs!$G$31*$B43^Inputs!$B$11)</f>
        <v/>
      </c>
      <c r="L43" s="11">
        <f>IF(Inputs!$D$32=0,0,Inputs!$C$32+Inputs!$B$12*Inputs!$B$5*$B43^2/(Inputs!$D$32^2*Inputs!$H$32^4*Inputs!$I$32^2)+Inputs!$G$32*$B43^Inputs!$B$11)</f>
        <v/>
      </c>
      <c r="M43" s="11">
        <f>IF(Inputs!$D$33=0,0,Inputs!$C$33+Inputs!$B$12*Inputs!$B$5*$B43^2/(Inputs!$D$33^2*Inputs!$H$33^4*Inputs!$I$33^2)+Inputs!$G$33*$B43^Inputs!$B$11)</f>
        <v/>
      </c>
      <c r="N43" s="11">
        <f>IF(Inputs!$D$34=0,0,Inputs!$C$34+Inputs!$B$12*Inputs!$B$5*$B43^2/(Inputs!$D$34^2*Inputs!$H$34^4*Inputs!$I$34^2)+Inputs!$G$34*$B43^Inputs!$B$11)</f>
        <v/>
      </c>
    </row>
    <row r="44">
      <c r="A44" s="7" t="n">
        <v>39</v>
      </c>
      <c r="B44" s="37">
        <f>Inputs!$B$4*A44/200</f>
        <v/>
      </c>
      <c r="C44" s="11">
        <f>IF(Inputs!$D$23=0,0,Inputs!$C$23+Inputs!$B$12*Inputs!$B$5*$B44^2/(Inputs!$D$23^2*Inputs!$H$23^4*Inputs!$I$23^2)+Inputs!$G$23*$B44^Inputs!$B$11)</f>
        <v/>
      </c>
      <c r="D44" s="11">
        <f>IF(Inputs!$D$24=0,0,Inputs!$C$24+Inputs!$B$12*Inputs!$B$5*$B44^2/(Inputs!$D$24^2*Inputs!$H$24^4*Inputs!$I$24^2)+Inputs!$G$24*$B44^Inputs!$B$11)</f>
        <v/>
      </c>
      <c r="E44" s="11">
        <f>IF(Inputs!$D$25=0,0,Inputs!$C$25+Inputs!$B$12*Inputs!$B$5*$B44^2/(Inputs!$D$25^2*Inputs!$H$25^4*Inputs!$I$25^2)+Inputs!$G$25*$B44^Inputs!$B$11)</f>
        <v/>
      </c>
      <c r="F44" s="11">
        <f>IF(Inputs!$D$26=0,0,Inputs!$C$26+Inputs!$B$12*Inputs!$B$5*$B44^2/(Inputs!$D$26^2*Inputs!$H$26^4*Inputs!$I$26^2)+Inputs!$G$26*$B44^Inputs!$B$11)</f>
        <v/>
      </c>
      <c r="G44" s="11">
        <f>IF(Inputs!$D$27=0,0,Inputs!$C$27+Inputs!$B$12*Inputs!$B$5*$B44^2/(Inputs!$D$27^2*Inputs!$H$27^4*Inputs!$I$27^2)+Inputs!$G$27*$B44^Inputs!$B$11)</f>
        <v/>
      </c>
      <c r="H44" s="11">
        <f>IF(Inputs!$D$28=0,0,Inputs!$C$28+Inputs!$B$12*Inputs!$B$5*$B44^2/(Inputs!$D$28^2*Inputs!$H$28^4*Inputs!$I$28^2)+Inputs!$G$28*$B44^Inputs!$B$11)</f>
        <v/>
      </c>
      <c r="I44" s="11">
        <f>IF(Inputs!$D$29=0,0,Inputs!$C$29+Inputs!$B$12*Inputs!$B$5*$B44^2/(Inputs!$D$29^2*Inputs!$H$29^4*Inputs!$I$29^2)+Inputs!$G$29*$B44^Inputs!$B$11)</f>
        <v/>
      </c>
      <c r="J44" s="11">
        <f>IF(Inputs!$D$30=0,0,Inputs!$C$30+Inputs!$B$12*Inputs!$B$5*$B44^2/(Inputs!$D$30^2*Inputs!$H$30^4*Inputs!$I$30^2)+Inputs!$G$30*$B44^Inputs!$B$11)</f>
        <v/>
      </c>
      <c r="K44" s="11">
        <f>IF(Inputs!$D$31=0,0,Inputs!$C$31+Inputs!$B$12*Inputs!$B$5*$B44^2/(Inputs!$D$31^2*Inputs!$H$31^4*Inputs!$I$31^2)+Inputs!$G$31*$B44^Inputs!$B$11)</f>
        <v/>
      </c>
      <c r="L44" s="11">
        <f>IF(Inputs!$D$32=0,0,Inputs!$C$32+Inputs!$B$12*Inputs!$B$5*$B44^2/(Inputs!$D$32^2*Inputs!$H$32^4*Inputs!$I$32^2)+Inputs!$G$32*$B44^Inputs!$B$11)</f>
        <v/>
      </c>
      <c r="M44" s="11">
        <f>IF(Inputs!$D$33=0,0,Inputs!$C$33+Inputs!$B$12*Inputs!$B$5*$B44^2/(Inputs!$D$33^2*Inputs!$H$33^4*Inputs!$I$33^2)+Inputs!$G$33*$B44^Inputs!$B$11)</f>
        <v/>
      </c>
      <c r="N44" s="11">
        <f>IF(Inputs!$D$34=0,0,Inputs!$C$34+Inputs!$B$12*Inputs!$B$5*$B44^2/(Inputs!$D$34^2*Inputs!$H$34^4*Inputs!$I$34^2)+Inputs!$G$34*$B44^Inputs!$B$11)</f>
        <v/>
      </c>
    </row>
    <row r="45">
      <c r="A45" s="7" t="n">
        <v>40</v>
      </c>
      <c r="B45" s="37">
        <f>Inputs!$B$4*A45/200</f>
        <v/>
      </c>
      <c r="C45" s="11">
        <f>IF(Inputs!$D$23=0,0,Inputs!$C$23+Inputs!$B$12*Inputs!$B$5*$B45^2/(Inputs!$D$23^2*Inputs!$H$23^4*Inputs!$I$23^2)+Inputs!$G$23*$B45^Inputs!$B$11)</f>
        <v/>
      </c>
      <c r="D45" s="11">
        <f>IF(Inputs!$D$24=0,0,Inputs!$C$24+Inputs!$B$12*Inputs!$B$5*$B45^2/(Inputs!$D$24^2*Inputs!$H$24^4*Inputs!$I$24^2)+Inputs!$G$24*$B45^Inputs!$B$11)</f>
        <v/>
      </c>
      <c r="E45" s="11">
        <f>IF(Inputs!$D$25=0,0,Inputs!$C$25+Inputs!$B$12*Inputs!$B$5*$B45^2/(Inputs!$D$25^2*Inputs!$H$25^4*Inputs!$I$25^2)+Inputs!$G$25*$B45^Inputs!$B$11)</f>
        <v/>
      </c>
      <c r="F45" s="11">
        <f>IF(Inputs!$D$26=0,0,Inputs!$C$26+Inputs!$B$12*Inputs!$B$5*$B45^2/(Inputs!$D$26^2*Inputs!$H$26^4*Inputs!$I$26^2)+Inputs!$G$26*$B45^Inputs!$B$11)</f>
        <v/>
      </c>
      <c r="G45" s="11">
        <f>IF(Inputs!$D$27=0,0,Inputs!$C$27+Inputs!$B$12*Inputs!$B$5*$B45^2/(Inputs!$D$27^2*Inputs!$H$27^4*Inputs!$I$27^2)+Inputs!$G$27*$B45^Inputs!$B$11)</f>
        <v/>
      </c>
      <c r="H45" s="11">
        <f>IF(Inputs!$D$28=0,0,Inputs!$C$28+Inputs!$B$12*Inputs!$B$5*$B45^2/(Inputs!$D$28^2*Inputs!$H$28^4*Inputs!$I$28^2)+Inputs!$G$28*$B45^Inputs!$B$11)</f>
        <v/>
      </c>
      <c r="I45" s="11">
        <f>IF(Inputs!$D$29=0,0,Inputs!$C$29+Inputs!$B$12*Inputs!$B$5*$B45^2/(Inputs!$D$29^2*Inputs!$H$29^4*Inputs!$I$29^2)+Inputs!$G$29*$B45^Inputs!$B$11)</f>
        <v/>
      </c>
      <c r="J45" s="11">
        <f>IF(Inputs!$D$30=0,0,Inputs!$C$30+Inputs!$B$12*Inputs!$B$5*$B45^2/(Inputs!$D$30^2*Inputs!$H$30^4*Inputs!$I$30^2)+Inputs!$G$30*$B45^Inputs!$B$11)</f>
        <v/>
      </c>
      <c r="K45" s="11">
        <f>IF(Inputs!$D$31=0,0,Inputs!$C$31+Inputs!$B$12*Inputs!$B$5*$B45^2/(Inputs!$D$31^2*Inputs!$H$31^4*Inputs!$I$31^2)+Inputs!$G$31*$B45^Inputs!$B$11)</f>
        <v/>
      </c>
      <c r="L45" s="11">
        <f>IF(Inputs!$D$32=0,0,Inputs!$C$32+Inputs!$B$12*Inputs!$B$5*$B45^2/(Inputs!$D$32^2*Inputs!$H$32^4*Inputs!$I$32^2)+Inputs!$G$32*$B45^Inputs!$B$11)</f>
        <v/>
      </c>
      <c r="M45" s="11">
        <f>IF(Inputs!$D$33=0,0,Inputs!$C$33+Inputs!$B$12*Inputs!$B$5*$B45^2/(Inputs!$D$33^2*Inputs!$H$33^4*Inputs!$I$33^2)+Inputs!$G$33*$B45^Inputs!$B$11)</f>
        <v/>
      </c>
      <c r="N45" s="11">
        <f>IF(Inputs!$D$34=0,0,Inputs!$C$34+Inputs!$B$12*Inputs!$B$5*$B45^2/(Inputs!$D$34^2*Inputs!$H$34^4*Inputs!$I$34^2)+Inputs!$G$34*$B45^Inputs!$B$11)</f>
        <v/>
      </c>
    </row>
    <row r="46">
      <c r="A46" s="7" t="n">
        <v>41</v>
      </c>
      <c r="B46" s="37">
        <f>Inputs!$B$4*A46/200</f>
        <v/>
      </c>
      <c r="C46" s="11">
        <f>IF(Inputs!$D$23=0,0,Inputs!$C$23+Inputs!$B$12*Inputs!$B$5*$B46^2/(Inputs!$D$23^2*Inputs!$H$23^4*Inputs!$I$23^2)+Inputs!$G$23*$B46^Inputs!$B$11)</f>
        <v/>
      </c>
      <c r="D46" s="11">
        <f>IF(Inputs!$D$24=0,0,Inputs!$C$24+Inputs!$B$12*Inputs!$B$5*$B46^2/(Inputs!$D$24^2*Inputs!$H$24^4*Inputs!$I$24^2)+Inputs!$G$24*$B46^Inputs!$B$11)</f>
        <v/>
      </c>
      <c r="E46" s="11">
        <f>IF(Inputs!$D$25=0,0,Inputs!$C$25+Inputs!$B$12*Inputs!$B$5*$B46^2/(Inputs!$D$25^2*Inputs!$H$25^4*Inputs!$I$25^2)+Inputs!$G$25*$B46^Inputs!$B$11)</f>
        <v/>
      </c>
      <c r="F46" s="11">
        <f>IF(Inputs!$D$26=0,0,Inputs!$C$26+Inputs!$B$12*Inputs!$B$5*$B46^2/(Inputs!$D$26^2*Inputs!$H$26^4*Inputs!$I$26^2)+Inputs!$G$26*$B46^Inputs!$B$11)</f>
        <v/>
      </c>
      <c r="G46" s="11">
        <f>IF(Inputs!$D$27=0,0,Inputs!$C$27+Inputs!$B$12*Inputs!$B$5*$B46^2/(Inputs!$D$27^2*Inputs!$H$27^4*Inputs!$I$27^2)+Inputs!$G$27*$B46^Inputs!$B$11)</f>
        <v/>
      </c>
      <c r="H46" s="11">
        <f>IF(Inputs!$D$28=0,0,Inputs!$C$28+Inputs!$B$12*Inputs!$B$5*$B46^2/(Inputs!$D$28^2*Inputs!$H$28^4*Inputs!$I$28^2)+Inputs!$G$28*$B46^Inputs!$B$11)</f>
        <v/>
      </c>
      <c r="I46" s="11">
        <f>IF(Inputs!$D$29=0,0,Inputs!$C$29+Inputs!$B$12*Inputs!$B$5*$B46^2/(Inputs!$D$29^2*Inputs!$H$29^4*Inputs!$I$29^2)+Inputs!$G$29*$B46^Inputs!$B$11)</f>
        <v/>
      </c>
      <c r="J46" s="11">
        <f>IF(Inputs!$D$30=0,0,Inputs!$C$30+Inputs!$B$12*Inputs!$B$5*$B46^2/(Inputs!$D$30^2*Inputs!$H$30^4*Inputs!$I$30^2)+Inputs!$G$30*$B46^Inputs!$B$11)</f>
        <v/>
      </c>
      <c r="K46" s="11">
        <f>IF(Inputs!$D$31=0,0,Inputs!$C$31+Inputs!$B$12*Inputs!$B$5*$B46^2/(Inputs!$D$31^2*Inputs!$H$31^4*Inputs!$I$31^2)+Inputs!$G$31*$B46^Inputs!$B$11)</f>
        <v/>
      </c>
      <c r="L46" s="11">
        <f>IF(Inputs!$D$32=0,0,Inputs!$C$32+Inputs!$B$12*Inputs!$B$5*$B46^2/(Inputs!$D$32^2*Inputs!$H$32^4*Inputs!$I$32^2)+Inputs!$G$32*$B46^Inputs!$B$11)</f>
        <v/>
      </c>
      <c r="M46" s="11">
        <f>IF(Inputs!$D$33=0,0,Inputs!$C$33+Inputs!$B$12*Inputs!$B$5*$B46^2/(Inputs!$D$33^2*Inputs!$H$33^4*Inputs!$I$33^2)+Inputs!$G$33*$B46^Inputs!$B$11)</f>
        <v/>
      </c>
      <c r="N46" s="11">
        <f>IF(Inputs!$D$34=0,0,Inputs!$C$34+Inputs!$B$12*Inputs!$B$5*$B46^2/(Inputs!$D$34^2*Inputs!$H$34^4*Inputs!$I$34^2)+Inputs!$G$34*$B46^Inputs!$B$11)</f>
        <v/>
      </c>
    </row>
    <row r="47">
      <c r="A47" s="7" t="n">
        <v>42</v>
      </c>
      <c r="B47" s="37">
        <f>Inputs!$B$4*A47/200</f>
        <v/>
      </c>
      <c r="C47" s="11">
        <f>IF(Inputs!$D$23=0,0,Inputs!$C$23+Inputs!$B$12*Inputs!$B$5*$B47^2/(Inputs!$D$23^2*Inputs!$H$23^4*Inputs!$I$23^2)+Inputs!$G$23*$B47^Inputs!$B$11)</f>
        <v/>
      </c>
      <c r="D47" s="11">
        <f>IF(Inputs!$D$24=0,0,Inputs!$C$24+Inputs!$B$12*Inputs!$B$5*$B47^2/(Inputs!$D$24^2*Inputs!$H$24^4*Inputs!$I$24^2)+Inputs!$G$24*$B47^Inputs!$B$11)</f>
        <v/>
      </c>
      <c r="E47" s="11">
        <f>IF(Inputs!$D$25=0,0,Inputs!$C$25+Inputs!$B$12*Inputs!$B$5*$B47^2/(Inputs!$D$25^2*Inputs!$H$25^4*Inputs!$I$25^2)+Inputs!$G$25*$B47^Inputs!$B$11)</f>
        <v/>
      </c>
      <c r="F47" s="11">
        <f>IF(Inputs!$D$26=0,0,Inputs!$C$26+Inputs!$B$12*Inputs!$B$5*$B47^2/(Inputs!$D$26^2*Inputs!$H$26^4*Inputs!$I$26^2)+Inputs!$G$26*$B47^Inputs!$B$11)</f>
        <v/>
      </c>
      <c r="G47" s="11">
        <f>IF(Inputs!$D$27=0,0,Inputs!$C$27+Inputs!$B$12*Inputs!$B$5*$B47^2/(Inputs!$D$27^2*Inputs!$H$27^4*Inputs!$I$27^2)+Inputs!$G$27*$B47^Inputs!$B$11)</f>
        <v/>
      </c>
      <c r="H47" s="11">
        <f>IF(Inputs!$D$28=0,0,Inputs!$C$28+Inputs!$B$12*Inputs!$B$5*$B47^2/(Inputs!$D$28^2*Inputs!$H$28^4*Inputs!$I$28^2)+Inputs!$G$28*$B47^Inputs!$B$11)</f>
        <v/>
      </c>
      <c r="I47" s="11">
        <f>IF(Inputs!$D$29=0,0,Inputs!$C$29+Inputs!$B$12*Inputs!$B$5*$B47^2/(Inputs!$D$29^2*Inputs!$H$29^4*Inputs!$I$29^2)+Inputs!$G$29*$B47^Inputs!$B$11)</f>
        <v/>
      </c>
      <c r="J47" s="11">
        <f>IF(Inputs!$D$30=0,0,Inputs!$C$30+Inputs!$B$12*Inputs!$B$5*$B47^2/(Inputs!$D$30^2*Inputs!$H$30^4*Inputs!$I$30^2)+Inputs!$G$30*$B47^Inputs!$B$11)</f>
        <v/>
      </c>
      <c r="K47" s="11">
        <f>IF(Inputs!$D$31=0,0,Inputs!$C$31+Inputs!$B$12*Inputs!$B$5*$B47^2/(Inputs!$D$31^2*Inputs!$H$31^4*Inputs!$I$31^2)+Inputs!$G$31*$B47^Inputs!$B$11)</f>
        <v/>
      </c>
      <c r="L47" s="11">
        <f>IF(Inputs!$D$32=0,0,Inputs!$C$32+Inputs!$B$12*Inputs!$B$5*$B47^2/(Inputs!$D$32^2*Inputs!$H$32^4*Inputs!$I$32^2)+Inputs!$G$32*$B47^Inputs!$B$11)</f>
        <v/>
      </c>
      <c r="M47" s="11">
        <f>IF(Inputs!$D$33=0,0,Inputs!$C$33+Inputs!$B$12*Inputs!$B$5*$B47^2/(Inputs!$D$33^2*Inputs!$H$33^4*Inputs!$I$33^2)+Inputs!$G$33*$B47^Inputs!$B$11)</f>
        <v/>
      </c>
      <c r="N47" s="11">
        <f>IF(Inputs!$D$34=0,0,Inputs!$C$34+Inputs!$B$12*Inputs!$B$5*$B47^2/(Inputs!$D$34^2*Inputs!$H$34^4*Inputs!$I$34^2)+Inputs!$G$34*$B47^Inputs!$B$11)</f>
        <v/>
      </c>
    </row>
    <row r="48">
      <c r="A48" s="7" t="n">
        <v>43</v>
      </c>
      <c r="B48" s="37">
        <f>Inputs!$B$4*A48/200</f>
        <v/>
      </c>
      <c r="C48" s="11">
        <f>IF(Inputs!$D$23=0,0,Inputs!$C$23+Inputs!$B$12*Inputs!$B$5*$B48^2/(Inputs!$D$23^2*Inputs!$H$23^4*Inputs!$I$23^2)+Inputs!$G$23*$B48^Inputs!$B$11)</f>
        <v/>
      </c>
      <c r="D48" s="11">
        <f>IF(Inputs!$D$24=0,0,Inputs!$C$24+Inputs!$B$12*Inputs!$B$5*$B48^2/(Inputs!$D$24^2*Inputs!$H$24^4*Inputs!$I$24^2)+Inputs!$G$24*$B48^Inputs!$B$11)</f>
        <v/>
      </c>
      <c r="E48" s="11">
        <f>IF(Inputs!$D$25=0,0,Inputs!$C$25+Inputs!$B$12*Inputs!$B$5*$B48^2/(Inputs!$D$25^2*Inputs!$H$25^4*Inputs!$I$25^2)+Inputs!$G$25*$B48^Inputs!$B$11)</f>
        <v/>
      </c>
      <c r="F48" s="11">
        <f>IF(Inputs!$D$26=0,0,Inputs!$C$26+Inputs!$B$12*Inputs!$B$5*$B48^2/(Inputs!$D$26^2*Inputs!$H$26^4*Inputs!$I$26^2)+Inputs!$G$26*$B48^Inputs!$B$11)</f>
        <v/>
      </c>
      <c r="G48" s="11">
        <f>IF(Inputs!$D$27=0,0,Inputs!$C$27+Inputs!$B$12*Inputs!$B$5*$B48^2/(Inputs!$D$27^2*Inputs!$H$27^4*Inputs!$I$27^2)+Inputs!$G$27*$B48^Inputs!$B$11)</f>
        <v/>
      </c>
      <c r="H48" s="11">
        <f>IF(Inputs!$D$28=0,0,Inputs!$C$28+Inputs!$B$12*Inputs!$B$5*$B48^2/(Inputs!$D$28^2*Inputs!$H$28^4*Inputs!$I$28^2)+Inputs!$G$28*$B48^Inputs!$B$11)</f>
        <v/>
      </c>
      <c r="I48" s="11">
        <f>IF(Inputs!$D$29=0,0,Inputs!$C$29+Inputs!$B$12*Inputs!$B$5*$B48^2/(Inputs!$D$29^2*Inputs!$H$29^4*Inputs!$I$29^2)+Inputs!$G$29*$B48^Inputs!$B$11)</f>
        <v/>
      </c>
      <c r="J48" s="11">
        <f>IF(Inputs!$D$30=0,0,Inputs!$C$30+Inputs!$B$12*Inputs!$B$5*$B48^2/(Inputs!$D$30^2*Inputs!$H$30^4*Inputs!$I$30^2)+Inputs!$G$30*$B48^Inputs!$B$11)</f>
        <v/>
      </c>
      <c r="K48" s="11">
        <f>IF(Inputs!$D$31=0,0,Inputs!$C$31+Inputs!$B$12*Inputs!$B$5*$B48^2/(Inputs!$D$31^2*Inputs!$H$31^4*Inputs!$I$31^2)+Inputs!$G$31*$B48^Inputs!$B$11)</f>
        <v/>
      </c>
      <c r="L48" s="11">
        <f>IF(Inputs!$D$32=0,0,Inputs!$C$32+Inputs!$B$12*Inputs!$B$5*$B48^2/(Inputs!$D$32^2*Inputs!$H$32^4*Inputs!$I$32^2)+Inputs!$G$32*$B48^Inputs!$B$11)</f>
        <v/>
      </c>
      <c r="M48" s="11">
        <f>IF(Inputs!$D$33=0,0,Inputs!$C$33+Inputs!$B$12*Inputs!$B$5*$B48^2/(Inputs!$D$33^2*Inputs!$H$33^4*Inputs!$I$33^2)+Inputs!$G$33*$B48^Inputs!$B$11)</f>
        <v/>
      </c>
      <c r="N48" s="11">
        <f>IF(Inputs!$D$34=0,0,Inputs!$C$34+Inputs!$B$12*Inputs!$B$5*$B48^2/(Inputs!$D$34^2*Inputs!$H$34^4*Inputs!$I$34^2)+Inputs!$G$34*$B48^Inputs!$B$11)</f>
        <v/>
      </c>
    </row>
    <row r="49">
      <c r="A49" s="7" t="n">
        <v>44</v>
      </c>
      <c r="B49" s="37">
        <f>Inputs!$B$4*A49/200</f>
        <v/>
      </c>
      <c r="C49" s="11">
        <f>IF(Inputs!$D$23=0,0,Inputs!$C$23+Inputs!$B$12*Inputs!$B$5*$B49^2/(Inputs!$D$23^2*Inputs!$H$23^4*Inputs!$I$23^2)+Inputs!$G$23*$B49^Inputs!$B$11)</f>
        <v/>
      </c>
      <c r="D49" s="11">
        <f>IF(Inputs!$D$24=0,0,Inputs!$C$24+Inputs!$B$12*Inputs!$B$5*$B49^2/(Inputs!$D$24^2*Inputs!$H$24^4*Inputs!$I$24^2)+Inputs!$G$24*$B49^Inputs!$B$11)</f>
        <v/>
      </c>
      <c r="E49" s="11">
        <f>IF(Inputs!$D$25=0,0,Inputs!$C$25+Inputs!$B$12*Inputs!$B$5*$B49^2/(Inputs!$D$25^2*Inputs!$H$25^4*Inputs!$I$25^2)+Inputs!$G$25*$B49^Inputs!$B$11)</f>
        <v/>
      </c>
      <c r="F49" s="11">
        <f>IF(Inputs!$D$26=0,0,Inputs!$C$26+Inputs!$B$12*Inputs!$B$5*$B49^2/(Inputs!$D$26^2*Inputs!$H$26^4*Inputs!$I$26^2)+Inputs!$G$26*$B49^Inputs!$B$11)</f>
        <v/>
      </c>
      <c r="G49" s="11">
        <f>IF(Inputs!$D$27=0,0,Inputs!$C$27+Inputs!$B$12*Inputs!$B$5*$B49^2/(Inputs!$D$27^2*Inputs!$H$27^4*Inputs!$I$27^2)+Inputs!$G$27*$B49^Inputs!$B$11)</f>
        <v/>
      </c>
      <c r="H49" s="11">
        <f>IF(Inputs!$D$28=0,0,Inputs!$C$28+Inputs!$B$12*Inputs!$B$5*$B49^2/(Inputs!$D$28^2*Inputs!$H$28^4*Inputs!$I$28^2)+Inputs!$G$28*$B49^Inputs!$B$11)</f>
        <v/>
      </c>
      <c r="I49" s="11">
        <f>IF(Inputs!$D$29=0,0,Inputs!$C$29+Inputs!$B$12*Inputs!$B$5*$B49^2/(Inputs!$D$29^2*Inputs!$H$29^4*Inputs!$I$29^2)+Inputs!$G$29*$B49^Inputs!$B$11)</f>
        <v/>
      </c>
      <c r="J49" s="11">
        <f>IF(Inputs!$D$30=0,0,Inputs!$C$30+Inputs!$B$12*Inputs!$B$5*$B49^2/(Inputs!$D$30^2*Inputs!$H$30^4*Inputs!$I$30^2)+Inputs!$G$30*$B49^Inputs!$B$11)</f>
        <v/>
      </c>
      <c r="K49" s="11">
        <f>IF(Inputs!$D$31=0,0,Inputs!$C$31+Inputs!$B$12*Inputs!$B$5*$B49^2/(Inputs!$D$31^2*Inputs!$H$31^4*Inputs!$I$31^2)+Inputs!$G$31*$B49^Inputs!$B$11)</f>
        <v/>
      </c>
      <c r="L49" s="11">
        <f>IF(Inputs!$D$32=0,0,Inputs!$C$32+Inputs!$B$12*Inputs!$B$5*$B49^2/(Inputs!$D$32^2*Inputs!$H$32^4*Inputs!$I$32^2)+Inputs!$G$32*$B49^Inputs!$B$11)</f>
        <v/>
      </c>
      <c r="M49" s="11">
        <f>IF(Inputs!$D$33=0,0,Inputs!$C$33+Inputs!$B$12*Inputs!$B$5*$B49^2/(Inputs!$D$33^2*Inputs!$H$33^4*Inputs!$I$33^2)+Inputs!$G$33*$B49^Inputs!$B$11)</f>
        <v/>
      </c>
      <c r="N49" s="11">
        <f>IF(Inputs!$D$34=0,0,Inputs!$C$34+Inputs!$B$12*Inputs!$B$5*$B49^2/(Inputs!$D$34^2*Inputs!$H$34^4*Inputs!$I$34^2)+Inputs!$G$34*$B49^Inputs!$B$11)</f>
        <v/>
      </c>
    </row>
    <row r="50">
      <c r="A50" s="7" t="n">
        <v>45</v>
      </c>
      <c r="B50" s="37">
        <f>Inputs!$B$4*A50/200</f>
        <v/>
      </c>
      <c r="C50" s="11">
        <f>IF(Inputs!$D$23=0,0,Inputs!$C$23+Inputs!$B$12*Inputs!$B$5*$B50^2/(Inputs!$D$23^2*Inputs!$H$23^4*Inputs!$I$23^2)+Inputs!$G$23*$B50^Inputs!$B$11)</f>
        <v/>
      </c>
      <c r="D50" s="11">
        <f>IF(Inputs!$D$24=0,0,Inputs!$C$24+Inputs!$B$12*Inputs!$B$5*$B50^2/(Inputs!$D$24^2*Inputs!$H$24^4*Inputs!$I$24^2)+Inputs!$G$24*$B50^Inputs!$B$11)</f>
        <v/>
      </c>
      <c r="E50" s="11">
        <f>IF(Inputs!$D$25=0,0,Inputs!$C$25+Inputs!$B$12*Inputs!$B$5*$B50^2/(Inputs!$D$25^2*Inputs!$H$25^4*Inputs!$I$25^2)+Inputs!$G$25*$B50^Inputs!$B$11)</f>
        <v/>
      </c>
      <c r="F50" s="11">
        <f>IF(Inputs!$D$26=0,0,Inputs!$C$26+Inputs!$B$12*Inputs!$B$5*$B50^2/(Inputs!$D$26^2*Inputs!$H$26^4*Inputs!$I$26^2)+Inputs!$G$26*$B50^Inputs!$B$11)</f>
        <v/>
      </c>
      <c r="G50" s="11">
        <f>IF(Inputs!$D$27=0,0,Inputs!$C$27+Inputs!$B$12*Inputs!$B$5*$B50^2/(Inputs!$D$27^2*Inputs!$H$27^4*Inputs!$I$27^2)+Inputs!$G$27*$B50^Inputs!$B$11)</f>
        <v/>
      </c>
      <c r="H50" s="11">
        <f>IF(Inputs!$D$28=0,0,Inputs!$C$28+Inputs!$B$12*Inputs!$B$5*$B50^2/(Inputs!$D$28^2*Inputs!$H$28^4*Inputs!$I$28^2)+Inputs!$G$28*$B50^Inputs!$B$11)</f>
        <v/>
      </c>
      <c r="I50" s="11">
        <f>IF(Inputs!$D$29=0,0,Inputs!$C$29+Inputs!$B$12*Inputs!$B$5*$B50^2/(Inputs!$D$29^2*Inputs!$H$29^4*Inputs!$I$29^2)+Inputs!$G$29*$B50^Inputs!$B$11)</f>
        <v/>
      </c>
      <c r="J50" s="11">
        <f>IF(Inputs!$D$30=0,0,Inputs!$C$30+Inputs!$B$12*Inputs!$B$5*$B50^2/(Inputs!$D$30^2*Inputs!$H$30^4*Inputs!$I$30^2)+Inputs!$G$30*$B50^Inputs!$B$11)</f>
        <v/>
      </c>
      <c r="K50" s="11">
        <f>IF(Inputs!$D$31=0,0,Inputs!$C$31+Inputs!$B$12*Inputs!$B$5*$B50^2/(Inputs!$D$31^2*Inputs!$H$31^4*Inputs!$I$31^2)+Inputs!$G$31*$B50^Inputs!$B$11)</f>
        <v/>
      </c>
      <c r="L50" s="11">
        <f>IF(Inputs!$D$32=0,0,Inputs!$C$32+Inputs!$B$12*Inputs!$B$5*$B50^2/(Inputs!$D$32^2*Inputs!$H$32^4*Inputs!$I$32^2)+Inputs!$G$32*$B50^Inputs!$B$11)</f>
        <v/>
      </c>
      <c r="M50" s="11">
        <f>IF(Inputs!$D$33=0,0,Inputs!$C$33+Inputs!$B$12*Inputs!$B$5*$B50^2/(Inputs!$D$33^2*Inputs!$H$33^4*Inputs!$I$33^2)+Inputs!$G$33*$B50^Inputs!$B$11)</f>
        <v/>
      </c>
      <c r="N50" s="11">
        <f>IF(Inputs!$D$34=0,0,Inputs!$C$34+Inputs!$B$12*Inputs!$B$5*$B50^2/(Inputs!$D$34^2*Inputs!$H$34^4*Inputs!$I$34^2)+Inputs!$G$34*$B50^Inputs!$B$11)</f>
        <v/>
      </c>
    </row>
    <row r="51">
      <c r="A51" s="7" t="n">
        <v>46</v>
      </c>
      <c r="B51" s="37">
        <f>Inputs!$B$4*A51/200</f>
        <v/>
      </c>
      <c r="C51" s="11">
        <f>IF(Inputs!$D$23=0,0,Inputs!$C$23+Inputs!$B$12*Inputs!$B$5*$B51^2/(Inputs!$D$23^2*Inputs!$H$23^4*Inputs!$I$23^2)+Inputs!$G$23*$B51^Inputs!$B$11)</f>
        <v/>
      </c>
      <c r="D51" s="11">
        <f>IF(Inputs!$D$24=0,0,Inputs!$C$24+Inputs!$B$12*Inputs!$B$5*$B51^2/(Inputs!$D$24^2*Inputs!$H$24^4*Inputs!$I$24^2)+Inputs!$G$24*$B51^Inputs!$B$11)</f>
        <v/>
      </c>
      <c r="E51" s="11">
        <f>IF(Inputs!$D$25=0,0,Inputs!$C$25+Inputs!$B$12*Inputs!$B$5*$B51^2/(Inputs!$D$25^2*Inputs!$H$25^4*Inputs!$I$25^2)+Inputs!$G$25*$B51^Inputs!$B$11)</f>
        <v/>
      </c>
      <c r="F51" s="11">
        <f>IF(Inputs!$D$26=0,0,Inputs!$C$26+Inputs!$B$12*Inputs!$B$5*$B51^2/(Inputs!$D$26^2*Inputs!$H$26^4*Inputs!$I$26^2)+Inputs!$G$26*$B51^Inputs!$B$11)</f>
        <v/>
      </c>
      <c r="G51" s="11">
        <f>IF(Inputs!$D$27=0,0,Inputs!$C$27+Inputs!$B$12*Inputs!$B$5*$B51^2/(Inputs!$D$27^2*Inputs!$H$27^4*Inputs!$I$27^2)+Inputs!$G$27*$B51^Inputs!$B$11)</f>
        <v/>
      </c>
      <c r="H51" s="11">
        <f>IF(Inputs!$D$28=0,0,Inputs!$C$28+Inputs!$B$12*Inputs!$B$5*$B51^2/(Inputs!$D$28^2*Inputs!$H$28^4*Inputs!$I$28^2)+Inputs!$G$28*$B51^Inputs!$B$11)</f>
        <v/>
      </c>
      <c r="I51" s="11">
        <f>IF(Inputs!$D$29=0,0,Inputs!$C$29+Inputs!$B$12*Inputs!$B$5*$B51^2/(Inputs!$D$29^2*Inputs!$H$29^4*Inputs!$I$29^2)+Inputs!$G$29*$B51^Inputs!$B$11)</f>
        <v/>
      </c>
      <c r="J51" s="11">
        <f>IF(Inputs!$D$30=0,0,Inputs!$C$30+Inputs!$B$12*Inputs!$B$5*$B51^2/(Inputs!$D$30^2*Inputs!$H$30^4*Inputs!$I$30^2)+Inputs!$G$30*$B51^Inputs!$B$11)</f>
        <v/>
      </c>
      <c r="K51" s="11">
        <f>IF(Inputs!$D$31=0,0,Inputs!$C$31+Inputs!$B$12*Inputs!$B$5*$B51^2/(Inputs!$D$31^2*Inputs!$H$31^4*Inputs!$I$31^2)+Inputs!$G$31*$B51^Inputs!$B$11)</f>
        <v/>
      </c>
      <c r="L51" s="11">
        <f>IF(Inputs!$D$32=0,0,Inputs!$C$32+Inputs!$B$12*Inputs!$B$5*$B51^2/(Inputs!$D$32^2*Inputs!$H$32^4*Inputs!$I$32^2)+Inputs!$G$32*$B51^Inputs!$B$11)</f>
        <v/>
      </c>
      <c r="M51" s="11">
        <f>IF(Inputs!$D$33=0,0,Inputs!$C$33+Inputs!$B$12*Inputs!$B$5*$B51^2/(Inputs!$D$33^2*Inputs!$H$33^4*Inputs!$I$33^2)+Inputs!$G$33*$B51^Inputs!$B$11)</f>
        <v/>
      </c>
      <c r="N51" s="11">
        <f>IF(Inputs!$D$34=0,0,Inputs!$C$34+Inputs!$B$12*Inputs!$B$5*$B51^2/(Inputs!$D$34^2*Inputs!$H$34^4*Inputs!$I$34^2)+Inputs!$G$34*$B51^Inputs!$B$11)</f>
        <v/>
      </c>
    </row>
    <row r="52">
      <c r="A52" s="7" t="n">
        <v>47</v>
      </c>
      <c r="B52" s="37">
        <f>Inputs!$B$4*A52/200</f>
        <v/>
      </c>
      <c r="C52" s="11">
        <f>IF(Inputs!$D$23=0,0,Inputs!$C$23+Inputs!$B$12*Inputs!$B$5*$B52^2/(Inputs!$D$23^2*Inputs!$H$23^4*Inputs!$I$23^2)+Inputs!$G$23*$B52^Inputs!$B$11)</f>
        <v/>
      </c>
      <c r="D52" s="11">
        <f>IF(Inputs!$D$24=0,0,Inputs!$C$24+Inputs!$B$12*Inputs!$B$5*$B52^2/(Inputs!$D$24^2*Inputs!$H$24^4*Inputs!$I$24^2)+Inputs!$G$24*$B52^Inputs!$B$11)</f>
        <v/>
      </c>
      <c r="E52" s="11">
        <f>IF(Inputs!$D$25=0,0,Inputs!$C$25+Inputs!$B$12*Inputs!$B$5*$B52^2/(Inputs!$D$25^2*Inputs!$H$25^4*Inputs!$I$25^2)+Inputs!$G$25*$B52^Inputs!$B$11)</f>
        <v/>
      </c>
      <c r="F52" s="11">
        <f>IF(Inputs!$D$26=0,0,Inputs!$C$26+Inputs!$B$12*Inputs!$B$5*$B52^2/(Inputs!$D$26^2*Inputs!$H$26^4*Inputs!$I$26^2)+Inputs!$G$26*$B52^Inputs!$B$11)</f>
        <v/>
      </c>
      <c r="G52" s="11">
        <f>IF(Inputs!$D$27=0,0,Inputs!$C$27+Inputs!$B$12*Inputs!$B$5*$B52^2/(Inputs!$D$27^2*Inputs!$H$27^4*Inputs!$I$27^2)+Inputs!$G$27*$B52^Inputs!$B$11)</f>
        <v/>
      </c>
      <c r="H52" s="11">
        <f>IF(Inputs!$D$28=0,0,Inputs!$C$28+Inputs!$B$12*Inputs!$B$5*$B52^2/(Inputs!$D$28^2*Inputs!$H$28^4*Inputs!$I$28^2)+Inputs!$G$28*$B52^Inputs!$B$11)</f>
        <v/>
      </c>
      <c r="I52" s="11">
        <f>IF(Inputs!$D$29=0,0,Inputs!$C$29+Inputs!$B$12*Inputs!$B$5*$B52^2/(Inputs!$D$29^2*Inputs!$H$29^4*Inputs!$I$29^2)+Inputs!$G$29*$B52^Inputs!$B$11)</f>
        <v/>
      </c>
      <c r="J52" s="11">
        <f>IF(Inputs!$D$30=0,0,Inputs!$C$30+Inputs!$B$12*Inputs!$B$5*$B52^2/(Inputs!$D$30^2*Inputs!$H$30^4*Inputs!$I$30^2)+Inputs!$G$30*$B52^Inputs!$B$11)</f>
        <v/>
      </c>
      <c r="K52" s="11">
        <f>IF(Inputs!$D$31=0,0,Inputs!$C$31+Inputs!$B$12*Inputs!$B$5*$B52^2/(Inputs!$D$31^2*Inputs!$H$31^4*Inputs!$I$31^2)+Inputs!$G$31*$B52^Inputs!$B$11)</f>
        <v/>
      </c>
      <c r="L52" s="11">
        <f>IF(Inputs!$D$32=0,0,Inputs!$C$32+Inputs!$B$12*Inputs!$B$5*$B52^2/(Inputs!$D$32^2*Inputs!$H$32^4*Inputs!$I$32^2)+Inputs!$G$32*$B52^Inputs!$B$11)</f>
        <v/>
      </c>
      <c r="M52" s="11">
        <f>IF(Inputs!$D$33=0,0,Inputs!$C$33+Inputs!$B$12*Inputs!$B$5*$B52^2/(Inputs!$D$33^2*Inputs!$H$33^4*Inputs!$I$33^2)+Inputs!$G$33*$B52^Inputs!$B$11)</f>
        <v/>
      </c>
      <c r="N52" s="11">
        <f>IF(Inputs!$D$34=0,0,Inputs!$C$34+Inputs!$B$12*Inputs!$B$5*$B52^2/(Inputs!$D$34^2*Inputs!$H$34^4*Inputs!$I$34^2)+Inputs!$G$34*$B52^Inputs!$B$11)</f>
        <v/>
      </c>
    </row>
    <row r="53">
      <c r="A53" s="7" t="n">
        <v>48</v>
      </c>
      <c r="B53" s="37">
        <f>Inputs!$B$4*A53/200</f>
        <v/>
      </c>
      <c r="C53" s="11">
        <f>IF(Inputs!$D$23=0,0,Inputs!$C$23+Inputs!$B$12*Inputs!$B$5*$B53^2/(Inputs!$D$23^2*Inputs!$H$23^4*Inputs!$I$23^2)+Inputs!$G$23*$B53^Inputs!$B$11)</f>
        <v/>
      </c>
      <c r="D53" s="11">
        <f>IF(Inputs!$D$24=0,0,Inputs!$C$24+Inputs!$B$12*Inputs!$B$5*$B53^2/(Inputs!$D$24^2*Inputs!$H$24^4*Inputs!$I$24^2)+Inputs!$G$24*$B53^Inputs!$B$11)</f>
        <v/>
      </c>
      <c r="E53" s="11">
        <f>IF(Inputs!$D$25=0,0,Inputs!$C$25+Inputs!$B$12*Inputs!$B$5*$B53^2/(Inputs!$D$25^2*Inputs!$H$25^4*Inputs!$I$25^2)+Inputs!$G$25*$B53^Inputs!$B$11)</f>
        <v/>
      </c>
      <c r="F53" s="11">
        <f>IF(Inputs!$D$26=0,0,Inputs!$C$26+Inputs!$B$12*Inputs!$B$5*$B53^2/(Inputs!$D$26^2*Inputs!$H$26^4*Inputs!$I$26^2)+Inputs!$G$26*$B53^Inputs!$B$11)</f>
        <v/>
      </c>
      <c r="G53" s="11">
        <f>IF(Inputs!$D$27=0,0,Inputs!$C$27+Inputs!$B$12*Inputs!$B$5*$B53^2/(Inputs!$D$27^2*Inputs!$H$27^4*Inputs!$I$27^2)+Inputs!$G$27*$B53^Inputs!$B$11)</f>
        <v/>
      </c>
      <c r="H53" s="11">
        <f>IF(Inputs!$D$28=0,0,Inputs!$C$28+Inputs!$B$12*Inputs!$B$5*$B53^2/(Inputs!$D$28^2*Inputs!$H$28^4*Inputs!$I$28^2)+Inputs!$G$28*$B53^Inputs!$B$11)</f>
        <v/>
      </c>
      <c r="I53" s="11">
        <f>IF(Inputs!$D$29=0,0,Inputs!$C$29+Inputs!$B$12*Inputs!$B$5*$B53^2/(Inputs!$D$29^2*Inputs!$H$29^4*Inputs!$I$29^2)+Inputs!$G$29*$B53^Inputs!$B$11)</f>
        <v/>
      </c>
      <c r="J53" s="11">
        <f>IF(Inputs!$D$30=0,0,Inputs!$C$30+Inputs!$B$12*Inputs!$B$5*$B53^2/(Inputs!$D$30^2*Inputs!$H$30^4*Inputs!$I$30^2)+Inputs!$G$30*$B53^Inputs!$B$11)</f>
        <v/>
      </c>
      <c r="K53" s="11">
        <f>IF(Inputs!$D$31=0,0,Inputs!$C$31+Inputs!$B$12*Inputs!$B$5*$B53^2/(Inputs!$D$31^2*Inputs!$H$31^4*Inputs!$I$31^2)+Inputs!$G$31*$B53^Inputs!$B$11)</f>
        <v/>
      </c>
      <c r="L53" s="11">
        <f>IF(Inputs!$D$32=0,0,Inputs!$C$32+Inputs!$B$12*Inputs!$B$5*$B53^2/(Inputs!$D$32^2*Inputs!$H$32^4*Inputs!$I$32^2)+Inputs!$G$32*$B53^Inputs!$B$11)</f>
        <v/>
      </c>
      <c r="M53" s="11">
        <f>IF(Inputs!$D$33=0,0,Inputs!$C$33+Inputs!$B$12*Inputs!$B$5*$B53^2/(Inputs!$D$33^2*Inputs!$H$33^4*Inputs!$I$33^2)+Inputs!$G$33*$B53^Inputs!$B$11)</f>
        <v/>
      </c>
      <c r="N53" s="11">
        <f>IF(Inputs!$D$34=0,0,Inputs!$C$34+Inputs!$B$12*Inputs!$B$5*$B53^2/(Inputs!$D$34^2*Inputs!$H$34^4*Inputs!$I$34^2)+Inputs!$G$34*$B53^Inputs!$B$11)</f>
        <v/>
      </c>
    </row>
    <row r="54">
      <c r="A54" s="7" t="n">
        <v>49</v>
      </c>
      <c r="B54" s="37">
        <f>Inputs!$B$4*A54/200</f>
        <v/>
      </c>
      <c r="C54" s="11">
        <f>IF(Inputs!$D$23=0,0,Inputs!$C$23+Inputs!$B$12*Inputs!$B$5*$B54^2/(Inputs!$D$23^2*Inputs!$H$23^4*Inputs!$I$23^2)+Inputs!$G$23*$B54^Inputs!$B$11)</f>
        <v/>
      </c>
      <c r="D54" s="11">
        <f>IF(Inputs!$D$24=0,0,Inputs!$C$24+Inputs!$B$12*Inputs!$B$5*$B54^2/(Inputs!$D$24^2*Inputs!$H$24^4*Inputs!$I$24^2)+Inputs!$G$24*$B54^Inputs!$B$11)</f>
        <v/>
      </c>
      <c r="E54" s="11">
        <f>IF(Inputs!$D$25=0,0,Inputs!$C$25+Inputs!$B$12*Inputs!$B$5*$B54^2/(Inputs!$D$25^2*Inputs!$H$25^4*Inputs!$I$25^2)+Inputs!$G$25*$B54^Inputs!$B$11)</f>
        <v/>
      </c>
      <c r="F54" s="11">
        <f>IF(Inputs!$D$26=0,0,Inputs!$C$26+Inputs!$B$12*Inputs!$B$5*$B54^2/(Inputs!$D$26^2*Inputs!$H$26^4*Inputs!$I$26^2)+Inputs!$G$26*$B54^Inputs!$B$11)</f>
        <v/>
      </c>
      <c r="G54" s="11">
        <f>IF(Inputs!$D$27=0,0,Inputs!$C$27+Inputs!$B$12*Inputs!$B$5*$B54^2/(Inputs!$D$27^2*Inputs!$H$27^4*Inputs!$I$27^2)+Inputs!$G$27*$B54^Inputs!$B$11)</f>
        <v/>
      </c>
      <c r="H54" s="11">
        <f>IF(Inputs!$D$28=0,0,Inputs!$C$28+Inputs!$B$12*Inputs!$B$5*$B54^2/(Inputs!$D$28^2*Inputs!$H$28^4*Inputs!$I$28^2)+Inputs!$G$28*$B54^Inputs!$B$11)</f>
        <v/>
      </c>
      <c r="I54" s="11">
        <f>IF(Inputs!$D$29=0,0,Inputs!$C$29+Inputs!$B$12*Inputs!$B$5*$B54^2/(Inputs!$D$29^2*Inputs!$H$29^4*Inputs!$I$29^2)+Inputs!$G$29*$B54^Inputs!$B$11)</f>
        <v/>
      </c>
      <c r="J54" s="11">
        <f>IF(Inputs!$D$30=0,0,Inputs!$C$30+Inputs!$B$12*Inputs!$B$5*$B54^2/(Inputs!$D$30^2*Inputs!$H$30^4*Inputs!$I$30^2)+Inputs!$G$30*$B54^Inputs!$B$11)</f>
        <v/>
      </c>
      <c r="K54" s="11">
        <f>IF(Inputs!$D$31=0,0,Inputs!$C$31+Inputs!$B$12*Inputs!$B$5*$B54^2/(Inputs!$D$31^2*Inputs!$H$31^4*Inputs!$I$31^2)+Inputs!$G$31*$B54^Inputs!$B$11)</f>
        <v/>
      </c>
      <c r="L54" s="11">
        <f>IF(Inputs!$D$32=0,0,Inputs!$C$32+Inputs!$B$12*Inputs!$B$5*$B54^2/(Inputs!$D$32^2*Inputs!$H$32^4*Inputs!$I$32^2)+Inputs!$G$32*$B54^Inputs!$B$11)</f>
        <v/>
      </c>
      <c r="M54" s="11">
        <f>IF(Inputs!$D$33=0,0,Inputs!$C$33+Inputs!$B$12*Inputs!$B$5*$B54^2/(Inputs!$D$33^2*Inputs!$H$33^4*Inputs!$I$33^2)+Inputs!$G$33*$B54^Inputs!$B$11)</f>
        <v/>
      </c>
      <c r="N54" s="11">
        <f>IF(Inputs!$D$34=0,0,Inputs!$C$34+Inputs!$B$12*Inputs!$B$5*$B54^2/(Inputs!$D$34^2*Inputs!$H$34^4*Inputs!$I$34^2)+Inputs!$G$34*$B54^Inputs!$B$11)</f>
        <v/>
      </c>
    </row>
    <row r="55">
      <c r="A55" s="7" t="n">
        <v>50</v>
      </c>
      <c r="B55" s="37">
        <f>Inputs!$B$4*A55/200</f>
        <v/>
      </c>
      <c r="C55" s="11">
        <f>IF(Inputs!$D$23=0,0,Inputs!$C$23+Inputs!$B$12*Inputs!$B$5*$B55^2/(Inputs!$D$23^2*Inputs!$H$23^4*Inputs!$I$23^2)+Inputs!$G$23*$B55^Inputs!$B$11)</f>
        <v/>
      </c>
      <c r="D55" s="11">
        <f>IF(Inputs!$D$24=0,0,Inputs!$C$24+Inputs!$B$12*Inputs!$B$5*$B55^2/(Inputs!$D$24^2*Inputs!$H$24^4*Inputs!$I$24^2)+Inputs!$G$24*$B55^Inputs!$B$11)</f>
        <v/>
      </c>
      <c r="E55" s="11">
        <f>IF(Inputs!$D$25=0,0,Inputs!$C$25+Inputs!$B$12*Inputs!$B$5*$B55^2/(Inputs!$D$25^2*Inputs!$H$25^4*Inputs!$I$25^2)+Inputs!$G$25*$B55^Inputs!$B$11)</f>
        <v/>
      </c>
      <c r="F55" s="11">
        <f>IF(Inputs!$D$26=0,0,Inputs!$C$26+Inputs!$B$12*Inputs!$B$5*$B55^2/(Inputs!$D$26^2*Inputs!$H$26^4*Inputs!$I$26^2)+Inputs!$G$26*$B55^Inputs!$B$11)</f>
        <v/>
      </c>
      <c r="G55" s="11">
        <f>IF(Inputs!$D$27=0,0,Inputs!$C$27+Inputs!$B$12*Inputs!$B$5*$B55^2/(Inputs!$D$27^2*Inputs!$H$27^4*Inputs!$I$27^2)+Inputs!$G$27*$B55^Inputs!$B$11)</f>
        <v/>
      </c>
      <c r="H55" s="11">
        <f>IF(Inputs!$D$28=0,0,Inputs!$C$28+Inputs!$B$12*Inputs!$B$5*$B55^2/(Inputs!$D$28^2*Inputs!$H$28^4*Inputs!$I$28^2)+Inputs!$G$28*$B55^Inputs!$B$11)</f>
        <v/>
      </c>
      <c r="I55" s="11">
        <f>IF(Inputs!$D$29=0,0,Inputs!$C$29+Inputs!$B$12*Inputs!$B$5*$B55^2/(Inputs!$D$29^2*Inputs!$H$29^4*Inputs!$I$29^2)+Inputs!$G$29*$B55^Inputs!$B$11)</f>
        <v/>
      </c>
      <c r="J55" s="11">
        <f>IF(Inputs!$D$30=0,0,Inputs!$C$30+Inputs!$B$12*Inputs!$B$5*$B55^2/(Inputs!$D$30^2*Inputs!$H$30^4*Inputs!$I$30^2)+Inputs!$G$30*$B55^Inputs!$B$11)</f>
        <v/>
      </c>
      <c r="K55" s="11">
        <f>IF(Inputs!$D$31=0,0,Inputs!$C$31+Inputs!$B$12*Inputs!$B$5*$B55^2/(Inputs!$D$31^2*Inputs!$H$31^4*Inputs!$I$31^2)+Inputs!$G$31*$B55^Inputs!$B$11)</f>
        <v/>
      </c>
      <c r="L55" s="11">
        <f>IF(Inputs!$D$32=0,0,Inputs!$C$32+Inputs!$B$12*Inputs!$B$5*$B55^2/(Inputs!$D$32^2*Inputs!$H$32^4*Inputs!$I$32^2)+Inputs!$G$32*$B55^Inputs!$B$11)</f>
        <v/>
      </c>
      <c r="M55" s="11">
        <f>IF(Inputs!$D$33=0,0,Inputs!$C$33+Inputs!$B$12*Inputs!$B$5*$B55^2/(Inputs!$D$33^2*Inputs!$H$33^4*Inputs!$I$33^2)+Inputs!$G$33*$B55^Inputs!$B$11)</f>
        <v/>
      </c>
      <c r="N55" s="11">
        <f>IF(Inputs!$D$34=0,0,Inputs!$C$34+Inputs!$B$12*Inputs!$B$5*$B55^2/(Inputs!$D$34^2*Inputs!$H$34^4*Inputs!$I$34^2)+Inputs!$G$34*$B55^Inputs!$B$11)</f>
        <v/>
      </c>
    </row>
    <row r="56">
      <c r="A56" s="7" t="n">
        <v>51</v>
      </c>
      <c r="B56" s="37">
        <f>Inputs!$B$4*A56/200</f>
        <v/>
      </c>
      <c r="C56" s="11">
        <f>IF(Inputs!$D$23=0,0,Inputs!$C$23+Inputs!$B$12*Inputs!$B$5*$B56^2/(Inputs!$D$23^2*Inputs!$H$23^4*Inputs!$I$23^2)+Inputs!$G$23*$B56^Inputs!$B$11)</f>
        <v/>
      </c>
      <c r="D56" s="11">
        <f>IF(Inputs!$D$24=0,0,Inputs!$C$24+Inputs!$B$12*Inputs!$B$5*$B56^2/(Inputs!$D$24^2*Inputs!$H$24^4*Inputs!$I$24^2)+Inputs!$G$24*$B56^Inputs!$B$11)</f>
        <v/>
      </c>
      <c r="E56" s="11">
        <f>IF(Inputs!$D$25=0,0,Inputs!$C$25+Inputs!$B$12*Inputs!$B$5*$B56^2/(Inputs!$D$25^2*Inputs!$H$25^4*Inputs!$I$25^2)+Inputs!$G$25*$B56^Inputs!$B$11)</f>
        <v/>
      </c>
      <c r="F56" s="11">
        <f>IF(Inputs!$D$26=0,0,Inputs!$C$26+Inputs!$B$12*Inputs!$B$5*$B56^2/(Inputs!$D$26^2*Inputs!$H$26^4*Inputs!$I$26^2)+Inputs!$G$26*$B56^Inputs!$B$11)</f>
        <v/>
      </c>
      <c r="G56" s="11">
        <f>IF(Inputs!$D$27=0,0,Inputs!$C$27+Inputs!$B$12*Inputs!$B$5*$B56^2/(Inputs!$D$27^2*Inputs!$H$27^4*Inputs!$I$27^2)+Inputs!$G$27*$B56^Inputs!$B$11)</f>
        <v/>
      </c>
      <c r="H56" s="11">
        <f>IF(Inputs!$D$28=0,0,Inputs!$C$28+Inputs!$B$12*Inputs!$B$5*$B56^2/(Inputs!$D$28^2*Inputs!$H$28^4*Inputs!$I$28^2)+Inputs!$G$28*$B56^Inputs!$B$11)</f>
        <v/>
      </c>
      <c r="I56" s="11">
        <f>IF(Inputs!$D$29=0,0,Inputs!$C$29+Inputs!$B$12*Inputs!$B$5*$B56^2/(Inputs!$D$29^2*Inputs!$H$29^4*Inputs!$I$29^2)+Inputs!$G$29*$B56^Inputs!$B$11)</f>
        <v/>
      </c>
      <c r="J56" s="11">
        <f>IF(Inputs!$D$30=0,0,Inputs!$C$30+Inputs!$B$12*Inputs!$B$5*$B56^2/(Inputs!$D$30^2*Inputs!$H$30^4*Inputs!$I$30^2)+Inputs!$G$30*$B56^Inputs!$B$11)</f>
        <v/>
      </c>
      <c r="K56" s="11">
        <f>IF(Inputs!$D$31=0,0,Inputs!$C$31+Inputs!$B$12*Inputs!$B$5*$B56^2/(Inputs!$D$31^2*Inputs!$H$31^4*Inputs!$I$31^2)+Inputs!$G$31*$B56^Inputs!$B$11)</f>
        <v/>
      </c>
      <c r="L56" s="11">
        <f>IF(Inputs!$D$32=0,0,Inputs!$C$32+Inputs!$B$12*Inputs!$B$5*$B56^2/(Inputs!$D$32^2*Inputs!$H$32^4*Inputs!$I$32^2)+Inputs!$G$32*$B56^Inputs!$B$11)</f>
        <v/>
      </c>
      <c r="M56" s="11">
        <f>IF(Inputs!$D$33=0,0,Inputs!$C$33+Inputs!$B$12*Inputs!$B$5*$B56^2/(Inputs!$D$33^2*Inputs!$H$33^4*Inputs!$I$33^2)+Inputs!$G$33*$B56^Inputs!$B$11)</f>
        <v/>
      </c>
      <c r="N56" s="11">
        <f>IF(Inputs!$D$34=0,0,Inputs!$C$34+Inputs!$B$12*Inputs!$B$5*$B56^2/(Inputs!$D$34^2*Inputs!$H$34^4*Inputs!$I$34^2)+Inputs!$G$34*$B56^Inputs!$B$11)</f>
        <v/>
      </c>
    </row>
    <row r="57">
      <c r="A57" s="7" t="n">
        <v>52</v>
      </c>
      <c r="B57" s="37">
        <f>Inputs!$B$4*A57/200</f>
        <v/>
      </c>
      <c r="C57" s="11">
        <f>IF(Inputs!$D$23=0,0,Inputs!$C$23+Inputs!$B$12*Inputs!$B$5*$B57^2/(Inputs!$D$23^2*Inputs!$H$23^4*Inputs!$I$23^2)+Inputs!$G$23*$B57^Inputs!$B$11)</f>
        <v/>
      </c>
      <c r="D57" s="11">
        <f>IF(Inputs!$D$24=0,0,Inputs!$C$24+Inputs!$B$12*Inputs!$B$5*$B57^2/(Inputs!$D$24^2*Inputs!$H$24^4*Inputs!$I$24^2)+Inputs!$G$24*$B57^Inputs!$B$11)</f>
        <v/>
      </c>
      <c r="E57" s="11">
        <f>IF(Inputs!$D$25=0,0,Inputs!$C$25+Inputs!$B$12*Inputs!$B$5*$B57^2/(Inputs!$D$25^2*Inputs!$H$25^4*Inputs!$I$25^2)+Inputs!$G$25*$B57^Inputs!$B$11)</f>
        <v/>
      </c>
      <c r="F57" s="11">
        <f>IF(Inputs!$D$26=0,0,Inputs!$C$26+Inputs!$B$12*Inputs!$B$5*$B57^2/(Inputs!$D$26^2*Inputs!$H$26^4*Inputs!$I$26^2)+Inputs!$G$26*$B57^Inputs!$B$11)</f>
        <v/>
      </c>
      <c r="G57" s="11">
        <f>IF(Inputs!$D$27=0,0,Inputs!$C$27+Inputs!$B$12*Inputs!$B$5*$B57^2/(Inputs!$D$27^2*Inputs!$H$27^4*Inputs!$I$27^2)+Inputs!$G$27*$B57^Inputs!$B$11)</f>
        <v/>
      </c>
      <c r="H57" s="11">
        <f>IF(Inputs!$D$28=0,0,Inputs!$C$28+Inputs!$B$12*Inputs!$B$5*$B57^2/(Inputs!$D$28^2*Inputs!$H$28^4*Inputs!$I$28^2)+Inputs!$G$28*$B57^Inputs!$B$11)</f>
        <v/>
      </c>
      <c r="I57" s="11">
        <f>IF(Inputs!$D$29=0,0,Inputs!$C$29+Inputs!$B$12*Inputs!$B$5*$B57^2/(Inputs!$D$29^2*Inputs!$H$29^4*Inputs!$I$29^2)+Inputs!$G$29*$B57^Inputs!$B$11)</f>
        <v/>
      </c>
      <c r="J57" s="11">
        <f>IF(Inputs!$D$30=0,0,Inputs!$C$30+Inputs!$B$12*Inputs!$B$5*$B57^2/(Inputs!$D$30^2*Inputs!$H$30^4*Inputs!$I$30^2)+Inputs!$G$30*$B57^Inputs!$B$11)</f>
        <v/>
      </c>
      <c r="K57" s="11">
        <f>IF(Inputs!$D$31=0,0,Inputs!$C$31+Inputs!$B$12*Inputs!$B$5*$B57^2/(Inputs!$D$31^2*Inputs!$H$31^4*Inputs!$I$31^2)+Inputs!$G$31*$B57^Inputs!$B$11)</f>
        <v/>
      </c>
      <c r="L57" s="11">
        <f>IF(Inputs!$D$32=0,0,Inputs!$C$32+Inputs!$B$12*Inputs!$B$5*$B57^2/(Inputs!$D$32^2*Inputs!$H$32^4*Inputs!$I$32^2)+Inputs!$G$32*$B57^Inputs!$B$11)</f>
        <v/>
      </c>
      <c r="M57" s="11">
        <f>IF(Inputs!$D$33=0,0,Inputs!$C$33+Inputs!$B$12*Inputs!$B$5*$B57^2/(Inputs!$D$33^2*Inputs!$H$33^4*Inputs!$I$33^2)+Inputs!$G$33*$B57^Inputs!$B$11)</f>
        <v/>
      </c>
      <c r="N57" s="11">
        <f>IF(Inputs!$D$34=0,0,Inputs!$C$34+Inputs!$B$12*Inputs!$B$5*$B57^2/(Inputs!$D$34^2*Inputs!$H$34^4*Inputs!$I$34^2)+Inputs!$G$34*$B57^Inputs!$B$11)</f>
        <v/>
      </c>
    </row>
    <row r="58">
      <c r="A58" s="7" t="n">
        <v>53</v>
      </c>
      <c r="B58" s="37">
        <f>Inputs!$B$4*A58/200</f>
        <v/>
      </c>
      <c r="C58" s="11">
        <f>IF(Inputs!$D$23=0,0,Inputs!$C$23+Inputs!$B$12*Inputs!$B$5*$B58^2/(Inputs!$D$23^2*Inputs!$H$23^4*Inputs!$I$23^2)+Inputs!$G$23*$B58^Inputs!$B$11)</f>
        <v/>
      </c>
      <c r="D58" s="11">
        <f>IF(Inputs!$D$24=0,0,Inputs!$C$24+Inputs!$B$12*Inputs!$B$5*$B58^2/(Inputs!$D$24^2*Inputs!$H$24^4*Inputs!$I$24^2)+Inputs!$G$24*$B58^Inputs!$B$11)</f>
        <v/>
      </c>
      <c r="E58" s="11">
        <f>IF(Inputs!$D$25=0,0,Inputs!$C$25+Inputs!$B$12*Inputs!$B$5*$B58^2/(Inputs!$D$25^2*Inputs!$H$25^4*Inputs!$I$25^2)+Inputs!$G$25*$B58^Inputs!$B$11)</f>
        <v/>
      </c>
      <c r="F58" s="11">
        <f>IF(Inputs!$D$26=0,0,Inputs!$C$26+Inputs!$B$12*Inputs!$B$5*$B58^2/(Inputs!$D$26^2*Inputs!$H$26^4*Inputs!$I$26^2)+Inputs!$G$26*$B58^Inputs!$B$11)</f>
        <v/>
      </c>
      <c r="G58" s="11">
        <f>IF(Inputs!$D$27=0,0,Inputs!$C$27+Inputs!$B$12*Inputs!$B$5*$B58^2/(Inputs!$D$27^2*Inputs!$H$27^4*Inputs!$I$27^2)+Inputs!$G$27*$B58^Inputs!$B$11)</f>
        <v/>
      </c>
      <c r="H58" s="11">
        <f>IF(Inputs!$D$28=0,0,Inputs!$C$28+Inputs!$B$12*Inputs!$B$5*$B58^2/(Inputs!$D$28^2*Inputs!$H$28^4*Inputs!$I$28^2)+Inputs!$G$28*$B58^Inputs!$B$11)</f>
        <v/>
      </c>
      <c r="I58" s="11">
        <f>IF(Inputs!$D$29=0,0,Inputs!$C$29+Inputs!$B$12*Inputs!$B$5*$B58^2/(Inputs!$D$29^2*Inputs!$H$29^4*Inputs!$I$29^2)+Inputs!$G$29*$B58^Inputs!$B$11)</f>
        <v/>
      </c>
      <c r="J58" s="11">
        <f>IF(Inputs!$D$30=0,0,Inputs!$C$30+Inputs!$B$12*Inputs!$B$5*$B58^2/(Inputs!$D$30^2*Inputs!$H$30^4*Inputs!$I$30^2)+Inputs!$G$30*$B58^Inputs!$B$11)</f>
        <v/>
      </c>
      <c r="K58" s="11">
        <f>IF(Inputs!$D$31=0,0,Inputs!$C$31+Inputs!$B$12*Inputs!$B$5*$B58^2/(Inputs!$D$31^2*Inputs!$H$31^4*Inputs!$I$31^2)+Inputs!$G$31*$B58^Inputs!$B$11)</f>
        <v/>
      </c>
      <c r="L58" s="11">
        <f>IF(Inputs!$D$32=0,0,Inputs!$C$32+Inputs!$B$12*Inputs!$B$5*$B58^2/(Inputs!$D$32^2*Inputs!$H$32^4*Inputs!$I$32^2)+Inputs!$G$32*$B58^Inputs!$B$11)</f>
        <v/>
      </c>
      <c r="M58" s="11">
        <f>IF(Inputs!$D$33=0,0,Inputs!$C$33+Inputs!$B$12*Inputs!$B$5*$B58^2/(Inputs!$D$33^2*Inputs!$H$33^4*Inputs!$I$33^2)+Inputs!$G$33*$B58^Inputs!$B$11)</f>
        <v/>
      </c>
      <c r="N58" s="11">
        <f>IF(Inputs!$D$34=0,0,Inputs!$C$34+Inputs!$B$12*Inputs!$B$5*$B58^2/(Inputs!$D$34^2*Inputs!$H$34^4*Inputs!$I$34^2)+Inputs!$G$34*$B58^Inputs!$B$11)</f>
        <v/>
      </c>
    </row>
    <row r="59">
      <c r="A59" s="7" t="n">
        <v>54</v>
      </c>
      <c r="B59" s="37">
        <f>Inputs!$B$4*A59/200</f>
        <v/>
      </c>
      <c r="C59" s="11">
        <f>IF(Inputs!$D$23=0,0,Inputs!$C$23+Inputs!$B$12*Inputs!$B$5*$B59^2/(Inputs!$D$23^2*Inputs!$H$23^4*Inputs!$I$23^2)+Inputs!$G$23*$B59^Inputs!$B$11)</f>
        <v/>
      </c>
      <c r="D59" s="11">
        <f>IF(Inputs!$D$24=0,0,Inputs!$C$24+Inputs!$B$12*Inputs!$B$5*$B59^2/(Inputs!$D$24^2*Inputs!$H$24^4*Inputs!$I$24^2)+Inputs!$G$24*$B59^Inputs!$B$11)</f>
        <v/>
      </c>
      <c r="E59" s="11">
        <f>IF(Inputs!$D$25=0,0,Inputs!$C$25+Inputs!$B$12*Inputs!$B$5*$B59^2/(Inputs!$D$25^2*Inputs!$H$25^4*Inputs!$I$25^2)+Inputs!$G$25*$B59^Inputs!$B$11)</f>
        <v/>
      </c>
      <c r="F59" s="11">
        <f>IF(Inputs!$D$26=0,0,Inputs!$C$26+Inputs!$B$12*Inputs!$B$5*$B59^2/(Inputs!$D$26^2*Inputs!$H$26^4*Inputs!$I$26^2)+Inputs!$G$26*$B59^Inputs!$B$11)</f>
        <v/>
      </c>
      <c r="G59" s="11">
        <f>IF(Inputs!$D$27=0,0,Inputs!$C$27+Inputs!$B$12*Inputs!$B$5*$B59^2/(Inputs!$D$27^2*Inputs!$H$27^4*Inputs!$I$27^2)+Inputs!$G$27*$B59^Inputs!$B$11)</f>
        <v/>
      </c>
      <c r="H59" s="11">
        <f>IF(Inputs!$D$28=0,0,Inputs!$C$28+Inputs!$B$12*Inputs!$B$5*$B59^2/(Inputs!$D$28^2*Inputs!$H$28^4*Inputs!$I$28^2)+Inputs!$G$28*$B59^Inputs!$B$11)</f>
        <v/>
      </c>
      <c r="I59" s="11">
        <f>IF(Inputs!$D$29=0,0,Inputs!$C$29+Inputs!$B$12*Inputs!$B$5*$B59^2/(Inputs!$D$29^2*Inputs!$H$29^4*Inputs!$I$29^2)+Inputs!$G$29*$B59^Inputs!$B$11)</f>
        <v/>
      </c>
      <c r="J59" s="11">
        <f>IF(Inputs!$D$30=0,0,Inputs!$C$30+Inputs!$B$12*Inputs!$B$5*$B59^2/(Inputs!$D$30^2*Inputs!$H$30^4*Inputs!$I$30^2)+Inputs!$G$30*$B59^Inputs!$B$11)</f>
        <v/>
      </c>
      <c r="K59" s="11">
        <f>IF(Inputs!$D$31=0,0,Inputs!$C$31+Inputs!$B$12*Inputs!$B$5*$B59^2/(Inputs!$D$31^2*Inputs!$H$31^4*Inputs!$I$31^2)+Inputs!$G$31*$B59^Inputs!$B$11)</f>
        <v/>
      </c>
      <c r="L59" s="11">
        <f>IF(Inputs!$D$32=0,0,Inputs!$C$32+Inputs!$B$12*Inputs!$B$5*$B59^2/(Inputs!$D$32^2*Inputs!$H$32^4*Inputs!$I$32^2)+Inputs!$G$32*$B59^Inputs!$B$11)</f>
        <v/>
      </c>
      <c r="M59" s="11">
        <f>IF(Inputs!$D$33=0,0,Inputs!$C$33+Inputs!$B$12*Inputs!$B$5*$B59^2/(Inputs!$D$33^2*Inputs!$H$33^4*Inputs!$I$33^2)+Inputs!$G$33*$B59^Inputs!$B$11)</f>
        <v/>
      </c>
      <c r="N59" s="11">
        <f>IF(Inputs!$D$34=0,0,Inputs!$C$34+Inputs!$B$12*Inputs!$B$5*$B59^2/(Inputs!$D$34^2*Inputs!$H$34^4*Inputs!$I$34^2)+Inputs!$G$34*$B59^Inputs!$B$11)</f>
        <v/>
      </c>
    </row>
    <row r="60">
      <c r="A60" s="7" t="n">
        <v>55</v>
      </c>
      <c r="B60" s="37">
        <f>Inputs!$B$4*A60/200</f>
        <v/>
      </c>
      <c r="C60" s="11">
        <f>IF(Inputs!$D$23=0,0,Inputs!$C$23+Inputs!$B$12*Inputs!$B$5*$B60^2/(Inputs!$D$23^2*Inputs!$H$23^4*Inputs!$I$23^2)+Inputs!$G$23*$B60^Inputs!$B$11)</f>
        <v/>
      </c>
      <c r="D60" s="11">
        <f>IF(Inputs!$D$24=0,0,Inputs!$C$24+Inputs!$B$12*Inputs!$B$5*$B60^2/(Inputs!$D$24^2*Inputs!$H$24^4*Inputs!$I$24^2)+Inputs!$G$24*$B60^Inputs!$B$11)</f>
        <v/>
      </c>
      <c r="E60" s="11">
        <f>IF(Inputs!$D$25=0,0,Inputs!$C$25+Inputs!$B$12*Inputs!$B$5*$B60^2/(Inputs!$D$25^2*Inputs!$H$25^4*Inputs!$I$25^2)+Inputs!$G$25*$B60^Inputs!$B$11)</f>
        <v/>
      </c>
      <c r="F60" s="11">
        <f>IF(Inputs!$D$26=0,0,Inputs!$C$26+Inputs!$B$12*Inputs!$B$5*$B60^2/(Inputs!$D$26^2*Inputs!$H$26^4*Inputs!$I$26^2)+Inputs!$G$26*$B60^Inputs!$B$11)</f>
        <v/>
      </c>
      <c r="G60" s="11">
        <f>IF(Inputs!$D$27=0,0,Inputs!$C$27+Inputs!$B$12*Inputs!$B$5*$B60^2/(Inputs!$D$27^2*Inputs!$H$27^4*Inputs!$I$27^2)+Inputs!$G$27*$B60^Inputs!$B$11)</f>
        <v/>
      </c>
      <c r="H60" s="11">
        <f>IF(Inputs!$D$28=0,0,Inputs!$C$28+Inputs!$B$12*Inputs!$B$5*$B60^2/(Inputs!$D$28^2*Inputs!$H$28^4*Inputs!$I$28^2)+Inputs!$G$28*$B60^Inputs!$B$11)</f>
        <v/>
      </c>
      <c r="I60" s="11">
        <f>IF(Inputs!$D$29=0,0,Inputs!$C$29+Inputs!$B$12*Inputs!$B$5*$B60^2/(Inputs!$D$29^2*Inputs!$H$29^4*Inputs!$I$29^2)+Inputs!$G$29*$B60^Inputs!$B$11)</f>
        <v/>
      </c>
      <c r="J60" s="11">
        <f>IF(Inputs!$D$30=0,0,Inputs!$C$30+Inputs!$B$12*Inputs!$B$5*$B60^2/(Inputs!$D$30^2*Inputs!$H$30^4*Inputs!$I$30^2)+Inputs!$G$30*$B60^Inputs!$B$11)</f>
        <v/>
      </c>
      <c r="K60" s="11">
        <f>IF(Inputs!$D$31=0,0,Inputs!$C$31+Inputs!$B$12*Inputs!$B$5*$B60^2/(Inputs!$D$31^2*Inputs!$H$31^4*Inputs!$I$31^2)+Inputs!$G$31*$B60^Inputs!$B$11)</f>
        <v/>
      </c>
      <c r="L60" s="11">
        <f>IF(Inputs!$D$32=0,0,Inputs!$C$32+Inputs!$B$12*Inputs!$B$5*$B60^2/(Inputs!$D$32^2*Inputs!$H$32^4*Inputs!$I$32^2)+Inputs!$G$32*$B60^Inputs!$B$11)</f>
        <v/>
      </c>
      <c r="M60" s="11">
        <f>IF(Inputs!$D$33=0,0,Inputs!$C$33+Inputs!$B$12*Inputs!$B$5*$B60^2/(Inputs!$D$33^2*Inputs!$H$33^4*Inputs!$I$33^2)+Inputs!$G$33*$B60^Inputs!$B$11)</f>
        <v/>
      </c>
      <c r="N60" s="11">
        <f>IF(Inputs!$D$34=0,0,Inputs!$C$34+Inputs!$B$12*Inputs!$B$5*$B60^2/(Inputs!$D$34^2*Inputs!$H$34^4*Inputs!$I$34^2)+Inputs!$G$34*$B60^Inputs!$B$11)</f>
        <v/>
      </c>
    </row>
    <row r="61">
      <c r="A61" s="7" t="n">
        <v>56</v>
      </c>
      <c r="B61" s="37">
        <f>Inputs!$B$4*A61/200</f>
        <v/>
      </c>
      <c r="C61" s="11">
        <f>IF(Inputs!$D$23=0,0,Inputs!$C$23+Inputs!$B$12*Inputs!$B$5*$B61^2/(Inputs!$D$23^2*Inputs!$H$23^4*Inputs!$I$23^2)+Inputs!$G$23*$B61^Inputs!$B$11)</f>
        <v/>
      </c>
      <c r="D61" s="11">
        <f>IF(Inputs!$D$24=0,0,Inputs!$C$24+Inputs!$B$12*Inputs!$B$5*$B61^2/(Inputs!$D$24^2*Inputs!$H$24^4*Inputs!$I$24^2)+Inputs!$G$24*$B61^Inputs!$B$11)</f>
        <v/>
      </c>
      <c r="E61" s="11">
        <f>IF(Inputs!$D$25=0,0,Inputs!$C$25+Inputs!$B$12*Inputs!$B$5*$B61^2/(Inputs!$D$25^2*Inputs!$H$25^4*Inputs!$I$25^2)+Inputs!$G$25*$B61^Inputs!$B$11)</f>
        <v/>
      </c>
      <c r="F61" s="11">
        <f>IF(Inputs!$D$26=0,0,Inputs!$C$26+Inputs!$B$12*Inputs!$B$5*$B61^2/(Inputs!$D$26^2*Inputs!$H$26^4*Inputs!$I$26^2)+Inputs!$G$26*$B61^Inputs!$B$11)</f>
        <v/>
      </c>
      <c r="G61" s="11">
        <f>IF(Inputs!$D$27=0,0,Inputs!$C$27+Inputs!$B$12*Inputs!$B$5*$B61^2/(Inputs!$D$27^2*Inputs!$H$27^4*Inputs!$I$27^2)+Inputs!$G$27*$B61^Inputs!$B$11)</f>
        <v/>
      </c>
      <c r="H61" s="11">
        <f>IF(Inputs!$D$28=0,0,Inputs!$C$28+Inputs!$B$12*Inputs!$B$5*$B61^2/(Inputs!$D$28^2*Inputs!$H$28^4*Inputs!$I$28^2)+Inputs!$G$28*$B61^Inputs!$B$11)</f>
        <v/>
      </c>
      <c r="I61" s="11">
        <f>IF(Inputs!$D$29=0,0,Inputs!$C$29+Inputs!$B$12*Inputs!$B$5*$B61^2/(Inputs!$D$29^2*Inputs!$H$29^4*Inputs!$I$29^2)+Inputs!$G$29*$B61^Inputs!$B$11)</f>
        <v/>
      </c>
      <c r="J61" s="11">
        <f>IF(Inputs!$D$30=0,0,Inputs!$C$30+Inputs!$B$12*Inputs!$B$5*$B61^2/(Inputs!$D$30^2*Inputs!$H$30^4*Inputs!$I$30^2)+Inputs!$G$30*$B61^Inputs!$B$11)</f>
        <v/>
      </c>
      <c r="K61" s="11">
        <f>IF(Inputs!$D$31=0,0,Inputs!$C$31+Inputs!$B$12*Inputs!$B$5*$B61^2/(Inputs!$D$31^2*Inputs!$H$31^4*Inputs!$I$31^2)+Inputs!$G$31*$B61^Inputs!$B$11)</f>
        <v/>
      </c>
      <c r="L61" s="11">
        <f>IF(Inputs!$D$32=0,0,Inputs!$C$32+Inputs!$B$12*Inputs!$B$5*$B61^2/(Inputs!$D$32^2*Inputs!$H$32^4*Inputs!$I$32^2)+Inputs!$G$32*$B61^Inputs!$B$11)</f>
        <v/>
      </c>
      <c r="M61" s="11">
        <f>IF(Inputs!$D$33=0,0,Inputs!$C$33+Inputs!$B$12*Inputs!$B$5*$B61^2/(Inputs!$D$33^2*Inputs!$H$33^4*Inputs!$I$33^2)+Inputs!$G$33*$B61^Inputs!$B$11)</f>
        <v/>
      </c>
      <c r="N61" s="11">
        <f>IF(Inputs!$D$34=0,0,Inputs!$C$34+Inputs!$B$12*Inputs!$B$5*$B61^2/(Inputs!$D$34^2*Inputs!$H$34^4*Inputs!$I$34^2)+Inputs!$G$34*$B61^Inputs!$B$11)</f>
        <v/>
      </c>
    </row>
    <row r="62">
      <c r="A62" s="7" t="n">
        <v>57</v>
      </c>
      <c r="B62" s="37">
        <f>Inputs!$B$4*A62/200</f>
        <v/>
      </c>
      <c r="C62" s="11">
        <f>IF(Inputs!$D$23=0,0,Inputs!$C$23+Inputs!$B$12*Inputs!$B$5*$B62^2/(Inputs!$D$23^2*Inputs!$H$23^4*Inputs!$I$23^2)+Inputs!$G$23*$B62^Inputs!$B$11)</f>
        <v/>
      </c>
      <c r="D62" s="11">
        <f>IF(Inputs!$D$24=0,0,Inputs!$C$24+Inputs!$B$12*Inputs!$B$5*$B62^2/(Inputs!$D$24^2*Inputs!$H$24^4*Inputs!$I$24^2)+Inputs!$G$24*$B62^Inputs!$B$11)</f>
        <v/>
      </c>
      <c r="E62" s="11">
        <f>IF(Inputs!$D$25=0,0,Inputs!$C$25+Inputs!$B$12*Inputs!$B$5*$B62^2/(Inputs!$D$25^2*Inputs!$H$25^4*Inputs!$I$25^2)+Inputs!$G$25*$B62^Inputs!$B$11)</f>
        <v/>
      </c>
      <c r="F62" s="11">
        <f>IF(Inputs!$D$26=0,0,Inputs!$C$26+Inputs!$B$12*Inputs!$B$5*$B62^2/(Inputs!$D$26^2*Inputs!$H$26^4*Inputs!$I$26^2)+Inputs!$G$26*$B62^Inputs!$B$11)</f>
        <v/>
      </c>
      <c r="G62" s="11">
        <f>IF(Inputs!$D$27=0,0,Inputs!$C$27+Inputs!$B$12*Inputs!$B$5*$B62^2/(Inputs!$D$27^2*Inputs!$H$27^4*Inputs!$I$27^2)+Inputs!$G$27*$B62^Inputs!$B$11)</f>
        <v/>
      </c>
      <c r="H62" s="11">
        <f>IF(Inputs!$D$28=0,0,Inputs!$C$28+Inputs!$B$12*Inputs!$B$5*$B62^2/(Inputs!$D$28^2*Inputs!$H$28^4*Inputs!$I$28^2)+Inputs!$G$28*$B62^Inputs!$B$11)</f>
        <v/>
      </c>
      <c r="I62" s="11">
        <f>IF(Inputs!$D$29=0,0,Inputs!$C$29+Inputs!$B$12*Inputs!$B$5*$B62^2/(Inputs!$D$29^2*Inputs!$H$29^4*Inputs!$I$29^2)+Inputs!$G$29*$B62^Inputs!$B$11)</f>
        <v/>
      </c>
      <c r="J62" s="11">
        <f>IF(Inputs!$D$30=0,0,Inputs!$C$30+Inputs!$B$12*Inputs!$B$5*$B62^2/(Inputs!$D$30^2*Inputs!$H$30^4*Inputs!$I$30^2)+Inputs!$G$30*$B62^Inputs!$B$11)</f>
        <v/>
      </c>
      <c r="K62" s="11">
        <f>IF(Inputs!$D$31=0,0,Inputs!$C$31+Inputs!$B$12*Inputs!$B$5*$B62^2/(Inputs!$D$31^2*Inputs!$H$31^4*Inputs!$I$31^2)+Inputs!$G$31*$B62^Inputs!$B$11)</f>
        <v/>
      </c>
      <c r="L62" s="11">
        <f>IF(Inputs!$D$32=0,0,Inputs!$C$32+Inputs!$B$12*Inputs!$B$5*$B62^2/(Inputs!$D$32^2*Inputs!$H$32^4*Inputs!$I$32^2)+Inputs!$G$32*$B62^Inputs!$B$11)</f>
        <v/>
      </c>
      <c r="M62" s="11">
        <f>IF(Inputs!$D$33=0,0,Inputs!$C$33+Inputs!$B$12*Inputs!$B$5*$B62^2/(Inputs!$D$33^2*Inputs!$H$33^4*Inputs!$I$33^2)+Inputs!$G$33*$B62^Inputs!$B$11)</f>
        <v/>
      </c>
      <c r="N62" s="11">
        <f>IF(Inputs!$D$34=0,0,Inputs!$C$34+Inputs!$B$12*Inputs!$B$5*$B62^2/(Inputs!$D$34^2*Inputs!$H$34^4*Inputs!$I$34^2)+Inputs!$G$34*$B62^Inputs!$B$11)</f>
        <v/>
      </c>
    </row>
    <row r="63">
      <c r="A63" s="7" t="n">
        <v>58</v>
      </c>
      <c r="B63" s="37">
        <f>Inputs!$B$4*A63/200</f>
        <v/>
      </c>
      <c r="C63" s="11">
        <f>IF(Inputs!$D$23=0,0,Inputs!$C$23+Inputs!$B$12*Inputs!$B$5*$B63^2/(Inputs!$D$23^2*Inputs!$H$23^4*Inputs!$I$23^2)+Inputs!$G$23*$B63^Inputs!$B$11)</f>
        <v/>
      </c>
      <c r="D63" s="11">
        <f>IF(Inputs!$D$24=0,0,Inputs!$C$24+Inputs!$B$12*Inputs!$B$5*$B63^2/(Inputs!$D$24^2*Inputs!$H$24^4*Inputs!$I$24^2)+Inputs!$G$24*$B63^Inputs!$B$11)</f>
        <v/>
      </c>
      <c r="E63" s="11">
        <f>IF(Inputs!$D$25=0,0,Inputs!$C$25+Inputs!$B$12*Inputs!$B$5*$B63^2/(Inputs!$D$25^2*Inputs!$H$25^4*Inputs!$I$25^2)+Inputs!$G$25*$B63^Inputs!$B$11)</f>
        <v/>
      </c>
      <c r="F63" s="11">
        <f>IF(Inputs!$D$26=0,0,Inputs!$C$26+Inputs!$B$12*Inputs!$B$5*$B63^2/(Inputs!$D$26^2*Inputs!$H$26^4*Inputs!$I$26^2)+Inputs!$G$26*$B63^Inputs!$B$11)</f>
        <v/>
      </c>
      <c r="G63" s="11">
        <f>IF(Inputs!$D$27=0,0,Inputs!$C$27+Inputs!$B$12*Inputs!$B$5*$B63^2/(Inputs!$D$27^2*Inputs!$H$27^4*Inputs!$I$27^2)+Inputs!$G$27*$B63^Inputs!$B$11)</f>
        <v/>
      </c>
      <c r="H63" s="11">
        <f>IF(Inputs!$D$28=0,0,Inputs!$C$28+Inputs!$B$12*Inputs!$B$5*$B63^2/(Inputs!$D$28^2*Inputs!$H$28^4*Inputs!$I$28^2)+Inputs!$G$28*$B63^Inputs!$B$11)</f>
        <v/>
      </c>
      <c r="I63" s="11">
        <f>IF(Inputs!$D$29=0,0,Inputs!$C$29+Inputs!$B$12*Inputs!$B$5*$B63^2/(Inputs!$D$29^2*Inputs!$H$29^4*Inputs!$I$29^2)+Inputs!$G$29*$B63^Inputs!$B$11)</f>
        <v/>
      </c>
      <c r="J63" s="11">
        <f>IF(Inputs!$D$30=0,0,Inputs!$C$30+Inputs!$B$12*Inputs!$B$5*$B63^2/(Inputs!$D$30^2*Inputs!$H$30^4*Inputs!$I$30^2)+Inputs!$G$30*$B63^Inputs!$B$11)</f>
        <v/>
      </c>
      <c r="K63" s="11">
        <f>IF(Inputs!$D$31=0,0,Inputs!$C$31+Inputs!$B$12*Inputs!$B$5*$B63^2/(Inputs!$D$31^2*Inputs!$H$31^4*Inputs!$I$31^2)+Inputs!$G$31*$B63^Inputs!$B$11)</f>
        <v/>
      </c>
      <c r="L63" s="11">
        <f>IF(Inputs!$D$32=0,0,Inputs!$C$32+Inputs!$B$12*Inputs!$B$5*$B63^2/(Inputs!$D$32^2*Inputs!$H$32^4*Inputs!$I$32^2)+Inputs!$G$32*$B63^Inputs!$B$11)</f>
        <v/>
      </c>
      <c r="M63" s="11">
        <f>IF(Inputs!$D$33=0,0,Inputs!$C$33+Inputs!$B$12*Inputs!$B$5*$B63^2/(Inputs!$D$33^2*Inputs!$H$33^4*Inputs!$I$33^2)+Inputs!$G$33*$B63^Inputs!$B$11)</f>
        <v/>
      </c>
      <c r="N63" s="11">
        <f>IF(Inputs!$D$34=0,0,Inputs!$C$34+Inputs!$B$12*Inputs!$B$5*$B63^2/(Inputs!$D$34^2*Inputs!$H$34^4*Inputs!$I$34^2)+Inputs!$G$34*$B63^Inputs!$B$11)</f>
        <v/>
      </c>
    </row>
    <row r="64">
      <c r="A64" s="7" t="n">
        <v>59</v>
      </c>
      <c r="B64" s="37">
        <f>Inputs!$B$4*A64/200</f>
        <v/>
      </c>
      <c r="C64" s="11">
        <f>IF(Inputs!$D$23=0,0,Inputs!$C$23+Inputs!$B$12*Inputs!$B$5*$B64^2/(Inputs!$D$23^2*Inputs!$H$23^4*Inputs!$I$23^2)+Inputs!$G$23*$B64^Inputs!$B$11)</f>
        <v/>
      </c>
      <c r="D64" s="11">
        <f>IF(Inputs!$D$24=0,0,Inputs!$C$24+Inputs!$B$12*Inputs!$B$5*$B64^2/(Inputs!$D$24^2*Inputs!$H$24^4*Inputs!$I$24^2)+Inputs!$G$24*$B64^Inputs!$B$11)</f>
        <v/>
      </c>
      <c r="E64" s="11">
        <f>IF(Inputs!$D$25=0,0,Inputs!$C$25+Inputs!$B$12*Inputs!$B$5*$B64^2/(Inputs!$D$25^2*Inputs!$H$25^4*Inputs!$I$25^2)+Inputs!$G$25*$B64^Inputs!$B$11)</f>
        <v/>
      </c>
      <c r="F64" s="11">
        <f>IF(Inputs!$D$26=0,0,Inputs!$C$26+Inputs!$B$12*Inputs!$B$5*$B64^2/(Inputs!$D$26^2*Inputs!$H$26^4*Inputs!$I$26^2)+Inputs!$G$26*$B64^Inputs!$B$11)</f>
        <v/>
      </c>
      <c r="G64" s="11">
        <f>IF(Inputs!$D$27=0,0,Inputs!$C$27+Inputs!$B$12*Inputs!$B$5*$B64^2/(Inputs!$D$27^2*Inputs!$H$27^4*Inputs!$I$27^2)+Inputs!$G$27*$B64^Inputs!$B$11)</f>
        <v/>
      </c>
      <c r="H64" s="11">
        <f>IF(Inputs!$D$28=0,0,Inputs!$C$28+Inputs!$B$12*Inputs!$B$5*$B64^2/(Inputs!$D$28^2*Inputs!$H$28^4*Inputs!$I$28^2)+Inputs!$G$28*$B64^Inputs!$B$11)</f>
        <v/>
      </c>
      <c r="I64" s="11">
        <f>IF(Inputs!$D$29=0,0,Inputs!$C$29+Inputs!$B$12*Inputs!$B$5*$B64^2/(Inputs!$D$29^2*Inputs!$H$29^4*Inputs!$I$29^2)+Inputs!$G$29*$B64^Inputs!$B$11)</f>
        <v/>
      </c>
      <c r="J64" s="11">
        <f>IF(Inputs!$D$30=0,0,Inputs!$C$30+Inputs!$B$12*Inputs!$B$5*$B64^2/(Inputs!$D$30^2*Inputs!$H$30^4*Inputs!$I$30^2)+Inputs!$G$30*$B64^Inputs!$B$11)</f>
        <v/>
      </c>
      <c r="K64" s="11">
        <f>IF(Inputs!$D$31=0,0,Inputs!$C$31+Inputs!$B$12*Inputs!$B$5*$B64^2/(Inputs!$D$31^2*Inputs!$H$31^4*Inputs!$I$31^2)+Inputs!$G$31*$B64^Inputs!$B$11)</f>
        <v/>
      </c>
      <c r="L64" s="11">
        <f>IF(Inputs!$D$32=0,0,Inputs!$C$32+Inputs!$B$12*Inputs!$B$5*$B64^2/(Inputs!$D$32^2*Inputs!$H$32^4*Inputs!$I$32^2)+Inputs!$G$32*$B64^Inputs!$B$11)</f>
        <v/>
      </c>
      <c r="M64" s="11">
        <f>IF(Inputs!$D$33=0,0,Inputs!$C$33+Inputs!$B$12*Inputs!$B$5*$B64^2/(Inputs!$D$33^2*Inputs!$H$33^4*Inputs!$I$33^2)+Inputs!$G$33*$B64^Inputs!$B$11)</f>
        <v/>
      </c>
      <c r="N64" s="11">
        <f>IF(Inputs!$D$34=0,0,Inputs!$C$34+Inputs!$B$12*Inputs!$B$5*$B64^2/(Inputs!$D$34^2*Inputs!$H$34^4*Inputs!$I$34^2)+Inputs!$G$34*$B64^Inputs!$B$11)</f>
        <v/>
      </c>
    </row>
    <row r="65">
      <c r="A65" s="7" t="n">
        <v>60</v>
      </c>
      <c r="B65" s="37">
        <f>Inputs!$B$4*A65/200</f>
        <v/>
      </c>
      <c r="C65" s="11">
        <f>IF(Inputs!$D$23=0,0,Inputs!$C$23+Inputs!$B$12*Inputs!$B$5*$B65^2/(Inputs!$D$23^2*Inputs!$H$23^4*Inputs!$I$23^2)+Inputs!$G$23*$B65^Inputs!$B$11)</f>
        <v/>
      </c>
      <c r="D65" s="11">
        <f>IF(Inputs!$D$24=0,0,Inputs!$C$24+Inputs!$B$12*Inputs!$B$5*$B65^2/(Inputs!$D$24^2*Inputs!$H$24^4*Inputs!$I$24^2)+Inputs!$G$24*$B65^Inputs!$B$11)</f>
        <v/>
      </c>
      <c r="E65" s="11">
        <f>IF(Inputs!$D$25=0,0,Inputs!$C$25+Inputs!$B$12*Inputs!$B$5*$B65^2/(Inputs!$D$25^2*Inputs!$H$25^4*Inputs!$I$25^2)+Inputs!$G$25*$B65^Inputs!$B$11)</f>
        <v/>
      </c>
      <c r="F65" s="11">
        <f>IF(Inputs!$D$26=0,0,Inputs!$C$26+Inputs!$B$12*Inputs!$B$5*$B65^2/(Inputs!$D$26^2*Inputs!$H$26^4*Inputs!$I$26^2)+Inputs!$G$26*$B65^Inputs!$B$11)</f>
        <v/>
      </c>
      <c r="G65" s="11">
        <f>IF(Inputs!$D$27=0,0,Inputs!$C$27+Inputs!$B$12*Inputs!$B$5*$B65^2/(Inputs!$D$27^2*Inputs!$H$27^4*Inputs!$I$27^2)+Inputs!$G$27*$B65^Inputs!$B$11)</f>
        <v/>
      </c>
      <c r="H65" s="11">
        <f>IF(Inputs!$D$28=0,0,Inputs!$C$28+Inputs!$B$12*Inputs!$B$5*$B65^2/(Inputs!$D$28^2*Inputs!$H$28^4*Inputs!$I$28^2)+Inputs!$G$28*$B65^Inputs!$B$11)</f>
        <v/>
      </c>
      <c r="I65" s="11">
        <f>IF(Inputs!$D$29=0,0,Inputs!$C$29+Inputs!$B$12*Inputs!$B$5*$B65^2/(Inputs!$D$29^2*Inputs!$H$29^4*Inputs!$I$29^2)+Inputs!$G$29*$B65^Inputs!$B$11)</f>
        <v/>
      </c>
      <c r="J65" s="11">
        <f>IF(Inputs!$D$30=0,0,Inputs!$C$30+Inputs!$B$12*Inputs!$B$5*$B65^2/(Inputs!$D$30^2*Inputs!$H$30^4*Inputs!$I$30^2)+Inputs!$G$30*$B65^Inputs!$B$11)</f>
        <v/>
      </c>
      <c r="K65" s="11">
        <f>IF(Inputs!$D$31=0,0,Inputs!$C$31+Inputs!$B$12*Inputs!$B$5*$B65^2/(Inputs!$D$31^2*Inputs!$H$31^4*Inputs!$I$31^2)+Inputs!$G$31*$B65^Inputs!$B$11)</f>
        <v/>
      </c>
      <c r="L65" s="11">
        <f>IF(Inputs!$D$32=0,0,Inputs!$C$32+Inputs!$B$12*Inputs!$B$5*$B65^2/(Inputs!$D$32^2*Inputs!$H$32^4*Inputs!$I$32^2)+Inputs!$G$32*$B65^Inputs!$B$11)</f>
        <v/>
      </c>
      <c r="M65" s="11">
        <f>IF(Inputs!$D$33=0,0,Inputs!$C$33+Inputs!$B$12*Inputs!$B$5*$B65^2/(Inputs!$D$33^2*Inputs!$H$33^4*Inputs!$I$33^2)+Inputs!$G$33*$B65^Inputs!$B$11)</f>
        <v/>
      </c>
      <c r="N65" s="11">
        <f>IF(Inputs!$D$34=0,0,Inputs!$C$34+Inputs!$B$12*Inputs!$B$5*$B65^2/(Inputs!$D$34^2*Inputs!$H$34^4*Inputs!$I$34^2)+Inputs!$G$34*$B65^Inputs!$B$11)</f>
        <v/>
      </c>
    </row>
    <row r="66">
      <c r="A66" s="7" t="n">
        <v>61</v>
      </c>
      <c r="B66" s="37">
        <f>Inputs!$B$4*A66/200</f>
        <v/>
      </c>
      <c r="C66" s="11">
        <f>IF(Inputs!$D$23=0,0,Inputs!$C$23+Inputs!$B$12*Inputs!$B$5*$B66^2/(Inputs!$D$23^2*Inputs!$H$23^4*Inputs!$I$23^2)+Inputs!$G$23*$B66^Inputs!$B$11)</f>
        <v/>
      </c>
      <c r="D66" s="11">
        <f>IF(Inputs!$D$24=0,0,Inputs!$C$24+Inputs!$B$12*Inputs!$B$5*$B66^2/(Inputs!$D$24^2*Inputs!$H$24^4*Inputs!$I$24^2)+Inputs!$G$24*$B66^Inputs!$B$11)</f>
        <v/>
      </c>
      <c r="E66" s="11">
        <f>IF(Inputs!$D$25=0,0,Inputs!$C$25+Inputs!$B$12*Inputs!$B$5*$B66^2/(Inputs!$D$25^2*Inputs!$H$25^4*Inputs!$I$25^2)+Inputs!$G$25*$B66^Inputs!$B$11)</f>
        <v/>
      </c>
      <c r="F66" s="11">
        <f>IF(Inputs!$D$26=0,0,Inputs!$C$26+Inputs!$B$12*Inputs!$B$5*$B66^2/(Inputs!$D$26^2*Inputs!$H$26^4*Inputs!$I$26^2)+Inputs!$G$26*$B66^Inputs!$B$11)</f>
        <v/>
      </c>
      <c r="G66" s="11">
        <f>IF(Inputs!$D$27=0,0,Inputs!$C$27+Inputs!$B$12*Inputs!$B$5*$B66^2/(Inputs!$D$27^2*Inputs!$H$27^4*Inputs!$I$27^2)+Inputs!$G$27*$B66^Inputs!$B$11)</f>
        <v/>
      </c>
      <c r="H66" s="11">
        <f>IF(Inputs!$D$28=0,0,Inputs!$C$28+Inputs!$B$12*Inputs!$B$5*$B66^2/(Inputs!$D$28^2*Inputs!$H$28^4*Inputs!$I$28^2)+Inputs!$G$28*$B66^Inputs!$B$11)</f>
        <v/>
      </c>
      <c r="I66" s="11">
        <f>IF(Inputs!$D$29=0,0,Inputs!$C$29+Inputs!$B$12*Inputs!$B$5*$B66^2/(Inputs!$D$29^2*Inputs!$H$29^4*Inputs!$I$29^2)+Inputs!$G$29*$B66^Inputs!$B$11)</f>
        <v/>
      </c>
      <c r="J66" s="11">
        <f>IF(Inputs!$D$30=0,0,Inputs!$C$30+Inputs!$B$12*Inputs!$B$5*$B66^2/(Inputs!$D$30^2*Inputs!$H$30^4*Inputs!$I$30^2)+Inputs!$G$30*$B66^Inputs!$B$11)</f>
        <v/>
      </c>
      <c r="K66" s="11">
        <f>IF(Inputs!$D$31=0,0,Inputs!$C$31+Inputs!$B$12*Inputs!$B$5*$B66^2/(Inputs!$D$31^2*Inputs!$H$31^4*Inputs!$I$31^2)+Inputs!$G$31*$B66^Inputs!$B$11)</f>
        <v/>
      </c>
      <c r="L66" s="11">
        <f>IF(Inputs!$D$32=0,0,Inputs!$C$32+Inputs!$B$12*Inputs!$B$5*$B66^2/(Inputs!$D$32^2*Inputs!$H$32^4*Inputs!$I$32^2)+Inputs!$G$32*$B66^Inputs!$B$11)</f>
        <v/>
      </c>
      <c r="M66" s="11">
        <f>IF(Inputs!$D$33=0,0,Inputs!$C$33+Inputs!$B$12*Inputs!$B$5*$B66^2/(Inputs!$D$33^2*Inputs!$H$33^4*Inputs!$I$33^2)+Inputs!$G$33*$B66^Inputs!$B$11)</f>
        <v/>
      </c>
      <c r="N66" s="11">
        <f>IF(Inputs!$D$34=0,0,Inputs!$C$34+Inputs!$B$12*Inputs!$B$5*$B66^2/(Inputs!$D$34^2*Inputs!$H$34^4*Inputs!$I$34^2)+Inputs!$G$34*$B66^Inputs!$B$11)</f>
        <v/>
      </c>
    </row>
    <row r="67">
      <c r="A67" s="7" t="n">
        <v>62</v>
      </c>
      <c r="B67" s="37">
        <f>Inputs!$B$4*A67/200</f>
        <v/>
      </c>
      <c r="C67" s="11">
        <f>IF(Inputs!$D$23=0,0,Inputs!$C$23+Inputs!$B$12*Inputs!$B$5*$B67^2/(Inputs!$D$23^2*Inputs!$H$23^4*Inputs!$I$23^2)+Inputs!$G$23*$B67^Inputs!$B$11)</f>
        <v/>
      </c>
      <c r="D67" s="11">
        <f>IF(Inputs!$D$24=0,0,Inputs!$C$24+Inputs!$B$12*Inputs!$B$5*$B67^2/(Inputs!$D$24^2*Inputs!$H$24^4*Inputs!$I$24^2)+Inputs!$G$24*$B67^Inputs!$B$11)</f>
        <v/>
      </c>
      <c r="E67" s="11">
        <f>IF(Inputs!$D$25=0,0,Inputs!$C$25+Inputs!$B$12*Inputs!$B$5*$B67^2/(Inputs!$D$25^2*Inputs!$H$25^4*Inputs!$I$25^2)+Inputs!$G$25*$B67^Inputs!$B$11)</f>
        <v/>
      </c>
      <c r="F67" s="11">
        <f>IF(Inputs!$D$26=0,0,Inputs!$C$26+Inputs!$B$12*Inputs!$B$5*$B67^2/(Inputs!$D$26^2*Inputs!$H$26^4*Inputs!$I$26^2)+Inputs!$G$26*$B67^Inputs!$B$11)</f>
        <v/>
      </c>
      <c r="G67" s="11">
        <f>IF(Inputs!$D$27=0,0,Inputs!$C$27+Inputs!$B$12*Inputs!$B$5*$B67^2/(Inputs!$D$27^2*Inputs!$H$27^4*Inputs!$I$27^2)+Inputs!$G$27*$B67^Inputs!$B$11)</f>
        <v/>
      </c>
      <c r="H67" s="11">
        <f>IF(Inputs!$D$28=0,0,Inputs!$C$28+Inputs!$B$12*Inputs!$B$5*$B67^2/(Inputs!$D$28^2*Inputs!$H$28^4*Inputs!$I$28^2)+Inputs!$G$28*$B67^Inputs!$B$11)</f>
        <v/>
      </c>
      <c r="I67" s="11">
        <f>IF(Inputs!$D$29=0,0,Inputs!$C$29+Inputs!$B$12*Inputs!$B$5*$B67^2/(Inputs!$D$29^2*Inputs!$H$29^4*Inputs!$I$29^2)+Inputs!$G$29*$B67^Inputs!$B$11)</f>
        <v/>
      </c>
      <c r="J67" s="11">
        <f>IF(Inputs!$D$30=0,0,Inputs!$C$30+Inputs!$B$12*Inputs!$B$5*$B67^2/(Inputs!$D$30^2*Inputs!$H$30^4*Inputs!$I$30^2)+Inputs!$G$30*$B67^Inputs!$B$11)</f>
        <v/>
      </c>
      <c r="K67" s="11">
        <f>IF(Inputs!$D$31=0,0,Inputs!$C$31+Inputs!$B$12*Inputs!$B$5*$B67^2/(Inputs!$D$31^2*Inputs!$H$31^4*Inputs!$I$31^2)+Inputs!$G$31*$B67^Inputs!$B$11)</f>
        <v/>
      </c>
      <c r="L67" s="11">
        <f>IF(Inputs!$D$32=0,0,Inputs!$C$32+Inputs!$B$12*Inputs!$B$5*$B67^2/(Inputs!$D$32^2*Inputs!$H$32^4*Inputs!$I$32^2)+Inputs!$G$32*$B67^Inputs!$B$11)</f>
        <v/>
      </c>
      <c r="M67" s="11">
        <f>IF(Inputs!$D$33=0,0,Inputs!$C$33+Inputs!$B$12*Inputs!$B$5*$B67^2/(Inputs!$D$33^2*Inputs!$H$33^4*Inputs!$I$33^2)+Inputs!$G$33*$B67^Inputs!$B$11)</f>
        <v/>
      </c>
      <c r="N67" s="11">
        <f>IF(Inputs!$D$34=0,0,Inputs!$C$34+Inputs!$B$12*Inputs!$B$5*$B67^2/(Inputs!$D$34^2*Inputs!$H$34^4*Inputs!$I$34^2)+Inputs!$G$34*$B67^Inputs!$B$11)</f>
        <v/>
      </c>
    </row>
    <row r="68">
      <c r="A68" s="7" t="n">
        <v>63</v>
      </c>
      <c r="B68" s="37">
        <f>Inputs!$B$4*A68/200</f>
        <v/>
      </c>
      <c r="C68" s="11">
        <f>IF(Inputs!$D$23=0,0,Inputs!$C$23+Inputs!$B$12*Inputs!$B$5*$B68^2/(Inputs!$D$23^2*Inputs!$H$23^4*Inputs!$I$23^2)+Inputs!$G$23*$B68^Inputs!$B$11)</f>
        <v/>
      </c>
      <c r="D68" s="11">
        <f>IF(Inputs!$D$24=0,0,Inputs!$C$24+Inputs!$B$12*Inputs!$B$5*$B68^2/(Inputs!$D$24^2*Inputs!$H$24^4*Inputs!$I$24^2)+Inputs!$G$24*$B68^Inputs!$B$11)</f>
        <v/>
      </c>
      <c r="E68" s="11">
        <f>IF(Inputs!$D$25=0,0,Inputs!$C$25+Inputs!$B$12*Inputs!$B$5*$B68^2/(Inputs!$D$25^2*Inputs!$H$25^4*Inputs!$I$25^2)+Inputs!$G$25*$B68^Inputs!$B$11)</f>
        <v/>
      </c>
      <c r="F68" s="11">
        <f>IF(Inputs!$D$26=0,0,Inputs!$C$26+Inputs!$B$12*Inputs!$B$5*$B68^2/(Inputs!$D$26^2*Inputs!$H$26^4*Inputs!$I$26^2)+Inputs!$G$26*$B68^Inputs!$B$11)</f>
        <v/>
      </c>
      <c r="G68" s="11">
        <f>IF(Inputs!$D$27=0,0,Inputs!$C$27+Inputs!$B$12*Inputs!$B$5*$B68^2/(Inputs!$D$27^2*Inputs!$H$27^4*Inputs!$I$27^2)+Inputs!$G$27*$B68^Inputs!$B$11)</f>
        <v/>
      </c>
      <c r="H68" s="11">
        <f>IF(Inputs!$D$28=0,0,Inputs!$C$28+Inputs!$B$12*Inputs!$B$5*$B68^2/(Inputs!$D$28^2*Inputs!$H$28^4*Inputs!$I$28^2)+Inputs!$G$28*$B68^Inputs!$B$11)</f>
        <v/>
      </c>
      <c r="I68" s="11">
        <f>IF(Inputs!$D$29=0,0,Inputs!$C$29+Inputs!$B$12*Inputs!$B$5*$B68^2/(Inputs!$D$29^2*Inputs!$H$29^4*Inputs!$I$29^2)+Inputs!$G$29*$B68^Inputs!$B$11)</f>
        <v/>
      </c>
      <c r="J68" s="11">
        <f>IF(Inputs!$D$30=0,0,Inputs!$C$30+Inputs!$B$12*Inputs!$B$5*$B68^2/(Inputs!$D$30^2*Inputs!$H$30^4*Inputs!$I$30^2)+Inputs!$G$30*$B68^Inputs!$B$11)</f>
        <v/>
      </c>
      <c r="K68" s="11">
        <f>IF(Inputs!$D$31=0,0,Inputs!$C$31+Inputs!$B$12*Inputs!$B$5*$B68^2/(Inputs!$D$31^2*Inputs!$H$31^4*Inputs!$I$31^2)+Inputs!$G$31*$B68^Inputs!$B$11)</f>
        <v/>
      </c>
      <c r="L68" s="11">
        <f>IF(Inputs!$D$32=0,0,Inputs!$C$32+Inputs!$B$12*Inputs!$B$5*$B68^2/(Inputs!$D$32^2*Inputs!$H$32^4*Inputs!$I$32^2)+Inputs!$G$32*$B68^Inputs!$B$11)</f>
        <v/>
      </c>
      <c r="M68" s="11">
        <f>IF(Inputs!$D$33=0,0,Inputs!$C$33+Inputs!$B$12*Inputs!$B$5*$B68^2/(Inputs!$D$33^2*Inputs!$H$33^4*Inputs!$I$33^2)+Inputs!$G$33*$B68^Inputs!$B$11)</f>
        <v/>
      </c>
      <c r="N68" s="11">
        <f>IF(Inputs!$D$34=0,0,Inputs!$C$34+Inputs!$B$12*Inputs!$B$5*$B68^2/(Inputs!$D$34^2*Inputs!$H$34^4*Inputs!$I$34^2)+Inputs!$G$34*$B68^Inputs!$B$11)</f>
        <v/>
      </c>
    </row>
    <row r="69">
      <c r="A69" s="7" t="n">
        <v>64</v>
      </c>
      <c r="B69" s="37">
        <f>Inputs!$B$4*A69/200</f>
        <v/>
      </c>
      <c r="C69" s="11">
        <f>IF(Inputs!$D$23=0,0,Inputs!$C$23+Inputs!$B$12*Inputs!$B$5*$B69^2/(Inputs!$D$23^2*Inputs!$H$23^4*Inputs!$I$23^2)+Inputs!$G$23*$B69^Inputs!$B$11)</f>
        <v/>
      </c>
      <c r="D69" s="11">
        <f>IF(Inputs!$D$24=0,0,Inputs!$C$24+Inputs!$B$12*Inputs!$B$5*$B69^2/(Inputs!$D$24^2*Inputs!$H$24^4*Inputs!$I$24^2)+Inputs!$G$24*$B69^Inputs!$B$11)</f>
        <v/>
      </c>
      <c r="E69" s="11">
        <f>IF(Inputs!$D$25=0,0,Inputs!$C$25+Inputs!$B$12*Inputs!$B$5*$B69^2/(Inputs!$D$25^2*Inputs!$H$25^4*Inputs!$I$25^2)+Inputs!$G$25*$B69^Inputs!$B$11)</f>
        <v/>
      </c>
      <c r="F69" s="11">
        <f>IF(Inputs!$D$26=0,0,Inputs!$C$26+Inputs!$B$12*Inputs!$B$5*$B69^2/(Inputs!$D$26^2*Inputs!$H$26^4*Inputs!$I$26^2)+Inputs!$G$26*$B69^Inputs!$B$11)</f>
        <v/>
      </c>
      <c r="G69" s="11">
        <f>IF(Inputs!$D$27=0,0,Inputs!$C$27+Inputs!$B$12*Inputs!$B$5*$B69^2/(Inputs!$D$27^2*Inputs!$H$27^4*Inputs!$I$27^2)+Inputs!$G$27*$B69^Inputs!$B$11)</f>
        <v/>
      </c>
      <c r="H69" s="11">
        <f>IF(Inputs!$D$28=0,0,Inputs!$C$28+Inputs!$B$12*Inputs!$B$5*$B69^2/(Inputs!$D$28^2*Inputs!$H$28^4*Inputs!$I$28^2)+Inputs!$G$28*$B69^Inputs!$B$11)</f>
        <v/>
      </c>
      <c r="I69" s="11">
        <f>IF(Inputs!$D$29=0,0,Inputs!$C$29+Inputs!$B$12*Inputs!$B$5*$B69^2/(Inputs!$D$29^2*Inputs!$H$29^4*Inputs!$I$29^2)+Inputs!$G$29*$B69^Inputs!$B$11)</f>
        <v/>
      </c>
      <c r="J69" s="11">
        <f>IF(Inputs!$D$30=0,0,Inputs!$C$30+Inputs!$B$12*Inputs!$B$5*$B69^2/(Inputs!$D$30^2*Inputs!$H$30^4*Inputs!$I$30^2)+Inputs!$G$30*$B69^Inputs!$B$11)</f>
        <v/>
      </c>
      <c r="K69" s="11">
        <f>IF(Inputs!$D$31=0,0,Inputs!$C$31+Inputs!$B$12*Inputs!$B$5*$B69^2/(Inputs!$D$31^2*Inputs!$H$31^4*Inputs!$I$31^2)+Inputs!$G$31*$B69^Inputs!$B$11)</f>
        <v/>
      </c>
      <c r="L69" s="11">
        <f>IF(Inputs!$D$32=0,0,Inputs!$C$32+Inputs!$B$12*Inputs!$B$5*$B69^2/(Inputs!$D$32^2*Inputs!$H$32^4*Inputs!$I$32^2)+Inputs!$G$32*$B69^Inputs!$B$11)</f>
        <v/>
      </c>
      <c r="M69" s="11">
        <f>IF(Inputs!$D$33=0,0,Inputs!$C$33+Inputs!$B$12*Inputs!$B$5*$B69^2/(Inputs!$D$33^2*Inputs!$H$33^4*Inputs!$I$33^2)+Inputs!$G$33*$B69^Inputs!$B$11)</f>
        <v/>
      </c>
      <c r="N69" s="11">
        <f>IF(Inputs!$D$34=0,0,Inputs!$C$34+Inputs!$B$12*Inputs!$B$5*$B69^2/(Inputs!$D$34^2*Inputs!$H$34^4*Inputs!$I$34^2)+Inputs!$G$34*$B69^Inputs!$B$11)</f>
        <v/>
      </c>
    </row>
    <row r="70">
      <c r="A70" s="7" t="n">
        <v>65</v>
      </c>
      <c r="B70" s="37">
        <f>Inputs!$B$4*A70/200</f>
        <v/>
      </c>
      <c r="C70" s="11">
        <f>IF(Inputs!$D$23=0,0,Inputs!$C$23+Inputs!$B$12*Inputs!$B$5*$B70^2/(Inputs!$D$23^2*Inputs!$H$23^4*Inputs!$I$23^2)+Inputs!$G$23*$B70^Inputs!$B$11)</f>
        <v/>
      </c>
      <c r="D70" s="11">
        <f>IF(Inputs!$D$24=0,0,Inputs!$C$24+Inputs!$B$12*Inputs!$B$5*$B70^2/(Inputs!$D$24^2*Inputs!$H$24^4*Inputs!$I$24^2)+Inputs!$G$24*$B70^Inputs!$B$11)</f>
        <v/>
      </c>
      <c r="E70" s="11">
        <f>IF(Inputs!$D$25=0,0,Inputs!$C$25+Inputs!$B$12*Inputs!$B$5*$B70^2/(Inputs!$D$25^2*Inputs!$H$25^4*Inputs!$I$25^2)+Inputs!$G$25*$B70^Inputs!$B$11)</f>
        <v/>
      </c>
      <c r="F70" s="11">
        <f>IF(Inputs!$D$26=0,0,Inputs!$C$26+Inputs!$B$12*Inputs!$B$5*$B70^2/(Inputs!$D$26^2*Inputs!$H$26^4*Inputs!$I$26^2)+Inputs!$G$26*$B70^Inputs!$B$11)</f>
        <v/>
      </c>
      <c r="G70" s="11">
        <f>IF(Inputs!$D$27=0,0,Inputs!$C$27+Inputs!$B$12*Inputs!$B$5*$B70^2/(Inputs!$D$27^2*Inputs!$H$27^4*Inputs!$I$27^2)+Inputs!$G$27*$B70^Inputs!$B$11)</f>
        <v/>
      </c>
      <c r="H70" s="11">
        <f>IF(Inputs!$D$28=0,0,Inputs!$C$28+Inputs!$B$12*Inputs!$B$5*$B70^2/(Inputs!$D$28^2*Inputs!$H$28^4*Inputs!$I$28^2)+Inputs!$G$28*$B70^Inputs!$B$11)</f>
        <v/>
      </c>
      <c r="I70" s="11">
        <f>IF(Inputs!$D$29=0,0,Inputs!$C$29+Inputs!$B$12*Inputs!$B$5*$B70^2/(Inputs!$D$29^2*Inputs!$H$29^4*Inputs!$I$29^2)+Inputs!$G$29*$B70^Inputs!$B$11)</f>
        <v/>
      </c>
      <c r="J70" s="11">
        <f>IF(Inputs!$D$30=0,0,Inputs!$C$30+Inputs!$B$12*Inputs!$B$5*$B70^2/(Inputs!$D$30^2*Inputs!$H$30^4*Inputs!$I$30^2)+Inputs!$G$30*$B70^Inputs!$B$11)</f>
        <v/>
      </c>
      <c r="K70" s="11">
        <f>IF(Inputs!$D$31=0,0,Inputs!$C$31+Inputs!$B$12*Inputs!$B$5*$B70^2/(Inputs!$D$31^2*Inputs!$H$31^4*Inputs!$I$31^2)+Inputs!$G$31*$B70^Inputs!$B$11)</f>
        <v/>
      </c>
      <c r="L70" s="11">
        <f>IF(Inputs!$D$32=0,0,Inputs!$C$32+Inputs!$B$12*Inputs!$B$5*$B70^2/(Inputs!$D$32^2*Inputs!$H$32^4*Inputs!$I$32^2)+Inputs!$G$32*$B70^Inputs!$B$11)</f>
        <v/>
      </c>
      <c r="M70" s="11">
        <f>IF(Inputs!$D$33=0,0,Inputs!$C$33+Inputs!$B$12*Inputs!$B$5*$B70^2/(Inputs!$D$33^2*Inputs!$H$33^4*Inputs!$I$33^2)+Inputs!$G$33*$B70^Inputs!$B$11)</f>
        <v/>
      </c>
      <c r="N70" s="11">
        <f>IF(Inputs!$D$34=0,0,Inputs!$C$34+Inputs!$B$12*Inputs!$B$5*$B70^2/(Inputs!$D$34^2*Inputs!$H$34^4*Inputs!$I$34^2)+Inputs!$G$34*$B70^Inputs!$B$11)</f>
        <v/>
      </c>
    </row>
    <row r="71">
      <c r="A71" s="7" t="n">
        <v>66</v>
      </c>
      <c r="B71" s="37">
        <f>Inputs!$B$4*A71/200</f>
        <v/>
      </c>
      <c r="C71" s="11">
        <f>IF(Inputs!$D$23=0,0,Inputs!$C$23+Inputs!$B$12*Inputs!$B$5*$B71^2/(Inputs!$D$23^2*Inputs!$H$23^4*Inputs!$I$23^2)+Inputs!$G$23*$B71^Inputs!$B$11)</f>
        <v/>
      </c>
      <c r="D71" s="11">
        <f>IF(Inputs!$D$24=0,0,Inputs!$C$24+Inputs!$B$12*Inputs!$B$5*$B71^2/(Inputs!$D$24^2*Inputs!$H$24^4*Inputs!$I$24^2)+Inputs!$G$24*$B71^Inputs!$B$11)</f>
        <v/>
      </c>
      <c r="E71" s="11">
        <f>IF(Inputs!$D$25=0,0,Inputs!$C$25+Inputs!$B$12*Inputs!$B$5*$B71^2/(Inputs!$D$25^2*Inputs!$H$25^4*Inputs!$I$25^2)+Inputs!$G$25*$B71^Inputs!$B$11)</f>
        <v/>
      </c>
      <c r="F71" s="11">
        <f>IF(Inputs!$D$26=0,0,Inputs!$C$26+Inputs!$B$12*Inputs!$B$5*$B71^2/(Inputs!$D$26^2*Inputs!$H$26^4*Inputs!$I$26^2)+Inputs!$G$26*$B71^Inputs!$B$11)</f>
        <v/>
      </c>
      <c r="G71" s="11">
        <f>IF(Inputs!$D$27=0,0,Inputs!$C$27+Inputs!$B$12*Inputs!$B$5*$B71^2/(Inputs!$D$27^2*Inputs!$H$27^4*Inputs!$I$27^2)+Inputs!$G$27*$B71^Inputs!$B$11)</f>
        <v/>
      </c>
      <c r="H71" s="11">
        <f>IF(Inputs!$D$28=0,0,Inputs!$C$28+Inputs!$B$12*Inputs!$B$5*$B71^2/(Inputs!$D$28^2*Inputs!$H$28^4*Inputs!$I$28^2)+Inputs!$G$28*$B71^Inputs!$B$11)</f>
        <v/>
      </c>
      <c r="I71" s="11">
        <f>IF(Inputs!$D$29=0,0,Inputs!$C$29+Inputs!$B$12*Inputs!$B$5*$B71^2/(Inputs!$D$29^2*Inputs!$H$29^4*Inputs!$I$29^2)+Inputs!$G$29*$B71^Inputs!$B$11)</f>
        <v/>
      </c>
      <c r="J71" s="11">
        <f>IF(Inputs!$D$30=0,0,Inputs!$C$30+Inputs!$B$12*Inputs!$B$5*$B71^2/(Inputs!$D$30^2*Inputs!$H$30^4*Inputs!$I$30^2)+Inputs!$G$30*$B71^Inputs!$B$11)</f>
        <v/>
      </c>
      <c r="K71" s="11">
        <f>IF(Inputs!$D$31=0,0,Inputs!$C$31+Inputs!$B$12*Inputs!$B$5*$B71^2/(Inputs!$D$31^2*Inputs!$H$31^4*Inputs!$I$31^2)+Inputs!$G$31*$B71^Inputs!$B$11)</f>
        <v/>
      </c>
      <c r="L71" s="11">
        <f>IF(Inputs!$D$32=0,0,Inputs!$C$32+Inputs!$B$12*Inputs!$B$5*$B71^2/(Inputs!$D$32^2*Inputs!$H$32^4*Inputs!$I$32^2)+Inputs!$G$32*$B71^Inputs!$B$11)</f>
        <v/>
      </c>
      <c r="M71" s="11">
        <f>IF(Inputs!$D$33=0,0,Inputs!$C$33+Inputs!$B$12*Inputs!$B$5*$B71^2/(Inputs!$D$33^2*Inputs!$H$33^4*Inputs!$I$33^2)+Inputs!$G$33*$B71^Inputs!$B$11)</f>
        <v/>
      </c>
      <c r="N71" s="11">
        <f>IF(Inputs!$D$34=0,0,Inputs!$C$34+Inputs!$B$12*Inputs!$B$5*$B71^2/(Inputs!$D$34^2*Inputs!$H$34^4*Inputs!$I$34^2)+Inputs!$G$34*$B71^Inputs!$B$11)</f>
        <v/>
      </c>
    </row>
    <row r="72">
      <c r="A72" s="7" t="n">
        <v>67</v>
      </c>
      <c r="B72" s="37">
        <f>Inputs!$B$4*A72/200</f>
        <v/>
      </c>
      <c r="C72" s="11">
        <f>IF(Inputs!$D$23=0,0,Inputs!$C$23+Inputs!$B$12*Inputs!$B$5*$B72^2/(Inputs!$D$23^2*Inputs!$H$23^4*Inputs!$I$23^2)+Inputs!$G$23*$B72^Inputs!$B$11)</f>
        <v/>
      </c>
      <c r="D72" s="11">
        <f>IF(Inputs!$D$24=0,0,Inputs!$C$24+Inputs!$B$12*Inputs!$B$5*$B72^2/(Inputs!$D$24^2*Inputs!$H$24^4*Inputs!$I$24^2)+Inputs!$G$24*$B72^Inputs!$B$11)</f>
        <v/>
      </c>
      <c r="E72" s="11">
        <f>IF(Inputs!$D$25=0,0,Inputs!$C$25+Inputs!$B$12*Inputs!$B$5*$B72^2/(Inputs!$D$25^2*Inputs!$H$25^4*Inputs!$I$25^2)+Inputs!$G$25*$B72^Inputs!$B$11)</f>
        <v/>
      </c>
      <c r="F72" s="11">
        <f>IF(Inputs!$D$26=0,0,Inputs!$C$26+Inputs!$B$12*Inputs!$B$5*$B72^2/(Inputs!$D$26^2*Inputs!$H$26^4*Inputs!$I$26^2)+Inputs!$G$26*$B72^Inputs!$B$11)</f>
        <v/>
      </c>
      <c r="G72" s="11">
        <f>IF(Inputs!$D$27=0,0,Inputs!$C$27+Inputs!$B$12*Inputs!$B$5*$B72^2/(Inputs!$D$27^2*Inputs!$H$27^4*Inputs!$I$27^2)+Inputs!$G$27*$B72^Inputs!$B$11)</f>
        <v/>
      </c>
      <c r="H72" s="11">
        <f>IF(Inputs!$D$28=0,0,Inputs!$C$28+Inputs!$B$12*Inputs!$B$5*$B72^2/(Inputs!$D$28^2*Inputs!$H$28^4*Inputs!$I$28^2)+Inputs!$G$28*$B72^Inputs!$B$11)</f>
        <v/>
      </c>
      <c r="I72" s="11">
        <f>IF(Inputs!$D$29=0,0,Inputs!$C$29+Inputs!$B$12*Inputs!$B$5*$B72^2/(Inputs!$D$29^2*Inputs!$H$29^4*Inputs!$I$29^2)+Inputs!$G$29*$B72^Inputs!$B$11)</f>
        <v/>
      </c>
      <c r="J72" s="11">
        <f>IF(Inputs!$D$30=0,0,Inputs!$C$30+Inputs!$B$12*Inputs!$B$5*$B72^2/(Inputs!$D$30^2*Inputs!$H$30^4*Inputs!$I$30^2)+Inputs!$G$30*$B72^Inputs!$B$11)</f>
        <v/>
      </c>
      <c r="K72" s="11">
        <f>IF(Inputs!$D$31=0,0,Inputs!$C$31+Inputs!$B$12*Inputs!$B$5*$B72^2/(Inputs!$D$31^2*Inputs!$H$31^4*Inputs!$I$31^2)+Inputs!$G$31*$B72^Inputs!$B$11)</f>
        <v/>
      </c>
      <c r="L72" s="11">
        <f>IF(Inputs!$D$32=0,0,Inputs!$C$32+Inputs!$B$12*Inputs!$B$5*$B72^2/(Inputs!$D$32^2*Inputs!$H$32^4*Inputs!$I$32^2)+Inputs!$G$32*$B72^Inputs!$B$11)</f>
        <v/>
      </c>
      <c r="M72" s="11">
        <f>IF(Inputs!$D$33=0,0,Inputs!$C$33+Inputs!$B$12*Inputs!$B$5*$B72^2/(Inputs!$D$33^2*Inputs!$H$33^4*Inputs!$I$33^2)+Inputs!$G$33*$B72^Inputs!$B$11)</f>
        <v/>
      </c>
      <c r="N72" s="11">
        <f>IF(Inputs!$D$34=0,0,Inputs!$C$34+Inputs!$B$12*Inputs!$B$5*$B72^2/(Inputs!$D$34^2*Inputs!$H$34^4*Inputs!$I$34^2)+Inputs!$G$34*$B72^Inputs!$B$11)</f>
        <v/>
      </c>
    </row>
    <row r="73">
      <c r="A73" s="7" t="n">
        <v>68</v>
      </c>
      <c r="B73" s="37">
        <f>Inputs!$B$4*A73/200</f>
        <v/>
      </c>
      <c r="C73" s="11">
        <f>IF(Inputs!$D$23=0,0,Inputs!$C$23+Inputs!$B$12*Inputs!$B$5*$B73^2/(Inputs!$D$23^2*Inputs!$H$23^4*Inputs!$I$23^2)+Inputs!$G$23*$B73^Inputs!$B$11)</f>
        <v/>
      </c>
      <c r="D73" s="11">
        <f>IF(Inputs!$D$24=0,0,Inputs!$C$24+Inputs!$B$12*Inputs!$B$5*$B73^2/(Inputs!$D$24^2*Inputs!$H$24^4*Inputs!$I$24^2)+Inputs!$G$24*$B73^Inputs!$B$11)</f>
        <v/>
      </c>
      <c r="E73" s="11">
        <f>IF(Inputs!$D$25=0,0,Inputs!$C$25+Inputs!$B$12*Inputs!$B$5*$B73^2/(Inputs!$D$25^2*Inputs!$H$25^4*Inputs!$I$25^2)+Inputs!$G$25*$B73^Inputs!$B$11)</f>
        <v/>
      </c>
      <c r="F73" s="11">
        <f>IF(Inputs!$D$26=0,0,Inputs!$C$26+Inputs!$B$12*Inputs!$B$5*$B73^2/(Inputs!$D$26^2*Inputs!$H$26^4*Inputs!$I$26^2)+Inputs!$G$26*$B73^Inputs!$B$11)</f>
        <v/>
      </c>
      <c r="G73" s="11">
        <f>IF(Inputs!$D$27=0,0,Inputs!$C$27+Inputs!$B$12*Inputs!$B$5*$B73^2/(Inputs!$D$27^2*Inputs!$H$27^4*Inputs!$I$27^2)+Inputs!$G$27*$B73^Inputs!$B$11)</f>
        <v/>
      </c>
      <c r="H73" s="11">
        <f>IF(Inputs!$D$28=0,0,Inputs!$C$28+Inputs!$B$12*Inputs!$B$5*$B73^2/(Inputs!$D$28^2*Inputs!$H$28^4*Inputs!$I$28^2)+Inputs!$G$28*$B73^Inputs!$B$11)</f>
        <v/>
      </c>
      <c r="I73" s="11">
        <f>IF(Inputs!$D$29=0,0,Inputs!$C$29+Inputs!$B$12*Inputs!$B$5*$B73^2/(Inputs!$D$29^2*Inputs!$H$29^4*Inputs!$I$29^2)+Inputs!$G$29*$B73^Inputs!$B$11)</f>
        <v/>
      </c>
      <c r="J73" s="11">
        <f>IF(Inputs!$D$30=0,0,Inputs!$C$30+Inputs!$B$12*Inputs!$B$5*$B73^2/(Inputs!$D$30^2*Inputs!$H$30^4*Inputs!$I$30^2)+Inputs!$G$30*$B73^Inputs!$B$11)</f>
        <v/>
      </c>
      <c r="K73" s="11">
        <f>IF(Inputs!$D$31=0,0,Inputs!$C$31+Inputs!$B$12*Inputs!$B$5*$B73^2/(Inputs!$D$31^2*Inputs!$H$31^4*Inputs!$I$31^2)+Inputs!$G$31*$B73^Inputs!$B$11)</f>
        <v/>
      </c>
      <c r="L73" s="11">
        <f>IF(Inputs!$D$32=0,0,Inputs!$C$32+Inputs!$B$12*Inputs!$B$5*$B73^2/(Inputs!$D$32^2*Inputs!$H$32^4*Inputs!$I$32^2)+Inputs!$G$32*$B73^Inputs!$B$11)</f>
        <v/>
      </c>
      <c r="M73" s="11">
        <f>IF(Inputs!$D$33=0,0,Inputs!$C$33+Inputs!$B$12*Inputs!$B$5*$B73^2/(Inputs!$D$33^2*Inputs!$H$33^4*Inputs!$I$33^2)+Inputs!$G$33*$B73^Inputs!$B$11)</f>
        <v/>
      </c>
      <c r="N73" s="11">
        <f>IF(Inputs!$D$34=0,0,Inputs!$C$34+Inputs!$B$12*Inputs!$B$5*$B73^2/(Inputs!$D$34^2*Inputs!$H$34^4*Inputs!$I$34^2)+Inputs!$G$34*$B73^Inputs!$B$11)</f>
        <v/>
      </c>
    </row>
    <row r="74">
      <c r="A74" s="7" t="n">
        <v>69</v>
      </c>
      <c r="B74" s="37">
        <f>Inputs!$B$4*A74/200</f>
        <v/>
      </c>
      <c r="C74" s="11">
        <f>IF(Inputs!$D$23=0,0,Inputs!$C$23+Inputs!$B$12*Inputs!$B$5*$B74^2/(Inputs!$D$23^2*Inputs!$H$23^4*Inputs!$I$23^2)+Inputs!$G$23*$B74^Inputs!$B$11)</f>
        <v/>
      </c>
      <c r="D74" s="11">
        <f>IF(Inputs!$D$24=0,0,Inputs!$C$24+Inputs!$B$12*Inputs!$B$5*$B74^2/(Inputs!$D$24^2*Inputs!$H$24^4*Inputs!$I$24^2)+Inputs!$G$24*$B74^Inputs!$B$11)</f>
        <v/>
      </c>
      <c r="E74" s="11">
        <f>IF(Inputs!$D$25=0,0,Inputs!$C$25+Inputs!$B$12*Inputs!$B$5*$B74^2/(Inputs!$D$25^2*Inputs!$H$25^4*Inputs!$I$25^2)+Inputs!$G$25*$B74^Inputs!$B$11)</f>
        <v/>
      </c>
      <c r="F74" s="11">
        <f>IF(Inputs!$D$26=0,0,Inputs!$C$26+Inputs!$B$12*Inputs!$B$5*$B74^2/(Inputs!$D$26^2*Inputs!$H$26^4*Inputs!$I$26^2)+Inputs!$G$26*$B74^Inputs!$B$11)</f>
        <v/>
      </c>
      <c r="G74" s="11">
        <f>IF(Inputs!$D$27=0,0,Inputs!$C$27+Inputs!$B$12*Inputs!$B$5*$B74^2/(Inputs!$D$27^2*Inputs!$H$27^4*Inputs!$I$27^2)+Inputs!$G$27*$B74^Inputs!$B$11)</f>
        <v/>
      </c>
      <c r="H74" s="11">
        <f>IF(Inputs!$D$28=0,0,Inputs!$C$28+Inputs!$B$12*Inputs!$B$5*$B74^2/(Inputs!$D$28^2*Inputs!$H$28^4*Inputs!$I$28^2)+Inputs!$G$28*$B74^Inputs!$B$11)</f>
        <v/>
      </c>
      <c r="I74" s="11">
        <f>IF(Inputs!$D$29=0,0,Inputs!$C$29+Inputs!$B$12*Inputs!$B$5*$B74^2/(Inputs!$D$29^2*Inputs!$H$29^4*Inputs!$I$29^2)+Inputs!$G$29*$B74^Inputs!$B$11)</f>
        <v/>
      </c>
      <c r="J74" s="11">
        <f>IF(Inputs!$D$30=0,0,Inputs!$C$30+Inputs!$B$12*Inputs!$B$5*$B74^2/(Inputs!$D$30^2*Inputs!$H$30^4*Inputs!$I$30^2)+Inputs!$G$30*$B74^Inputs!$B$11)</f>
        <v/>
      </c>
      <c r="K74" s="11">
        <f>IF(Inputs!$D$31=0,0,Inputs!$C$31+Inputs!$B$12*Inputs!$B$5*$B74^2/(Inputs!$D$31^2*Inputs!$H$31^4*Inputs!$I$31^2)+Inputs!$G$31*$B74^Inputs!$B$11)</f>
        <v/>
      </c>
      <c r="L74" s="11">
        <f>IF(Inputs!$D$32=0,0,Inputs!$C$32+Inputs!$B$12*Inputs!$B$5*$B74^2/(Inputs!$D$32^2*Inputs!$H$32^4*Inputs!$I$32^2)+Inputs!$G$32*$B74^Inputs!$B$11)</f>
        <v/>
      </c>
      <c r="M74" s="11">
        <f>IF(Inputs!$D$33=0,0,Inputs!$C$33+Inputs!$B$12*Inputs!$B$5*$B74^2/(Inputs!$D$33^2*Inputs!$H$33^4*Inputs!$I$33^2)+Inputs!$G$33*$B74^Inputs!$B$11)</f>
        <v/>
      </c>
      <c r="N74" s="11">
        <f>IF(Inputs!$D$34=0,0,Inputs!$C$34+Inputs!$B$12*Inputs!$B$5*$B74^2/(Inputs!$D$34^2*Inputs!$H$34^4*Inputs!$I$34^2)+Inputs!$G$34*$B74^Inputs!$B$11)</f>
        <v/>
      </c>
    </row>
    <row r="75">
      <c r="A75" s="7" t="n">
        <v>70</v>
      </c>
      <c r="B75" s="37">
        <f>Inputs!$B$4*A75/200</f>
        <v/>
      </c>
      <c r="C75" s="11">
        <f>IF(Inputs!$D$23=0,0,Inputs!$C$23+Inputs!$B$12*Inputs!$B$5*$B75^2/(Inputs!$D$23^2*Inputs!$H$23^4*Inputs!$I$23^2)+Inputs!$G$23*$B75^Inputs!$B$11)</f>
        <v/>
      </c>
      <c r="D75" s="11">
        <f>IF(Inputs!$D$24=0,0,Inputs!$C$24+Inputs!$B$12*Inputs!$B$5*$B75^2/(Inputs!$D$24^2*Inputs!$H$24^4*Inputs!$I$24^2)+Inputs!$G$24*$B75^Inputs!$B$11)</f>
        <v/>
      </c>
      <c r="E75" s="11">
        <f>IF(Inputs!$D$25=0,0,Inputs!$C$25+Inputs!$B$12*Inputs!$B$5*$B75^2/(Inputs!$D$25^2*Inputs!$H$25^4*Inputs!$I$25^2)+Inputs!$G$25*$B75^Inputs!$B$11)</f>
        <v/>
      </c>
      <c r="F75" s="11">
        <f>IF(Inputs!$D$26=0,0,Inputs!$C$26+Inputs!$B$12*Inputs!$B$5*$B75^2/(Inputs!$D$26^2*Inputs!$H$26^4*Inputs!$I$26^2)+Inputs!$G$26*$B75^Inputs!$B$11)</f>
        <v/>
      </c>
      <c r="G75" s="11">
        <f>IF(Inputs!$D$27=0,0,Inputs!$C$27+Inputs!$B$12*Inputs!$B$5*$B75^2/(Inputs!$D$27^2*Inputs!$H$27^4*Inputs!$I$27^2)+Inputs!$G$27*$B75^Inputs!$B$11)</f>
        <v/>
      </c>
      <c r="H75" s="11">
        <f>IF(Inputs!$D$28=0,0,Inputs!$C$28+Inputs!$B$12*Inputs!$B$5*$B75^2/(Inputs!$D$28^2*Inputs!$H$28^4*Inputs!$I$28^2)+Inputs!$G$28*$B75^Inputs!$B$11)</f>
        <v/>
      </c>
      <c r="I75" s="11">
        <f>IF(Inputs!$D$29=0,0,Inputs!$C$29+Inputs!$B$12*Inputs!$B$5*$B75^2/(Inputs!$D$29^2*Inputs!$H$29^4*Inputs!$I$29^2)+Inputs!$G$29*$B75^Inputs!$B$11)</f>
        <v/>
      </c>
      <c r="J75" s="11">
        <f>IF(Inputs!$D$30=0,0,Inputs!$C$30+Inputs!$B$12*Inputs!$B$5*$B75^2/(Inputs!$D$30^2*Inputs!$H$30^4*Inputs!$I$30^2)+Inputs!$G$30*$B75^Inputs!$B$11)</f>
        <v/>
      </c>
      <c r="K75" s="11">
        <f>IF(Inputs!$D$31=0,0,Inputs!$C$31+Inputs!$B$12*Inputs!$B$5*$B75^2/(Inputs!$D$31^2*Inputs!$H$31^4*Inputs!$I$31^2)+Inputs!$G$31*$B75^Inputs!$B$11)</f>
        <v/>
      </c>
      <c r="L75" s="11">
        <f>IF(Inputs!$D$32=0,0,Inputs!$C$32+Inputs!$B$12*Inputs!$B$5*$B75^2/(Inputs!$D$32^2*Inputs!$H$32^4*Inputs!$I$32^2)+Inputs!$G$32*$B75^Inputs!$B$11)</f>
        <v/>
      </c>
      <c r="M75" s="11">
        <f>IF(Inputs!$D$33=0,0,Inputs!$C$33+Inputs!$B$12*Inputs!$B$5*$B75^2/(Inputs!$D$33^2*Inputs!$H$33^4*Inputs!$I$33^2)+Inputs!$G$33*$B75^Inputs!$B$11)</f>
        <v/>
      </c>
      <c r="N75" s="11">
        <f>IF(Inputs!$D$34=0,0,Inputs!$C$34+Inputs!$B$12*Inputs!$B$5*$B75^2/(Inputs!$D$34^2*Inputs!$H$34^4*Inputs!$I$34^2)+Inputs!$G$34*$B75^Inputs!$B$11)</f>
        <v/>
      </c>
    </row>
    <row r="76">
      <c r="A76" s="7" t="n">
        <v>71</v>
      </c>
      <c r="B76" s="37">
        <f>Inputs!$B$4*A76/200</f>
        <v/>
      </c>
      <c r="C76" s="11">
        <f>IF(Inputs!$D$23=0,0,Inputs!$C$23+Inputs!$B$12*Inputs!$B$5*$B76^2/(Inputs!$D$23^2*Inputs!$H$23^4*Inputs!$I$23^2)+Inputs!$G$23*$B76^Inputs!$B$11)</f>
        <v/>
      </c>
      <c r="D76" s="11">
        <f>IF(Inputs!$D$24=0,0,Inputs!$C$24+Inputs!$B$12*Inputs!$B$5*$B76^2/(Inputs!$D$24^2*Inputs!$H$24^4*Inputs!$I$24^2)+Inputs!$G$24*$B76^Inputs!$B$11)</f>
        <v/>
      </c>
      <c r="E76" s="11">
        <f>IF(Inputs!$D$25=0,0,Inputs!$C$25+Inputs!$B$12*Inputs!$B$5*$B76^2/(Inputs!$D$25^2*Inputs!$H$25^4*Inputs!$I$25^2)+Inputs!$G$25*$B76^Inputs!$B$11)</f>
        <v/>
      </c>
      <c r="F76" s="11">
        <f>IF(Inputs!$D$26=0,0,Inputs!$C$26+Inputs!$B$12*Inputs!$B$5*$B76^2/(Inputs!$D$26^2*Inputs!$H$26^4*Inputs!$I$26^2)+Inputs!$G$26*$B76^Inputs!$B$11)</f>
        <v/>
      </c>
      <c r="G76" s="11">
        <f>IF(Inputs!$D$27=0,0,Inputs!$C$27+Inputs!$B$12*Inputs!$B$5*$B76^2/(Inputs!$D$27^2*Inputs!$H$27^4*Inputs!$I$27^2)+Inputs!$G$27*$B76^Inputs!$B$11)</f>
        <v/>
      </c>
      <c r="H76" s="11">
        <f>IF(Inputs!$D$28=0,0,Inputs!$C$28+Inputs!$B$12*Inputs!$B$5*$B76^2/(Inputs!$D$28^2*Inputs!$H$28^4*Inputs!$I$28^2)+Inputs!$G$28*$B76^Inputs!$B$11)</f>
        <v/>
      </c>
      <c r="I76" s="11">
        <f>IF(Inputs!$D$29=0,0,Inputs!$C$29+Inputs!$B$12*Inputs!$B$5*$B76^2/(Inputs!$D$29^2*Inputs!$H$29^4*Inputs!$I$29^2)+Inputs!$G$29*$B76^Inputs!$B$11)</f>
        <v/>
      </c>
      <c r="J76" s="11">
        <f>IF(Inputs!$D$30=0,0,Inputs!$C$30+Inputs!$B$12*Inputs!$B$5*$B76^2/(Inputs!$D$30^2*Inputs!$H$30^4*Inputs!$I$30^2)+Inputs!$G$30*$B76^Inputs!$B$11)</f>
        <v/>
      </c>
      <c r="K76" s="11">
        <f>IF(Inputs!$D$31=0,0,Inputs!$C$31+Inputs!$B$12*Inputs!$B$5*$B76^2/(Inputs!$D$31^2*Inputs!$H$31^4*Inputs!$I$31^2)+Inputs!$G$31*$B76^Inputs!$B$11)</f>
        <v/>
      </c>
      <c r="L76" s="11">
        <f>IF(Inputs!$D$32=0,0,Inputs!$C$32+Inputs!$B$12*Inputs!$B$5*$B76^2/(Inputs!$D$32^2*Inputs!$H$32^4*Inputs!$I$32^2)+Inputs!$G$32*$B76^Inputs!$B$11)</f>
        <v/>
      </c>
      <c r="M76" s="11">
        <f>IF(Inputs!$D$33=0,0,Inputs!$C$33+Inputs!$B$12*Inputs!$B$5*$B76^2/(Inputs!$D$33^2*Inputs!$H$33^4*Inputs!$I$33^2)+Inputs!$G$33*$B76^Inputs!$B$11)</f>
        <v/>
      </c>
      <c r="N76" s="11">
        <f>IF(Inputs!$D$34=0,0,Inputs!$C$34+Inputs!$B$12*Inputs!$B$5*$B76^2/(Inputs!$D$34^2*Inputs!$H$34^4*Inputs!$I$34^2)+Inputs!$G$34*$B76^Inputs!$B$11)</f>
        <v/>
      </c>
    </row>
    <row r="77">
      <c r="A77" s="7" t="n">
        <v>72</v>
      </c>
      <c r="B77" s="37">
        <f>Inputs!$B$4*A77/200</f>
        <v/>
      </c>
      <c r="C77" s="11">
        <f>IF(Inputs!$D$23=0,0,Inputs!$C$23+Inputs!$B$12*Inputs!$B$5*$B77^2/(Inputs!$D$23^2*Inputs!$H$23^4*Inputs!$I$23^2)+Inputs!$G$23*$B77^Inputs!$B$11)</f>
        <v/>
      </c>
      <c r="D77" s="11">
        <f>IF(Inputs!$D$24=0,0,Inputs!$C$24+Inputs!$B$12*Inputs!$B$5*$B77^2/(Inputs!$D$24^2*Inputs!$H$24^4*Inputs!$I$24^2)+Inputs!$G$24*$B77^Inputs!$B$11)</f>
        <v/>
      </c>
      <c r="E77" s="11">
        <f>IF(Inputs!$D$25=0,0,Inputs!$C$25+Inputs!$B$12*Inputs!$B$5*$B77^2/(Inputs!$D$25^2*Inputs!$H$25^4*Inputs!$I$25^2)+Inputs!$G$25*$B77^Inputs!$B$11)</f>
        <v/>
      </c>
      <c r="F77" s="11">
        <f>IF(Inputs!$D$26=0,0,Inputs!$C$26+Inputs!$B$12*Inputs!$B$5*$B77^2/(Inputs!$D$26^2*Inputs!$H$26^4*Inputs!$I$26^2)+Inputs!$G$26*$B77^Inputs!$B$11)</f>
        <v/>
      </c>
      <c r="G77" s="11">
        <f>IF(Inputs!$D$27=0,0,Inputs!$C$27+Inputs!$B$12*Inputs!$B$5*$B77^2/(Inputs!$D$27^2*Inputs!$H$27^4*Inputs!$I$27^2)+Inputs!$G$27*$B77^Inputs!$B$11)</f>
        <v/>
      </c>
      <c r="H77" s="11">
        <f>IF(Inputs!$D$28=0,0,Inputs!$C$28+Inputs!$B$12*Inputs!$B$5*$B77^2/(Inputs!$D$28^2*Inputs!$H$28^4*Inputs!$I$28^2)+Inputs!$G$28*$B77^Inputs!$B$11)</f>
        <v/>
      </c>
      <c r="I77" s="11">
        <f>IF(Inputs!$D$29=0,0,Inputs!$C$29+Inputs!$B$12*Inputs!$B$5*$B77^2/(Inputs!$D$29^2*Inputs!$H$29^4*Inputs!$I$29^2)+Inputs!$G$29*$B77^Inputs!$B$11)</f>
        <v/>
      </c>
      <c r="J77" s="11">
        <f>IF(Inputs!$D$30=0,0,Inputs!$C$30+Inputs!$B$12*Inputs!$B$5*$B77^2/(Inputs!$D$30^2*Inputs!$H$30^4*Inputs!$I$30^2)+Inputs!$G$30*$B77^Inputs!$B$11)</f>
        <v/>
      </c>
      <c r="K77" s="11">
        <f>IF(Inputs!$D$31=0,0,Inputs!$C$31+Inputs!$B$12*Inputs!$B$5*$B77^2/(Inputs!$D$31^2*Inputs!$H$31^4*Inputs!$I$31^2)+Inputs!$G$31*$B77^Inputs!$B$11)</f>
        <v/>
      </c>
      <c r="L77" s="11">
        <f>IF(Inputs!$D$32=0,0,Inputs!$C$32+Inputs!$B$12*Inputs!$B$5*$B77^2/(Inputs!$D$32^2*Inputs!$H$32^4*Inputs!$I$32^2)+Inputs!$G$32*$B77^Inputs!$B$11)</f>
        <v/>
      </c>
      <c r="M77" s="11">
        <f>IF(Inputs!$D$33=0,0,Inputs!$C$33+Inputs!$B$12*Inputs!$B$5*$B77^2/(Inputs!$D$33^2*Inputs!$H$33^4*Inputs!$I$33^2)+Inputs!$G$33*$B77^Inputs!$B$11)</f>
        <v/>
      </c>
      <c r="N77" s="11">
        <f>IF(Inputs!$D$34=0,0,Inputs!$C$34+Inputs!$B$12*Inputs!$B$5*$B77^2/(Inputs!$D$34^2*Inputs!$H$34^4*Inputs!$I$34^2)+Inputs!$G$34*$B77^Inputs!$B$11)</f>
        <v/>
      </c>
    </row>
    <row r="78">
      <c r="A78" s="7" t="n">
        <v>73</v>
      </c>
      <c r="B78" s="37">
        <f>Inputs!$B$4*A78/200</f>
        <v/>
      </c>
      <c r="C78" s="11">
        <f>IF(Inputs!$D$23=0,0,Inputs!$C$23+Inputs!$B$12*Inputs!$B$5*$B78^2/(Inputs!$D$23^2*Inputs!$H$23^4*Inputs!$I$23^2)+Inputs!$G$23*$B78^Inputs!$B$11)</f>
        <v/>
      </c>
      <c r="D78" s="11">
        <f>IF(Inputs!$D$24=0,0,Inputs!$C$24+Inputs!$B$12*Inputs!$B$5*$B78^2/(Inputs!$D$24^2*Inputs!$H$24^4*Inputs!$I$24^2)+Inputs!$G$24*$B78^Inputs!$B$11)</f>
        <v/>
      </c>
      <c r="E78" s="11">
        <f>IF(Inputs!$D$25=0,0,Inputs!$C$25+Inputs!$B$12*Inputs!$B$5*$B78^2/(Inputs!$D$25^2*Inputs!$H$25^4*Inputs!$I$25^2)+Inputs!$G$25*$B78^Inputs!$B$11)</f>
        <v/>
      </c>
      <c r="F78" s="11">
        <f>IF(Inputs!$D$26=0,0,Inputs!$C$26+Inputs!$B$12*Inputs!$B$5*$B78^2/(Inputs!$D$26^2*Inputs!$H$26^4*Inputs!$I$26^2)+Inputs!$G$26*$B78^Inputs!$B$11)</f>
        <v/>
      </c>
      <c r="G78" s="11">
        <f>IF(Inputs!$D$27=0,0,Inputs!$C$27+Inputs!$B$12*Inputs!$B$5*$B78^2/(Inputs!$D$27^2*Inputs!$H$27^4*Inputs!$I$27^2)+Inputs!$G$27*$B78^Inputs!$B$11)</f>
        <v/>
      </c>
      <c r="H78" s="11">
        <f>IF(Inputs!$D$28=0,0,Inputs!$C$28+Inputs!$B$12*Inputs!$B$5*$B78^2/(Inputs!$D$28^2*Inputs!$H$28^4*Inputs!$I$28^2)+Inputs!$G$28*$B78^Inputs!$B$11)</f>
        <v/>
      </c>
      <c r="I78" s="11">
        <f>IF(Inputs!$D$29=0,0,Inputs!$C$29+Inputs!$B$12*Inputs!$B$5*$B78^2/(Inputs!$D$29^2*Inputs!$H$29^4*Inputs!$I$29^2)+Inputs!$G$29*$B78^Inputs!$B$11)</f>
        <v/>
      </c>
      <c r="J78" s="11">
        <f>IF(Inputs!$D$30=0,0,Inputs!$C$30+Inputs!$B$12*Inputs!$B$5*$B78^2/(Inputs!$D$30^2*Inputs!$H$30^4*Inputs!$I$30^2)+Inputs!$G$30*$B78^Inputs!$B$11)</f>
        <v/>
      </c>
      <c r="K78" s="11">
        <f>IF(Inputs!$D$31=0,0,Inputs!$C$31+Inputs!$B$12*Inputs!$B$5*$B78^2/(Inputs!$D$31^2*Inputs!$H$31^4*Inputs!$I$31^2)+Inputs!$G$31*$B78^Inputs!$B$11)</f>
        <v/>
      </c>
      <c r="L78" s="11">
        <f>IF(Inputs!$D$32=0,0,Inputs!$C$32+Inputs!$B$12*Inputs!$B$5*$B78^2/(Inputs!$D$32^2*Inputs!$H$32^4*Inputs!$I$32^2)+Inputs!$G$32*$B78^Inputs!$B$11)</f>
        <v/>
      </c>
      <c r="M78" s="11">
        <f>IF(Inputs!$D$33=0,0,Inputs!$C$33+Inputs!$B$12*Inputs!$B$5*$B78^2/(Inputs!$D$33^2*Inputs!$H$33^4*Inputs!$I$33^2)+Inputs!$G$33*$B78^Inputs!$B$11)</f>
        <v/>
      </c>
      <c r="N78" s="11">
        <f>IF(Inputs!$D$34=0,0,Inputs!$C$34+Inputs!$B$12*Inputs!$B$5*$B78^2/(Inputs!$D$34^2*Inputs!$H$34^4*Inputs!$I$34^2)+Inputs!$G$34*$B78^Inputs!$B$11)</f>
        <v/>
      </c>
    </row>
    <row r="79">
      <c r="A79" s="7" t="n">
        <v>74</v>
      </c>
      <c r="B79" s="37">
        <f>Inputs!$B$4*A79/200</f>
        <v/>
      </c>
      <c r="C79" s="11">
        <f>IF(Inputs!$D$23=0,0,Inputs!$C$23+Inputs!$B$12*Inputs!$B$5*$B79^2/(Inputs!$D$23^2*Inputs!$H$23^4*Inputs!$I$23^2)+Inputs!$G$23*$B79^Inputs!$B$11)</f>
        <v/>
      </c>
      <c r="D79" s="11">
        <f>IF(Inputs!$D$24=0,0,Inputs!$C$24+Inputs!$B$12*Inputs!$B$5*$B79^2/(Inputs!$D$24^2*Inputs!$H$24^4*Inputs!$I$24^2)+Inputs!$G$24*$B79^Inputs!$B$11)</f>
        <v/>
      </c>
      <c r="E79" s="11">
        <f>IF(Inputs!$D$25=0,0,Inputs!$C$25+Inputs!$B$12*Inputs!$B$5*$B79^2/(Inputs!$D$25^2*Inputs!$H$25^4*Inputs!$I$25^2)+Inputs!$G$25*$B79^Inputs!$B$11)</f>
        <v/>
      </c>
      <c r="F79" s="11">
        <f>IF(Inputs!$D$26=0,0,Inputs!$C$26+Inputs!$B$12*Inputs!$B$5*$B79^2/(Inputs!$D$26^2*Inputs!$H$26^4*Inputs!$I$26^2)+Inputs!$G$26*$B79^Inputs!$B$11)</f>
        <v/>
      </c>
      <c r="G79" s="11">
        <f>IF(Inputs!$D$27=0,0,Inputs!$C$27+Inputs!$B$12*Inputs!$B$5*$B79^2/(Inputs!$D$27^2*Inputs!$H$27^4*Inputs!$I$27^2)+Inputs!$G$27*$B79^Inputs!$B$11)</f>
        <v/>
      </c>
      <c r="H79" s="11">
        <f>IF(Inputs!$D$28=0,0,Inputs!$C$28+Inputs!$B$12*Inputs!$B$5*$B79^2/(Inputs!$D$28^2*Inputs!$H$28^4*Inputs!$I$28^2)+Inputs!$G$28*$B79^Inputs!$B$11)</f>
        <v/>
      </c>
      <c r="I79" s="11">
        <f>IF(Inputs!$D$29=0,0,Inputs!$C$29+Inputs!$B$12*Inputs!$B$5*$B79^2/(Inputs!$D$29^2*Inputs!$H$29^4*Inputs!$I$29^2)+Inputs!$G$29*$B79^Inputs!$B$11)</f>
        <v/>
      </c>
      <c r="J79" s="11">
        <f>IF(Inputs!$D$30=0,0,Inputs!$C$30+Inputs!$B$12*Inputs!$B$5*$B79^2/(Inputs!$D$30^2*Inputs!$H$30^4*Inputs!$I$30^2)+Inputs!$G$30*$B79^Inputs!$B$11)</f>
        <v/>
      </c>
      <c r="K79" s="11">
        <f>IF(Inputs!$D$31=0,0,Inputs!$C$31+Inputs!$B$12*Inputs!$B$5*$B79^2/(Inputs!$D$31^2*Inputs!$H$31^4*Inputs!$I$31^2)+Inputs!$G$31*$B79^Inputs!$B$11)</f>
        <v/>
      </c>
      <c r="L79" s="11">
        <f>IF(Inputs!$D$32=0,0,Inputs!$C$32+Inputs!$B$12*Inputs!$B$5*$B79^2/(Inputs!$D$32^2*Inputs!$H$32^4*Inputs!$I$32^2)+Inputs!$G$32*$B79^Inputs!$B$11)</f>
        <v/>
      </c>
      <c r="M79" s="11">
        <f>IF(Inputs!$D$33=0,0,Inputs!$C$33+Inputs!$B$12*Inputs!$B$5*$B79^2/(Inputs!$D$33^2*Inputs!$H$33^4*Inputs!$I$33^2)+Inputs!$G$33*$B79^Inputs!$B$11)</f>
        <v/>
      </c>
      <c r="N79" s="11">
        <f>IF(Inputs!$D$34=0,0,Inputs!$C$34+Inputs!$B$12*Inputs!$B$5*$B79^2/(Inputs!$D$34^2*Inputs!$H$34^4*Inputs!$I$34^2)+Inputs!$G$34*$B79^Inputs!$B$11)</f>
        <v/>
      </c>
    </row>
    <row r="80">
      <c r="A80" s="7" t="n">
        <v>75</v>
      </c>
      <c r="B80" s="37">
        <f>Inputs!$B$4*A80/200</f>
        <v/>
      </c>
      <c r="C80" s="11">
        <f>IF(Inputs!$D$23=0,0,Inputs!$C$23+Inputs!$B$12*Inputs!$B$5*$B80^2/(Inputs!$D$23^2*Inputs!$H$23^4*Inputs!$I$23^2)+Inputs!$G$23*$B80^Inputs!$B$11)</f>
        <v/>
      </c>
      <c r="D80" s="11">
        <f>IF(Inputs!$D$24=0,0,Inputs!$C$24+Inputs!$B$12*Inputs!$B$5*$B80^2/(Inputs!$D$24^2*Inputs!$H$24^4*Inputs!$I$24^2)+Inputs!$G$24*$B80^Inputs!$B$11)</f>
        <v/>
      </c>
      <c r="E80" s="11">
        <f>IF(Inputs!$D$25=0,0,Inputs!$C$25+Inputs!$B$12*Inputs!$B$5*$B80^2/(Inputs!$D$25^2*Inputs!$H$25^4*Inputs!$I$25^2)+Inputs!$G$25*$B80^Inputs!$B$11)</f>
        <v/>
      </c>
      <c r="F80" s="11">
        <f>IF(Inputs!$D$26=0,0,Inputs!$C$26+Inputs!$B$12*Inputs!$B$5*$B80^2/(Inputs!$D$26^2*Inputs!$H$26^4*Inputs!$I$26^2)+Inputs!$G$26*$B80^Inputs!$B$11)</f>
        <v/>
      </c>
      <c r="G80" s="11">
        <f>IF(Inputs!$D$27=0,0,Inputs!$C$27+Inputs!$B$12*Inputs!$B$5*$B80^2/(Inputs!$D$27^2*Inputs!$H$27^4*Inputs!$I$27^2)+Inputs!$G$27*$B80^Inputs!$B$11)</f>
        <v/>
      </c>
      <c r="H80" s="11">
        <f>IF(Inputs!$D$28=0,0,Inputs!$C$28+Inputs!$B$12*Inputs!$B$5*$B80^2/(Inputs!$D$28^2*Inputs!$H$28^4*Inputs!$I$28^2)+Inputs!$G$28*$B80^Inputs!$B$11)</f>
        <v/>
      </c>
      <c r="I80" s="11">
        <f>IF(Inputs!$D$29=0,0,Inputs!$C$29+Inputs!$B$12*Inputs!$B$5*$B80^2/(Inputs!$D$29^2*Inputs!$H$29^4*Inputs!$I$29^2)+Inputs!$G$29*$B80^Inputs!$B$11)</f>
        <v/>
      </c>
      <c r="J80" s="11">
        <f>IF(Inputs!$D$30=0,0,Inputs!$C$30+Inputs!$B$12*Inputs!$B$5*$B80^2/(Inputs!$D$30^2*Inputs!$H$30^4*Inputs!$I$30^2)+Inputs!$G$30*$B80^Inputs!$B$11)</f>
        <v/>
      </c>
      <c r="K80" s="11">
        <f>IF(Inputs!$D$31=0,0,Inputs!$C$31+Inputs!$B$12*Inputs!$B$5*$B80^2/(Inputs!$D$31^2*Inputs!$H$31^4*Inputs!$I$31^2)+Inputs!$G$31*$B80^Inputs!$B$11)</f>
        <v/>
      </c>
      <c r="L80" s="11">
        <f>IF(Inputs!$D$32=0,0,Inputs!$C$32+Inputs!$B$12*Inputs!$B$5*$B80^2/(Inputs!$D$32^2*Inputs!$H$32^4*Inputs!$I$32^2)+Inputs!$G$32*$B80^Inputs!$B$11)</f>
        <v/>
      </c>
      <c r="M80" s="11">
        <f>IF(Inputs!$D$33=0,0,Inputs!$C$33+Inputs!$B$12*Inputs!$B$5*$B80^2/(Inputs!$D$33^2*Inputs!$H$33^4*Inputs!$I$33^2)+Inputs!$G$33*$B80^Inputs!$B$11)</f>
        <v/>
      </c>
      <c r="N80" s="11">
        <f>IF(Inputs!$D$34=0,0,Inputs!$C$34+Inputs!$B$12*Inputs!$B$5*$B80^2/(Inputs!$D$34^2*Inputs!$H$34^4*Inputs!$I$34^2)+Inputs!$G$34*$B80^Inputs!$B$11)</f>
        <v/>
      </c>
    </row>
    <row r="81">
      <c r="A81" s="7" t="n">
        <v>76</v>
      </c>
      <c r="B81" s="37">
        <f>Inputs!$B$4*A81/200</f>
        <v/>
      </c>
      <c r="C81" s="11">
        <f>IF(Inputs!$D$23=0,0,Inputs!$C$23+Inputs!$B$12*Inputs!$B$5*$B81^2/(Inputs!$D$23^2*Inputs!$H$23^4*Inputs!$I$23^2)+Inputs!$G$23*$B81^Inputs!$B$11)</f>
        <v/>
      </c>
      <c r="D81" s="11">
        <f>IF(Inputs!$D$24=0,0,Inputs!$C$24+Inputs!$B$12*Inputs!$B$5*$B81^2/(Inputs!$D$24^2*Inputs!$H$24^4*Inputs!$I$24^2)+Inputs!$G$24*$B81^Inputs!$B$11)</f>
        <v/>
      </c>
      <c r="E81" s="11">
        <f>IF(Inputs!$D$25=0,0,Inputs!$C$25+Inputs!$B$12*Inputs!$B$5*$B81^2/(Inputs!$D$25^2*Inputs!$H$25^4*Inputs!$I$25^2)+Inputs!$G$25*$B81^Inputs!$B$11)</f>
        <v/>
      </c>
      <c r="F81" s="11">
        <f>IF(Inputs!$D$26=0,0,Inputs!$C$26+Inputs!$B$12*Inputs!$B$5*$B81^2/(Inputs!$D$26^2*Inputs!$H$26^4*Inputs!$I$26^2)+Inputs!$G$26*$B81^Inputs!$B$11)</f>
        <v/>
      </c>
      <c r="G81" s="11">
        <f>IF(Inputs!$D$27=0,0,Inputs!$C$27+Inputs!$B$12*Inputs!$B$5*$B81^2/(Inputs!$D$27^2*Inputs!$H$27^4*Inputs!$I$27^2)+Inputs!$G$27*$B81^Inputs!$B$11)</f>
        <v/>
      </c>
      <c r="H81" s="11">
        <f>IF(Inputs!$D$28=0,0,Inputs!$C$28+Inputs!$B$12*Inputs!$B$5*$B81^2/(Inputs!$D$28^2*Inputs!$H$28^4*Inputs!$I$28^2)+Inputs!$G$28*$B81^Inputs!$B$11)</f>
        <v/>
      </c>
      <c r="I81" s="11">
        <f>IF(Inputs!$D$29=0,0,Inputs!$C$29+Inputs!$B$12*Inputs!$B$5*$B81^2/(Inputs!$D$29^2*Inputs!$H$29^4*Inputs!$I$29^2)+Inputs!$G$29*$B81^Inputs!$B$11)</f>
        <v/>
      </c>
      <c r="J81" s="11">
        <f>IF(Inputs!$D$30=0,0,Inputs!$C$30+Inputs!$B$12*Inputs!$B$5*$B81^2/(Inputs!$D$30^2*Inputs!$H$30^4*Inputs!$I$30^2)+Inputs!$G$30*$B81^Inputs!$B$11)</f>
        <v/>
      </c>
      <c r="K81" s="11">
        <f>IF(Inputs!$D$31=0,0,Inputs!$C$31+Inputs!$B$12*Inputs!$B$5*$B81^2/(Inputs!$D$31^2*Inputs!$H$31^4*Inputs!$I$31^2)+Inputs!$G$31*$B81^Inputs!$B$11)</f>
        <v/>
      </c>
      <c r="L81" s="11">
        <f>IF(Inputs!$D$32=0,0,Inputs!$C$32+Inputs!$B$12*Inputs!$B$5*$B81^2/(Inputs!$D$32^2*Inputs!$H$32^4*Inputs!$I$32^2)+Inputs!$G$32*$B81^Inputs!$B$11)</f>
        <v/>
      </c>
      <c r="M81" s="11">
        <f>IF(Inputs!$D$33=0,0,Inputs!$C$33+Inputs!$B$12*Inputs!$B$5*$B81^2/(Inputs!$D$33^2*Inputs!$H$33^4*Inputs!$I$33^2)+Inputs!$G$33*$B81^Inputs!$B$11)</f>
        <v/>
      </c>
      <c r="N81" s="11">
        <f>IF(Inputs!$D$34=0,0,Inputs!$C$34+Inputs!$B$12*Inputs!$B$5*$B81^2/(Inputs!$D$34^2*Inputs!$H$34^4*Inputs!$I$34^2)+Inputs!$G$34*$B81^Inputs!$B$11)</f>
        <v/>
      </c>
    </row>
    <row r="82">
      <c r="A82" s="7" t="n">
        <v>77</v>
      </c>
      <c r="B82" s="37">
        <f>Inputs!$B$4*A82/200</f>
        <v/>
      </c>
      <c r="C82" s="11">
        <f>IF(Inputs!$D$23=0,0,Inputs!$C$23+Inputs!$B$12*Inputs!$B$5*$B82^2/(Inputs!$D$23^2*Inputs!$H$23^4*Inputs!$I$23^2)+Inputs!$G$23*$B82^Inputs!$B$11)</f>
        <v/>
      </c>
      <c r="D82" s="11">
        <f>IF(Inputs!$D$24=0,0,Inputs!$C$24+Inputs!$B$12*Inputs!$B$5*$B82^2/(Inputs!$D$24^2*Inputs!$H$24^4*Inputs!$I$24^2)+Inputs!$G$24*$B82^Inputs!$B$11)</f>
        <v/>
      </c>
      <c r="E82" s="11">
        <f>IF(Inputs!$D$25=0,0,Inputs!$C$25+Inputs!$B$12*Inputs!$B$5*$B82^2/(Inputs!$D$25^2*Inputs!$H$25^4*Inputs!$I$25^2)+Inputs!$G$25*$B82^Inputs!$B$11)</f>
        <v/>
      </c>
      <c r="F82" s="11">
        <f>IF(Inputs!$D$26=0,0,Inputs!$C$26+Inputs!$B$12*Inputs!$B$5*$B82^2/(Inputs!$D$26^2*Inputs!$H$26^4*Inputs!$I$26^2)+Inputs!$G$26*$B82^Inputs!$B$11)</f>
        <v/>
      </c>
      <c r="G82" s="11">
        <f>IF(Inputs!$D$27=0,0,Inputs!$C$27+Inputs!$B$12*Inputs!$B$5*$B82^2/(Inputs!$D$27^2*Inputs!$H$27^4*Inputs!$I$27^2)+Inputs!$G$27*$B82^Inputs!$B$11)</f>
        <v/>
      </c>
      <c r="H82" s="11">
        <f>IF(Inputs!$D$28=0,0,Inputs!$C$28+Inputs!$B$12*Inputs!$B$5*$B82^2/(Inputs!$D$28^2*Inputs!$H$28^4*Inputs!$I$28^2)+Inputs!$G$28*$B82^Inputs!$B$11)</f>
        <v/>
      </c>
      <c r="I82" s="11">
        <f>IF(Inputs!$D$29=0,0,Inputs!$C$29+Inputs!$B$12*Inputs!$B$5*$B82^2/(Inputs!$D$29^2*Inputs!$H$29^4*Inputs!$I$29^2)+Inputs!$G$29*$B82^Inputs!$B$11)</f>
        <v/>
      </c>
      <c r="J82" s="11">
        <f>IF(Inputs!$D$30=0,0,Inputs!$C$30+Inputs!$B$12*Inputs!$B$5*$B82^2/(Inputs!$D$30^2*Inputs!$H$30^4*Inputs!$I$30^2)+Inputs!$G$30*$B82^Inputs!$B$11)</f>
        <v/>
      </c>
      <c r="K82" s="11">
        <f>IF(Inputs!$D$31=0,0,Inputs!$C$31+Inputs!$B$12*Inputs!$B$5*$B82^2/(Inputs!$D$31^2*Inputs!$H$31^4*Inputs!$I$31^2)+Inputs!$G$31*$B82^Inputs!$B$11)</f>
        <v/>
      </c>
      <c r="L82" s="11">
        <f>IF(Inputs!$D$32=0,0,Inputs!$C$32+Inputs!$B$12*Inputs!$B$5*$B82^2/(Inputs!$D$32^2*Inputs!$H$32^4*Inputs!$I$32^2)+Inputs!$G$32*$B82^Inputs!$B$11)</f>
        <v/>
      </c>
      <c r="M82" s="11">
        <f>IF(Inputs!$D$33=0,0,Inputs!$C$33+Inputs!$B$12*Inputs!$B$5*$B82^2/(Inputs!$D$33^2*Inputs!$H$33^4*Inputs!$I$33^2)+Inputs!$G$33*$B82^Inputs!$B$11)</f>
        <v/>
      </c>
      <c r="N82" s="11">
        <f>IF(Inputs!$D$34=0,0,Inputs!$C$34+Inputs!$B$12*Inputs!$B$5*$B82^2/(Inputs!$D$34^2*Inputs!$H$34^4*Inputs!$I$34^2)+Inputs!$G$34*$B82^Inputs!$B$11)</f>
        <v/>
      </c>
    </row>
    <row r="83">
      <c r="A83" s="7" t="n">
        <v>78</v>
      </c>
      <c r="B83" s="37">
        <f>Inputs!$B$4*A83/200</f>
        <v/>
      </c>
      <c r="C83" s="11">
        <f>IF(Inputs!$D$23=0,0,Inputs!$C$23+Inputs!$B$12*Inputs!$B$5*$B83^2/(Inputs!$D$23^2*Inputs!$H$23^4*Inputs!$I$23^2)+Inputs!$G$23*$B83^Inputs!$B$11)</f>
        <v/>
      </c>
      <c r="D83" s="11">
        <f>IF(Inputs!$D$24=0,0,Inputs!$C$24+Inputs!$B$12*Inputs!$B$5*$B83^2/(Inputs!$D$24^2*Inputs!$H$24^4*Inputs!$I$24^2)+Inputs!$G$24*$B83^Inputs!$B$11)</f>
        <v/>
      </c>
      <c r="E83" s="11">
        <f>IF(Inputs!$D$25=0,0,Inputs!$C$25+Inputs!$B$12*Inputs!$B$5*$B83^2/(Inputs!$D$25^2*Inputs!$H$25^4*Inputs!$I$25^2)+Inputs!$G$25*$B83^Inputs!$B$11)</f>
        <v/>
      </c>
      <c r="F83" s="11">
        <f>IF(Inputs!$D$26=0,0,Inputs!$C$26+Inputs!$B$12*Inputs!$B$5*$B83^2/(Inputs!$D$26^2*Inputs!$H$26^4*Inputs!$I$26^2)+Inputs!$G$26*$B83^Inputs!$B$11)</f>
        <v/>
      </c>
      <c r="G83" s="11">
        <f>IF(Inputs!$D$27=0,0,Inputs!$C$27+Inputs!$B$12*Inputs!$B$5*$B83^2/(Inputs!$D$27^2*Inputs!$H$27^4*Inputs!$I$27^2)+Inputs!$G$27*$B83^Inputs!$B$11)</f>
        <v/>
      </c>
      <c r="H83" s="11">
        <f>IF(Inputs!$D$28=0,0,Inputs!$C$28+Inputs!$B$12*Inputs!$B$5*$B83^2/(Inputs!$D$28^2*Inputs!$H$28^4*Inputs!$I$28^2)+Inputs!$G$28*$B83^Inputs!$B$11)</f>
        <v/>
      </c>
      <c r="I83" s="11">
        <f>IF(Inputs!$D$29=0,0,Inputs!$C$29+Inputs!$B$12*Inputs!$B$5*$B83^2/(Inputs!$D$29^2*Inputs!$H$29^4*Inputs!$I$29^2)+Inputs!$G$29*$B83^Inputs!$B$11)</f>
        <v/>
      </c>
      <c r="J83" s="11">
        <f>IF(Inputs!$D$30=0,0,Inputs!$C$30+Inputs!$B$12*Inputs!$B$5*$B83^2/(Inputs!$D$30^2*Inputs!$H$30^4*Inputs!$I$30^2)+Inputs!$G$30*$B83^Inputs!$B$11)</f>
        <v/>
      </c>
      <c r="K83" s="11">
        <f>IF(Inputs!$D$31=0,0,Inputs!$C$31+Inputs!$B$12*Inputs!$B$5*$B83^2/(Inputs!$D$31^2*Inputs!$H$31^4*Inputs!$I$31^2)+Inputs!$G$31*$B83^Inputs!$B$11)</f>
        <v/>
      </c>
      <c r="L83" s="11">
        <f>IF(Inputs!$D$32=0,0,Inputs!$C$32+Inputs!$B$12*Inputs!$B$5*$B83^2/(Inputs!$D$32^2*Inputs!$H$32^4*Inputs!$I$32^2)+Inputs!$G$32*$B83^Inputs!$B$11)</f>
        <v/>
      </c>
      <c r="M83" s="11">
        <f>IF(Inputs!$D$33=0,0,Inputs!$C$33+Inputs!$B$12*Inputs!$B$5*$B83^2/(Inputs!$D$33^2*Inputs!$H$33^4*Inputs!$I$33^2)+Inputs!$G$33*$B83^Inputs!$B$11)</f>
        <v/>
      </c>
      <c r="N83" s="11">
        <f>IF(Inputs!$D$34=0,0,Inputs!$C$34+Inputs!$B$12*Inputs!$B$5*$B83^2/(Inputs!$D$34^2*Inputs!$H$34^4*Inputs!$I$34^2)+Inputs!$G$34*$B83^Inputs!$B$11)</f>
        <v/>
      </c>
    </row>
    <row r="84">
      <c r="A84" s="7" t="n">
        <v>79</v>
      </c>
      <c r="B84" s="37">
        <f>Inputs!$B$4*A84/200</f>
        <v/>
      </c>
      <c r="C84" s="11">
        <f>IF(Inputs!$D$23=0,0,Inputs!$C$23+Inputs!$B$12*Inputs!$B$5*$B84^2/(Inputs!$D$23^2*Inputs!$H$23^4*Inputs!$I$23^2)+Inputs!$G$23*$B84^Inputs!$B$11)</f>
        <v/>
      </c>
      <c r="D84" s="11">
        <f>IF(Inputs!$D$24=0,0,Inputs!$C$24+Inputs!$B$12*Inputs!$B$5*$B84^2/(Inputs!$D$24^2*Inputs!$H$24^4*Inputs!$I$24^2)+Inputs!$G$24*$B84^Inputs!$B$11)</f>
        <v/>
      </c>
      <c r="E84" s="11">
        <f>IF(Inputs!$D$25=0,0,Inputs!$C$25+Inputs!$B$12*Inputs!$B$5*$B84^2/(Inputs!$D$25^2*Inputs!$H$25^4*Inputs!$I$25^2)+Inputs!$G$25*$B84^Inputs!$B$11)</f>
        <v/>
      </c>
      <c r="F84" s="11">
        <f>IF(Inputs!$D$26=0,0,Inputs!$C$26+Inputs!$B$12*Inputs!$B$5*$B84^2/(Inputs!$D$26^2*Inputs!$H$26^4*Inputs!$I$26^2)+Inputs!$G$26*$B84^Inputs!$B$11)</f>
        <v/>
      </c>
      <c r="G84" s="11">
        <f>IF(Inputs!$D$27=0,0,Inputs!$C$27+Inputs!$B$12*Inputs!$B$5*$B84^2/(Inputs!$D$27^2*Inputs!$H$27^4*Inputs!$I$27^2)+Inputs!$G$27*$B84^Inputs!$B$11)</f>
        <v/>
      </c>
      <c r="H84" s="11">
        <f>IF(Inputs!$D$28=0,0,Inputs!$C$28+Inputs!$B$12*Inputs!$B$5*$B84^2/(Inputs!$D$28^2*Inputs!$H$28^4*Inputs!$I$28^2)+Inputs!$G$28*$B84^Inputs!$B$11)</f>
        <v/>
      </c>
      <c r="I84" s="11">
        <f>IF(Inputs!$D$29=0,0,Inputs!$C$29+Inputs!$B$12*Inputs!$B$5*$B84^2/(Inputs!$D$29^2*Inputs!$H$29^4*Inputs!$I$29^2)+Inputs!$G$29*$B84^Inputs!$B$11)</f>
        <v/>
      </c>
      <c r="J84" s="11">
        <f>IF(Inputs!$D$30=0,0,Inputs!$C$30+Inputs!$B$12*Inputs!$B$5*$B84^2/(Inputs!$D$30^2*Inputs!$H$30^4*Inputs!$I$30^2)+Inputs!$G$30*$B84^Inputs!$B$11)</f>
        <v/>
      </c>
      <c r="K84" s="11">
        <f>IF(Inputs!$D$31=0,0,Inputs!$C$31+Inputs!$B$12*Inputs!$B$5*$B84^2/(Inputs!$D$31^2*Inputs!$H$31^4*Inputs!$I$31^2)+Inputs!$G$31*$B84^Inputs!$B$11)</f>
        <v/>
      </c>
      <c r="L84" s="11">
        <f>IF(Inputs!$D$32=0,0,Inputs!$C$32+Inputs!$B$12*Inputs!$B$5*$B84^2/(Inputs!$D$32^2*Inputs!$H$32^4*Inputs!$I$32^2)+Inputs!$G$32*$B84^Inputs!$B$11)</f>
        <v/>
      </c>
      <c r="M84" s="11">
        <f>IF(Inputs!$D$33=0,0,Inputs!$C$33+Inputs!$B$12*Inputs!$B$5*$B84^2/(Inputs!$D$33^2*Inputs!$H$33^4*Inputs!$I$33^2)+Inputs!$G$33*$B84^Inputs!$B$11)</f>
        <v/>
      </c>
      <c r="N84" s="11">
        <f>IF(Inputs!$D$34=0,0,Inputs!$C$34+Inputs!$B$12*Inputs!$B$5*$B84^2/(Inputs!$D$34^2*Inputs!$H$34^4*Inputs!$I$34^2)+Inputs!$G$34*$B84^Inputs!$B$11)</f>
        <v/>
      </c>
    </row>
    <row r="85">
      <c r="A85" s="7" t="n">
        <v>80</v>
      </c>
      <c r="B85" s="37">
        <f>Inputs!$B$4*A85/200</f>
        <v/>
      </c>
      <c r="C85" s="11">
        <f>IF(Inputs!$D$23=0,0,Inputs!$C$23+Inputs!$B$12*Inputs!$B$5*$B85^2/(Inputs!$D$23^2*Inputs!$H$23^4*Inputs!$I$23^2)+Inputs!$G$23*$B85^Inputs!$B$11)</f>
        <v/>
      </c>
      <c r="D85" s="11">
        <f>IF(Inputs!$D$24=0,0,Inputs!$C$24+Inputs!$B$12*Inputs!$B$5*$B85^2/(Inputs!$D$24^2*Inputs!$H$24^4*Inputs!$I$24^2)+Inputs!$G$24*$B85^Inputs!$B$11)</f>
        <v/>
      </c>
      <c r="E85" s="11">
        <f>IF(Inputs!$D$25=0,0,Inputs!$C$25+Inputs!$B$12*Inputs!$B$5*$B85^2/(Inputs!$D$25^2*Inputs!$H$25^4*Inputs!$I$25^2)+Inputs!$G$25*$B85^Inputs!$B$11)</f>
        <v/>
      </c>
      <c r="F85" s="11">
        <f>IF(Inputs!$D$26=0,0,Inputs!$C$26+Inputs!$B$12*Inputs!$B$5*$B85^2/(Inputs!$D$26^2*Inputs!$H$26^4*Inputs!$I$26^2)+Inputs!$G$26*$B85^Inputs!$B$11)</f>
        <v/>
      </c>
      <c r="G85" s="11">
        <f>IF(Inputs!$D$27=0,0,Inputs!$C$27+Inputs!$B$12*Inputs!$B$5*$B85^2/(Inputs!$D$27^2*Inputs!$H$27^4*Inputs!$I$27^2)+Inputs!$G$27*$B85^Inputs!$B$11)</f>
        <v/>
      </c>
      <c r="H85" s="11">
        <f>IF(Inputs!$D$28=0,0,Inputs!$C$28+Inputs!$B$12*Inputs!$B$5*$B85^2/(Inputs!$D$28^2*Inputs!$H$28^4*Inputs!$I$28^2)+Inputs!$G$28*$B85^Inputs!$B$11)</f>
        <v/>
      </c>
      <c r="I85" s="11">
        <f>IF(Inputs!$D$29=0,0,Inputs!$C$29+Inputs!$B$12*Inputs!$B$5*$B85^2/(Inputs!$D$29^2*Inputs!$H$29^4*Inputs!$I$29^2)+Inputs!$G$29*$B85^Inputs!$B$11)</f>
        <v/>
      </c>
      <c r="J85" s="11">
        <f>IF(Inputs!$D$30=0,0,Inputs!$C$30+Inputs!$B$12*Inputs!$B$5*$B85^2/(Inputs!$D$30^2*Inputs!$H$30^4*Inputs!$I$30^2)+Inputs!$G$30*$B85^Inputs!$B$11)</f>
        <v/>
      </c>
      <c r="K85" s="11">
        <f>IF(Inputs!$D$31=0,0,Inputs!$C$31+Inputs!$B$12*Inputs!$B$5*$B85^2/(Inputs!$D$31^2*Inputs!$H$31^4*Inputs!$I$31^2)+Inputs!$G$31*$B85^Inputs!$B$11)</f>
        <v/>
      </c>
      <c r="L85" s="11">
        <f>IF(Inputs!$D$32=0,0,Inputs!$C$32+Inputs!$B$12*Inputs!$B$5*$B85^2/(Inputs!$D$32^2*Inputs!$H$32^4*Inputs!$I$32^2)+Inputs!$G$32*$B85^Inputs!$B$11)</f>
        <v/>
      </c>
      <c r="M85" s="11">
        <f>IF(Inputs!$D$33=0,0,Inputs!$C$33+Inputs!$B$12*Inputs!$B$5*$B85^2/(Inputs!$D$33^2*Inputs!$H$33^4*Inputs!$I$33^2)+Inputs!$G$33*$B85^Inputs!$B$11)</f>
        <v/>
      </c>
      <c r="N85" s="11">
        <f>IF(Inputs!$D$34=0,0,Inputs!$C$34+Inputs!$B$12*Inputs!$B$5*$B85^2/(Inputs!$D$34^2*Inputs!$H$34^4*Inputs!$I$34^2)+Inputs!$G$34*$B85^Inputs!$B$11)</f>
        <v/>
      </c>
    </row>
    <row r="86">
      <c r="A86" s="7" t="n">
        <v>81</v>
      </c>
      <c r="B86" s="37">
        <f>Inputs!$B$4*A86/200</f>
        <v/>
      </c>
      <c r="C86" s="11">
        <f>IF(Inputs!$D$23=0,0,Inputs!$C$23+Inputs!$B$12*Inputs!$B$5*$B86^2/(Inputs!$D$23^2*Inputs!$H$23^4*Inputs!$I$23^2)+Inputs!$G$23*$B86^Inputs!$B$11)</f>
        <v/>
      </c>
      <c r="D86" s="11">
        <f>IF(Inputs!$D$24=0,0,Inputs!$C$24+Inputs!$B$12*Inputs!$B$5*$B86^2/(Inputs!$D$24^2*Inputs!$H$24^4*Inputs!$I$24^2)+Inputs!$G$24*$B86^Inputs!$B$11)</f>
        <v/>
      </c>
      <c r="E86" s="11">
        <f>IF(Inputs!$D$25=0,0,Inputs!$C$25+Inputs!$B$12*Inputs!$B$5*$B86^2/(Inputs!$D$25^2*Inputs!$H$25^4*Inputs!$I$25^2)+Inputs!$G$25*$B86^Inputs!$B$11)</f>
        <v/>
      </c>
      <c r="F86" s="11">
        <f>IF(Inputs!$D$26=0,0,Inputs!$C$26+Inputs!$B$12*Inputs!$B$5*$B86^2/(Inputs!$D$26^2*Inputs!$H$26^4*Inputs!$I$26^2)+Inputs!$G$26*$B86^Inputs!$B$11)</f>
        <v/>
      </c>
      <c r="G86" s="11">
        <f>IF(Inputs!$D$27=0,0,Inputs!$C$27+Inputs!$B$12*Inputs!$B$5*$B86^2/(Inputs!$D$27^2*Inputs!$H$27^4*Inputs!$I$27^2)+Inputs!$G$27*$B86^Inputs!$B$11)</f>
        <v/>
      </c>
      <c r="H86" s="11">
        <f>IF(Inputs!$D$28=0,0,Inputs!$C$28+Inputs!$B$12*Inputs!$B$5*$B86^2/(Inputs!$D$28^2*Inputs!$H$28^4*Inputs!$I$28^2)+Inputs!$G$28*$B86^Inputs!$B$11)</f>
        <v/>
      </c>
      <c r="I86" s="11">
        <f>IF(Inputs!$D$29=0,0,Inputs!$C$29+Inputs!$B$12*Inputs!$B$5*$B86^2/(Inputs!$D$29^2*Inputs!$H$29^4*Inputs!$I$29^2)+Inputs!$G$29*$B86^Inputs!$B$11)</f>
        <v/>
      </c>
      <c r="J86" s="11">
        <f>IF(Inputs!$D$30=0,0,Inputs!$C$30+Inputs!$B$12*Inputs!$B$5*$B86^2/(Inputs!$D$30^2*Inputs!$H$30^4*Inputs!$I$30^2)+Inputs!$G$30*$B86^Inputs!$B$11)</f>
        <v/>
      </c>
      <c r="K86" s="11">
        <f>IF(Inputs!$D$31=0,0,Inputs!$C$31+Inputs!$B$12*Inputs!$B$5*$B86^2/(Inputs!$D$31^2*Inputs!$H$31^4*Inputs!$I$31^2)+Inputs!$G$31*$B86^Inputs!$B$11)</f>
        <v/>
      </c>
      <c r="L86" s="11">
        <f>IF(Inputs!$D$32=0,0,Inputs!$C$32+Inputs!$B$12*Inputs!$B$5*$B86^2/(Inputs!$D$32^2*Inputs!$H$32^4*Inputs!$I$32^2)+Inputs!$G$32*$B86^Inputs!$B$11)</f>
        <v/>
      </c>
      <c r="M86" s="11">
        <f>IF(Inputs!$D$33=0,0,Inputs!$C$33+Inputs!$B$12*Inputs!$B$5*$B86^2/(Inputs!$D$33^2*Inputs!$H$33^4*Inputs!$I$33^2)+Inputs!$G$33*$B86^Inputs!$B$11)</f>
        <v/>
      </c>
      <c r="N86" s="11">
        <f>IF(Inputs!$D$34=0,0,Inputs!$C$34+Inputs!$B$12*Inputs!$B$5*$B86^2/(Inputs!$D$34^2*Inputs!$H$34^4*Inputs!$I$34^2)+Inputs!$G$34*$B86^Inputs!$B$11)</f>
        <v/>
      </c>
    </row>
    <row r="87">
      <c r="A87" s="7" t="n">
        <v>82</v>
      </c>
      <c r="B87" s="37">
        <f>Inputs!$B$4*A87/200</f>
        <v/>
      </c>
      <c r="C87" s="11">
        <f>IF(Inputs!$D$23=0,0,Inputs!$C$23+Inputs!$B$12*Inputs!$B$5*$B87^2/(Inputs!$D$23^2*Inputs!$H$23^4*Inputs!$I$23^2)+Inputs!$G$23*$B87^Inputs!$B$11)</f>
        <v/>
      </c>
      <c r="D87" s="11">
        <f>IF(Inputs!$D$24=0,0,Inputs!$C$24+Inputs!$B$12*Inputs!$B$5*$B87^2/(Inputs!$D$24^2*Inputs!$H$24^4*Inputs!$I$24^2)+Inputs!$G$24*$B87^Inputs!$B$11)</f>
        <v/>
      </c>
      <c r="E87" s="11">
        <f>IF(Inputs!$D$25=0,0,Inputs!$C$25+Inputs!$B$12*Inputs!$B$5*$B87^2/(Inputs!$D$25^2*Inputs!$H$25^4*Inputs!$I$25^2)+Inputs!$G$25*$B87^Inputs!$B$11)</f>
        <v/>
      </c>
      <c r="F87" s="11">
        <f>IF(Inputs!$D$26=0,0,Inputs!$C$26+Inputs!$B$12*Inputs!$B$5*$B87^2/(Inputs!$D$26^2*Inputs!$H$26^4*Inputs!$I$26^2)+Inputs!$G$26*$B87^Inputs!$B$11)</f>
        <v/>
      </c>
      <c r="G87" s="11">
        <f>IF(Inputs!$D$27=0,0,Inputs!$C$27+Inputs!$B$12*Inputs!$B$5*$B87^2/(Inputs!$D$27^2*Inputs!$H$27^4*Inputs!$I$27^2)+Inputs!$G$27*$B87^Inputs!$B$11)</f>
        <v/>
      </c>
      <c r="H87" s="11">
        <f>IF(Inputs!$D$28=0,0,Inputs!$C$28+Inputs!$B$12*Inputs!$B$5*$B87^2/(Inputs!$D$28^2*Inputs!$H$28^4*Inputs!$I$28^2)+Inputs!$G$28*$B87^Inputs!$B$11)</f>
        <v/>
      </c>
      <c r="I87" s="11">
        <f>IF(Inputs!$D$29=0,0,Inputs!$C$29+Inputs!$B$12*Inputs!$B$5*$B87^2/(Inputs!$D$29^2*Inputs!$H$29^4*Inputs!$I$29^2)+Inputs!$G$29*$B87^Inputs!$B$11)</f>
        <v/>
      </c>
      <c r="J87" s="11">
        <f>IF(Inputs!$D$30=0,0,Inputs!$C$30+Inputs!$B$12*Inputs!$B$5*$B87^2/(Inputs!$D$30^2*Inputs!$H$30^4*Inputs!$I$30^2)+Inputs!$G$30*$B87^Inputs!$B$11)</f>
        <v/>
      </c>
      <c r="K87" s="11">
        <f>IF(Inputs!$D$31=0,0,Inputs!$C$31+Inputs!$B$12*Inputs!$B$5*$B87^2/(Inputs!$D$31^2*Inputs!$H$31^4*Inputs!$I$31^2)+Inputs!$G$31*$B87^Inputs!$B$11)</f>
        <v/>
      </c>
      <c r="L87" s="11">
        <f>IF(Inputs!$D$32=0,0,Inputs!$C$32+Inputs!$B$12*Inputs!$B$5*$B87^2/(Inputs!$D$32^2*Inputs!$H$32^4*Inputs!$I$32^2)+Inputs!$G$32*$B87^Inputs!$B$11)</f>
        <v/>
      </c>
      <c r="M87" s="11">
        <f>IF(Inputs!$D$33=0,0,Inputs!$C$33+Inputs!$B$12*Inputs!$B$5*$B87^2/(Inputs!$D$33^2*Inputs!$H$33^4*Inputs!$I$33^2)+Inputs!$G$33*$B87^Inputs!$B$11)</f>
        <v/>
      </c>
      <c r="N87" s="11">
        <f>IF(Inputs!$D$34=0,0,Inputs!$C$34+Inputs!$B$12*Inputs!$B$5*$B87^2/(Inputs!$D$34^2*Inputs!$H$34^4*Inputs!$I$34^2)+Inputs!$G$34*$B87^Inputs!$B$11)</f>
        <v/>
      </c>
    </row>
    <row r="88">
      <c r="A88" s="7" t="n">
        <v>83</v>
      </c>
      <c r="B88" s="37">
        <f>Inputs!$B$4*A88/200</f>
        <v/>
      </c>
      <c r="C88" s="11">
        <f>IF(Inputs!$D$23=0,0,Inputs!$C$23+Inputs!$B$12*Inputs!$B$5*$B88^2/(Inputs!$D$23^2*Inputs!$H$23^4*Inputs!$I$23^2)+Inputs!$G$23*$B88^Inputs!$B$11)</f>
        <v/>
      </c>
      <c r="D88" s="11">
        <f>IF(Inputs!$D$24=0,0,Inputs!$C$24+Inputs!$B$12*Inputs!$B$5*$B88^2/(Inputs!$D$24^2*Inputs!$H$24^4*Inputs!$I$24^2)+Inputs!$G$24*$B88^Inputs!$B$11)</f>
        <v/>
      </c>
      <c r="E88" s="11">
        <f>IF(Inputs!$D$25=0,0,Inputs!$C$25+Inputs!$B$12*Inputs!$B$5*$B88^2/(Inputs!$D$25^2*Inputs!$H$25^4*Inputs!$I$25^2)+Inputs!$G$25*$B88^Inputs!$B$11)</f>
        <v/>
      </c>
      <c r="F88" s="11">
        <f>IF(Inputs!$D$26=0,0,Inputs!$C$26+Inputs!$B$12*Inputs!$B$5*$B88^2/(Inputs!$D$26^2*Inputs!$H$26^4*Inputs!$I$26^2)+Inputs!$G$26*$B88^Inputs!$B$11)</f>
        <v/>
      </c>
      <c r="G88" s="11">
        <f>IF(Inputs!$D$27=0,0,Inputs!$C$27+Inputs!$B$12*Inputs!$B$5*$B88^2/(Inputs!$D$27^2*Inputs!$H$27^4*Inputs!$I$27^2)+Inputs!$G$27*$B88^Inputs!$B$11)</f>
        <v/>
      </c>
      <c r="H88" s="11">
        <f>IF(Inputs!$D$28=0,0,Inputs!$C$28+Inputs!$B$12*Inputs!$B$5*$B88^2/(Inputs!$D$28^2*Inputs!$H$28^4*Inputs!$I$28^2)+Inputs!$G$28*$B88^Inputs!$B$11)</f>
        <v/>
      </c>
      <c r="I88" s="11">
        <f>IF(Inputs!$D$29=0,0,Inputs!$C$29+Inputs!$B$12*Inputs!$B$5*$B88^2/(Inputs!$D$29^2*Inputs!$H$29^4*Inputs!$I$29^2)+Inputs!$G$29*$B88^Inputs!$B$11)</f>
        <v/>
      </c>
      <c r="J88" s="11">
        <f>IF(Inputs!$D$30=0,0,Inputs!$C$30+Inputs!$B$12*Inputs!$B$5*$B88^2/(Inputs!$D$30^2*Inputs!$H$30^4*Inputs!$I$30^2)+Inputs!$G$30*$B88^Inputs!$B$11)</f>
        <v/>
      </c>
      <c r="K88" s="11">
        <f>IF(Inputs!$D$31=0,0,Inputs!$C$31+Inputs!$B$12*Inputs!$B$5*$B88^2/(Inputs!$D$31^2*Inputs!$H$31^4*Inputs!$I$31^2)+Inputs!$G$31*$B88^Inputs!$B$11)</f>
        <v/>
      </c>
      <c r="L88" s="11">
        <f>IF(Inputs!$D$32=0,0,Inputs!$C$32+Inputs!$B$12*Inputs!$B$5*$B88^2/(Inputs!$D$32^2*Inputs!$H$32^4*Inputs!$I$32^2)+Inputs!$G$32*$B88^Inputs!$B$11)</f>
        <v/>
      </c>
      <c r="M88" s="11">
        <f>IF(Inputs!$D$33=0,0,Inputs!$C$33+Inputs!$B$12*Inputs!$B$5*$B88^2/(Inputs!$D$33^2*Inputs!$H$33^4*Inputs!$I$33^2)+Inputs!$G$33*$B88^Inputs!$B$11)</f>
        <v/>
      </c>
      <c r="N88" s="11">
        <f>IF(Inputs!$D$34=0,0,Inputs!$C$34+Inputs!$B$12*Inputs!$B$5*$B88^2/(Inputs!$D$34^2*Inputs!$H$34^4*Inputs!$I$34^2)+Inputs!$G$34*$B88^Inputs!$B$11)</f>
        <v/>
      </c>
    </row>
    <row r="89">
      <c r="A89" s="7" t="n">
        <v>84</v>
      </c>
      <c r="B89" s="37">
        <f>Inputs!$B$4*A89/200</f>
        <v/>
      </c>
      <c r="C89" s="11">
        <f>IF(Inputs!$D$23=0,0,Inputs!$C$23+Inputs!$B$12*Inputs!$B$5*$B89^2/(Inputs!$D$23^2*Inputs!$H$23^4*Inputs!$I$23^2)+Inputs!$G$23*$B89^Inputs!$B$11)</f>
        <v/>
      </c>
      <c r="D89" s="11">
        <f>IF(Inputs!$D$24=0,0,Inputs!$C$24+Inputs!$B$12*Inputs!$B$5*$B89^2/(Inputs!$D$24^2*Inputs!$H$24^4*Inputs!$I$24^2)+Inputs!$G$24*$B89^Inputs!$B$11)</f>
        <v/>
      </c>
      <c r="E89" s="11">
        <f>IF(Inputs!$D$25=0,0,Inputs!$C$25+Inputs!$B$12*Inputs!$B$5*$B89^2/(Inputs!$D$25^2*Inputs!$H$25^4*Inputs!$I$25^2)+Inputs!$G$25*$B89^Inputs!$B$11)</f>
        <v/>
      </c>
      <c r="F89" s="11">
        <f>IF(Inputs!$D$26=0,0,Inputs!$C$26+Inputs!$B$12*Inputs!$B$5*$B89^2/(Inputs!$D$26^2*Inputs!$H$26^4*Inputs!$I$26^2)+Inputs!$G$26*$B89^Inputs!$B$11)</f>
        <v/>
      </c>
      <c r="G89" s="11">
        <f>IF(Inputs!$D$27=0,0,Inputs!$C$27+Inputs!$B$12*Inputs!$B$5*$B89^2/(Inputs!$D$27^2*Inputs!$H$27^4*Inputs!$I$27^2)+Inputs!$G$27*$B89^Inputs!$B$11)</f>
        <v/>
      </c>
      <c r="H89" s="11">
        <f>IF(Inputs!$D$28=0,0,Inputs!$C$28+Inputs!$B$12*Inputs!$B$5*$B89^2/(Inputs!$D$28^2*Inputs!$H$28^4*Inputs!$I$28^2)+Inputs!$G$28*$B89^Inputs!$B$11)</f>
        <v/>
      </c>
      <c r="I89" s="11">
        <f>IF(Inputs!$D$29=0,0,Inputs!$C$29+Inputs!$B$12*Inputs!$B$5*$B89^2/(Inputs!$D$29^2*Inputs!$H$29^4*Inputs!$I$29^2)+Inputs!$G$29*$B89^Inputs!$B$11)</f>
        <v/>
      </c>
      <c r="J89" s="11">
        <f>IF(Inputs!$D$30=0,0,Inputs!$C$30+Inputs!$B$12*Inputs!$B$5*$B89^2/(Inputs!$D$30^2*Inputs!$H$30^4*Inputs!$I$30^2)+Inputs!$G$30*$B89^Inputs!$B$11)</f>
        <v/>
      </c>
      <c r="K89" s="11">
        <f>IF(Inputs!$D$31=0,0,Inputs!$C$31+Inputs!$B$12*Inputs!$B$5*$B89^2/(Inputs!$D$31^2*Inputs!$H$31^4*Inputs!$I$31^2)+Inputs!$G$31*$B89^Inputs!$B$11)</f>
        <v/>
      </c>
      <c r="L89" s="11">
        <f>IF(Inputs!$D$32=0,0,Inputs!$C$32+Inputs!$B$12*Inputs!$B$5*$B89^2/(Inputs!$D$32^2*Inputs!$H$32^4*Inputs!$I$32^2)+Inputs!$G$32*$B89^Inputs!$B$11)</f>
        <v/>
      </c>
      <c r="M89" s="11">
        <f>IF(Inputs!$D$33=0,0,Inputs!$C$33+Inputs!$B$12*Inputs!$B$5*$B89^2/(Inputs!$D$33^2*Inputs!$H$33^4*Inputs!$I$33^2)+Inputs!$G$33*$B89^Inputs!$B$11)</f>
        <v/>
      </c>
      <c r="N89" s="11">
        <f>IF(Inputs!$D$34=0,0,Inputs!$C$34+Inputs!$B$12*Inputs!$B$5*$B89^2/(Inputs!$D$34^2*Inputs!$H$34^4*Inputs!$I$34^2)+Inputs!$G$34*$B89^Inputs!$B$11)</f>
        <v/>
      </c>
    </row>
    <row r="90">
      <c r="A90" s="7" t="n">
        <v>85</v>
      </c>
      <c r="B90" s="37">
        <f>Inputs!$B$4*A90/200</f>
        <v/>
      </c>
      <c r="C90" s="11">
        <f>IF(Inputs!$D$23=0,0,Inputs!$C$23+Inputs!$B$12*Inputs!$B$5*$B90^2/(Inputs!$D$23^2*Inputs!$H$23^4*Inputs!$I$23^2)+Inputs!$G$23*$B90^Inputs!$B$11)</f>
        <v/>
      </c>
      <c r="D90" s="11">
        <f>IF(Inputs!$D$24=0,0,Inputs!$C$24+Inputs!$B$12*Inputs!$B$5*$B90^2/(Inputs!$D$24^2*Inputs!$H$24^4*Inputs!$I$24^2)+Inputs!$G$24*$B90^Inputs!$B$11)</f>
        <v/>
      </c>
      <c r="E90" s="11">
        <f>IF(Inputs!$D$25=0,0,Inputs!$C$25+Inputs!$B$12*Inputs!$B$5*$B90^2/(Inputs!$D$25^2*Inputs!$H$25^4*Inputs!$I$25^2)+Inputs!$G$25*$B90^Inputs!$B$11)</f>
        <v/>
      </c>
      <c r="F90" s="11">
        <f>IF(Inputs!$D$26=0,0,Inputs!$C$26+Inputs!$B$12*Inputs!$B$5*$B90^2/(Inputs!$D$26^2*Inputs!$H$26^4*Inputs!$I$26^2)+Inputs!$G$26*$B90^Inputs!$B$11)</f>
        <v/>
      </c>
      <c r="G90" s="11">
        <f>IF(Inputs!$D$27=0,0,Inputs!$C$27+Inputs!$B$12*Inputs!$B$5*$B90^2/(Inputs!$D$27^2*Inputs!$H$27^4*Inputs!$I$27^2)+Inputs!$G$27*$B90^Inputs!$B$11)</f>
        <v/>
      </c>
      <c r="H90" s="11">
        <f>IF(Inputs!$D$28=0,0,Inputs!$C$28+Inputs!$B$12*Inputs!$B$5*$B90^2/(Inputs!$D$28^2*Inputs!$H$28^4*Inputs!$I$28^2)+Inputs!$G$28*$B90^Inputs!$B$11)</f>
        <v/>
      </c>
      <c r="I90" s="11">
        <f>IF(Inputs!$D$29=0,0,Inputs!$C$29+Inputs!$B$12*Inputs!$B$5*$B90^2/(Inputs!$D$29^2*Inputs!$H$29^4*Inputs!$I$29^2)+Inputs!$G$29*$B90^Inputs!$B$11)</f>
        <v/>
      </c>
      <c r="J90" s="11">
        <f>IF(Inputs!$D$30=0,0,Inputs!$C$30+Inputs!$B$12*Inputs!$B$5*$B90^2/(Inputs!$D$30^2*Inputs!$H$30^4*Inputs!$I$30^2)+Inputs!$G$30*$B90^Inputs!$B$11)</f>
        <v/>
      </c>
      <c r="K90" s="11">
        <f>IF(Inputs!$D$31=0,0,Inputs!$C$31+Inputs!$B$12*Inputs!$B$5*$B90^2/(Inputs!$D$31^2*Inputs!$H$31^4*Inputs!$I$31^2)+Inputs!$G$31*$B90^Inputs!$B$11)</f>
        <v/>
      </c>
      <c r="L90" s="11">
        <f>IF(Inputs!$D$32=0,0,Inputs!$C$32+Inputs!$B$12*Inputs!$B$5*$B90^2/(Inputs!$D$32^2*Inputs!$H$32^4*Inputs!$I$32^2)+Inputs!$G$32*$B90^Inputs!$B$11)</f>
        <v/>
      </c>
      <c r="M90" s="11">
        <f>IF(Inputs!$D$33=0,0,Inputs!$C$33+Inputs!$B$12*Inputs!$B$5*$B90^2/(Inputs!$D$33^2*Inputs!$H$33^4*Inputs!$I$33^2)+Inputs!$G$33*$B90^Inputs!$B$11)</f>
        <v/>
      </c>
      <c r="N90" s="11">
        <f>IF(Inputs!$D$34=0,0,Inputs!$C$34+Inputs!$B$12*Inputs!$B$5*$B90^2/(Inputs!$D$34^2*Inputs!$H$34^4*Inputs!$I$34^2)+Inputs!$G$34*$B90^Inputs!$B$11)</f>
        <v/>
      </c>
    </row>
    <row r="91">
      <c r="A91" s="7" t="n">
        <v>86</v>
      </c>
      <c r="B91" s="37">
        <f>Inputs!$B$4*A91/200</f>
        <v/>
      </c>
      <c r="C91" s="11">
        <f>IF(Inputs!$D$23=0,0,Inputs!$C$23+Inputs!$B$12*Inputs!$B$5*$B91^2/(Inputs!$D$23^2*Inputs!$H$23^4*Inputs!$I$23^2)+Inputs!$G$23*$B91^Inputs!$B$11)</f>
        <v/>
      </c>
      <c r="D91" s="11">
        <f>IF(Inputs!$D$24=0,0,Inputs!$C$24+Inputs!$B$12*Inputs!$B$5*$B91^2/(Inputs!$D$24^2*Inputs!$H$24^4*Inputs!$I$24^2)+Inputs!$G$24*$B91^Inputs!$B$11)</f>
        <v/>
      </c>
      <c r="E91" s="11">
        <f>IF(Inputs!$D$25=0,0,Inputs!$C$25+Inputs!$B$12*Inputs!$B$5*$B91^2/(Inputs!$D$25^2*Inputs!$H$25^4*Inputs!$I$25^2)+Inputs!$G$25*$B91^Inputs!$B$11)</f>
        <v/>
      </c>
      <c r="F91" s="11">
        <f>IF(Inputs!$D$26=0,0,Inputs!$C$26+Inputs!$B$12*Inputs!$B$5*$B91^2/(Inputs!$D$26^2*Inputs!$H$26^4*Inputs!$I$26^2)+Inputs!$G$26*$B91^Inputs!$B$11)</f>
        <v/>
      </c>
      <c r="G91" s="11">
        <f>IF(Inputs!$D$27=0,0,Inputs!$C$27+Inputs!$B$12*Inputs!$B$5*$B91^2/(Inputs!$D$27^2*Inputs!$H$27^4*Inputs!$I$27^2)+Inputs!$G$27*$B91^Inputs!$B$11)</f>
        <v/>
      </c>
      <c r="H91" s="11">
        <f>IF(Inputs!$D$28=0,0,Inputs!$C$28+Inputs!$B$12*Inputs!$B$5*$B91^2/(Inputs!$D$28^2*Inputs!$H$28^4*Inputs!$I$28^2)+Inputs!$G$28*$B91^Inputs!$B$11)</f>
        <v/>
      </c>
      <c r="I91" s="11">
        <f>IF(Inputs!$D$29=0,0,Inputs!$C$29+Inputs!$B$12*Inputs!$B$5*$B91^2/(Inputs!$D$29^2*Inputs!$H$29^4*Inputs!$I$29^2)+Inputs!$G$29*$B91^Inputs!$B$11)</f>
        <v/>
      </c>
      <c r="J91" s="11">
        <f>IF(Inputs!$D$30=0,0,Inputs!$C$30+Inputs!$B$12*Inputs!$B$5*$B91^2/(Inputs!$D$30^2*Inputs!$H$30^4*Inputs!$I$30^2)+Inputs!$G$30*$B91^Inputs!$B$11)</f>
        <v/>
      </c>
      <c r="K91" s="11">
        <f>IF(Inputs!$D$31=0,0,Inputs!$C$31+Inputs!$B$12*Inputs!$B$5*$B91^2/(Inputs!$D$31^2*Inputs!$H$31^4*Inputs!$I$31^2)+Inputs!$G$31*$B91^Inputs!$B$11)</f>
        <v/>
      </c>
      <c r="L91" s="11">
        <f>IF(Inputs!$D$32=0,0,Inputs!$C$32+Inputs!$B$12*Inputs!$B$5*$B91^2/(Inputs!$D$32^2*Inputs!$H$32^4*Inputs!$I$32^2)+Inputs!$G$32*$B91^Inputs!$B$11)</f>
        <v/>
      </c>
      <c r="M91" s="11">
        <f>IF(Inputs!$D$33=0,0,Inputs!$C$33+Inputs!$B$12*Inputs!$B$5*$B91^2/(Inputs!$D$33^2*Inputs!$H$33^4*Inputs!$I$33^2)+Inputs!$G$33*$B91^Inputs!$B$11)</f>
        <v/>
      </c>
      <c r="N91" s="11">
        <f>IF(Inputs!$D$34=0,0,Inputs!$C$34+Inputs!$B$12*Inputs!$B$5*$B91^2/(Inputs!$D$34^2*Inputs!$H$34^4*Inputs!$I$34^2)+Inputs!$G$34*$B91^Inputs!$B$11)</f>
        <v/>
      </c>
    </row>
    <row r="92">
      <c r="A92" s="7" t="n">
        <v>87</v>
      </c>
      <c r="B92" s="37">
        <f>Inputs!$B$4*A92/200</f>
        <v/>
      </c>
      <c r="C92" s="11">
        <f>IF(Inputs!$D$23=0,0,Inputs!$C$23+Inputs!$B$12*Inputs!$B$5*$B92^2/(Inputs!$D$23^2*Inputs!$H$23^4*Inputs!$I$23^2)+Inputs!$G$23*$B92^Inputs!$B$11)</f>
        <v/>
      </c>
      <c r="D92" s="11">
        <f>IF(Inputs!$D$24=0,0,Inputs!$C$24+Inputs!$B$12*Inputs!$B$5*$B92^2/(Inputs!$D$24^2*Inputs!$H$24^4*Inputs!$I$24^2)+Inputs!$G$24*$B92^Inputs!$B$11)</f>
        <v/>
      </c>
      <c r="E92" s="11">
        <f>IF(Inputs!$D$25=0,0,Inputs!$C$25+Inputs!$B$12*Inputs!$B$5*$B92^2/(Inputs!$D$25^2*Inputs!$H$25^4*Inputs!$I$25^2)+Inputs!$G$25*$B92^Inputs!$B$11)</f>
        <v/>
      </c>
      <c r="F92" s="11">
        <f>IF(Inputs!$D$26=0,0,Inputs!$C$26+Inputs!$B$12*Inputs!$B$5*$B92^2/(Inputs!$D$26^2*Inputs!$H$26^4*Inputs!$I$26^2)+Inputs!$G$26*$B92^Inputs!$B$11)</f>
        <v/>
      </c>
      <c r="G92" s="11">
        <f>IF(Inputs!$D$27=0,0,Inputs!$C$27+Inputs!$B$12*Inputs!$B$5*$B92^2/(Inputs!$D$27^2*Inputs!$H$27^4*Inputs!$I$27^2)+Inputs!$G$27*$B92^Inputs!$B$11)</f>
        <v/>
      </c>
      <c r="H92" s="11">
        <f>IF(Inputs!$D$28=0,0,Inputs!$C$28+Inputs!$B$12*Inputs!$B$5*$B92^2/(Inputs!$D$28^2*Inputs!$H$28^4*Inputs!$I$28^2)+Inputs!$G$28*$B92^Inputs!$B$11)</f>
        <v/>
      </c>
      <c r="I92" s="11">
        <f>IF(Inputs!$D$29=0,0,Inputs!$C$29+Inputs!$B$12*Inputs!$B$5*$B92^2/(Inputs!$D$29^2*Inputs!$H$29^4*Inputs!$I$29^2)+Inputs!$G$29*$B92^Inputs!$B$11)</f>
        <v/>
      </c>
      <c r="J92" s="11">
        <f>IF(Inputs!$D$30=0,0,Inputs!$C$30+Inputs!$B$12*Inputs!$B$5*$B92^2/(Inputs!$D$30^2*Inputs!$H$30^4*Inputs!$I$30^2)+Inputs!$G$30*$B92^Inputs!$B$11)</f>
        <v/>
      </c>
      <c r="K92" s="11">
        <f>IF(Inputs!$D$31=0,0,Inputs!$C$31+Inputs!$B$12*Inputs!$B$5*$B92^2/(Inputs!$D$31^2*Inputs!$H$31^4*Inputs!$I$31^2)+Inputs!$G$31*$B92^Inputs!$B$11)</f>
        <v/>
      </c>
      <c r="L92" s="11">
        <f>IF(Inputs!$D$32=0,0,Inputs!$C$32+Inputs!$B$12*Inputs!$B$5*$B92^2/(Inputs!$D$32^2*Inputs!$H$32^4*Inputs!$I$32^2)+Inputs!$G$32*$B92^Inputs!$B$11)</f>
        <v/>
      </c>
      <c r="M92" s="11">
        <f>IF(Inputs!$D$33=0,0,Inputs!$C$33+Inputs!$B$12*Inputs!$B$5*$B92^2/(Inputs!$D$33^2*Inputs!$H$33^4*Inputs!$I$33^2)+Inputs!$G$33*$B92^Inputs!$B$11)</f>
        <v/>
      </c>
      <c r="N92" s="11">
        <f>IF(Inputs!$D$34=0,0,Inputs!$C$34+Inputs!$B$12*Inputs!$B$5*$B92^2/(Inputs!$D$34^2*Inputs!$H$34^4*Inputs!$I$34^2)+Inputs!$G$34*$B92^Inputs!$B$11)</f>
        <v/>
      </c>
    </row>
    <row r="93">
      <c r="A93" s="7" t="n">
        <v>88</v>
      </c>
      <c r="B93" s="37">
        <f>Inputs!$B$4*A93/200</f>
        <v/>
      </c>
      <c r="C93" s="11">
        <f>IF(Inputs!$D$23=0,0,Inputs!$C$23+Inputs!$B$12*Inputs!$B$5*$B93^2/(Inputs!$D$23^2*Inputs!$H$23^4*Inputs!$I$23^2)+Inputs!$G$23*$B93^Inputs!$B$11)</f>
        <v/>
      </c>
      <c r="D93" s="11">
        <f>IF(Inputs!$D$24=0,0,Inputs!$C$24+Inputs!$B$12*Inputs!$B$5*$B93^2/(Inputs!$D$24^2*Inputs!$H$24^4*Inputs!$I$24^2)+Inputs!$G$24*$B93^Inputs!$B$11)</f>
        <v/>
      </c>
      <c r="E93" s="11">
        <f>IF(Inputs!$D$25=0,0,Inputs!$C$25+Inputs!$B$12*Inputs!$B$5*$B93^2/(Inputs!$D$25^2*Inputs!$H$25^4*Inputs!$I$25^2)+Inputs!$G$25*$B93^Inputs!$B$11)</f>
        <v/>
      </c>
      <c r="F93" s="11">
        <f>IF(Inputs!$D$26=0,0,Inputs!$C$26+Inputs!$B$12*Inputs!$B$5*$B93^2/(Inputs!$D$26^2*Inputs!$H$26^4*Inputs!$I$26^2)+Inputs!$G$26*$B93^Inputs!$B$11)</f>
        <v/>
      </c>
      <c r="G93" s="11">
        <f>IF(Inputs!$D$27=0,0,Inputs!$C$27+Inputs!$B$12*Inputs!$B$5*$B93^2/(Inputs!$D$27^2*Inputs!$H$27^4*Inputs!$I$27^2)+Inputs!$G$27*$B93^Inputs!$B$11)</f>
        <v/>
      </c>
      <c r="H93" s="11">
        <f>IF(Inputs!$D$28=0,0,Inputs!$C$28+Inputs!$B$12*Inputs!$B$5*$B93^2/(Inputs!$D$28^2*Inputs!$H$28^4*Inputs!$I$28^2)+Inputs!$G$28*$B93^Inputs!$B$11)</f>
        <v/>
      </c>
      <c r="I93" s="11">
        <f>IF(Inputs!$D$29=0,0,Inputs!$C$29+Inputs!$B$12*Inputs!$B$5*$B93^2/(Inputs!$D$29^2*Inputs!$H$29^4*Inputs!$I$29^2)+Inputs!$G$29*$B93^Inputs!$B$11)</f>
        <v/>
      </c>
      <c r="J93" s="11">
        <f>IF(Inputs!$D$30=0,0,Inputs!$C$30+Inputs!$B$12*Inputs!$B$5*$B93^2/(Inputs!$D$30^2*Inputs!$H$30^4*Inputs!$I$30^2)+Inputs!$G$30*$B93^Inputs!$B$11)</f>
        <v/>
      </c>
      <c r="K93" s="11">
        <f>IF(Inputs!$D$31=0,0,Inputs!$C$31+Inputs!$B$12*Inputs!$B$5*$B93^2/(Inputs!$D$31^2*Inputs!$H$31^4*Inputs!$I$31^2)+Inputs!$G$31*$B93^Inputs!$B$11)</f>
        <v/>
      </c>
      <c r="L93" s="11">
        <f>IF(Inputs!$D$32=0,0,Inputs!$C$32+Inputs!$B$12*Inputs!$B$5*$B93^2/(Inputs!$D$32^2*Inputs!$H$32^4*Inputs!$I$32^2)+Inputs!$G$32*$B93^Inputs!$B$11)</f>
        <v/>
      </c>
      <c r="M93" s="11">
        <f>IF(Inputs!$D$33=0,0,Inputs!$C$33+Inputs!$B$12*Inputs!$B$5*$B93^2/(Inputs!$D$33^2*Inputs!$H$33^4*Inputs!$I$33^2)+Inputs!$G$33*$B93^Inputs!$B$11)</f>
        <v/>
      </c>
      <c r="N93" s="11">
        <f>IF(Inputs!$D$34=0,0,Inputs!$C$34+Inputs!$B$12*Inputs!$B$5*$B93^2/(Inputs!$D$34^2*Inputs!$H$34^4*Inputs!$I$34^2)+Inputs!$G$34*$B93^Inputs!$B$11)</f>
        <v/>
      </c>
    </row>
    <row r="94">
      <c r="A94" s="7" t="n">
        <v>89</v>
      </c>
      <c r="B94" s="37">
        <f>Inputs!$B$4*A94/200</f>
        <v/>
      </c>
      <c r="C94" s="11">
        <f>IF(Inputs!$D$23=0,0,Inputs!$C$23+Inputs!$B$12*Inputs!$B$5*$B94^2/(Inputs!$D$23^2*Inputs!$H$23^4*Inputs!$I$23^2)+Inputs!$G$23*$B94^Inputs!$B$11)</f>
        <v/>
      </c>
      <c r="D94" s="11">
        <f>IF(Inputs!$D$24=0,0,Inputs!$C$24+Inputs!$B$12*Inputs!$B$5*$B94^2/(Inputs!$D$24^2*Inputs!$H$24^4*Inputs!$I$24^2)+Inputs!$G$24*$B94^Inputs!$B$11)</f>
        <v/>
      </c>
      <c r="E94" s="11">
        <f>IF(Inputs!$D$25=0,0,Inputs!$C$25+Inputs!$B$12*Inputs!$B$5*$B94^2/(Inputs!$D$25^2*Inputs!$H$25^4*Inputs!$I$25^2)+Inputs!$G$25*$B94^Inputs!$B$11)</f>
        <v/>
      </c>
      <c r="F94" s="11">
        <f>IF(Inputs!$D$26=0,0,Inputs!$C$26+Inputs!$B$12*Inputs!$B$5*$B94^2/(Inputs!$D$26^2*Inputs!$H$26^4*Inputs!$I$26^2)+Inputs!$G$26*$B94^Inputs!$B$11)</f>
        <v/>
      </c>
      <c r="G94" s="11">
        <f>IF(Inputs!$D$27=0,0,Inputs!$C$27+Inputs!$B$12*Inputs!$B$5*$B94^2/(Inputs!$D$27^2*Inputs!$H$27^4*Inputs!$I$27^2)+Inputs!$G$27*$B94^Inputs!$B$11)</f>
        <v/>
      </c>
      <c r="H94" s="11">
        <f>IF(Inputs!$D$28=0,0,Inputs!$C$28+Inputs!$B$12*Inputs!$B$5*$B94^2/(Inputs!$D$28^2*Inputs!$H$28^4*Inputs!$I$28^2)+Inputs!$G$28*$B94^Inputs!$B$11)</f>
        <v/>
      </c>
      <c r="I94" s="11">
        <f>IF(Inputs!$D$29=0,0,Inputs!$C$29+Inputs!$B$12*Inputs!$B$5*$B94^2/(Inputs!$D$29^2*Inputs!$H$29^4*Inputs!$I$29^2)+Inputs!$G$29*$B94^Inputs!$B$11)</f>
        <v/>
      </c>
      <c r="J94" s="11">
        <f>IF(Inputs!$D$30=0,0,Inputs!$C$30+Inputs!$B$12*Inputs!$B$5*$B94^2/(Inputs!$D$30^2*Inputs!$H$30^4*Inputs!$I$30^2)+Inputs!$G$30*$B94^Inputs!$B$11)</f>
        <v/>
      </c>
      <c r="K94" s="11">
        <f>IF(Inputs!$D$31=0,0,Inputs!$C$31+Inputs!$B$12*Inputs!$B$5*$B94^2/(Inputs!$D$31^2*Inputs!$H$31^4*Inputs!$I$31^2)+Inputs!$G$31*$B94^Inputs!$B$11)</f>
        <v/>
      </c>
      <c r="L94" s="11">
        <f>IF(Inputs!$D$32=0,0,Inputs!$C$32+Inputs!$B$12*Inputs!$B$5*$B94^2/(Inputs!$D$32^2*Inputs!$H$32^4*Inputs!$I$32^2)+Inputs!$G$32*$B94^Inputs!$B$11)</f>
        <v/>
      </c>
      <c r="M94" s="11">
        <f>IF(Inputs!$D$33=0,0,Inputs!$C$33+Inputs!$B$12*Inputs!$B$5*$B94^2/(Inputs!$D$33^2*Inputs!$H$33^4*Inputs!$I$33^2)+Inputs!$G$33*$B94^Inputs!$B$11)</f>
        <v/>
      </c>
      <c r="N94" s="11">
        <f>IF(Inputs!$D$34=0,0,Inputs!$C$34+Inputs!$B$12*Inputs!$B$5*$B94^2/(Inputs!$D$34^2*Inputs!$H$34^4*Inputs!$I$34^2)+Inputs!$G$34*$B94^Inputs!$B$11)</f>
        <v/>
      </c>
    </row>
    <row r="95">
      <c r="A95" s="7" t="n">
        <v>90</v>
      </c>
      <c r="B95" s="37">
        <f>Inputs!$B$4*A95/200</f>
        <v/>
      </c>
      <c r="C95" s="11">
        <f>IF(Inputs!$D$23=0,0,Inputs!$C$23+Inputs!$B$12*Inputs!$B$5*$B95^2/(Inputs!$D$23^2*Inputs!$H$23^4*Inputs!$I$23^2)+Inputs!$G$23*$B95^Inputs!$B$11)</f>
        <v/>
      </c>
      <c r="D95" s="11">
        <f>IF(Inputs!$D$24=0,0,Inputs!$C$24+Inputs!$B$12*Inputs!$B$5*$B95^2/(Inputs!$D$24^2*Inputs!$H$24^4*Inputs!$I$24^2)+Inputs!$G$24*$B95^Inputs!$B$11)</f>
        <v/>
      </c>
      <c r="E95" s="11">
        <f>IF(Inputs!$D$25=0,0,Inputs!$C$25+Inputs!$B$12*Inputs!$B$5*$B95^2/(Inputs!$D$25^2*Inputs!$H$25^4*Inputs!$I$25^2)+Inputs!$G$25*$B95^Inputs!$B$11)</f>
        <v/>
      </c>
      <c r="F95" s="11">
        <f>IF(Inputs!$D$26=0,0,Inputs!$C$26+Inputs!$B$12*Inputs!$B$5*$B95^2/(Inputs!$D$26^2*Inputs!$H$26^4*Inputs!$I$26^2)+Inputs!$G$26*$B95^Inputs!$B$11)</f>
        <v/>
      </c>
      <c r="G95" s="11">
        <f>IF(Inputs!$D$27=0,0,Inputs!$C$27+Inputs!$B$12*Inputs!$B$5*$B95^2/(Inputs!$D$27^2*Inputs!$H$27^4*Inputs!$I$27^2)+Inputs!$G$27*$B95^Inputs!$B$11)</f>
        <v/>
      </c>
      <c r="H95" s="11">
        <f>IF(Inputs!$D$28=0,0,Inputs!$C$28+Inputs!$B$12*Inputs!$B$5*$B95^2/(Inputs!$D$28^2*Inputs!$H$28^4*Inputs!$I$28^2)+Inputs!$G$28*$B95^Inputs!$B$11)</f>
        <v/>
      </c>
      <c r="I95" s="11">
        <f>IF(Inputs!$D$29=0,0,Inputs!$C$29+Inputs!$B$12*Inputs!$B$5*$B95^2/(Inputs!$D$29^2*Inputs!$H$29^4*Inputs!$I$29^2)+Inputs!$G$29*$B95^Inputs!$B$11)</f>
        <v/>
      </c>
      <c r="J95" s="11">
        <f>IF(Inputs!$D$30=0,0,Inputs!$C$30+Inputs!$B$12*Inputs!$B$5*$B95^2/(Inputs!$D$30^2*Inputs!$H$30^4*Inputs!$I$30^2)+Inputs!$G$30*$B95^Inputs!$B$11)</f>
        <v/>
      </c>
      <c r="K95" s="11">
        <f>IF(Inputs!$D$31=0,0,Inputs!$C$31+Inputs!$B$12*Inputs!$B$5*$B95^2/(Inputs!$D$31^2*Inputs!$H$31^4*Inputs!$I$31^2)+Inputs!$G$31*$B95^Inputs!$B$11)</f>
        <v/>
      </c>
      <c r="L95" s="11">
        <f>IF(Inputs!$D$32=0,0,Inputs!$C$32+Inputs!$B$12*Inputs!$B$5*$B95^2/(Inputs!$D$32^2*Inputs!$H$32^4*Inputs!$I$32^2)+Inputs!$G$32*$B95^Inputs!$B$11)</f>
        <v/>
      </c>
      <c r="M95" s="11">
        <f>IF(Inputs!$D$33=0,0,Inputs!$C$33+Inputs!$B$12*Inputs!$B$5*$B95^2/(Inputs!$D$33^2*Inputs!$H$33^4*Inputs!$I$33^2)+Inputs!$G$33*$B95^Inputs!$B$11)</f>
        <v/>
      </c>
      <c r="N95" s="11">
        <f>IF(Inputs!$D$34=0,0,Inputs!$C$34+Inputs!$B$12*Inputs!$B$5*$B95^2/(Inputs!$D$34^2*Inputs!$H$34^4*Inputs!$I$34^2)+Inputs!$G$34*$B95^Inputs!$B$11)</f>
        <v/>
      </c>
    </row>
    <row r="96">
      <c r="A96" s="7" t="n">
        <v>91</v>
      </c>
      <c r="B96" s="37">
        <f>Inputs!$B$4*A96/200</f>
        <v/>
      </c>
      <c r="C96" s="11">
        <f>IF(Inputs!$D$23=0,0,Inputs!$C$23+Inputs!$B$12*Inputs!$B$5*$B96^2/(Inputs!$D$23^2*Inputs!$H$23^4*Inputs!$I$23^2)+Inputs!$G$23*$B96^Inputs!$B$11)</f>
        <v/>
      </c>
      <c r="D96" s="11">
        <f>IF(Inputs!$D$24=0,0,Inputs!$C$24+Inputs!$B$12*Inputs!$B$5*$B96^2/(Inputs!$D$24^2*Inputs!$H$24^4*Inputs!$I$24^2)+Inputs!$G$24*$B96^Inputs!$B$11)</f>
        <v/>
      </c>
      <c r="E96" s="11">
        <f>IF(Inputs!$D$25=0,0,Inputs!$C$25+Inputs!$B$12*Inputs!$B$5*$B96^2/(Inputs!$D$25^2*Inputs!$H$25^4*Inputs!$I$25^2)+Inputs!$G$25*$B96^Inputs!$B$11)</f>
        <v/>
      </c>
      <c r="F96" s="11">
        <f>IF(Inputs!$D$26=0,0,Inputs!$C$26+Inputs!$B$12*Inputs!$B$5*$B96^2/(Inputs!$D$26^2*Inputs!$H$26^4*Inputs!$I$26^2)+Inputs!$G$26*$B96^Inputs!$B$11)</f>
        <v/>
      </c>
      <c r="G96" s="11">
        <f>IF(Inputs!$D$27=0,0,Inputs!$C$27+Inputs!$B$12*Inputs!$B$5*$B96^2/(Inputs!$D$27^2*Inputs!$H$27^4*Inputs!$I$27^2)+Inputs!$G$27*$B96^Inputs!$B$11)</f>
        <v/>
      </c>
      <c r="H96" s="11">
        <f>IF(Inputs!$D$28=0,0,Inputs!$C$28+Inputs!$B$12*Inputs!$B$5*$B96^2/(Inputs!$D$28^2*Inputs!$H$28^4*Inputs!$I$28^2)+Inputs!$G$28*$B96^Inputs!$B$11)</f>
        <v/>
      </c>
      <c r="I96" s="11">
        <f>IF(Inputs!$D$29=0,0,Inputs!$C$29+Inputs!$B$12*Inputs!$B$5*$B96^2/(Inputs!$D$29^2*Inputs!$H$29^4*Inputs!$I$29^2)+Inputs!$G$29*$B96^Inputs!$B$11)</f>
        <v/>
      </c>
      <c r="J96" s="11">
        <f>IF(Inputs!$D$30=0,0,Inputs!$C$30+Inputs!$B$12*Inputs!$B$5*$B96^2/(Inputs!$D$30^2*Inputs!$H$30^4*Inputs!$I$30^2)+Inputs!$G$30*$B96^Inputs!$B$11)</f>
        <v/>
      </c>
      <c r="K96" s="11">
        <f>IF(Inputs!$D$31=0,0,Inputs!$C$31+Inputs!$B$12*Inputs!$B$5*$B96^2/(Inputs!$D$31^2*Inputs!$H$31^4*Inputs!$I$31^2)+Inputs!$G$31*$B96^Inputs!$B$11)</f>
        <v/>
      </c>
      <c r="L96" s="11">
        <f>IF(Inputs!$D$32=0,0,Inputs!$C$32+Inputs!$B$12*Inputs!$B$5*$B96^2/(Inputs!$D$32^2*Inputs!$H$32^4*Inputs!$I$32^2)+Inputs!$G$32*$B96^Inputs!$B$11)</f>
        <v/>
      </c>
      <c r="M96" s="11">
        <f>IF(Inputs!$D$33=0,0,Inputs!$C$33+Inputs!$B$12*Inputs!$B$5*$B96^2/(Inputs!$D$33^2*Inputs!$H$33^4*Inputs!$I$33^2)+Inputs!$G$33*$B96^Inputs!$B$11)</f>
        <v/>
      </c>
      <c r="N96" s="11">
        <f>IF(Inputs!$D$34=0,0,Inputs!$C$34+Inputs!$B$12*Inputs!$B$5*$B96^2/(Inputs!$D$34^2*Inputs!$H$34^4*Inputs!$I$34^2)+Inputs!$G$34*$B96^Inputs!$B$11)</f>
        <v/>
      </c>
    </row>
    <row r="97">
      <c r="A97" s="7" t="n">
        <v>92</v>
      </c>
      <c r="B97" s="37">
        <f>Inputs!$B$4*A97/200</f>
        <v/>
      </c>
      <c r="C97" s="11">
        <f>IF(Inputs!$D$23=0,0,Inputs!$C$23+Inputs!$B$12*Inputs!$B$5*$B97^2/(Inputs!$D$23^2*Inputs!$H$23^4*Inputs!$I$23^2)+Inputs!$G$23*$B97^Inputs!$B$11)</f>
        <v/>
      </c>
      <c r="D97" s="11">
        <f>IF(Inputs!$D$24=0,0,Inputs!$C$24+Inputs!$B$12*Inputs!$B$5*$B97^2/(Inputs!$D$24^2*Inputs!$H$24^4*Inputs!$I$24^2)+Inputs!$G$24*$B97^Inputs!$B$11)</f>
        <v/>
      </c>
      <c r="E97" s="11">
        <f>IF(Inputs!$D$25=0,0,Inputs!$C$25+Inputs!$B$12*Inputs!$B$5*$B97^2/(Inputs!$D$25^2*Inputs!$H$25^4*Inputs!$I$25^2)+Inputs!$G$25*$B97^Inputs!$B$11)</f>
        <v/>
      </c>
      <c r="F97" s="11">
        <f>IF(Inputs!$D$26=0,0,Inputs!$C$26+Inputs!$B$12*Inputs!$B$5*$B97^2/(Inputs!$D$26^2*Inputs!$H$26^4*Inputs!$I$26^2)+Inputs!$G$26*$B97^Inputs!$B$11)</f>
        <v/>
      </c>
      <c r="G97" s="11">
        <f>IF(Inputs!$D$27=0,0,Inputs!$C$27+Inputs!$B$12*Inputs!$B$5*$B97^2/(Inputs!$D$27^2*Inputs!$H$27^4*Inputs!$I$27^2)+Inputs!$G$27*$B97^Inputs!$B$11)</f>
        <v/>
      </c>
      <c r="H97" s="11">
        <f>IF(Inputs!$D$28=0,0,Inputs!$C$28+Inputs!$B$12*Inputs!$B$5*$B97^2/(Inputs!$D$28^2*Inputs!$H$28^4*Inputs!$I$28^2)+Inputs!$G$28*$B97^Inputs!$B$11)</f>
        <v/>
      </c>
      <c r="I97" s="11">
        <f>IF(Inputs!$D$29=0,0,Inputs!$C$29+Inputs!$B$12*Inputs!$B$5*$B97^2/(Inputs!$D$29^2*Inputs!$H$29^4*Inputs!$I$29^2)+Inputs!$G$29*$B97^Inputs!$B$11)</f>
        <v/>
      </c>
      <c r="J97" s="11">
        <f>IF(Inputs!$D$30=0,0,Inputs!$C$30+Inputs!$B$12*Inputs!$B$5*$B97^2/(Inputs!$D$30^2*Inputs!$H$30^4*Inputs!$I$30^2)+Inputs!$G$30*$B97^Inputs!$B$11)</f>
        <v/>
      </c>
      <c r="K97" s="11">
        <f>IF(Inputs!$D$31=0,0,Inputs!$C$31+Inputs!$B$12*Inputs!$B$5*$B97^2/(Inputs!$D$31^2*Inputs!$H$31^4*Inputs!$I$31^2)+Inputs!$G$31*$B97^Inputs!$B$11)</f>
        <v/>
      </c>
      <c r="L97" s="11">
        <f>IF(Inputs!$D$32=0,0,Inputs!$C$32+Inputs!$B$12*Inputs!$B$5*$B97^2/(Inputs!$D$32^2*Inputs!$H$32^4*Inputs!$I$32^2)+Inputs!$G$32*$B97^Inputs!$B$11)</f>
        <v/>
      </c>
      <c r="M97" s="11">
        <f>IF(Inputs!$D$33=0,0,Inputs!$C$33+Inputs!$B$12*Inputs!$B$5*$B97^2/(Inputs!$D$33^2*Inputs!$H$33^4*Inputs!$I$33^2)+Inputs!$G$33*$B97^Inputs!$B$11)</f>
        <v/>
      </c>
      <c r="N97" s="11">
        <f>IF(Inputs!$D$34=0,0,Inputs!$C$34+Inputs!$B$12*Inputs!$B$5*$B97^2/(Inputs!$D$34^2*Inputs!$H$34^4*Inputs!$I$34^2)+Inputs!$G$34*$B97^Inputs!$B$11)</f>
        <v/>
      </c>
    </row>
    <row r="98">
      <c r="A98" s="7" t="n">
        <v>93</v>
      </c>
      <c r="B98" s="37">
        <f>Inputs!$B$4*A98/200</f>
        <v/>
      </c>
      <c r="C98" s="11">
        <f>IF(Inputs!$D$23=0,0,Inputs!$C$23+Inputs!$B$12*Inputs!$B$5*$B98^2/(Inputs!$D$23^2*Inputs!$H$23^4*Inputs!$I$23^2)+Inputs!$G$23*$B98^Inputs!$B$11)</f>
        <v/>
      </c>
      <c r="D98" s="11">
        <f>IF(Inputs!$D$24=0,0,Inputs!$C$24+Inputs!$B$12*Inputs!$B$5*$B98^2/(Inputs!$D$24^2*Inputs!$H$24^4*Inputs!$I$24^2)+Inputs!$G$24*$B98^Inputs!$B$11)</f>
        <v/>
      </c>
      <c r="E98" s="11">
        <f>IF(Inputs!$D$25=0,0,Inputs!$C$25+Inputs!$B$12*Inputs!$B$5*$B98^2/(Inputs!$D$25^2*Inputs!$H$25^4*Inputs!$I$25^2)+Inputs!$G$25*$B98^Inputs!$B$11)</f>
        <v/>
      </c>
      <c r="F98" s="11">
        <f>IF(Inputs!$D$26=0,0,Inputs!$C$26+Inputs!$B$12*Inputs!$B$5*$B98^2/(Inputs!$D$26^2*Inputs!$H$26^4*Inputs!$I$26^2)+Inputs!$G$26*$B98^Inputs!$B$11)</f>
        <v/>
      </c>
      <c r="G98" s="11">
        <f>IF(Inputs!$D$27=0,0,Inputs!$C$27+Inputs!$B$12*Inputs!$B$5*$B98^2/(Inputs!$D$27^2*Inputs!$H$27^4*Inputs!$I$27^2)+Inputs!$G$27*$B98^Inputs!$B$11)</f>
        <v/>
      </c>
      <c r="H98" s="11">
        <f>IF(Inputs!$D$28=0,0,Inputs!$C$28+Inputs!$B$12*Inputs!$B$5*$B98^2/(Inputs!$D$28^2*Inputs!$H$28^4*Inputs!$I$28^2)+Inputs!$G$28*$B98^Inputs!$B$11)</f>
        <v/>
      </c>
      <c r="I98" s="11">
        <f>IF(Inputs!$D$29=0,0,Inputs!$C$29+Inputs!$B$12*Inputs!$B$5*$B98^2/(Inputs!$D$29^2*Inputs!$H$29^4*Inputs!$I$29^2)+Inputs!$G$29*$B98^Inputs!$B$11)</f>
        <v/>
      </c>
      <c r="J98" s="11">
        <f>IF(Inputs!$D$30=0,0,Inputs!$C$30+Inputs!$B$12*Inputs!$B$5*$B98^2/(Inputs!$D$30^2*Inputs!$H$30^4*Inputs!$I$30^2)+Inputs!$G$30*$B98^Inputs!$B$11)</f>
        <v/>
      </c>
      <c r="K98" s="11">
        <f>IF(Inputs!$D$31=0,0,Inputs!$C$31+Inputs!$B$12*Inputs!$B$5*$B98^2/(Inputs!$D$31^2*Inputs!$H$31^4*Inputs!$I$31^2)+Inputs!$G$31*$B98^Inputs!$B$11)</f>
        <v/>
      </c>
      <c r="L98" s="11">
        <f>IF(Inputs!$D$32=0,0,Inputs!$C$32+Inputs!$B$12*Inputs!$B$5*$B98^2/(Inputs!$D$32^2*Inputs!$H$32^4*Inputs!$I$32^2)+Inputs!$G$32*$B98^Inputs!$B$11)</f>
        <v/>
      </c>
      <c r="M98" s="11">
        <f>IF(Inputs!$D$33=0,0,Inputs!$C$33+Inputs!$B$12*Inputs!$B$5*$B98^2/(Inputs!$D$33^2*Inputs!$H$33^4*Inputs!$I$33^2)+Inputs!$G$33*$B98^Inputs!$B$11)</f>
        <v/>
      </c>
      <c r="N98" s="11">
        <f>IF(Inputs!$D$34=0,0,Inputs!$C$34+Inputs!$B$12*Inputs!$B$5*$B98^2/(Inputs!$D$34^2*Inputs!$H$34^4*Inputs!$I$34^2)+Inputs!$G$34*$B98^Inputs!$B$11)</f>
        <v/>
      </c>
    </row>
    <row r="99">
      <c r="A99" s="7" t="n">
        <v>94</v>
      </c>
      <c r="B99" s="37">
        <f>Inputs!$B$4*A99/200</f>
        <v/>
      </c>
      <c r="C99" s="11">
        <f>IF(Inputs!$D$23=0,0,Inputs!$C$23+Inputs!$B$12*Inputs!$B$5*$B99^2/(Inputs!$D$23^2*Inputs!$H$23^4*Inputs!$I$23^2)+Inputs!$G$23*$B99^Inputs!$B$11)</f>
        <v/>
      </c>
      <c r="D99" s="11">
        <f>IF(Inputs!$D$24=0,0,Inputs!$C$24+Inputs!$B$12*Inputs!$B$5*$B99^2/(Inputs!$D$24^2*Inputs!$H$24^4*Inputs!$I$24^2)+Inputs!$G$24*$B99^Inputs!$B$11)</f>
        <v/>
      </c>
      <c r="E99" s="11">
        <f>IF(Inputs!$D$25=0,0,Inputs!$C$25+Inputs!$B$12*Inputs!$B$5*$B99^2/(Inputs!$D$25^2*Inputs!$H$25^4*Inputs!$I$25^2)+Inputs!$G$25*$B99^Inputs!$B$11)</f>
        <v/>
      </c>
      <c r="F99" s="11">
        <f>IF(Inputs!$D$26=0,0,Inputs!$C$26+Inputs!$B$12*Inputs!$B$5*$B99^2/(Inputs!$D$26^2*Inputs!$H$26^4*Inputs!$I$26^2)+Inputs!$G$26*$B99^Inputs!$B$11)</f>
        <v/>
      </c>
      <c r="G99" s="11">
        <f>IF(Inputs!$D$27=0,0,Inputs!$C$27+Inputs!$B$12*Inputs!$B$5*$B99^2/(Inputs!$D$27^2*Inputs!$H$27^4*Inputs!$I$27^2)+Inputs!$G$27*$B99^Inputs!$B$11)</f>
        <v/>
      </c>
      <c r="H99" s="11">
        <f>IF(Inputs!$D$28=0,0,Inputs!$C$28+Inputs!$B$12*Inputs!$B$5*$B99^2/(Inputs!$D$28^2*Inputs!$H$28^4*Inputs!$I$28^2)+Inputs!$G$28*$B99^Inputs!$B$11)</f>
        <v/>
      </c>
      <c r="I99" s="11">
        <f>IF(Inputs!$D$29=0,0,Inputs!$C$29+Inputs!$B$12*Inputs!$B$5*$B99^2/(Inputs!$D$29^2*Inputs!$H$29^4*Inputs!$I$29^2)+Inputs!$G$29*$B99^Inputs!$B$11)</f>
        <v/>
      </c>
      <c r="J99" s="11">
        <f>IF(Inputs!$D$30=0,0,Inputs!$C$30+Inputs!$B$12*Inputs!$B$5*$B99^2/(Inputs!$D$30^2*Inputs!$H$30^4*Inputs!$I$30^2)+Inputs!$G$30*$B99^Inputs!$B$11)</f>
        <v/>
      </c>
      <c r="K99" s="11">
        <f>IF(Inputs!$D$31=0,0,Inputs!$C$31+Inputs!$B$12*Inputs!$B$5*$B99^2/(Inputs!$D$31^2*Inputs!$H$31^4*Inputs!$I$31^2)+Inputs!$G$31*$B99^Inputs!$B$11)</f>
        <v/>
      </c>
      <c r="L99" s="11">
        <f>IF(Inputs!$D$32=0,0,Inputs!$C$32+Inputs!$B$12*Inputs!$B$5*$B99^2/(Inputs!$D$32^2*Inputs!$H$32^4*Inputs!$I$32^2)+Inputs!$G$32*$B99^Inputs!$B$11)</f>
        <v/>
      </c>
      <c r="M99" s="11">
        <f>IF(Inputs!$D$33=0,0,Inputs!$C$33+Inputs!$B$12*Inputs!$B$5*$B99^2/(Inputs!$D$33^2*Inputs!$H$33^4*Inputs!$I$33^2)+Inputs!$G$33*$B99^Inputs!$B$11)</f>
        <v/>
      </c>
      <c r="N99" s="11">
        <f>IF(Inputs!$D$34=0,0,Inputs!$C$34+Inputs!$B$12*Inputs!$B$5*$B99^2/(Inputs!$D$34^2*Inputs!$H$34^4*Inputs!$I$34^2)+Inputs!$G$34*$B99^Inputs!$B$11)</f>
        <v/>
      </c>
    </row>
    <row r="100">
      <c r="A100" s="7" t="n">
        <v>95</v>
      </c>
      <c r="B100" s="37">
        <f>Inputs!$B$4*A100/200</f>
        <v/>
      </c>
      <c r="C100" s="11">
        <f>IF(Inputs!$D$23=0,0,Inputs!$C$23+Inputs!$B$12*Inputs!$B$5*$B100^2/(Inputs!$D$23^2*Inputs!$H$23^4*Inputs!$I$23^2)+Inputs!$G$23*$B100^Inputs!$B$11)</f>
        <v/>
      </c>
      <c r="D100" s="11">
        <f>IF(Inputs!$D$24=0,0,Inputs!$C$24+Inputs!$B$12*Inputs!$B$5*$B100^2/(Inputs!$D$24^2*Inputs!$H$24^4*Inputs!$I$24^2)+Inputs!$G$24*$B100^Inputs!$B$11)</f>
        <v/>
      </c>
      <c r="E100" s="11">
        <f>IF(Inputs!$D$25=0,0,Inputs!$C$25+Inputs!$B$12*Inputs!$B$5*$B100^2/(Inputs!$D$25^2*Inputs!$H$25^4*Inputs!$I$25^2)+Inputs!$G$25*$B100^Inputs!$B$11)</f>
        <v/>
      </c>
      <c r="F100" s="11">
        <f>IF(Inputs!$D$26=0,0,Inputs!$C$26+Inputs!$B$12*Inputs!$B$5*$B100^2/(Inputs!$D$26^2*Inputs!$H$26^4*Inputs!$I$26^2)+Inputs!$G$26*$B100^Inputs!$B$11)</f>
        <v/>
      </c>
      <c r="G100" s="11">
        <f>IF(Inputs!$D$27=0,0,Inputs!$C$27+Inputs!$B$12*Inputs!$B$5*$B100^2/(Inputs!$D$27^2*Inputs!$H$27^4*Inputs!$I$27^2)+Inputs!$G$27*$B100^Inputs!$B$11)</f>
        <v/>
      </c>
      <c r="H100" s="11">
        <f>IF(Inputs!$D$28=0,0,Inputs!$C$28+Inputs!$B$12*Inputs!$B$5*$B100^2/(Inputs!$D$28^2*Inputs!$H$28^4*Inputs!$I$28^2)+Inputs!$G$28*$B100^Inputs!$B$11)</f>
        <v/>
      </c>
      <c r="I100" s="11">
        <f>IF(Inputs!$D$29=0,0,Inputs!$C$29+Inputs!$B$12*Inputs!$B$5*$B100^2/(Inputs!$D$29^2*Inputs!$H$29^4*Inputs!$I$29^2)+Inputs!$G$29*$B100^Inputs!$B$11)</f>
        <v/>
      </c>
      <c r="J100" s="11">
        <f>IF(Inputs!$D$30=0,0,Inputs!$C$30+Inputs!$B$12*Inputs!$B$5*$B100^2/(Inputs!$D$30^2*Inputs!$H$30^4*Inputs!$I$30^2)+Inputs!$G$30*$B100^Inputs!$B$11)</f>
        <v/>
      </c>
      <c r="K100" s="11">
        <f>IF(Inputs!$D$31=0,0,Inputs!$C$31+Inputs!$B$12*Inputs!$B$5*$B100^2/(Inputs!$D$31^2*Inputs!$H$31^4*Inputs!$I$31^2)+Inputs!$G$31*$B100^Inputs!$B$11)</f>
        <v/>
      </c>
      <c r="L100" s="11">
        <f>IF(Inputs!$D$32=0,0,Inputs!$C$32+Inputs!$B$12*Inputs!$B$5*$B100^2/(Inputs!$D$32^2*Inputs!$H$32^4*Inputs!$I$32^2)+Inputs!$G$32*$B100^Inputs!$B$11)</f>
        <v/>
      </c>
      <c r="M100" s="11">
        <f>IF(Inputs!$D$33=0,0,Inputs!$C$33+Inputs!$B$12*Inputs!$B$5*$B100^2/(Inputs!$D$33^2*Inputs!$H$33^4*Inputs!$I$33^2)+Inputs!$G$33*$B100^Inputs!$B$11)</f>
        <v/>
      </c>
      <c r="N100" s="11">
        <f>IF(Inputs!$D$34=0,0,Inputs!$C$34+Inputs!$B$12*Inputs!$B$5*$B100^2/(Inputs!$D$34^2*Inputs!$H$34^4*Inputs!$I$34^2)+Inputs!$G$34*$B100^Inputs!$B$11)</f>
        <v/>
      </c>
    </row>
    <row r="101">
      <c r="A101" s="7" t="n">
        <v>96</v>
      </c>
      <c r="B101" s="37">
        <f>Inputs!$B$4*A101/200</f>
        <v/>
      </c>
      <c r="C101" s="11">
        <f>IF(Inputs!$D$23=0,0,Inputs!$C$23+Inputs!$B$12*Inputs!$B$5*$B101^2/(Inputs!$D$23^2*Inputs!$H$23^4*Inputs!$I$23^2)+Inputs!$G$23*$B101^Inputs!$B$11)</f>
        <v/>
      </c>
      <c r="D101" s="11">
        <f>IF(Inputs!$D$24=0,0,Inputs!$C$24+Inputs!$B$12*Inputs!$B$5*$B101^2/(Inputs!$D$24^2*Inputs!$H$24^4*Inputs!$I$24^2)+Inputs!$G$24*$B101^Inputs!$B$11)</f>
        <v/>
      </c>
      <c r="E101" s="11">
        <f>IF(Inputs!$D$25=0,0,Inputs!$C$25+Inputs!$B$12*Inputs!$B$5*$B101^2/(Inputs!$D$25^2*Inputs!$H$25^4*Inputs!$I$25^2)+Inputs!$G$25*$B101^Inputs!$B$11)</f>
        <v/>
      </c>
      <c r="F101" s="11">
        <f>IF(Inputs!$D$26=0,0,Inputs!$C$26+Inputs!$B$12*Inputs!$B$5*$B101^2/(Inputs!$D$26^2*Inputs!$H$26^4*Inputs!$I$26^2)+Inputs!$G$26*$B101^Inputs!$B$11)</f>
        <v/>
      </c>
      <c r="G101" s="11">
        <f>IF(Inputs!$D$27=0,0,Inputs!$C$27+Inputs!$B$12*Inputs!$B$5*$B101^2/(Inputs!$D$27^2*Inputs!$H$27^4*Inputs!$I$27^2)+Inputs!$G$27*$B101^Inputs!$B$11)</f>
        <v/>
      </c>
      <c r="H101" s="11">
        <f>IF(Inputs!$D$28=0,0,Inputs!$C$28+Inputs!$B$12*Inputs!$B$5*$B101^2/(Inputs!$D$28^2*Inputs!$H$28^4*Inputs!$I$28^2)+Inputs!$G$28*$B101^Inputs!$B$11)</f>
        <v/>
      </c>
      <c r="I101" s="11">
        <f>IF(Inputs!$D$29=0,0,Inputs!$C$29+Inputs!$B$12*Inputs!$B$5*$B101^2/(Inputs!$D$29^2*Inputs!$H$29^4*Inputs!$I$29^2)+Inputs!$G$29*$B101^Inputs!$B$11)</f>
        <v/>
      </c>
      <c r="J101" s="11">
        <f>IF(Inputs!$D$30=0,0,Inputs!$C$30+Inputs!$B$12*Inputs!$B$5*$B101^2/(Inputs!$D$30^2*Inputs!$H$30^4*Inputs!$I$30^2)+Inputs!$G$30*$B101^Inputs!$B$11)</f>
        <v/>
      </c>
      <c r="K101" s="11">
        <f>IF(Inputs!$D$31=0,0,Inputs!$C$31+Inputs!$B$12*Inputs!$B$5*$B101^2/(Inputs!$D$31^2*Inputs!$H$31^4*Inputs!$I$31^2)+Inputs!$G$31*$B101^Inputs!$B$11)</f>
        <v/>
      </c>
      <c r="L101" s="11">
        <f>IF(Inputs!$D$32=0,0,Inputs!$C$32+Inputs!$B$12*Inputs!$B$5*$B101^2/(Inputs!$D$32^2*Inputs!$H$32^4*Inputs!$I$32^2)+Inputs!$G$32*$B101^Inputs!$B$11)</f>
        <v/>
      </c>
      <c r="M101" s="11">
        <f>IF(Inputs!$D$33=0,0,Inputs!$C$33+Inputs!$B$12*Inputs!$B$5*$B101^2/(Inputs!$D$33^2*Inputs!$H$33^4*Inputs!$I$33^2)+Inputs!$G$33*$B101^Inputs!$B$11)</f>
        <v/>
      </c>
      <c r="N101" s="11">
        <f>IF(Inputs!$D$34=0,0,Inputs!$C$34+Inputs!$B$12*Inputs!$B$5*$B101^2/(Inputs!$D$34^2*Inputs!$H$34^4*Inputs!$I$34^2)+Inputs!$G$34*$B101^Inputs!$B$11)</f>
        <v/>
      </c>
    </row>
    <row r="102">
      <c r="A102" s="7" t="n">
        <v>97</v>
      </c>
      <c r="B102" s="37">
        <f>Inputs!$B$4*A102/200</f>
        <v/>
      </c>
      <c r="C102" s="11">
        <f>IF(Inputs!$D$23=0,0,Inputs!$C$23+Inputs!$B$12*Inputs!$B$5*$B102^2/(Inputs!$D$23^2*Inputs!$H$23^4*Inputs!$I$23^2)+Inputs!$G$23*$B102^Inputs!$B$11)</f>
        <v/>
      </c>
      <c r="D102" s="11">
        <f>IF(Inputs!$D$24=0,0,Inputs!$C$24+Inputs!$B$12*Inputs!$B$5*$B102^2/(Inputs!$D$24^2*Inputs!$H$24^4*Inputs!$I$24^2)+Inputs!$G$24*$B102^Inputs!$B$11)</f>
        <v/>
      </c>
      <c r="E102" s="11">
        <f>IF(Inputs!$D$25=0,0,Inputs!$C$25+Inputs!$B$12*Inputs!$B$5*$B102^2/(Inputs!$D$25^2*Inputs!$H$25^4*Inputs!$I$25^2)+Inputs!$G$25*$B102^Inputs!$B$11)</f>
        <v/>
      </c>
      <c r="F102" s="11">
        <f>IF(Inputs!$D$26=0,0,Inputs!$C$26+Inputs!$B$12*Inputs!$B$5*$B102^2/(Inputs!$D$26^2*Inputs!$H$26^4*Inputs!$I$26^2)+Inputs!$G$26*$B102^Inputs!$B$11)</f>
        <v/>
      </c>
      <c r="G102" s="11">
        <f>IF(Inputs!$D$27=0,0,Inputs!$C$27+Inputs!$B$12*Inputs!$B$5*$B102^2/(Inputs!$D$27^2*Inputs!$H$27^4*Inputs!$I$27^2)+Inputs!$G$27*$B102^Inputs!$B$11)</f>
        <v/>
      </c>
      <c r="H102" s="11">
        <f>IF(Inputs!$D$28=0,0,Inputs!$C$28+Inputs!$B$12*Inputs!$B$5*$B102^2/(Inputs!$D$28^2*Inputs!$H$28^4*Inputs!$I$28^2)+Inputs!$G$28*$B102^Inputs!$B$11)</f>
        <v/>
      </c>
      <c r="I102" s="11">
        <f>IF(Inputs!$D$29=0,0,Inputs!$C$29+Inputs!$B$12*Inputs!$B$5*$B102^2/(Inputs!$D$29^2*Inputs!$H$29^4*Inputs!$I$29^2)+Inputs!$G$29*$B102^Inputs!$B$11)</f>
        <v/>
      </c>
      <c r="J102" s="11">
        <f>IF(Inputs!$D$30=0,0,Inputs!$C$30+Inputs!$B$12*Inputs!$B$5*$B102^2/(Inputs!$D$30^2*Inputs!$H$30^4*Inputs!$I$30^2)+Inputs!$G$30*$B102^Inputs!$B$11)</f>
        <v/>
      </c>
      <c r="K102" s="11">
        <f>IF(Inputs!$D$31=0,0,Inputs!$C$31+Inputs!$B$12*Inputs!$B$5*$B102^2/(Inputs!$D$31^2*Inputs!$H$31^4*Inputs!$I$31^2)+Inputs!$G$31*$B102^Inputs!$B$11)</f>
        <v/>
      </c>
      <c r="L102" s="11">
        <f>IF(Inputs!$D$32=0,0,Inputs!$C$32+Inputs!$B$12*Inputs!$B$5*$B102^2/(Inputs!$D$32^2*Inputs!$H$32^4*Inputs!$I$32^2)+Inputs!$G$32*$B102^Inputs!$B$11)</f>
        <v/>
      </c>
      <c r="M102" s="11">
        <f>IF(Inputs!$D$33=0,0,Inputs!$C$33+Inputs!$B$12*Inputs!$B$5*$B102^2/(Inputs!$D$33^2*Inputs!$H$33^4*Inputs!$I$33^2)+Inputs!$G$33*$B102^Inputs!$B$11)</f>
        <v/>
      </c>
      <c r="N102" s="11">
        <f>IF(Inputs!$D$34=0,0,Inputs!$C$34+Inputs!$B$12*Inputs!$B$5*$B102^2/(Inputs!$D$34^2*Inputs!$H$34^4*Inputs!$I$34^2)+Inputs!$G$34*$B102^Inputs!$B$11)</f>
        <v/>
      </c>
    </row>
    <row r="103">
      <c r="A103" s="7" t="n">
        <v>98</v>
      </c>
      <c r="B103" s="37">
        <f>Inputs!$B$4*A103/200</f>
        <v/>
      </c>
      <c r="C103" s="11">
        <f>IF(Inputs!$D$23=0,0,Inputs!$C$23+Inputs!$B$12*Inputs!$B$5*$B103^2/(Inputs!$D$23^2*Inputs!$H$23^4*Inputs!$I$23^2)+Inputs!$G$23*$B103^Inputs!$B$11)</f>
        <v/>
      </c>
      <c r="D103" s="11">
        <f>IF(Inputs!$D$24=0,0,Inputs!$C$24+Inputs!$B$12*Inputs!$B$5*$B103^2/(Inputs!$D$24^2*Inputs!$H$24^4*Inputs!$I$24^2)+Inputs!$G$24*$B103^Inputs!$B$11)</f>
        <v/>
      </c>
      <c r="E103" s="11">
        <f>IF(Inputs!$D$25=0,0,Inputs!$C$25+Inputs!$B$12*Inputs!$B$5*$B103^2/(Inputs!$D$25^2*Inputs!$H$25^4*Inputs!$I$25^2)+Inputs!$G$25*$B103^Inputs!$B$11)</f>
        <v/>
      </c>
      <c r="F103" s="11">
        <f>IF(Inputs!$D$26=0,0,Inputs!$C$26+Inputs!$B$12*Inputs!$B$5*$B103^2/(Inputs!$D$26^2*Inputs!$H$26^4*Inputs!$I$26^2)+Inputs!$G$26*$B103^Inputs!$B$11)</f>
        <v/>
      </c>
      <c r="G103" s="11">
        <f>IF(Inputs!$D$27=0,0,Inputs!$C$27+Inputs!$B$12*Inputs!$B$5*$B103^2/(Inputs!$D$27^2*Inputs!$H$27^4*Inputs!$I$27^2)+Inputs!$G$27*$B103^Inputs!$B$11)</f>
        <v/>
      </c>
      <c r="H103" s="11">
        <f>IF(Inputs!$D$28=0,0,Inputs!$C$28+Inputs!$B$12*Inputs!$B$5*$B103^2/(Inputs!$D$28^2*Inputs!$H$28^4*Inputs!$I$28^2)+Inputs!$G$28*$B103^Inputs!$B$11)</f>
        <v/>
      </c>
      <c r="I103" s="11">
        <f>IF(Inputs!$D$29=0,0,Inputs!$C$29+Inputs!$B$12*Inputs!$B$5*$B103^2/(Inputs!$D$29^2*Inputs!$H$29^4*Inputs!$I$29^2)+Inputs!$G$29*$B103^Inputs!$B$11)</f>
        <v/>
      </c>
      <c r="J103" s="11">
        <f>IF(Inputs!$D$30=0,0,Inputs!$C$30+Inputs!$B$12*Inputs!$B$5*$B103^2/(Inputs!$D$30^2*Inputs!$H$30^4*Inputs!$I$30^2)+Inputs!$G$30*$B103^Inputs!$B$11)</f>
        <v/>
      </c>
      <c r="K103" s="11">
        <f>IF(Inputs!$D$31=0,0,Inputs!$C$31+Inputs!$B$12*Inputs!$B$5*$B103^2/(Inputs!$D$31^2*Inputs!$H$31^4*Inputs!$I$31^2)+Inputs!$G$31*$B103^Inputs!$B$11)</f>
        <v/>
      </c>
      <c r="L103" s="11">
        <f>IF(Inputs!$D$32=0,0,Inputs!$C$32+Inputs!$B$12*Inputs!$B$5*$B103^2/(Inputs!$D$32^2*Inputs!$H$32^4*Inputs!$I$32^2)+Inputs!$G$32*$B103^Inputs!$B$11)</f>
        <v/>
      </c>
      <c r="M103" s="11">
        <f>IF(Inputs!$D$33=0,0,Inputs!$C$33+Inputs!$B$12*Inputs!$B$5*$B103^2/(Inputs!$D$33^2*Inputs!$H$33^4*Inputs!$I$33^2)+Inputs!$G$33*$B103^Inputs!$B$11)</f>
        <v/>
      </c>
      <c r="N103" s="11">
        <f>IF(Inputs!$D$34=0,0,Inputs!$C$34+Inputs!$B$12*Inputs!$B$5*$B103^2/(Inputs!$D$34^2*Inputs!$H$34^4*Inputs!$I$34^2)+Inputs!$G$34*$B103^Inputs!$B$11)</f>
        <v/>
      </c>
    </row>
    <row r="104">
      <c r="A104" s="7" t="n">
        <v>99</v>
      </c>
      <c r="B104" s="37">
        <f>Inputs!$B$4*A104/200</f>
        <v/>
      </c>
      <c r="C104" s="11">
        <f>IF(Inputs!$D$23=0,0,Inputs!$C$23+Inputs!$B$12*Inputs!$B$5*$B104^2/(Inputs!$D$23^2*Inputs!$H$23^4*Inputs!$I$23^2)+Inputs!$G$23*$B104^Inputs!$B$11)</f>
        <v/>
      </c>
      <c r="D104" s="11">
        <f>IF(Inputs!$D$24=0,0,Inputs!$C$24+Inputs!$B$12*Inputs!$B$5*$B104^2/(Inputs!$D$24^2*Inputs!$H$24^4*Inputs!$I$24^2)+Inputs!$G$24*$B104^Inputs!$B$11)</f>
        <v/>
      </c>
      <c r="E104" s="11">
        <f>IF(Inputs!$D$25=0,0,Inputs!$C$25+Inputs!$B$12*Inputs!$B$5*$B104^2/(Inputs!$D$25^2*Inputs!$H$25^4*Inputs!$I$25^2)+Inputs!$G$25*$B104^Inputs!$B$11)</f>
        <v/>
      </c>
      <c r="F104" s="11">
        <f>IF(Inputs!$D$26=0,0,Inputs!$C$26+Inputs!$B$12*Inputs!$B$5*$B104^2/(Inputs!$D$26^2*Inputs!$H$26^4*Inputs!$I$26^2)+Inputs!$G$26*$B104^Inputs!$B$11)</f>
        <v/>
      </c>
      <c r="G104" s="11">
        <f>IF(Inputs!$D$27=0,0,Inputs!$C$27+Inputs!$B$12*Inputs!$B$5*$B104^2/(Inputs!$D$27^2*Inputs!$H$27^4*Inputs!$I$27^2)+Inputs!$G$27*$B104^Inputs!$B$11)</f>
        <v/>
      </c>
      <c r="H104" s="11">
        <f>IF(Inputs!$D$28=0,0,Inputs!$C$28+Inputs!$B$12*Inputs!$B$5*$B104^2/(Inputs!$D$28^2*Inputs!$H$28^4*Inputs!$I$28^2)+Inputs!$G$28*$B104^Inputs!$B$11)</f>
        <v/>
      </c>
      <c r="I104" s="11">
        <f>IF(Inputs!$D$29=0,0,Inputs!$C$29+Inputs!$B$12*Inputs!$B$5*$B104^2/(Inputs!$D$29^2*Inputs!$H$29^4*Inputs!$I$29^2)+Inputs!$G$29*$B104^Inputs!$B$11)</f>
        <v/>
      </c>
      <c r="J104" s="11">
        <f>IF(Inputs!$D$30=0,0,Inputs!$C$30+Inputs!$B$12*Inputs!$B$5*$B104^2/(Inputs!$D$30^2*Inputs!$H$30^4*Inputs!$I$30^2)+Inputs!$G$30*$B104^Inputs!$B$11)</f>
        <v/>
      </c>
      <c r="K104" s="11">
        <f>IF(Inputs!$D$31=0,0,Inputs!$C$31+Inputs!$B$12*Inputs!$B$5*$B104^2/(Inputs!$D$31^2*Inputs!$H$31^4*Inputs!$I$31^2)+Inputs!$G$31*$B104^Inputs!$B$11)</f>
        <v/>
      </c>
      <c r="L104" s="11">
        <f>IF(Inputs!$D$32=0,0,Inputs!$C$32+Inputs!$B$12*Inputs!$B$5*$B104^2/(Inputs!$D$32^2*Inputs!$H$32^4*Inputs!$I$32^2)+Inputs!$G$32*$B104^Inputs!$B$11)</f>
        <v/>
      </c>
      <c r="M104" s="11">
        <f>IF(Inputs!$D$33=0,0,Inputs!$C$33+Inputs!$B$12*Inputs!$B$5*$B104^2/(Inputs!$D$33^2*Inputs!$H$33^4*Inputs!$I$33^2)+Inputs!$G$33*$B104^Inputs!$B$11)</f>
        <v/>
      </c>
      <c r="N104" s="11">
        <f>IF(Inputs!$D$34=0,0,Inputs!$C$34+Inputs!$B$12*Inputs!$B$5*$B104^2/(Inputs!$D$34^2*Inputs!$H$34^4*Inputs!$I$34^2)+Inputs!$G$34*$B104^Inputs!$B$11)</f>
        <v/>
      </c>
    </row>
    <row r="105">
      <c r="A105" s="7" t="n">
        <v>100</v>
      </c>
      <c r="B105" s="37">
        <f>Inputs!$B$4*A105/200</f>
        <v/>
      </c>
      <c r="C105" s="11">
        <f>IF(Inputs!$D$23=0,0,Inputs!$C$23+Inputs!$B$12*Inputs!$B$5*$B105^2/(Inputs!$D$23^2*Inputs!$H$23^4*Inputs!$I$23^2)+Inputs!$G$23*$B105^Inputs!$B$11)</f>
        <v/>
      </c>
      <c r="D105" s="11">
        <f>IF(Inputs!$D$24=0,0,Inputs!$C$24+Inputs!$B$12*Inputs!$B$5*$B105^2/(Inputs!$D$24^2*Inputs!$H$24^4*Inputs!$I$24^2)+Inputs!$G$24*$B105^Inputs!$B$11)</f>
        <v/>
      </c>
      <c r="E105" s="11">
        <f>IF(Inputs!$D$25=0,0,Inputs!$C$25+Inputs!$B$12*Inputs!$B$5*$B105^2/(Inputs!$D$25^2*Inputs!$H$25^4*Inputs!$I$25^2)+Inputs!$G$25*$B105^Inputs!$B$11)</f>
        <v/>
      </c>
      <c r="F105" s="11">
        <f>IF(Inputs!$D$26=0,0,Inputs!$C$26+Inputs!$B$12*Inputs!$B$5*$B105^2/(Inputs!$D$26^2*Inputs!$H$26^4*Inputs!$I$26^2)+Inputs!$G$26*$B105^Inputs!$B$11)</f>
        <v/>
      </c>
      <c r="G105" s="11">
        <f>IF(Inputs!$D$27=0,0,Inputs!$C$27+Inputs!$B$12*Inputs!$B$5*$B105^2/(Inputs!$D$27^2*Inputs!$H$27^4*Inputs!$I$27^2)+Inputs!$G$27*$B105^Inputs!$B$11)</f>
        <v/>
      </c>
      <c r="H105" s="11">
        <f>IF(Inputs!$D$28=0,0,Inputs!$C$28+Inputs!$B$12*Inputs!$B$5*$B105^2/(Inputs!$D$28^2*Inputs!$H$28^4*Inputs!$I$28^2)+Inputs!$G$28*$B105^Inputs!$B$11)</f>
        <v/>
      </c>
      <c r="I105" s="11">
        <f>IF(Inputs!$D$29=0,0,Inputs!$C$29+Inputs!$B$12*Inputs!$B$5*$B105^2/(Inputs!$D$29^2*Inputs!$H$29^4*Inputs!$I$29^2)+Inputs!$G$29*$B105^Inputs!$B$11)</f>
        <v/>
      </c>
      <c r="J105" s="11">
        <f>IF(Inputs!$D$30=0,0,Inputs!$C$30+Inputs!$B$12*Inputs!$B$5*$B105^2/(Inputs!$D$30^2*Inputs!$H$30^4*Inputs!$I$30^2)+Inputs!$G$30*$B105^Inputs!$B$11)</f>
        <v/>
      </c>
      <c r="K105" s="11">
        <f>IF(Inputs!$D$31=0,0,Inputs!$C$31+Inputs!$B$12*Inputs!$B$5*$B105^2/(Inputs!$D$31^2*Inputs!$H$31^4*Inputs!$I$31^2)+Inputs!$G$31*$B105^Inputs!$B$11)</f>
        <v/>
      </c>
      <c r="L105" s="11">
        <f>IF(Inputs!$D$32=0,0,Inputs!$C$32+Inputs!$B$12*Inputs!$B$5*$B105^2/(Inputs!$D$32^2*Inputs!$H$32^4*Inputs!$I$32^2)+Inputs!$G$32*$B105^Inputs!$B$11)</f>
        <v/>
      </c>
      <c r="M105" s="11">
        <f>IF(Inputs!$D$33=0,0,Inputs!$C$33+Inputs!$B$12*Inputs!$B$5*$B105^2/(Inputs!$D$33^2*Inputs!$H$33^4*Inputs!$I$33^2)+Inputs!$G$33*$B105^Inputs!$B$11)</f>
        <v/>
      </c>
      <c r="N105" s="11">
        <f>IF(Inputs!$D$34=0,0,Inputs!$C$34+Inputs!$B$12*Inputs!$B$5*$B105^2/(Inputs!$D$34^2*Inputs!$H$34^4*Inputs!$I$34^2)+Inputs!$G$34*$B105^Inputs!$B$11)</f>
        <v/>
      </c>
    </row>
    <row r="106">
      <c r="A106" s="7" t="n">
        <v>101</v>
      </c>
      <c r="B106" s="37">
        <f>Inputs!$B$4*A106/200</f>
        <v/>
      </c>
      <c r="C106" s="11">
        <f>IF(Inputs!$D$23=0,0,Inputs!$C$23+Inputs!$B$12*Inputs!$B$5*$B106^2/(Inputs!$D$23^2*Inputs!$H$23^4*Inputs!$I$23^2)+Inputs!$G$23*$B106^Inputs!$B$11)</f>
        <v/>
      </c>
      <c r="D106" s="11">
        <f>IF(Inputs!$D$24=0,0,Inputs!$C$24+Inputs!$B$12*Inputs!$B$5*$B106^2/(Inputs!$D$24^2*Inputs!$H$24^4*Inputs!$I$24^2)+Inputs!$G$24*$B106^Inputs!$B$11)</f>
        <v/>
      </c>
      <c r="E106" s="11">
        <f>IF(Inputs!$D$25=0,0,Inputs!$C$25+Inputs!$B$12*Inputs!$B$5*$B106^2/(Inputs!$D$25^2*Inputs!$H$25^4*Inputs!$I$25^2)+Inputs!$G$25*$B106^Inputs!$B$11)</f>
        <v/>
      </c>
      <c r="F106" s="11">
        <f>IF(Inputs!$D$26=0,0,Inputs!$C$26+Inputs!$B$12*Inputs!$B$5*$B106^2/(Inputs!$D$26^2*Inputs!$H$26^4*Inputs!$I$26^2)+Inputs!$G$26*$B106^Inputs!$B$11)</f>
        <v/>
      </c>
      <c r="G106" s="11">
        <f>IF(Inputs!$D$27=0,0,Inputs!$C$27+Inputs!$B$12*Inputs!$B$5*$B106^2/(Inputs!$D$27^2*Inputs!$H$27^4*Inputs!$I$27^2)+Inputs!$G$27*$B106^Inputs!$B$11)</f>
        <v/>
      </c>
      <c r="H106" s="11">
        <f>IF(Inputs!$D$28=0,0,Inputs!$C$28+Inputs!$B$12*Inputs!$B$5*$B106^2/(Inputs!$D$28^2*Inputs!$H$28^4*Inputs!$I$28^2)+Inputs!$G$28*$B106^Inputs!$B$11)</f>
        <v/>
      </c>
      <c r="I106" s="11">
        <f>IF(Inputs!$D$29=0,0,Inputs!$C$29+Inputs!$B$12*Inputs!$B$5*$B106^2/(Inputs!$D$29^2*Inputs!$H$29^4*Inputs!$I$29^2)+Inputs!$G$29*$B106^Inputs!$B$11)</f>
        <v/>
      </c>
      <c r="J106" s="11">
        <f>IF(Inputs!$D$30=0,0,Inputs!$C$30+Inputs!$B$12*Inputs!$B$5*$B106^2/(Inputs!$D$30^2*Inputs!$H$30^4*Inputs!$I$30^2)+Inputs!$G$30*$B106^Inputs!$B$11)</f>
        <v/>
      </c>
      <c r="K106" s="11">
        <f>IF(Inputs!$D$31=0,0,Inputs!$C$31+Inputs!$B$12*Inputs!$B$5*$B106^2/(Inputs!$D$31^2*Inputs!$H$31^4*Inputs!$I$31^2)+Inputs!$G$31*$B106^Inputs!$B$11)</f>
        <v/>
      </c>
      <c r="L106" s="11">
        <f>IF(Inputs!$D$32=0,0,Inputs!$C$32+Inputs!$B$12*Inputs!$B$5*$B106^2/(Inputs!$D$32^2*Inputs!$H$32^4*Inputs!$I$32^2)+Inputs!$G$32*$B106^Inputs!$B$11)</f>
        <v/>
      </c>
      <c r="M106" s="11">
        <f>IF(Inputs!$D$33=0,0,Inputs!$C$33+Inputs!$B$12*Inputs!$B$5*$B106^2/(Inputs!$D$33^2*Inputs!$H$33^4*Inputs!$I$33^2)+Inputs!$G$33*$B106^Inputs!$B$11)</f>
        <v/>
      </c>
      <c r="N106" s="11">
        <f>IF(Inputs!$D$34=0,0,Inputs!$C$34+Inputs!$B$12*Inputs!$B$5*$B106^2/(Inputs!$D$34^2*Inputs!$H$34^4*Inputs!$I$34^2)+Inputs!$G$34*$B106^Inputs!$B$11)</f>
        <v/>
      </c>
    </row>
    <row r="107">
      <c r="A107" s="7" t="n">
        <v>102</v>
      </c>
      <c r="B107" s="37">
        <f>Inputs!$B$4*A107/200</f>
        <v/>
      </c>
      <c r="C107" s="11">
        <f>IF(Inputs!$D$23=0,0,Inputs!$C$23+Inputs!$B$12*Inputs!$B$5*$B107^2/(Inputs!$D$23^2*Inputs!$H$23^4*Inputs!$I$23^2)+Inputs!$G$23*$B107^Inputs!$B$11)</f>
        <v/>
      </c>
      <c r="D107" s="11">
        <f>IF(Inputs!$D$24=0,0,Inputs!$C$24+Inputs!$B$12*Inputs!$B$5*$B107^2/(Inputs!$D$24^2*Inputs!$H$24^4*Inputs!$I$24^2)+Inputs!$G$24*$B107^Inputs!$B$11)</f>
        <v/>
      </c>
      <c r="E107" s="11">
        <f>IF(Inputs!$D$25=0,0,Inputs!$C$25+Inputs!$B$12*Inputs!$B$5*$B107^2/(Inputs!$D$25^2*Inputs!$H$25^4*Inputs!$I$25^2)+Inputs!$G$25*$B107^Inputs!$B$11)</f>
        <v/>
      </c>
      <c r="F107" s="11">
        <f>IF(Inputs!$D$26=0,0,Inputs!$C$26+Inputs!$B$12*Inputs!$B$5*$B107^2/(Inputs!$D$26^2*Inputs!$H$26^4*Inputs!$I$26^2)+Inputs!$G$26*$B107^Inputs!$B$11)</f>
        <v/>
      </c>
      <c r="G107" s="11">
        <f>IF(Inputs!$D$27=0,0,Inputs!$C$27+Inputs!$B$12*Inputs!$B$5*$B107^2/(Inputs!$D$27^2*Inputs!$H$27^4*Inputs!$I$27^2)+Inputs!$G$27*$B107^Inputs!$B$11)</f>
        <v/>
      </c>
      <c r="H107" s="11">
        <f>IF(Inputs!$D$28=0,0,Inputs!$C$28+Inputs!$B$12*Inputs!$B$5*$B107^2/(Inputs!$D$28^2*Inputs!$H$28^4*Inputs!$I$28^2)+Inputs!$G$28*$B107^Inputs!$B$11)</f>
        <v/>
      </c>
      <c r="I107" s="11">
        <f>IF(Inputs!$D$29=0,0,Inputs!$C$29+Inputs!$B$12*Inputs!$B$5*$B107^2/(Inputs!$D$29^2*Inputs!$H$29^4*Inputs!$I$29^2)+Inputs!$G$29*$B107^Inputs!$B$11)</f>
        <v/>
      </c>
      <c r="J107" s="11">
        <f>IF(Inputs!$D$30=0,0,Inputs!$C$30+Inputs!$B$12*Inputs!$B$5*$B107^2/(Inputs!$D$30^2*Inputs!$H$30^4*Inputs!$I$30^2)+Inputs!$G$30*$B107^Inputs!$B$11)</f>
        <v/>
      </c>
      <c r="K107" s="11">
        <f>IF(Inputs!$D$31=0,0,Inputs!$C$31+Inputs!$B$12*Inputs!$B$5*$B107^2/(Inputs!$D$31^2*Inputs!$H$31^4*Inputs!$I$31^2)+Inputs!$G$31*$B107^Inputs!$B$11)</f>
        <v/>
      </c>
      <c r="L107" s="11">
        <f>IF(Inputs!$D$32=0,0,Inputs!$C$32+Inputs!$B$12*Inputs!$B$5*$B107^2/(Inputs!$D$32^2*Inputs!$H$32^4*Inputs!$I$32^2)+Inputs!$G$32*$B107^Inputs!$B$11)</f>
        <v/>
      </c>
      <c r="M107" s="11">
        <f>IF(Inputs!$D$33=0,0,Inputs!$C$33+Inputs!$B$12*Inputs!$B$5*$B107^2/(Inputs!$D$33^2*Inputs!$H$33^4*Inputs!$I$33^2)+Inputs!$G$33*$B107^Inputs!$B$11)</f>
        <v/>
      </c>
      <c r="N107" s="11">
        <f>IF(Inputs!$D$34=0,0,Inputs!$C$34+Inputs!$B$12*Inputs!$B$5*$B107^2/(Inputs!$D$34^2*Inputs!$H$34^4*Inputs!$I$34^2)+Inputs!$G$34*$B107^Inputs!$B$11)</f>
        <v/>
      </c>
    </row>
    <row r="108">
      <c r="A108" s="7" t="n">
        <v>103</v>
      </c>
      <c r="B108" s="37">
        <f>Inputs!$B$4*A108/200</f>
        <v/>
      </c>
      <c r="C108" s="11">
        <f>IF(Inputs!$D$23=0,0,Inputs!$C$23+Inputs!$B$12*Inputs!$B$5*$B108^2/(Inputs!$D$23^2*Inputs!$H$23^4*Inputs!$I$23^2)+Inputs!$G$23*$B108^Inputs!$B$11)</f>
        <v/>
      </c>
      <c r="D108" s="11">
        <f>IF(Inputs!$D$24=0,0,Inputs!$C$24+Inputs!$B$12*Inputs!$B$5*$B108^2/(Inputs!$D$24^2*Inputs!$H$24^4*Inputs!$I$24^2)+Inputs!$G$24*$B108^Inputs!$B$11)</f>
        <v/>
      </c>
      <c r="E108" s="11">
        <f>IF(Inputs!$D$25=0,0,Inputs!$C$25+Inputs!$B$12*Inputs!$B$5*$B108^2/(Inputs!$D$25^2*Inputs!$H$25^4*Inputs!$I$25^2)+Inputs!$G$25*$B108^Inputs!$B$11)</f>
        <v/>
      </c>
      <c r="F108" s="11">
        <f>IF(Inputs!$D$26=0,0,Inputs!$C$26+Inputs!$B$12*Inputs!$B$5*$B108^2/(Inputs!$D$26^2*Inputs!$H$26^4*Inputs!$I$26^2)+Inputs!$G$26*$B108^Inputs!$B$11)</f>
        <v/>
      </c>
      <c r="G108" s="11">
        <f>IF(Inputs!$D$27=0,0,Inputs!$C$27+Inputs!$B$12*Inputs!$B$5*$B108^2/(Inputs!$D$27^2*Inputs!$H$27^4*Inputs!$I$27^2)+Inputs!$G$27*$B108^Inputs!$B$11)</f>
        <v/>
      </c>
      <c r="H108" s="11">
        <f>IF(Inputs!$D$28=0,0,Inputs!$C$28+Inputs!$B$12*Inputs!$B$5*$B108^2/(Inputs!$D$28^2*Inputs!$H$28^4*Inputs!$I$28^2)+Inputs!$G$28*$B108^Inputs!$B$11)</f>
        <v/>
      </c>
      <c r="I108" s="11">
        <f>IF(Inputs!$D$29=0,0,Inputs!$C$29+Inputs!$B$12*Inputs!$B$5*$B108^2/(Inputs!$D$29^2*Inputs!$H$29^4*Inputs!$I$29^2)+Inputs!$G$29*$B108^Inputs!$B$11)</f>
        <v/>
      </c>
      <c r="J108" s="11">
        <f>IF(Inputs!$D$30=0,0,Inputs!$C$30+Inputs!$B$12*Inputs!$B$5*$B108^2/(Inputs!$D$30^2*Inputs!$H$30^4*Inputs!$I$30^2)+Inputs!$G$30*$B108^Inputs!$B$11)</f>
        <v/>
      </c>
      <c r="K108" s="11">
        <f>IF(Inputs!$D$31=0,0,Inputs!$C$31+Inputs!$B$12*Inputs!$B$5*$B108^2/(Inputs!$D$31^2*Inputs!$H$31^4*Inputs!$I$31^2)+Inputs!$G$31*$B108^Inputs!$B$11)</f>
        <v/>
      </c>
      <c r="L108" s="11">
        <f>IF(Inputs!$D$32=0,0,Inputs!$C$32+Inputs!$B$12*Inputs!$B$5*$B108^2/(Inputs!$D$32^2*Inputs!$H$32^4*Inputs!$I$32^2)+Inputs!$G$32*$B108^Inputs!$B$11)</f>
        <v/>
      </c>
      <c r="M108" s="11">
        <f>IF(Inputs!$D$33=0,0,Inputs!$C$33+Inputs!$B$12*Inputs!$B$5*$B108^2/(Inputs!$D$33^2*Inputs!$H$33^4*Inputs!$I$33^2)+Inputs!$G$33*$B108^Inputs!$B$11)</f>
        <v/>
      </c>
      <c r="N108" s="11">
        <f>IF(Inputs!$D$34=0,0,Inputs!$C$34+Inputs!$B$12*Inputs!$B$5*$B108^2/(Inputs!$D$34^2*Inputs!$H$34^4*Inputs!$I$34^2)+Inputs!$G$34*$B108^Inputs!$B$11)</f>
        <v/>
      </c>
    </row>
    <row r="109">
      <c r="A109" s="7" t="n">
        <v>104</v>
      </c>
      <c r="B109" s="37">
        <f>Inputs!$B$4*A109/200</f>
        <v/>
      </c>
      <c r="C109" s="11">
        <f>IF(Inputs!$D$23=0,0,Inputs!$C$23+Inputs!$B$12*Inputs!$B$5*$B109^2/(Inputs!$D$23^2*Inputs!$H$23^4*Inputs!$I$23^2)+Inputs!$G$23*$B109^Inputs!$B$11)</f>
        <v/>
      </c>
      <c r="D109" s="11">
        <f>IF(Inputs!$D$24=0,0,Inputs!$C$24+Inputs!$B$12*Inputs!$B$5*$B109^2/(Inputs!$D$24^2*Inputs!$H$24^4*Inputs!$I$24^2)+Inputs!$G$24*$B109^Inputs!$B$11)</f>
        <v/>
      </c>
      <c r="E109" s="11">
        <f>IF(Inputs!$D$25=0,0,Inputs!$C$25+Inputs!$B$12*Inputs!$B$5*$B109^2/(Inputs!$D$25^2*Inputs!$H$25^4*Inputs!$I$25^2)+Inputs!$G$25*$B109^Inputs!$B$11)</f>
        <v/>
      </c>
      <c r="F109" s="11">
        <f>IF(Inputs!$D$26=0,0,Inputs!$C$26+Inputs!$B$12*Inputs!$B$5*$B109^2/(Inputs!$D$26^2*Inputs!$H$26^4*Inputs!$I$26^2)+Inputs!$G$26*$B109^Inputs!$B$11)</f>
        <v/>
      </c>
      <c r="G109" s="11">
        <f>IF(Inputs!$D$27=0,0,Inputs!$C$27+Inputs!$B$12*Inputs!$B$5*$B109^2/(Inputs!$D$27^2*Inputs!$H$27^4*Inputs!$I$27^2)+Inputs!$G$27*$B109^Inputs!$B$11)</f>
        <v/>
      </c>
      <c r="H109" s="11">
        <f>IF(Inputs!$D$28=0,0,Inputs!$C$28+Inputs!$B$12*Inputs!$B$5*$B109^2/(Inputs!$D$28^2*Inputs!$H$28^4*Inputs!$I$28^2)+Inputs!$G$28*$B109^Inputs!$B$11)</f>
        <v/>
      </c>
      <c r="I109" s="11">
        <f>IF(Inputs!$D$29=0,0,Inputs!$C$29+Inputs!$B$12*Inputs!$B$5*$B109^2/(Inputs!$D$29^2*Inputs!$H$29^4*Inputs!$I$29^2)+Inputs!$G$29*$B109^Inputs!$B$11)</f>
        <v/>
      </c>
      <c r="J109" s="11">
        <f>IF(Inputs!$D$30=0,0,Inputs!$C$30+Inputs!$B$12*Inputs!$B$5*$B109^2/(Inputs!$D$30^2*Inputs!$H$30^4*Inputs!$I$30^2)+Inputs!$G$30*$B109^Inputs!$B$11)</f>
        <v/>
      </c>
      <c r="K109" s="11">
        <f>IF(Inputs!$D$31=0,0,Inputs!$C$31+Inputs!$B$12*Inputs!$B$5*$B109^2/(Inputs!$D$31^2*Inputs!$H$31^4*Inputs!$I$31^2)+Inputs!$G$31*$B109^Inputs!$B$11)</f>
        <v/>
      </c>
      <c r="L109" s="11">
        <f>IF(Inputs!$D$32=0,0,Inputs!$C$32+Inputs!$B$12*Inputs!$B$5*$B109^2/(Inputs!$D$32^2*Inputs!$H$32^4*Inputs!$I$32^2)+Inputs!$G$32*$B109^Inputs!$B$11)</f>
        <v/>
      </c>
      <c r="M109" s="11">
        <f>IF(Inputs!$D$33=0,0,Inputs!$C$33+Inputs!$B$12*Inputs!$B$5*$B109^2/(Inputs!$D$33^2*Inputs!$H$33^4*Inputs!$I$33^2)+Inputs!$G$33*$B109^Inputs!$B$11)</f>
        <v/>
      </c>
      <c r="N109" s="11">
        <f>IF(Inputs!$D$34=0,0,Inputs!$C$34+Inputs!$B$12*Inputs!$B$5*$B109^2/(Inputs!$D$34^2*Inputs!$H$34^4*Inputs!$I$34^2)+Inputs!$G$34*$B109^Inputs!$B$11)</f>
        <v/>
      </c>
    </row>
    <row r="110">
      <c r="A110" s="7" t="n">
        <v>105</v>
      </c>
      <c r="B110" s="37">
        <f>Inputs!$B$4*A110/200</f>
        <v/>
      </c>
      <c r="C110" s="11">
        <f>IF(Inputs!$D$23=0,0,Inputs!$C$23+Inputs!$B$12*Inputs!$B$5*$B110^2/(Inputs!$D$23^2*Inputs!$H$23^4*Inputs!$I$23^2)+Inputs!$G$23*$B110^Inputs!$B$11)</f>
        <v/>
      </c>
      <c r="D110" s="11">
        <f>IF(Inputs!$D$24=0,0,Inputs!$C$24+Inputs!$B$12*Inputs!$B$5*$B110^2/(Inputs!$D$24^2*Inputs!$H$24^4*Inputs!$I$24^2)+Inputs!$G$24*$B110^Inputs!$B$11)</f>
        <v/>
      </c>
      <c r="E110" s="11">
        <f>IF(Inputs!$D$25=0,0,Inputs!$C$25+Inputs!$B$12*Inputs!$B$5*$B110^2/(Inputs!$D$25^2*Inputs!$H$25^4*Inputs!$I$25^2)+Inputs!$G$25*$B110^Inputs!$B$11)</f>
        <v/>
      </c>
      <c r="F110" s="11">
        <f>IF(Inputs!$D$26=0,0,Inputs!$C$26+Inputs!$B$12*Inputs!$B$5*$B110^2/(Inputs!$D$26^2*Inputs!$H$26^4*Inputs!$I$26^2)+Inputs!$G$26*$B110^Inputs!$B$11)</f>
        <v/>
      </c>
      <c r="G110" s="11">
        <f>IF(Inputs!$D$27=0,0,Inputs!$C$27+Inputs!$B$12*Inputs!$B$5*$B110^2/(Inputs!$D$27^2*Inputs!$H$27^4*Inputs!$I$27^2)+Inputs!$G$27*$B110^Inputs!$B$11)</f>
        <v/>
      </c>
      <c r="H110" s="11">
        <f>IF(Inputs!$D$28=0,0,Inputs!$C$28+Inputs!$B$12*Inputs!$B$5*$B110^2/(Inputs!$D$28^2*Inputs!$H$28^4*Inputs!$I$28^2)+Inputs!$G$28*$B110^Inputs!$B$11)</f>
        <v/>
      </c>
      <c r="I110" s="11">
        <f>IF(Inputs!$D$29=0,0,Inputs!$C$29+Inputs!$B$12*Inputs!$B$5*$B110^2/(Inputs!$D$29^2*Inputs!$H$29^4*Inputs!$I$29^2)+Inputs!$G$29*$B110^Inputs!$B$11)</f>
        <v/>
      </c>
      <c r="J110" s="11">
        <f>IF(Inputs!$D$30=0,0,Inputs!$C$30+Inputs!$B$12*Inputs!$B$5*$B110^2/(Inputs!$D$30^2*Inputs!$H$30^4*Inputs!$I$30^2)+Inputs!$G$30*$B110^Inputs!$B$11)</f>
        <v/>
      </c>
      <c r="K110" s="11">
        <f>IF(Inputs!$D$31=0,0,Inputs!$C$31+Inputs!$B$12*Inputs!$B$5*$B110^2/(Inputs!$D$31^2*Inputs!$H$31^4*Inputs!$I$31^2)+Inputs!$G$31*$B110^Inputs!$B$11)</f>
        <v/>
      </c>
      <c r="L110" s="11">
        <f>IF(Inputs!$D$32=0,0,Inputs!$C$32+Inputs!$B$12*Inputs!$B$5*$B110^2/(Inputs!$D$32^2*Inputs!$H$32^4*Inputs!$I$32^2)+Inputs!$G$32*$B110^Inputs!$B$11)</f>
        <v/>
      </c>
      <c r="M110" s="11">
        <f>IF(Inputs!$D$33=0,0,Inputs!$C$33+Inputs!$B$12*Inputs!$B$5*$B110^2/(Inputs!$D$33^2*Inputs!$H$33^4*Inputs!$I$33^2)+Inputs!$G$33*$B110^Inputs!$B$11)</f>
        <v/>
      </c>
      <c r="N110" s="11">
        <f>IF(Inputs!$D$34=0,0,Inputs!$C$34+Inputs!$B$12*Inputs!$B$5*$B110^2/(Inputs!$D$34^2*Inputs!$H$34^4*Inputs!$I$34^2)+Inputs!$G$34*$B110^Inputs!$B$11)</f>
        <v/>
      </c>
    </row>
    <row r="111">
      <c r="A111" s="7" t="n">
        <v>106</v>
      </c>
      <c r="B111" s="37">
        <f>Inputs!$B$4*A111/200</f>
        <v/>
      </c>
      <c r="C111" s="11">
        <f>IF(Inputs!$D$23=0,0,Inputs!$C$23+Inputs!$B$12*Inputs!$B$5*$B111^2/(Inputs!$D$23^2*Inputs!$H$23^4*Inputs!$I$23^2)+Inputs!$G$23*$B111^Inputs!$B$11)</f>
        <v/>
      </c>
      <c r="D111" s="11">
        <f>IF(Inputs!$D$24=0,0,Inputs!$C$24+Inputs!$B$12*Inputs!$B$5*$B111^2/(Inputs!$D$24^2*Inputs!$H$24^4*Inputs!$I$24^2)+Inputs!$G$24*$B111^Inputs!$B$11)</f>
        <v/>
      </c>
      <c r="E111" s="11">
        <f>IF(Inputs!$D$25=0,0,Inputs!$C$25+Inputs!$B$12*Inputs!$B$5*$B111^2/(Inputs!$D$25^2*Inputs!$H$25^4*Inputs!$I$25^2)+Inputs!$G$25*$B111^Inputs!$B$11)</f>
        <v/>
      </c>
      <c r="F111" s="11">
        <f>IF(Inputs!$D$26=0,0,Inputs!$C$26+Inputs!$B$12*Inputs!$B$5*$B111^2/(Inputs!$D$26^2*Inputs!$H$26^4*Inputs!$I$26^2)+Inputs!$G$26*$B111^Inputs!$B$11)</f>
        <v/>
      </c>
      <c r="G111" s="11">
        <f>IF(Inputs!$D$27=0,0,Inputs!$C$27+Inputs!$B$12*Inputs!$B$5*$B111^2/(Inputs!$D$27^2*Inputs!$H$27^4*Inputs!$I$27^2)+Inputs!$G$27*$B111^Inputs!$B$11)</f>
        <v/>
      </c>
      <c r="H111" s="11">
        <f>IF(Inputs!$D$28=0,0,Inputs!$C$28+Inputs!$B$12*Inputs!$B$5*$B111^2/(Inputs!$D$28^2*Inputs!$H$28^4*Inputs!$I$28^2)+Inputs!$G$28*$B111^Inputs!$B$11)</f>
        <v/>
      </c>
      <c r="I111" s="11">
        <f>IF(Inputs!$D$29=0,0,Inputs!$C$29+Inputs!$B$12*Inputs!$B$5*$B111^2/(Inputs!$D$29^2*Inputs!$H$29^4*Inputs!$I$29^2)+Inputs!$G$29*$B111^Inputs!$B$11)</f>
        <v/>
      </c>
      <c r="J111" s="11">
        <f>IF(Inputs!$D$30=0,0,Inputs!$C$30+Inputs!$B$12*Inputs!$B$5*$B111^2/(Inputs!$D$30^2*Inputs!$H$30^4*Inputs!$I$30^2)+Inputs!$G$30*$B111^Inputs!$B$11)</f>
        <v/>
      </c>
      <c r="K111" s="11">
        <f>IF(Inputs!$D$31=0,0,Inputs!$C$31+Inputs!$B$12*Inputs!$B$5*$B111^2/(Inputs!$D$31^2*Inputs!$H$31^4*Inputs!$I$31^2)+Inputs!$G$31*$B111^Inputs!$B$11)</f>
        <v/>
      </c>
      <c r="L111" s="11">
        <f>IF(Inputs!$D$32=0,0,Inputs!$C$32+Inputs!$B$12*Inputs!$B$5*$B111^2/(Inputs!$D$32^2*Inputs!$H$32^4*Inputs!$I$32^2)+Inputs!$G$32*$B111^Inputs!$B$11)</f>
        <v/>
      </c>
      <c r="M111" s="11">
        <f>IF(Inputs!$D$33=0,0,Inputs!$C$33+Inputs!$B$12*Inputs!$B$5*$B111^2/(Inputs!$D$33^2*Inputs!$H$33^4*Inputs!$I$33^2)+Inputs!$G$33*$B111^Inputs!$B$11)</f>
        <v/>
      </c>
      <c r="N111" s="11">
        <f>IF(Inputs!$D$34=0,0,Inputs!$C$34+Inputs!$B$12*Inputs!$B$5*$B111^2/(Inputs!$D$34^2*Inputs!$H$34^4*Inputs!$I$34^2)+Inputs!$G$34*$B111^Inputs!$B$11)</f>
        <v/>
      </c>
    </row>
    <row r="112">
      <c r="A112" s="7" t="n">
        <v>107</v>
      </c>
      <c r="B112" s="37">
        <f>Inputs!$B$4*A112/200</f>
        <v/>
      </c>
      <c r="C112" s="11">
        <f>IF(Inputs!$D$23=0,0,Inputs!$C$23+Inputs!$B$12*Inputs!$B$5*$B112^2/(Inputs!$D$23^2*Inputs!$H$23^4*Inputs!$I$23^2)+Inputs!$G$23*$B112^Inputs!$B$11)</f>
        <v/>
      </c>
      <c r="D112" s="11">
        <f>IF(Inputs!$D$24=0,0,Inputs!$C$24+Inputs!$B$12*Inputs!$B$5*$B112^2/(Inputs!$D$24^2*Inputs!$H$24^4*Inputs!$I$24^2)+Inputs!$G$24*$B112^Inputs!$B$11)</f>
        <v/>
      </c>
      <c r="E112" s="11">
        <f>IF(Inputs!$D$25=0,0,Inputs!$C$25+Inputs!$B$12*Inputs!$B$5*$B112^2/(Inputs!$D$25^2*Inputs!$H$25^4*Inputs!$I$25^2)+Inputs!$G$25*$B112^Inputs!$B$11)</f>
        <v/>
      </c>
      <c r="F112" s="11">
        <f>IF(Inputs!$D$26=0,0,Inputs!$C$26+Inputs!$B$12*Inputs!$B$5*$B112^2/(Inputs!$D$26^2*Inputs!$H$26^4*Inputs!$I$26^2)+Inputs!$G$26*$B112^Inputs!$B$11)</f>
        <v/>
      </c>
      <c r="G112" s="11">
        <f>IF(Inputs!$D$27=0,0,Inputs!$C$27+Inputs!$B$12*Inputs!$B$5*$B112^2/(Inputs!$D$27^2*Inputs!$H$27^4*Inputs!$I$27^2)+Inputs!$G$27*$B112^Inputs!$B$11)</f>
        <v/>
      </c>
      <c r="H112" s="11">
        <f>IF(Inputs!$D$28=0,0,Inputs!$C$28+Inputs!$B$12*Inputs!$B$5*$B112^2/(Inputs!$D$28^2*Inputs!$H$28^4*Inputs!$I$28^2)+Inputs!$G$28*$B112^Inputs!$B$11)</f>
        <v/>
      </c>
      <c r="I112" s="11">
        <f>IF(Inputs!$D$29=0,0,Inputs!$C$29+Inputs!$B$12*Inputs!$B$5*$B112^2/(Inputs!$D$29^2*Inputs!$H$29^4*Inputs!$I$29^2)+Inputs!$G$29*$B112^Inputs!$B$11)</f>
        <v/>
      </c>
      <c r="J112" s="11">
        <f>IF(Inputs!$D$30=0,0,Inputs!$C$30+Inputs!$B$12*Inputs!$B$5*$B112^2/(Inputs!$D$30^2*Inputs!$H$30^4*Inputs!$I$30^2)+Inputs!$G$30*$B112^Inputs!$B$11)</f>
        <v/>
      </c>
      <c r="K112" s="11">
        <f>IF(Inputs!$D$31=0,0,Inputs!$C$31+Inputs!$B$12*Inputs!$B$5*$B112^2/(Inputs!$D$31^2*Inputs!$H$31^4*Inputs!$I$31^2)+Inputs!$G$31*$B112^Inputs!$B$11)</f>
        <v/>
      </c>
      <c r="L112" s="11">
        <f>IF(Inputs!$D$32=0,0,Inputs!$C$32+Inputs!$B$12*Inputs!$B$5*$B112^2/(Inputs!$D$32^2*Inputs!$H$32^4*Inputs!$I$32^2)+Inputs!$G$32*$B112^Inputs!$B$11)</f>
        <v/>
      </c>
      <c r="M112" s="11">
        <f>IF(Inputs!$D$33=0,0,Inputs!$C$33+Inputs!$B$12*Inputs!$B$5*$B112^2/(Inputs!$D$33^2*Inputs!$H$33^4*Inputs!$I$33^2)+Inputs!$G$33*$B112^Inputs!$B$11)</f>
        <v/>
      </c>
      <c r="N112" s="11">
        <f>IF(Inputs!$D$34=0,0,Inputs!$C$34+Inputs!$B$12*Inputs!$B$5*$B112^2/(Inputs!$D$34^2*Inputs!$H$34^4*Inputs!$I$34^2)+Inputs!$G$34*$B112^Inputs!$B$11)</f>
        <v/>
      </c>
    </row>
    <row r="113">
      <c r="A113" s="7" t="n">
        <v>108</v>
      </c>
      <c r="B113" s="37">
        <f>Inputs!$B$4*A113/200</f>
        <v/>
      </c>
      <c r="C113" s="11">
        <f>IF(Inputs!$D$23=0,0,Inputs!$C$23+Inputs!$B$12*Inputs!$B$5*$B113^2/(Inputs!$D$23^2*Inputs!$H$23^4*Inputs!$I$23^2)+Inputs!$G$23*$B113^Inputs!$B$11)</f>
        <v/>
      </c>
      <c r="D113" s="11">
        <f>IF(Inputs!$D$24=0,0,Inputs!$C$24+Inputs!$B$12*Inputs!$B$5*$B113^2/(Inputs!$D$24^2*Inputs!$H$24^4*Inputs!$I$24^2)+Inputs!$G$24*$B113^Inputs!$B$11)</f>
        <v/>
      </c>
      <c r="E113" s="11">
        <f>IF(Inputs!$D$25=0,0,Inputs!$C$25+Inputs!$B$12*Inputs!$B$5*$B113^2/(Inputs!$D$25^2*Inputs!$H$25^4*Inputs!$I$25^2)+Inputs!$G$25*$B113^Inputs!$B$11)</f>
        <v/>
      </c>
      <c r="F113" s="11">
        <f>IF(Inputs!$D$26=0,0,Inputs!$C$26+Inputs!$B$12*Inputs!$B$5*$B113^2/(Inputs!$D$26^2*Inputs!$H$26^4*Inputs!$I$26^2)+Inputs!$G$26*$B113^Inputs!$B$11)</f>
        <v/>
      </c>
      <c r="G113" s="11">
        <f>IF(Inputs!$D$27=0,0,Inputs!$C$27+Inputs!$B$12*Inputs!$B$5*$B113^2/(Inputs!$D$27^2*Inputs!$H$27^4*Inputs!$I$27^2)+Inputs!$G$27*$B113^Inputs!$B$11)</f>
        <v/>
      </c>
      <c r="H113" s="11">
        <f>IF(Inputs!$D$28=0,0,Inputs!$C$28+Inputs!$B$12*Inputs!$B$5*$B113^2/(Inputs!$D$28^2*Inputs!$H$28^4*Inputs!$I$28^2)+Inputs!$G$28*$B113^Inputs!$B$11)</f>
        <v/>
      </c>
      <c r="I113" s="11">
        <f>IF(Inputs!$D$29=0,0,Inputs!$C$29+Inputs!$B$12*Inputs!$B$5*$B113^2/(Inputs!$D$29^2*Inputs!$H$29^4*Inputs!$I$29^2)+Inputs!$G$29*$B113^Inputs!$B$11)</f>
        <v/>
      </c>
      <c r="J113" s="11">
        <f>IF(Inputs!$D$30=0,0,Inputs!$C$30+Inputs!$B$12*Inputs!$B$5*$B113^2/(Inputs!$D$30^2*Inputs!$H$30^4*Inputs!$I$30^2)+Inputs!$G$30*$B113^Inputs!$B$11)</f>
        <v/>
      </c>
      <c r="K113" s="11">
        <f>IF(Inputs!$D$31=0,0,Inputs!$C$31+Inputs!$B$12*Inputs!$B$5*$B113^2/(Inputs!$D$31^2*Inputs!$H$31^4*Inputs!$I$31^2)+Inputs!$G$31*$B113^Inputs!$B$11)</f>
        <v/>
      </c>
      <c r="L113" s="11">
        <f>IF(Inputs!$D$32=0,0,Inputs!$C$32+Inputs!$B$12*Inputs!$B$5*$B113^2/(Inputs!$D$32^2*Inputs!$H$32^4*Inputs!$I$32^2)+Inputs!$G$32*$B113^Inputs!$B$11)</f>
        <v/>
      </c>
      <c r="M113" s="11">
        <f>IF(Inputs!$D$33=0,0,Inputs!$C$33+Inputs!$B$12*Inputs!$B$5*$B113^2/(Inputs!$D$33^2*Inputs!$H$33^4*Inputs!$I$33^2)+Inputs!$G$33*$B113^Inputs!$B$11)</f>
        <v/>
      </c>
      <c r="N113" s="11">
        <f>IF(Inputs!$D$34=0,0,Inputs!$C$34+Inputs!$B$12*Inputs!$B$5*$B113^2/(Inputs!$D$34^2*Inputs!$H$34^4*Inputs!$I$34^2)+Inputs!$G$34*$B113^Inputs!$B$11)</f>
        <v/>
      </c>
    </row>
    <row r="114">
      <c r="A114" s="7" t="n">
        <v>109</v>
      </c>
      <c r="B114" s="37">
        <f>Inputs!$B$4*A114/200</f>
        <v/>
      </c>
      <c r="C114" s="11">
        <f>IF(Inputs!$D$23=0,0,Inputs!$C$23+Inputs!$B$12*Inputs!$B$5*$B114^2/(Inputs!$D$23^2*Inputs!$H$23^4*Inputs!$I$23^2)+Inputs!$G$23*$B114^Inputs!$B$11)</f>
        <v/>
      </c>
      <c r="D114" s="11">
        <f>IF(Inputs!$D$24=0,0,Inputs!$C$24+Inputs!$B$12*Inputs!$B$5*$B114^2/(Inputs!$D$24^2*Inputs!$H$24^4*Inputs!$I$24^2)+Inputs!$G$24*$B114^Inputs!$B$11)</f>
        <v/>
      </c>
      <c r="E114" s="11">
        <f>IF(Inputs!$D$25=0,0,Inputs!$C$25+Inputs!$B$12*Inputs!$B$5*$B114^2/(Inputs!$D$25^2*Inputs!$H$25^4*Inputs!$I$25^2)+Inputs!$G$25*$B114^Inputs!$B$11)</f>
        <v/>
      </c>
      <c r="F114" s="11">
        <f>IF(Inputs!$D$26=0,0,Inputs!$C$26+Inputs!$B$12*Inputs!$B$5*$B114^2/(Inputs!$D$26^2*Inputs!$H$26^4*Inputs!$I$26^2)+Inputs!$G$26*$B114^Inputs!$B$11)</f>
        <v/>
      </c>
      <c r="G114" s="11">
        <f>IF(Inputs!$D$27=0,0,Inputs!$C$27+Inputs!$B$12*Inputs!$B$5*$B114^2/(Inputs!$D$27^2*Inputs!$H$27^4*Inputs!$I$27^2)+Inputs!$G$27*$B114^Inputs!$B$11)</f>
        <v/>
      </c>
      <c r="H114" s="11">
        <f>IF(Inputs!$D$28=0,0,Inputs!$C$28+Inputs!$B$12*Inputs!$B$5*$B114^2/(Inputs!$D$28^2*Inputs!$H$28^4*Inputs!$I$28^2)+Inputs!$G$28*$B114^Inputs!$B$11)</f>
        <v/>
      </c>
      <c r="I114" s="11">
        <f>IF(Inputs!$D$29=0,0,Inputs!$C$29+Inputs!$B$12*Inputs!$B$5*$B114^2/(Inputs!$D$29^2*Inputs!$H$29^4*Inputs!$I$29^2)+Inputs!$G$29*$B114^Inputs!$B$11)</f>
        <v/>
      </c>
      <c r="J114" s="11">
        <f>IF(Inputs!$D$30=0,0,Inputs!$C$30+Inputs!$B$12*Inputs!$B$5*$B114^2/(Inputs!$D$30^2*Inputs!$H$30^4*Inputs!$I$30^2)+Inputs!$G$30*$B114^Inputs!$B$11)</f>
        <v/>
      </c>
      <c r="K114" s="11">
        <f>IF(Inputs!$D$31=0,0,Inputs!$C$31+Inputs!$B$12*Inputs!$B$5*$B114^2/(Inputs!$D$31^2*Inputs!$H$31^4*Inputs!$I$31^2)+Inputs!$G$31*$B114^Inputs!$B$11)</f>
        <v/>
      </c>
      <c r="L114" s="11">
        <f>IF(Inputs!$D$32=0,0,Inputs!$C$32+Inputs!$B$12*Inputs!$B$5*$B114^2/(Inputs!$D$32^2*Inputs!$H$32^4*Inputs!$I$32^2)+Inputs!$G$32*$B114^Inputs!$B$11)</f>
        <v/>
      </c>
      <c r="M114" s="11">
        <f>IF(Inputs!$D$33=0,0,Inputs!$C$33+Inputs!$B$12*Inputs!$B$5*$B114^2/(Inputs!$D$33^2*Inputs!$H$33^4*Inputs!$I$33^2)+Inputs!$G$33*$B114^Inputs!$B$11)</f>
        <v/>
      </c>
      <c r="N114" s="11">
        <f>IF(Inputs!$D$34=0,0,Inputs!$C$34+Inputs!$B$12*Inputs!$B$5*$B114^2/(Inputs!$D$34^2*Inputs!$H$34^4*Inputs!$I$34^2)+Inputs!$G$34*$B114^Inputs!$B$11)</f>
        <v/>
      </c>
    </row>
    <row r="115">
      <c r="A115" s="7" t="n">
        <v>110</v>
      </c>
      <c r="B115" s="37">
        <f>Inputs!$B$4*A115/200</f>
        <v/>
      </c>
      <c r="C115" s="11">
        <f>IF(Inputs!$D$23=0,0,Inputs!$C$23+Inputs!$B$12*Inputs!$B$5*$B115^2/(Inputs!$D$23^2*Inputs!$H$23^4*Inputs!$I$23^2)+Inputs!$G$23*$B115^Inputs!$B$11)</f>
        <v/>
      </c>
      <c r="D115" s="11">
        <f>IF(Inputs!$D$24=0,0,Inputs!$C$24+Inputs!$B$12*Inputs!$B$5*$B115^2/(Inputs!$D$24^2*Inputs!$H$24^4*Inputs!$I$24^2)+Inputs!$G$24*$B115^Inputs!$B$11)</f>
        <v/>
      </c>
      <c r="E115" s="11">
        <f>IF(Inputs!$D$25=0,0,Inputs!$C$25+Inputs!$B$12*Inputs!$B$5*$B115^2/(Inputs!$D$25^2*Inputs!$H$25^4*Inputs!$I$25^2)+Inputs!$G$25*$B115^Inputs!$B$11)</f>
        <v/>
      </c>
      <c r="F115" s="11">
        <f>IF(Inputs!$D$26=0,0,Inputs!$C$26+Inputs!$B$12*Inputs!$B$5*$B115^2/(Inputs!$D$26^2*Inputs!$H$26^4*Inputs!$I$26^2)+Inputs!$G$26*$B115^Inputs!$B$11)</f>
        <v/>
      </c>
      <c r="G115" s="11">
        <f>IF(Inputs!$D$27=0,0,Inputs!$C$27+Inputs!$B$12*Inputs!$B$5*$B115^2/(Inputs!$D$27^2*Inputs!$H$27^4*Inputs!$I$27^2)+Inputs!$G$27*$B115^Inputs!$B$11)</f>
        <v/>
      </c>
      <c r="H115" s="11">
        <f>IF(Inputs!$D$28=0,0,Inputs!$C$28+Inputs!$B$12*Inputs!$B$5*$B115^2/(Inputs!$D$28^2*Inputs!$H$28^4*Inputs!$I$28^2)+Inputs!$G$28*$B115^Inputs!$B$11)</f>
        <v/>
      </c>
      <c r="I115" s="11">
        <f>IF(Inputs!$D$29=0,0,Inputs!$C$29+Inputs!$B$12*Inputs!$B$5*$B115^2/(Inputs!$D$29^2*Inputs!$H$29^4*Inputs!$I$29^2)+Inputs!$G$29*$B115^Inputs!$B$11)</f>
        <v/>
      </c>
      <c r="J115" s="11">
        <f>IF(Inputs!$D$30=0,0,Inputs!$C$30+Inputs!$B$12*Inputs!$B$5*$B115^2/(Inputs!$D$30^2*Inputs!$H$30^4*Inputs!$I$30^2)+Inputs!$G$30*$B115^Inputs!$B$11)</f>
        <v/>
      </c>
      <c r="K115" s="11">
        <f>IF(Inputs!$D$31=0,0,Inputs!$C$31+Inputs!$B$12*Inputs!$B$5*$B115^2/(Inputs!$D$31^2*Inputs!$H$31^4*Inputs!$I$31^2)+Inputs!$G$31*$B115^Inputs!$B$11)</f>
        <v/>
      </c>
      <c r="L115" s="11">
        <f>IF(Inputs!$D$32=0,0,Inputs!$C$32+Inputs!$B$12*Inputs!$B$5*$B115^2/(Inputs!$D$32^2*Inputs!$H$32^4*Inputs!$I$32^2)+Inputs!$G$32*$B115^Inputs!$B$11)</f>
        <v/>
      </c>
      <c r="M115" s="11">
        <f>IF(Inputs!$D$33=0,0,Inputs!$C$33+Inputs!$B$12*Inputs!$B$5*$B115^2/(Inputs!$D$33^2*Inputs!$H$33^4*Inputs!$I$33^2)+Inputs!$G$33*$B115^Inputs!$B$11)</f>
        <v/>
      </c>
      <c r="N115" s="11">
        <f>IF(Inputs!$D$34=0,0,Inputs!$C$34+Inputs!$B$12*Inputs!$B$5*$B115^2/(Inputs!$D$34^2*Inputs!$H$34^4*Inputs!$I$34^2)+Inputs!$G$34*$B115^Inputs!$B$11)</f>
        <v/>
      </c>
    </row>
    <row r="116">
      <c r="A116" s="7" t="n">
        <v>111</v>
      </c>
      <c r="B116" s="37">
        <f>Inputs!$B$4*A116/200</f>
        <v/>
      </c>
      <c r="C116" s="11">
        <f>IF(Inputs!$D$23=0,0,Inputs!$C$23+Inputs!$B$12*Inputs!$B$5*$B116^2/(Inputs!$D$23^2*Inputs!$H$23^4*Inputs!$I$23^2)+Inputs!$G$23*$B116^Inputs!$B$11)</f>
        <v/>
      </c>
      <c r="D116" s="11">
        <f>IF(Inputs!$D$24=0,0,Inputs!$C$24+Inputs!$B$12*Inputs!$B$5*$B116^2/(Inputs!$D$24^2*Inputs!$H$24^4*Inputs!$I$24^2)+Inputs!$G$24*$B116^Inputs!$B$11)</f>
        <v/>
      </c>
      <c r="E116" s="11">
        <f>IF(Inputs!$D$25=0,0,Inputs!$C$25+Inputs!$B$12*Inputs!$B$5*$B116^2/(Inputs!$D$25^2*Inputs!$H$25^4*Inputs!$I$25^2)+Inputs!$G$25*$B116^Inputs!$B$11)</f>
        <v/>
      </c>
      <c r="F116" s="11">
        <f>IF(Inputs!$D$26=0,0,Inputs!$C$26+Inputs!$B$12*Inputs!$B$5*$B116^2/(Inputs!$D$26^2*Inputs!$H$26^4*Inputs!$I$26^2)+Inputs!$G$26*$B116^Inputs!$B$11)</f>
        <v/>
      </c>
      <c r="G116" s="11">
        <f>IF(Inputs!$D$27=0,0,Inputs!$C$27+Inputs!$B$12*Inputs!$B$5*$B116^2/(Inputs!$D$27^2*Inputs!$H$27^4*Inputs!$I$27^2)+Inputs!$G$27*$B116^Inputs!$B$11)</f>
        <v/>
      </c>
      <c r="H116" s="11">
        <f>IF(Inputs!$D$28=0,0,Inputs!$C$28+Inputs!$B$12*Inputs!$B$5*$B116^2/(Inputs!$D$28^2*Inputs!$H$28^4*Inputs!$I$28^2)+Inputs!$G$28*$B116^Inputs!$B$11)</f>
        <v/>
      </c>
      <c r="I116" s="11">
        <f>IF(Inputs!$D$29=0,0,Inputs!$C$29+Inputs!$B$12*Inputs!$B$5*$B116^2/(Inputs!$D$29^2*Inputs!$H$29^4*Inputs!$I$29^2)+Inputs!$G$29*$B116^Inputs!$B$11)</f>
        <v/>
      </c>
      <c r="J116" s="11">
        <f>IF(Inputs!$D$30=0,0,Inputs!$C$30+Inputs!$B$12*Inputs!$B$5*$B116^2/(Inputs!$D$30^2*Inputs!$H$30^4*Inputs!$I$30^2)+Inputs!$G$30*$B116^Inputs!$B$11)</f>
        <v/>
      </c>
      <c r="K116" s="11">
        <f>IF(Inputs!$D$31=0,0,Inputs!$C$31+Inputs!$B$12*Inputs!$B$5*$B116^2/(Inputs!$D$31^2*Inputs!$H$31^4*Inputs!$I$31^2)+Inputs!$G$31*$B116^Inputs!$B$11)</f>
        <v/>
      </c>
      <c r="L116" s="11">
        <f>IF(Inputs!$D$32=0,0,Inputs!$C$32+Inputs!$B$12*Inputs!$B$5*$B116^2/(Inputs!$D$32^2*Inputs!$H$32^4*Inputs!$I$32^2)+Inputs!$G$32*$B116^Inputs!$B$11)</f>
        <v/>
      </c>
      <c r="M116" s="11">
        <f>IF(Inputs!$D$33=0,0,Inputs!$C$33+Inputs!$B$12*Inputs!$B$5*$B116^2/(Inputs!$D$33^2*Inputs!$H$33^4*Inputs!$I$33^2)+Inputs!$G$33*$B116^Inputs!$B$11)</f>
        <v/>
      </c>
      <c r="N116" s="11">
        <f>IF(Inputs!$D$34=0,0,Inputs!$C$34+Inputs!$B$12*Inputs!$B$5*$B116^2/(Inputs!$D$34^2*Inputs!$H$34^4*Inputs!$I$34^2)+Inputs!$G$34*$B116^Inputs!$B$11)</f>
        <v/>
      </c>
    </row>
    <row r="117">
      <c r="A117" s="7" t="n">
        <v>112</v>
      </c>
      <c r="B117" s="37">
        <f>Inputs!$B$4*A117/200</f>
        <v/>
      </c>
      <c r="C117" s="11">
        <f>IF(Inputs!$D$23=0,0,Inputs!$C$23+Inputs!$B$12*Inputs!$B$5*$B117^2/(Inputs!$D$23^2*Inputs!$H$23^4*Inputs!$I$23^2)+Inputs!$G$23*$B117^Inputs!$B$11)</f>
        <v/>
      </c>
      <c r="D117" s="11">
        <f>IF(Inputs!$D$24=0,0,Inputs!$C$24+Inputs!$B$12*Inputs!$B$5*$B117^2/(Inputs!$D$24^2*Inputs!$H$24^4*Inputs!$I$24^2)+Inputs!$G$24*$B117^Inputs!$B$11)</f>
        <v/>
      </c>
      <c r="E117" s="11">
        <f>IF(Inputs!$D$25=0,0,Inputs!$C$25+Inputs!$B$12*Inputs!$B$5*$B117^2/(Inputs!$D$25^2*Inputs!$H$25^4*Inputs!$I$25^2)+Inputs!$G$25*$B117^Inputs!$B$11)</f>
        <v/>
      </c>
      <c r="F117" s="11">
        <f>IF(Inputs!$D$26=0,0,Inputs!$C$26+Inputs!$B$12*Inputs!$B$5*$B117^2/(Inputs!$D$26^2*Inputs!$H$26^4*Inputs!$I$26^2)+Inputs!$G$26*$B117^Inputs!$B$11)</f>
        <v/>
      </c>
      <c r="G117" s="11">
        <f>IF(Inputs!$D$27=0,0,Inputs!$C$27+Inputs!$B$12*Inputs!$B$5*$B117^2/(Inputs!$D$27^2*Inputs!$H$27^4*Inputs!$I$27^2)+Inputs!$G$27*$B117^Inputs!$B$11)</f>
        <v/>
      </c>
      <c r="H117" s="11">
        <f>IF(Inputs!$D$28=0,0,Inputs!$C$28+Inputs!$B$12*Inputs!$B$5*$B117^2/(Inputs!$D$28^2*Inputs!$H$28^4*Inputs!$I$28^2)+Inputs!$G$28*$B117^Inputs!$B$11)</f>
        <v/>
      </c>
      <c r="I117" s="11">
        <f>IF(Inputs!$D$29=0,0,Inputs!$C$29+Inputs!$B$12*Inputs!$B$5*$B117^2/(Inputs!$D$29^2*Inputs!$H$29^4*Inputs!$I$29^2)+Inputs!$G$29*$B117^Inputs!$B$11)</f>
        <v/>
      </c>
      <c r="J117" s="11">
        <f>IF(Inputs!$D$30=0,0,Inputs!$C$30+Inputs!$B$12*Inputs!$B$5*$B117^2/(Inputs!$D$30^2*Inputs!$H$30^4*Inputs!$I$30^2)+Inputs!$G$30*$B117^Inputs!$B$11)</f>
        <v/>
      </c>
      <c r="K117" s="11">
        <f>IF(Inputs!$D$31=0,0,Inputs!$C$31+Inputs!$B$12*Inputs!$B$5*$B117^2/(Inputs!$D$31^2*Inputs!$H$31^4*Inputs!$I$31^2)+Inputs!$G$31*$B117^Inputs!$B$11)</f>
        <v/>
      </c>
      <c r="L117" s="11">
        <f>IF(Inputs!$D$32=0,0,Inputs!$C$32+Inputs!$B$12*Inputs!$B$5*$B117^2/(Inputs!$D$32^2*Inputs!$H$32^4*Inputs!$I$32^2)+Inputs!$G$32*$B117^Inputs!$B$11)</f>
        <v/>
      </c>
      <c r="M117" s="11">
        <f>IF(Inputs!$D$33=0,0,Inputs!$C$33+Inputs!$B$12*Inputs!$B$5*$B117^2/(Inputs!$D$33^2*Inputs!$H$33^4*Inputs!$I$33^2)+Inputs!$G$33*$B117^Inputs!$B$11)</f>
        <v/>
      </c>
      <c r="N117" s="11">
        <f>IF(Inputs!$D$34=0,0,Inputs!$C$34+Inputs!$B$12*Inputs!$B$5*$B117^2/(Inputs!$D$34^2*Inputs!$H$34^4*Inputs!$I$34^2)+Inputs!$G$34*$B117^Inputs!$B$11)</f>
        <v/>
      </c>
    </row>
    <row r="118">
      <c r="A118" s="7" t="n">
        <v>113</v>
      </c>
      <c r="B118" s="37">
        <f>Inputs!$B$4*A118/200</f>
        <v/>
      </c>
      <c r="C118" s="11">
        <f>IF(Inputs!$D$23=0,0,Inputs!$C$23+Inputs!$B$12*Inputs!$B$5*$B118^2/(Inputs!$D$23^2*Inputs!$H$23^4*Inputs!$I$23^2)+Inputs!$G$23*$B118^Inputs!$B$11)</f>
        <v/>
      </c>
      <c r="D118" s="11">
        <f>IF(Inputs!$D$24=0,0,Inputs!$C$24+Inputs!$B$12*Inputs!$B$5*$B118^2/(Inputs!$D$24^2*Inputs!$H$24^4*Inputs!$I$24^2)+Inputs!$G$24*$B118^Inputs!$B$11)</f>
        <v/>
      </c>
      <c r="E118" s="11">
        <f>IF(Inputs!$D$25=0,0,Inputs!$C$25+Inputs!$B$12*Inputs!$B$5*$B118^2/(Inputs!$D$25^2*Inputs!$H$25^4*Inputs!$I$25^2)+Inputs!$G$25*$B118^Inputs!$B$11)</f>
        <v/>
      </c>
      <c r="F118" s="11">
        <f>IF(Inputs!$D$26=0,0,Inputs!$C$26+Inputs!$B$12*Inputs!$B$5*$B118^2/(Inputs!$D$26^2*Inputs!$H$26^4*Inputs!$I$26^2)+Inputs!$G$26*$B118^Inputs!$B$11)</f>
        <v/>
      </c>
      <c r="G118" s="11">
        <f>IF(Inputs!$D$27=0,0,Inputs!$C$27+Inputs!$B$12*Inputs!$B$5*$B118^2/(Inputs!$D$27^2*Inputs!$H$27^4*Inputs!$I$27^2)+Inputs!$G$27*$B118^Inputs!$B$11)</f>
        <v/>
      </c>
      <c r="H118" s="11">
        <f>IF(Inputs!$D$28=0,0,Inputs!$C$28+Inputs!$B$12*Inputs!$B$5*$B118^2/(Inputs!$D$28^2*Inputs!$H$28^4*Inputs!$I$28^2)+Inputs!$G$28*$B118^Inputs!$B$11)</f>
        <v/>
      </c>
      <c r="I118" s="11">
        <f>IF(Inputs!$D$29=0,0,Inputs!$C$29+Inputs!$B$12*Inputs!$B$5*$B118^2/(Inputs!$D$29^2*Inputs!$H$29^4*Inputs!$I$29^2)+Inputs!$G$29*$B118^Inputs!$B$11)</f>
        <v/>
      </c>
      <c r="J118" s="11">
        <f>IF(Inputs!$D$30=0,0,Inputs!$C$30+Inputs!$B$12*Inputs!$B$5*$B118^2/(Inputs!$D$30^2*Inputs!$H$30^4*Inputs!$I$30^2)+Inputs!$G$30*$B118^Inputs!$B$11)</f>
        <v/>
      </c>
      <c r="K118" s="11">
        <f>IF(Inputs!$D$31=0,0,Inputs!$C$31+Inputs!$B$12*Inputs!$B$5*$B118^2/(Inputs!$D$31^2*Inputs!$H$31^4*Inputs!$I$31^2)+Inputs!$G$31*$B118^Inputs!$B$11)</f>
        <v/>
      </c>
      <c r="L118" s="11">
        <f>IF(Inputs!$D$32=0,0,Inputs!$C$32+Inputs!$B$12*Inputs!$B$5*$B118^2/(Inputs!$D$32^2*Inputs!$H$32^4*Inputs!$I$32^2)+Inputs!$G$32*$B118^Inputs!$B$11)</f>
        <v/>
      </c>
      <c r="M118" s="11">
        <f>IF(Inputs!$D$33=0,0,Inputs!$C$33+Inputs!$B$12*Inputs!$B$5*$B118^2/(Inputs!$D$33^2*Inputs!$H$33^4*Inputs!$I$33^2)+Inputs!$G$33*$B118^Inputs!$B$11)</f>
        <v/>
      </c>
      <c r="N118" s="11">
        <f>IF(Inputs!$D$34=0,0,Inputs!$C$34+Inputs!$B$12*Inputs!$B$5*$B118^2/(Inputs!$D$34^2*Inputs!$H$34^4*Inputs!$I$34^2)+Inputs!$G$34*$B118^Inputs!$B$11)</f>
        <v/>
      </c>
    </row>
    <row r="119">
      <c r="A119" s="7" t="n">
        <v>114</v>
      </c>
      <c r="B119" s="37">
        <f>Inputs!$B$4*A119/200</f>
        <v/>
      </c>
      <c r="C119" s="11">
        <f>IF(Inputs!$D$23=0,0,Inputs!$C$23+Inputs!$B$12*Inputs!$B$5*$B119^2/(Inputs!$D$23^2*Inputs!$H$23^4*Inputs!$I$23^2)+Inputs!$G$23*$B119^Inputs!$B$11)</f>
        <v/>
      </c>
      <c r="D119" s="11">
        <f>IF(Inputs!$D$24=0,0,Inputs!$C$24+Inputs!$B$12*Inputs!$B$5*$B119^2/(Inputs!$D$24^2*Inputs!$H$24^4*Inputs!$I$24^2)+Inputs!$G$24*$B119^Inputs!$B$11)</f>
        <v/>
      </c>
      <c r="E119" s="11">
        <f>IF(Inputs!$D$25=0,0,Inputs!$C$25+Inputs!$B$12*Inputs!$B$5*$B119^2/(Inputs!$D$25^2*Inputs!$H$25^4*Inputs!$I$25^2)+Inputs!$G$25*$B119^Inputs!$B$11)</f>
        <v/>
      </c>
      <c r="F119" s="11">
        <f>IF(Inputs!$D$26=0,0,Inputs!$C$26+Inputs!$B$12*Inputs!$B$5*$B119^2/(Inputs!$D$26^2*Inputs!$H$26^4*Inputs!$I$26^2)+Inputs!$G$26*$B119^Inputs!$B$11)</f>
        <v/>
      </c>
      <c r="G119" s="11">
        <f>IF(Inputs!$D$27=0,0,Inputs!$C$27+Inputs!$B$12*Inputs!$B$5*$B119^2/(Inputs!$D$27^2*Inputs!$H$27^4*Inputs!$I$27^2)+Inputs!$G$27*$B119^Inputs!$B$11)</f>
        <v/>
      </c>
      <c r="H119" s="11">
        <f>IF(Inputs!$D$28=0,0,Inputs!$C$28+Inputs!$B$12*Inputs!$B$5*$B119^2/(Inputs!$D$28^2*Inputs!$H$28^4*Inputs!$I$28^2)+Inputs!$G$28*$B119^Inputs!$B$11)</f>
        <v/>
      </c>
      <c r="I119" s="11">
        <f>IF(Inputs!$D$29=0,0,Inputs!$C$29+Inputs!$B$12*Inputs!$B$5*$B119^2/(Inputs!$D$29^2*Inputs!$H$29^4*Inputs!$I$29^2)+Inputs!$G$29*$B119^Inputs!$B$11)</f>
        <v/>
      </c>
      <c r="J119" s="11">
        <f>IF(Inputs!$D$30=0,0,Inputs!$C$30+Inputs!$B$12*Inputs!$B$5*$B119^2/(Inputs!$D$30^2*Inputs!$H$30^4*Inputs!$I$30^2)+Inputs!$G$30*$B119^Inputs!$B$11)</f>
        <v/>
      </c>
      <c r="K119" s="11">
        <f>IF(Inputs!$D$31=0,0,Inputs!$C$31+Inputs!$B$12*Inputs!$B$5*$B119^2/(Inputs!$D$31^2*Inputs!$H$31^4*Inputs!$I$31^2)+Inputs!$G$31*$B119^Inputs!$B$11)</f>
        <v/>
      </c>
      <c r="L119" s="11">
        <f>IF(Inputs!$D$32=0,0,Inputs!$C$32+Inputs!$B$12*Inputs!$B$5*$B119^2/(Inputs!$D$32^2*Inputs!$H$32^4*Inputs!$I$32^2)+Inputs!$G$32*$B119^Inputs!$B$11)</f>
        <v/>
      </c>
      <c r="M119" s="11">
        <f>IF(Inputs!$D$33=0,0,Inputs!$C$33+Inputs!$B$12*Inputs!$B$5*$B119^2/(Inputs!$D$33^2*Inputs!$H$33^4*Inputs!$I$33^2)+Inputs!$G$33*$B119^Inputs!$B$11)</f>
        <v/>
      </c>
      <c r="N119" s="11">
        <f>IF(Inputs!$D$34=0,0,Inputs!$C$34+Inputs!$B$12*Inputs!$B$5*$B119^2/(Inputs!$D$34^2*Inputs!$H$34^4*Inputs!$I$34^2)+Inputs!$G$34*$B119^Inputs!$B$11)</f>
        <v/>
      </c>
    </row>
    <row r="120">
      <c r="A120" s="7" t="n">
        <v>115</v>
      </c>
      <c r="B120" s="37">
        <f>Inputs!$B$4*A120/200</f>
        <v/>
      </c>
      <c r="C120" s="11">
        <f>IF(Inputs!$D$23=0,0,Inputs!$C$23+Inputs!$B$12*Inputs!$B$5*$B120^2/(Inputs!$D$23^2*Inputs!$H$23^4*Inputs!$I$23^2)+Inputs!$G$23*$B120^Inputs!$B$11)</f>
        <v/>
      </c>
      <c r="D120" s="11">
        <f>IF(Inputs!$D$24=0,0,Inputs!$C$24+Inputs!$B$12*Inputs!$B$5*$B120^2/(Inputs!$D$24^2*Inputs!$H$24^4*Inputs!$I$24^2)+Inputs!$G$24*$B120^Inputs!$B$11)</f>
        <v/>
      </c>
      <c r="E120" s="11">
        <f>IF(Inputs!$D$25=0,0,Inputs!$C$25+Inputs!$B$12*Inputs!$B$5*$B120^2/(Inputs!$D$25^2*Inputs!$H$25^4*Inputs!$I$25^2)+Inputs!$G$25*$B120^Inputs!$B$11)</f>
        <v/>
      </c>
      <c r="F120" s="11">
        <f>IF(Inputs!$D$26=0,0,Inputs!$C$26+Inputs!$B$12*Inputs!$B$5*$B120^2/(Inputs!$D$26^2*Inputs!$H$26^4*Inputs!$I$26^2)+Inputs!$G$26*$B120^Inputs!$B$11)</f>
        <v/>
      </c>
      <c r="G120" s="11">
        <f>IF(Inputs!$D$27=0,0,Inputs!$C$27+Inputs!$B$12*Inputs!$B$5*$B120^2/(Inputs!$D$27^2*Inputs!$H$27^4*Inputs!$I$27^2)+Inputs!$G$27*$B120^Inputs!$B$11)</f>
        <v/>
      </c>
      <c r="H120" s="11">
        <f>IF(Inputs!$D$28=0,0,Inputs!$C$28+Inputs!$B$12*Inputs!$B$5*$B120^2/(Inputs!$D$28^2*Inputs!$H$28^4*Inputs!$I$28^2)+Inputs!$G$28*$B120^Inputs!$B$11)</f>
        <v/>
      </c>
      <c r="I120" s="11">
        <f>IF(Inputs!$D$29=0,0,Inputs!$C$29+Inputs!$B$12*Inputs!$B$5*$B120^2/(Inputs!$D$29^2*Inputs!$H$29^4*Inputs!$I$29^2)+Inputs!$G$29*$B120^Inputs!$B$11)</f>
        <v/>
      </c>
      <c r="J120" s="11">
        <f>IF(Inputs!$D$30=0,0,Inputs!$C$30+Inputs!$B$12*Inputs!$B$5*$B120^2/(Inputs!$D$30^2*Inputs!$H$30^4*Inputs!$I$30^2)+Inputs!$G$30*$B120^Inputs!$B$11)</f>
        <v/>
      </c>
      <c r="K120" s="11">
        <f>IF(Inputs!$D$31=0,0,Inputs!$C$31+Inputs!$B$12*Inputs!$B$5*$B120^2/(Inputs!$D$31^2*Inputs!$H$31^4*Inputs!$I$31^2)+Inputs!$G$31*$B120^Inputs!$B$11)</f>
        <v/>
      </c>
      <c r="L120" s="11">
        <f>IF(Inputs!$D$32=0,0,Inputs!$C$32+Inputs!$B$12*Inputs!$B$5*$B120^2/(Inputs!$D$32^2*Inputs!$H$32^4*Inputs!$I$32^2)+Inputs!$G$32*$B120^Inputs!$B$11)</f>
        <v/>
      </c>
      <c r="M120" s="11">
        <f>IF(Inputs!$D$33=0,0,Inputs!$C$33+Inputs!$B$12*Inputs!$B$5*$B120^2/(Inputs!$D$33^2*Inputs!$H$33^4*Inputs!$I$33^2)+Inputs!$G$33*$B120^Inputs!$B$11)</f>
        <v/>
      </c>
      <c r="N120" s="11">
        <f>IF(Inputs!$D$34=0,0,Inputs!$C$34+Inputs!$B$12*Inputs!$B$5*$B120^2/(Inputs!$D$34^2*Inputs!$H$34^4*Inputs!$I$34^2)+Inputs!$G$34*$B120^Inputs!$B$11)</f>
        <v/>
      </c>
    </row>
    <row r="121">
      <c r="A121" s="7" t="n">
        <v>116</v>
      </c>
      <c r="B121" s="37">
        <f>Inputs!$B$4*A121/200</f>
        <v/>
      </c>
      <c r="C121" s="11">
        <f>IF(Inputs!$D$23=0,0,Inputs!$C$23+Inputs!$B$12*Inputs!$B$5*$B121^2/(Inputs!$D$23^2*Inputs!$H$23^4*Inputs!$I$23^2)+Inputs!$G$23*$B121^Inputs!$B$11)</f>
        <v/>
      </c>
      <c r="D121" s="11">
        <f>IF(Inputs!$D$24=0,0,Inputs!$C$24+Inputs!$B$12*Inputs!$B$5*$B121^2/(Inputs!$D$24^2*Inputs!$H$24^4*Inputs!$I$24^2)+Inputs!$G$24*$B121^Inputs!$B$11)</f>
        <v/>
      </c>
      <c r="E121" s="11">
        <f>IF(Inputs!$D$25=0,0,Inputs!$C$25+Inputs!$B$12*Inputs!$B$5*$B121^2/(Inputs!$D$25^2*Inputs!$H$25^4*Inputs!$I$25^2)+Inputs!$G$25*$B121^Inputs!$B$11)</f>
        <v/>
      </c>
      <c r="F121" s="11">
        <f>IF(Inputs!$D$26=0,0,Inputs!$C$26+Inputs!$B$12*Inputs!$B$5*$B121^2/(Inputs!$D$26^2*Inputs!$H$26^4*Inputs!$I$26^2)+Inputs!$G$26*$B121^Inputs!$B$11)</f>
        <v/>
      </c>
      <c r="G121" s="11">
        <f>IF(Inputs!$D$27=0,0,Inputs!$C$27+Inputs!$B$12*Inputs!$B$5*$B121^2/(Inputs!$D$27^2*Inputs!$H$27^4*Inputs!$I$27^2)+Inputs!$G$27*$B121^Inputs!$B$11)</f>
        <v/>
      </c>
      <c r="H121" s="11">
        <f>IF(Inputs!$D$28=0,0,Inputs!$C$28+Inputs!$B$12*Inputs!$B$5*$B121^2/(Inputs!$D$28^2*Inputs!$H$28^4*Inputs!$I$28^2)+Inputs!$G$28*$B121^Inputs!$B$11)</f>
        <v/>
      </c>
      <c r="I121" s="11">
        <f>IF(Inputs!$D$29=0,0,Inputs!$C$29+Inputs!$B$12*Inputs!$B$5*$B121^2/(Inputs!$D$29^2*Inputs!$H$29^4*Inputs!$I$29^2)+Inputs!$G$29*$B121^Inputs!$B$11)</f>
        <v/>
      </c>
      <c r="J121" s="11">
        <f>IF(Inputs!$D$30=0,0,Inputs!$C$30+Inputs!$B$12*Inputs!$B$5*$B121^2/(Inputs!$D$30^2*Inputs!$H$30^4*Inputs!$I$30^2)+Inputs!$G$30*$B121^Inputs!$B$11)</f>
        <v/>
      </c>
      <c r="K121" s="11">
        <f>IF(Inputs!$D$31=0,0,Inputs!$C$31+Inputs!$B$12*Inputs!$B$5*$B121^2/(Inputs!$D$31^2*Inputs!$H$31^4*Inputs!$I$31^2)+Inputs!$G$31*$B121^Inputs!$B$11)</f>
        <v/>
      </c>
      <c r="L121" s="11">
        <f>IF(Inputs!$D$32=0,0,Inputs!$C$32+Inputs!$B$12*Inputs!$B$5*$B121^2/(Inputs!$D$32^2*Inputs!$H$32^4*Inputs!$I$32^2)+Inputs!$G$32*$B121^Inputs!$B$11)</f>
        <v/>
      </c>
      <c r="M121" s="11">
        <f>IF(Inputs!$D$33=0,0,Inputs!$C$33+Inputs!$B$12*Inputs!$B$5*$B121^2/(Inputs!$D$33^2*Inputs!$H$33^4*Inputs!$I$33^2)+Inputs!$G$33*$B121^Inputs!$B$11)</f>
        <v/>
      </c>
      <c r="N121" s="11">
        <f>IF(Inputs!$D$34=0,0,Inputs!$C$34+Inputs!$B$12*Inputs!$B$5*$B121^2/(Inputs!$D$34^2*Inputs!$H$34^4*Inputs!$I$34^2)+Inputs!$G$34*$B121^Inputs!$B$11)</f>
        <v/>
      </c>
    </row>
    <row r="122">
      <c r="A122" s="7" t="n">
        <v>117</v>
      </c>
      <c r="B122" s="37">
        <f>Inputs!$B$4*A122/200</f>
        <v/>
      </c>
      <c r="C122" s="11">
        <f>IF(Inputs!$D$23=0,0,Inputs!$C$23+Inputs!$B$12*Inputs!$B$5*$B122^2/(Inputs!$D$23^2*Inputs!$H$23^4*Inputs!$I$23^2)+Inputs!$G$23*$B122^Inputs!$B$11)</f>
        <v/>
      </c>
      <c r="D122" s="11">
        <f>IF(Inputs!$D$24=0,0,Inputs!$C$24+Inputs!$B$12*Inputs!$B$5*$B122^2/(Inputs!$D$24^2*Inputs!$H$24^4*Inputs!$I$24^2)+Inputs!$G$24*$B122^Inputs!$B$11)</f>
        <v/>
      </c>
      <c r="E122" s="11">
        <f>IF(Inputs!$D$25=0,0,Inputs!$C$25+Inputs!$B$12*Inputs!$B$5*$B122^2/(Inputs!$D$25^2*Inputs!$H$25^4*Inputs!$I$25^2)+Inputs!$G$25*$B122^Inputs!$B$11)</f>
        <v/>
      </c>
      <c r="F122" s="11">
        <f>IF(Inputs!$D$26=0,0,Inputs!$C$26+Inputs!$B$12*Inputs!$B$5*$B122^2/(Inputs!$D$26^2*Inputs!$H$26^4*Inputs!$I$26^2)+Inputs!$G$26*$B122^Inputs!$B$11)</f>
        <v/>
      </c>
      <c r="G122" s="11">
        <f>IF(Inputs!$D$27=0,0,Inputs!$C$27+Inputs!$B$12*Inputs!$B$5*$B122^2/(Inputs!$D$27^2*Inputs!$H$27^4*Inputs!$I$27^2)+Inputs!$G$27*$B122^Inputs!$B$11)</f>
        <v/>
      </c>
      <c r="H122" s="11">
        <f>IF(Inputs!$D$28=0,0,Inputs!$C$28+Inputs!$B$12*Inputs!$B$5*$B122^2/(Inputs!$D$28^2*Inputs!$H$28^4*Inputs!$I$28^2)+Inputs!$G$28*$B122^Inputs!$B$11)</f>
        <v/>
      </c>
      <c r="I122" s="11">
        <f>IF(Inputs!$D$29=0,0,Inputs!$C$29+Inputs!$B$12*Inputs!$B$5*$B122^2/(Inputs!$D$29^2*Inputs!$H$29^4*Inputs!$I$29^2)+Inputs!$G$29*$B122^Inputs!$B$11)</f>
        <v/>
      </c>
      <c r="J122" s="11">
        <f>IF(Inputs!$D$30=0,0,Inputs!$C$30+Inputs!$B$12*Inputs!$B$5*$B122^2/(Inputs!$D$30^2*Inputs!$H$30^4*Inputs!$I$30^2)+Inputs!$G$30*$B122^Inputs!$B$11)</f>
        <v/>
      </c>
      <c r="K122" s="11">
        <f>IF(Inputs!$D$31=0,0,Inputs!$C$31+Inputs!$B$12*Inputs!$B$5*$B122^2/(Inputs!$D$31^2*Inputs!$H$31^4*Inputs!$I$31^2)+Inputs!$G$31*$B122^Inputs!$B$11)</f>
        <v/>
      </c>
      <c r="L122" s="11">
        <f>IF(Inputs!$D$32=0,0,Inputs!$C$32+Inputs!$B$12*Inputs!$B$5*$B122^2/(Inputs!$D$32^2*Inputs!$H$32^4*Inputs!$I$32^2)+Inputs!$G$32*$B122^Inputs!$B$11)</f>
        <v/>
      </c>
      <c r="M122" s="11">
        <f>IF(Inputs!$D$33=0,0,Inputs!$C$33+Inputs!$B$12*Inputs!$B$5*$B122^2/(Inputs!$D$33^2*Inputs!$H$33^4*Inputs!$I$33^2)+Inputs!$G$33*$B122^Inputs!$B$11)</f>
        <v/>
      </c>
      <c r="N122" s="11">
        <f>IF(Inputs!$D$34=0,0,Inputs!$C$34+Inputs!$B$12*Inputs!$B$5*$B122^2/(Inputs!$D$34^2*Inputs!$H$34^4*Inputs!$I$34^2)+Inputs!$G$34*$B122^Inputs!$B$11)</f>
        <v/>
      </c>
    </row>
    <row r="123">
      <c r="A123" s="7" t="n">
        <v>118</v>
      </c>
      <c r="B123" s="37">
        <f>Inputs!$B$4*A123/200</f>
        <v/>
      </c>
      <c r="C123" s="11">
        <f>IF(Inputs!$D$23=0,0,Inputs!$C$23+Inputs!$B$12*Inputs!$B$5*$B123^2/(Inputs!$D$23^2*Inputs!$H$23^4*Inputs!$I$23^2)+Inputs!$G$23*$B123^Inputs!$B$11)</f>
        <v/>
      </c>
      <c r="D123" s="11">
        <f>IF(Inputs!$D$24=0,0,Inputs!$C$24+Inputs!$B$12*Inputs!$B$5*$B123^2/(Inputs!$D$24^2*Inputs!$H$24^4*Inputs!$I$24^2)+Inputs!$G$24*$B123^Inputs!$B$11)</f>
        <v/>
      </c>
      <c r="E123" s="11">
        <f>IF(Inputs!$D$25=0,0,Inputs!$C$25+Inputs!$B$12*Inputs!$B$5*$B123^2/(Inputs!$D$25^2*Inputs!$H$25^4*Inputs!$I$25^2)+Inputs!$G$25*$B123^Inputs!$B$11)</f>
        <v/>
      </c>
      <c r="F123" s="11">
        <f>IF(Inputs!$D$26=0,0,Inputs!$C$26+Inputs!$B$12*Inputs!$B$5*$B123^2/(Inputs!$D$26^2*Inputs!$H$26^4*Inputs!$I$26^2)+Inputs!$G$26*$B123^Inputs!$B$11)</f>
        <v/>
      </c>
      <c r="G123" s="11">
        <f>IF(Inputs!$D$27=0,0,Inputs!$C$27+Inputs!$B$12*Inputs!$B$5*$B123^2/(Inputs!$D$27^2*Inputs!$H$27^4*Inputs!$I$27^2)+Inputs!$G$27*$B123^Inputs!$B$11)</f>
        <v/>
      </c>
      <c r="H123" s="11">
        <f>IF(Inputs!$D$28=0,0,Inputs!$C$28+Inputs!$B$12*Inputs!$B$5*$B123^2/(Inputs!$D$28^2*Inputs!$H$28^4*Inputs!$I$28^2)+Inputs!$G$28*$B123^Inputs!$B$11)</f>
        <v/>
      </c>
      <c r="I123" s="11">
        <f>IF(Inputs!$D$29=0,0,Inputs!$C$29+Inputs!$B$12*Inputs!$B$5*$B123^2/(Inputs!$D$29^2*Inputs!$H$29^4*Inputs!$I$29^2)+Inputs!$G$29*$B123^Inputs!$B$11)</f>
        <v/>
      </c>
      <c r="J123" s="11">
        <f>IF(Inputs!$D$30=0,0,Inputs!$C$30+Inputs!$B$12*Inputs!$B$5*$B123^2/(Inputs!$D$30^2*Inputs!$H$30^4*Inputs!$I$30^2)+Inputs!$G$30*$B123^Inputs!$B$11)</f>
        <v/>
      </c>
      <c r="K123" s="11">
        <f>IF(Inputs!$D$31=0,0,Inputs!$C$31+Inputs!$B$12*Inputs!$B$5*$B123^2/(Inputs!$D$31^2*Inputs!$H$31^4*Inputs!$I$31^2)+Inputs!$G$31*$B123^Inputs!$B$11)</f>
        <v/>
      </c>
      <c r="L123" s="11">
        <f>IF(Inputs!$D$32=0,0,Inputs!$C$32+Inputs!$B$12*Inputs!$B$5*$B123^2/(Inputs!$D$32^2*Inputs!$H$32^4*Inputs!$I$32^2)+Inputs!$G$32*$B123^Inputs!$B$11)</f>
        <v/>
      </c>
      <c r="M123" s="11">
        <f>IF(Inputs!$D$33=0,0,Inputs!$C$33+Inputs!$B$12*Inputs!$B$5*$B123^2/(Inputs!$D$33^2*Inputs!$H$33^4*Inputs!$I$33^2)+Inputs!$G$33*$B123^Inputs!$B$11)</f>
        <v/>
      </c>
      <c r="N123" s="11">
        <f>IF(Inputs!$D$34=0,0,Inputs!$C$34+Inputs!$B$12*Inputs!$B$5*$B123^2/(Inputs!$D$34^2*Inputs!$H$34^4*Inputs!$I$34^2)+Inputs!$G$34*$B123^Inputs!$B$11)</f>
        <v/>
      </c>
    </row>
    <row r="124">
      <c r="A124" s="7" t="n">
        <v>119</v>
      </c>
      <c r="B124" s="37">
        <f>Inputs!$B$4*A124/200</f>
        <v/>
      </c>
      <c r="C124" s="11">
        <f>IF(Inputs!$D$23=0,0,Inputs!$C$23+Inputs!$B$12*Inputs!$B$5*$B124^2/(Inputs!$D$23^2*Inputs!$H$23^4*Inputs!$I$23^2)+Inputs!$G$23*$B124^Inputs!$B$11)</f>
        <v/>
      </c>
      <c r="D124" s="11">
        <f>IF(Inputs!$D$24=0,0,Inputs!$C$24+Inputs!$B$12*Inputs!$B$5*$B124^2/(Inputs!$D$24^2*Inputs!$H$24^4*Inputs!$I$24^2)+Inputs!$G$24*$B124^Inputs!$B$11)</f>
        <v/>
      </c>
      <c r="E124" s="11">
        <f>IF(Inputs!$D$25=0,0,Inputs!$C$25+Inputs!$B$12*Inputs!$B$5*$B124^2/(Inputs!$D$25^2*Inputs!$H$25^4*Inputs!$I$25^2)+Inputs!$G$25*$B124^Inputs!$B$11)</f>
        <v/>
      </c>
      <c r="F124" s="11">
        <f>IF(Inputs!$D$26=0,0,Inputs!$C$26+Inputs!$B$12*Inputs!$B$5*$B124^2/(Inputs!$D$26^2*Inputs!$H$26^4*Inputs!$I$26^2)+Inputs!$G$26*$B124^Inputs!$B$11)</f>
        <v/>
      </c>
      <c r="G124" s="11">
        <f>IF(Inputs!$D$27=0,0,Inputs!$C$27+Inputs!$B$12*Inputs!$B$5*$B124^2/(Inputs!$D$27^2*Inputs!$H$27^4*Inputs!$I$27^2)+Inputs!$G$27*$B124^Inputs!$B$11)</f>
        <v/>
      </c>
      <c r="H124" s="11">
        <f>IF(Inputs!$D$28=0,0,Inputs!$C$28+Inputs!$B$12*Inputs!$B$5*$B124^2/(Inputs!$D$28^2*Inputs!$H$28^4*Inputs!$I$28^2)+Inputs!$G$28*$B124^Inputs!$B$11)</f>
        <v/>
      </c>
      <c r="I124" s="11">
        <f>IF(Inputs!$D$29=0,0,Inputs!$C$29+Inputs!$B$12*Inputs!$B$5*$B124^2/(Inputs!$D$29^2*Inputs!$H$29^4*Inputs!$I$29^2)+Inputs!$G$29*$B124^Inputs!$B$11)</f>
        <v/>
      </c>
      <c r="J124" s="11">
        <f>IF(Inputs!$D$30=0,0,Inputs!$C$30+Inputs!$B$12*Inputs!$B$5*$B124^2/(Inputs!$D$30^2*Inputs!$H$30^4*Inputs!$I$30^2)+Inputs!$G$30*$B124^Inputs!$B$11)</f>
        <v/>
      </c>
      <c r="K124" s="11">
        <f>IF(Inputs!$D$31=0,0,Inputs!$C$31+Inputs!$B$12*Inputs!$B$5*$B124^2/(Inputs!$D$31^2*Inputs!$H$31^4*Inputs!$I$31^2)+Inputs!$G$31*$B124^Inputs!$B$11)</f>
        <v/>
      </c>
      <c r="L124" s="11">
        <f>IF(Inputs!$D$32=0,0,Inputs!$C$32+Inputs!$B$12*Inputs!$B$5*$B124^2/(Inputs!$D$32^2*Inputs!$H$32^4*Inputs!$I$32^2)+Inputs!$G$32*$B124^Inputs!$B$11)</f>
        <v/>
      </c>
      <c r="M124" s="11">
        <f>IF(Inputs!$D$33=0,0,Inputs!$C$33+Inputs!$B$12*Inputs!$B$5*$B124^2/(Inputs!$D$33^2*Inputs!$H$33^4*Inputs!$I$33^2)+Inputs!$G$33*$B124^Inputs!$B$11)</f>
        <v/>
      </c>
      <c r="N124" s="11">
        <f>IF(Inputs!$D$34=0,0,Inputs!$C$34+Inputs!$B$12*Inputs!$B$5*$B124^2/(Inputs!$D$34^2*Inputs!$H$34^4*Inputs!$I$34^2)+Inputs!$G$34*$B124^Inputs!$B$11)</f>
        <v/>
      </c>
    </row>
    <row r="125">
      <c r="A125" s="7" t="n">
        <v>120</v>
      </c>
      <c r="B125" s="37">
        <f>Inputs!$B$4*A125/200</f>
        <v/>
      </c>
      <c r="C125" s="11">
        <f>IF(Inputs!$D$23=0,0,Inputs!$C$23+Inputs!$B$12*Inputs!$B$5*$B125^2/(Inputs!$D$23^2*Inputs!$H$23^4*Inputs!$I$23^2)+Inputs!$G$23*$B125^Inputs!$B$11)</f>
        <v/>
      </c>
      <c r="D125" s="11">
        <f>IF(Inputs!$D$24=0,0,Inputs!$C$24+Inputs!$B$12*Inputs!$B$5*$B125^2/(Inputs!$D$24^2*Inputs!$H$24^4*Inputs!$I$24^2)+Inputs!$G$24*$B125^Inputs!$B$11)</f>
        <v/>
      </c>
      <c r="E125" s="11">
        <f>IF(Inputs!$D$25=0,0,Inputs!$C$25+Inputs!$B$12*Inputs!$B$5*$B125^2/(Inputs!$D$25^2*Inputs!$H$25^4*Inputs!$I$25^2)+Inputs!$G$25*$B125^Inputs!$B$11)</f>
        <v/>
      </c>
      <c r="F125" s="11">
        <f>IF(Inputs!$D$26=0,0,Inputs!$C$26+Inputs!$B$12*Inputs!$B$5*$B125^2/(Inputs!$D$26^2*Inputs!$H$26^4*Inputs!$I$26^2)+Inputs!$G$26*$B125^Inputs!$B$11)</f>
        <v/>
      </c>
      <c r="G125" s="11">
        <f>IF(Inputs!$D$27=0,0,Inputs!$C$27+Inputs!$B$12*Inputs!$B$5*$B125^2/(Inputs!$D$27^2*Inputs!$H$27^4*Inputs!$I$27^2)+Inputs!$G$27*$B125^Inputs!$B$11)</f>
        <v/>
      </c>
      <c r="H125" s="11">
        <f>IF(Inputs!$D$28=0,0,Inputs!$C$28+Inputs!$B$12*Inputs!$B$5*$B125^2/(Inputs!$D$28^2*Inputs!$H$28^4*Inputs!$I$28^2)+Inputs!$G$28*$B125^Inputs!$B$11)</f>
        <v/>
      </c>
      <c r="I125" s="11">
        <f>IF(Inputs!$D$29=0,0,Inputs!$C$29+Inputs!$B$12*Inputs!$B$5*$B125^2/(Inputs!$D$29^2*Inputs!$H$29^4*Inputs!$I$29^2)+Inputs!$G$29*$B125^Inputs!$B$11)</f>
        <v/>
      </c>
      <c r="J125" s="11">
        <f>IF(Inputs!$D$30=0,0,Inputs!$C$30+Inputs!$B$12*Inputs!$B$5*$B125^2/(Inputs!$D$30^2*Inputs!$H$30^4*Inputs!$I$30^2)+Inputs!$G$30*$B125^Inputs!$B$11)</f>
        <v/>
      </c>
      <c r="K125" s="11">
        <f>IF(Inputs!$D$31=0,0,Inputs!$C$31+Inputs!$B$12*Inputs!$B$5*$B125^2/(Inputs!$D$31^2*Inputs!$H$31^4*Inputs!$I$31^2)+Inputs!$G$31*$B125^Inputs!$B$11)</f>
        <v/>
      </c>
      <c r="L125" s="11">
        <f>IF(Inputs!$D$32=0,0,Inputs!$C$32+Inputs!$B$12*Inputs!$B$5*$B125^2/(Inputs!$D$32^2*Inputs!$H$32^4*Inputs!$I$32^2)+Inputs!$G$32*$B125^Inputs!$B$11)</f>
        <v/>
      </c>
      <c r="M125" s="11">
        <f>IF(Inputs!$D$33=0,0,Inputs!$C$33+Inputs!$B$12*Inputs!$B$5*$B125^2/(Inputs!$D$33^2*Inputs!$H$33^4*Inputs!$I$33^2)+Inputs!$G$33*$B125^Inputs!$B$11)</f>
        <v/>
      </c>
      <c r="N125" s="11">
        <f>IF(Inputs!$D$34=0,0,Inputs!$C$34+Inputs!$B$12*Inputs!$B$5*$B125^2/(Inputs!$D$34^2*Inputs!$H$34^4*Inputs!$I$34^2)+Inputs!$G$34*$B125^Inputs!$B$11)</f>
        <v/>
      </c>
    </row>
    <row r="126">
      <c r="A126" s="7" t="n">
        <v>121</v>
      </c>
      <c r="B126" s="37">
        <f>Inputs!$B$4*A126/200</f>
        <v/>
      </c>
      <c r="C126" s="11">
        <f>IF(Inputs!$D$23=0,0,Inputs!$C$23+Inputs!$B$12*Inputs!$B$5*$B126^2/(Inputs!$D$23^2*Inputs!$H$23^4*Inputs!$I$23^2)+Inputs!$G$23*$B126^Inputs!$B$11)</f>
        <v/>
      </c>
      <c r="D126" s="11">
        <f>IF(Inputs!$D$24=0,0,Inputs!$C$24+Inputs!$B$12*Inputs!$B$5*$B126^2/(Inputs!$D$24^2*Inputs!$H$24^4*Inputs!$I$24^2)+Inputs!$G$24*$B126^Inputs!$B$11)</f>
        <v/>
      </c>
      <c r="E126" s="11">
        <f>IF(Inputs!$D$25=0,0,Inputs!$C$25+Inputs!$B$12*Inputs!$B$5*$B126^2/(Inputs!$D$25^2*Inputs!$H$25^4*Inputs!$I$25^2)+Inputs!$G$25*$B126^Inputs!$B$11)</f>
        <v/>
      </c>
      <c r="F126" s="11">
        <f>IF(Inputs!$D$26=0,0,Inputs!$C$26+Inputs!$B$12*Inputs!$B$5*$B126^2/(Inputs!$D$26^2*Inputs!$H$26^4*Inputs!$I$26^2)+Inputs!$G$26*$B126^Inputs!$B$11)</f>
        <v/>
      </c>
      <c r="G126" s="11">
        <f>IF(Inputs!$D$27=0,0,Inputs!$C$27+Inputs!$B$12*Inputs!$B$5*$B126^2/(Inputs!$D$27^2*Inputs!$H$27^4*Inputs!$I$27^2)+Inputs!$G$27*$B126^Inputs!$B$11)</f>
        <v/>
      </c>
      <c r="H126" s="11">
        <f>IF(Inputs!$D$28=0,0,Inputs!$C$28+Inputs!$B$12*Inputs!$B$5*$B126^2/(Inputs!$D$28^2*Inputs!$H$28^4*Inputs!$I$28^2)+Inputs!$G$28*$B126^Inputs!$B$11)</f>
        <v/>
      </c>
      <c r="I126" s="11">
        <f>IF(Inputs!$D$29=0,0,Inputs!$C$29+Inputs!$B$12*Inputs!$B$5*$B126^2/(Inputs!$D$29^2*Inputs!$H$29^4*Inputs!$I$29^2)+Inputs!$G$29*$B126^Inputs!$B$11)</f>
        <v/>
      </c>
      <c r="J126" s="11">
        <f>IF(Inputs!$D$30=0,0,Inputs!$C$30+Inputs!$B$12*Inputs!$B$5*$B126^2/(Inputs!$D$30^2*Inputs!$H$30^4*Inputs!$I$30^2)+Inputs!$G$30*$B126^Inputs!$B$11)</f>
        <v/>
      </c>
      <c r="K126" s="11">
        <f>IF(Inputs!$D$31=0,0,Inputs!$C$31+Inputs!$B$12*Inputs!$B$5*$B126^2/(Inputs!$D$31^2*Inputs!$H$31^4*Inputs!$I$31^2)+Inputs!$G$31*$B126^Inputs!$B$11)</f>
        <v/>
      </c>
      <c r="L126" s="11">
        <f>IF(Inputs!$D$32=0,0,Inputs!$C$32+Inputs!$B$12*Inputs!$B$5*$B126^2/(Inputs!$D$32^2*Inputs!$H$32^4*Inputs!$I$32^2)+Inputs!$G$32*$B126^Inputs!$B$11)</f>
        <v/>
      </c>
      <c r="M126" s="11">
        <f>IF(Inputs!$D$33=0,0,Inputs!$C$33+Inputs!$B$12*Inputs!$B$5*$B126^2/(Inputs!$D$33^2*Inputs!$H$33^4*Inputs!$I$33^2)+Inputs!$G$33*$B126^Inputs!$B$11)</f>
        <v/>
      </c>
      <c r="N126" s="11">
        <f>IF(Inputs!$D$34=0,0,Inputs!$C$34+Inputs!$B$12*Inputs!$B$5*$B126^2/(Inputs!$D$34^2*Inputs!$H$34^4*Inputs!$I$34^2)+Inputs!$G$34*$B126^Inputs!$B$11)</f>
        <v/>
      </c>
    </row>
    <row r="127">
      <c r="A127" s="7" t="n">
        <v>122</v>
      </c>
      <c r="B127" s="37">
        <f>Inputs!$B$4*A127/200</f>
        <v/>
      </c>
      <c r="C127" s="11">
        <f>IF(Inputs!$D$23=0,0,Inputs!$C$23+Inputs!$B$12*Inputs!$B$5*$B127^2/(Inputs!$D$23^2*Inputs!$H$23^4*Inputs!$I$23^2)+Inputs!$G$23*$B127^Inputs!$B$11)</f>
        <v/>
      </c>
      <c r="D127" s="11">
        <f>IF(Inputs!$D$24=0,0,Inputs!$C$24+Inputs!$B$12*Inputs!$B$5*$B127^2/(Inputs!$D$24^2*Inputs!$H$24^4*Inputs!$I$24^2)+Inputs!$G$24*$B127^Inputs!$B$11)</f>
        <v/>
      </c>
      <c r="E127" s="11">
        <f>IF(Inputs!$D$25=0,0,Inputs!$C$25+Inputs!$B$12*Inputs!$B$5*$B127^2/(Inputs!$D$25^2*Inputs!$H$25^4*Inputs!$I$25^2)+Inputs!$G$25*$B127^Inputs!$B$11)</f>
        <v/>
      </c>
      <c r="F127" s="11">
        <f>IF(Inputs!$D$26=0,0,Inputs!$C$26+Inputs!$B$12*Inputs!$B$5*$B127^2/(Inputs!$D$26^2*Inputs!$H$26^4*Inputs!$I$26^2)+Inputs!$G$26*$B127^Inputs!$B$11)</f>
        <v/>
      </c>
      <c r="G127" s="11">
        <f>IF(Inputs!$D$27=0,0,Inputs!$C$27+Inputs!$B$12*Inputs!$B$5*$B127^2/(Inputs!$D$27^2*Inputs!$H$27^4*Inputs!$I$27^2)+Inputs!$G$27*$B127^Inputs!$B$11)</f>
        <v/>
      </c>
      <c r="H127" s="11">
        <f>IF(Inputs!$D$28=0,0,Inputs!$C$28+Inputs!$B$12*Inputs!$B$5*$B127^2/(Inputs!$D$28^2*Inputs!$H$28^4*Inputs!$I$28^2)+Inputs!$G$28*$B127^Inputs!$B$11)</f>
        <v/>
      </c>
      <c r="I127" s="11">
        <f>IF(Inputs!$D$29=0,0,Inputs!$C$29+Inputs!$B$12*Inputs!$B$5*$B127^2/(Inputs!$D$29^2*Inputs!$H$29^4*Inputs!$I$29^2)+Inputs!$G$29*$B127^Inputs!$B$11)</f>
        <v/>
      </c>
      <c r="J127" s="11">
        <f>IF(Inputs!$D$30=0,0,Inputs!$C$30+Inputs!$B$12*Inputs!$B$5*$B127^2/(Inputs!$D$30^2*Inputs!$H$30^4*Inputs!$I$30^2)+Inputs!$G$30*$B127^Inputs!$B$11)</f>
        <v/>
      </c>
      <c r="K127" s="11">
        <f>IF(Inputs!$D$31=0,0,Inputs!$C$31+Inputs!$B$12*Inputs!$B$5*$B127^2/(Inputs!$D$31^2*Inputs!$H$31^4*Inputs!$I$31^2)+Inputs!$G$31*$B127^Inputs!$B$11)</f>
        <v/>
      </c>
      <c r="L127" s="11">
        <f>IF(Inputs!$D$32=0,0,Inputs!$C$32+Inputs!$B$12*Inputs!$B$5*$B127^2/(Inputs!$D$32^2*Inputs!$H$32^4*Inputs!$I$32^2)+Inputs!$G$32*$B127^Inputs!$B$11)</f>
        <v/>
      </c>
      <c r="M127" s="11">
        <f>IF(Inputs!$D$33=0,0,Inputs!$C$33+Inputs!$B$12*Inputs!$B$5*$B127^2/(Inputs!$D$33^2*Inputs!$H$33^4*Inputs!$I$33^2)+Inputs!$G$33*$B127^Inputs!$B$11)</f>
        <v/>
      </c>
      <c r="N127" s="11">
        <f>IF(Inputs!$D$34=0,0,Inputs!$C$34+Inputs!$B$12*Inputs!$B$5*$B127^2/(Inputs!$D$34^2*Inputs!$H$34^4*Inputs!$I$34^2)+Inputs!$G$34*$B127^Inputs!$B$11)</f>
        <v/>
      </c>
    </row>
    <row r="128">
      <c r="A128" s="7" t="n">
        <v>123</v>
      </c>
      <c r="B128" s="37">
        <f>Inputs!$B$4*A128/200</f>
        <v/>
      </c>
      <c r="C128" s="11">
        <f>IF(Inputs!$D$23=0,0,Inputs!$C$23+Inputs!$B$12*Inputs!$B$5*$B128^2/(Inputs!$D$23^2*Inputs!$H$23^4*Inputs!$I$23^2)+Inputs!$G$23*$B128^Inputs!$B$11)</f>
        <v/>
      </c>
      <c r="D128" s="11">
        <f>IF(Inputs!$D$24=0,0,Inputs!$C$24+Inputs!$B$12*Inputs!$B$5*$B128^2/(Inputs!$D$24^2*Inputs!$H$24^4*Inputs!$I$24^2)+Inputs!$G$24*$B128^Inputs!$B$11)</f>
        <v/>
      </c>
      <c r="E128" s="11">
        <f>IF(Inputs!$D$25=0,0,Inputs!$C$25+Inputs!$B$12*Inputs!$B$5*$B128^2/(Inputs!$D$25^2*Inputs!$H$25^4*Inputs!$I$25^2)+Inputs!$G$25*$B128^Inputs!$B$11)</f>
        <v/>
      </c>
      <c r="F128" s="11">
        <f>IF(Inputs!$D$26=0,0,Inputs!$C$26+Inputs!$B$12*Inputs!$B$5*$B128^2/(Inputs!$D$26^2*Inputs!$H$26^4*Inputs!$I$26^2)+Inputs!$G$26*$B128^Inputs!$B$11)</f>
        <v/>
      </c>
      <c r="G128" s="11">
        <f>IF(Inputs!$D$27=0,0,Inputs!$C$27+Inputs!$B$12*Inputs!$B$5*$B128^2/(Inputs!$D$27^2*Inputs!$H$27^4*Inputs!$I$27^2)+Inputs!$G$27*$B128^Inputs!$B$11)</f>
        <v/>
      </c>
      <c r="H128" s="11">
        <f>IF(Inputs!$D$28=0,0,Inputs!$C$28+Inputs!$B$12*Inputs!$B$5*$B128^2/(Inputs!$D$28^2*Inputs!$H$28^4*Inputs!$I$28^2)+Inputs!$G$28*$B128^Inputs!$B$11)</f>
        <v/>
      </c>
      <c r="I128" s="11">
        <f>IF(Inputs!$D$29=0,0,Inputs!$C$29+Inputs!$B$12*Inputs!$B$5*$B128^2/(Inputs!$D$29^2*Inputs!$H$29^4*Inputs!$I$29^2)+Inputs!$G$29*$B128^Inputs!$B$11)</f>
        <v/>
      </c>
      <c r="J128" s="11">
        <f>IF(Inputs!$D$30=0,0,Inputs!$C$30+Inputs!$B$12*Inputs!$B$5*$B128^2/(Inputs!$D$30^2*Inputs!$H$30^4*Inputs!$I$30^2)+Inputs!$G$30*$B128^Inputs!$B$11)</f>
        <v/>
      </c>
      <c r="K128" s="11">
        <f>IF(Inputs!$D$31=0,0,Inputs!$C$31+Inputs!$B$12*Inputs!$B$5*$B128^2/(Inputs!$D$31^2*Inputs!$H$31^4*Inputs!$I$31^2)+Inputs!$G$31*$B128^Inputs!$B$11)</f>
        <v/>
      </c>
      <c r="L128" s="11">
        <f>IF(Inputs!$D$32=0,0,Inputs!$C$32+Inputs!$B$12*Inputs!$B$5*$B128^2/(Inputs!$D$32^2*Inputs!$H$32^4*Inputs!$I$32^2)+Inputs!$G$32*$B128^Inputs!$B$11)</f>
        <v/>
      </c>
      <c r="M128" s="11">
        <f>IF(Inputs!$D$33=0,0,Inputs!$C$33+Inputs!$B$12*Inputs!$B$5*$B128^2/(Inputs!$D$33^2*Inputs!$H$33^4*Inputs!$I$33^2)+Inputs!$G$33*$B128^Inputs!$B$11)</f>
        <v/>
      </c>
      <c r="N128" s="11">
        <f>IF(Inputs!$D$34=0,0,Inputs!$C$34+Inputs!$B$12*Inputs!$B$5*$B128^2/(Inputs!$D$34^2*Inputs!$H$34^4*Inputs!$I$34^2)+Inputs!$G$34*$B128^Inputs!$B$11)</f>
        <v/>
      </c>
    </row>
    <row r="129">
      <c r="A129" s="7" t="n">
        <v>124</v>
      </c>
      <c r="B129" s="37">
        <f>Inputs!$B$4*A129/200</f>
        <v/>
      </c>
      <c r="C129" s="11">
        <f>IF(Inputs!$D$23=0,0,Inputs!$C$23+Inputs!$B$12*Inputs!$B$5*$B129^2/(Inputs!$D$23^2*Inputs!$H$23^4*Inputs!$I$23^2)+Inputs!$G$23*$B129^Inputs!$B$11)</f>
        <v/>
      </c>
      <c r="D129" s="11">
        <f>IF(Inputs!$D$24=0,0,Inputs!$C$24+Inputs!$B$12*Inputs!$B$5*$B129^2/(Inputs!$D$24^2*Inputs!$H$24^4*Inputs!$I$24^2)+Inputs!$G$24*$B129^Inputs!$B$11)</f>
        <v/>
      </c>
      <c r="E129" s="11">
        <f>IF(Inputs!$D$25=0,0,Inputs!$C$25+Inputs!$B$12*Inputs!$B$5*$B129^2/(Inputs!$D$25^2*Inputs!$H$25^4*Inputs!$I$25^2)+Inputs!$G$25*$B129^Inputs!$B$11)</f>
        <v/>
      </c>
      <c r="F129" s="11">
        <f>IF(Inputs!$D$26=0,0,Inputs!$C$26+Inputs!$B$12*Inputs!$B$5*$B129^2/(Inputs!$D$26^2*Inputs!$H$26^4*Inputs!$I$26^2)+Inputs!$G$26*$B129^Inputs!$B$11)</f>
        <v/>
      </c>
      <c r="G129" s="11">
        <f>IF(Inputs!$D$27=0,0,Inputs!$C$27+Inputs!$B$12*Inputs!$B$5*$B129^2/(Inputs!$D$27^2*Inputs!$H$27^4*Inputs!$I$27^2)+Inputs!$G$27*$B129^Inputs!$B$11)</f>
        <v/>
      </c>
      <c r="H129" s="11">
        <f>IF(Inputs!$D$28=0,0,Inputs!$C$28+Inputs!$B$12*Inputs!$B$5*$B129^2/(Inputs!$D$28^2*Inputs!$H$28^4*Inputs!$I$28^2)+Inputs!$G$28*$B129^Inputs!$B$11)</f>
        <v/>
      </c>
      <c r="I129" s="11">
        <f>IF(Inputs!$D$29=0,0,Inputs!$C$29+Inputs!$B$12*Inputs!$B$5*$B129^2/(Inputs!$D$29^2*Inputs!$H$29^4*Inputs!$I$29^2)+Inputs!$G$29*$B129^Inputs!$B$11)</f>
        <v/>
      </c>
      <c r="J129" s="11">
        <f>IF(Inputs!$D$30=0,0,Inputs!$C$30+Inputs!$B$12*Inputs!$B$5*$B129^2/(Inputs!$D$30^2*Inputs!$H$30^4*Inputs!$I$30^2)+Inputs!$G$30*$B129^Inputs!$B$11)</f>
        <v/>
      </c>
      <c r="K129" s="11">
        <f>IF(Inputs!$D$31=0,0,Inputs!$C$31+Inputs!$B$12*Inputs!$B$5*$B129^2/(Inputs!$D$31^2*Inputs!$H$31^4*Inputs!$I$31^2)+Inputs!$G$31*$B129^Inputs!$B$11)</f>
        <v/>
      </c>
      <c r="L129" s="11">
        <f>IF(Inputs!$D$32=0,0,Inputs!$C$32+Inputs!$B$12*Inputs!$B$5*$B129^2/(Inputs!$D$32^2*Inputs!$H$32^4*Inputs!$I$32^2)+Inputs!$G$32*$B129^Inputs!$B$11)</f>
        <v/>
      </c>
      <c r="M129" s="11">
        <f>IF(Inputs!$D$33=0,0,Inputs!$C$33+Inputs!$B$12*Inputs!$B$5*$B129^2/(Inputs!$D$33^2*Inputs!$H$33^4*Inputs!$I$33^2)+Inputs!$G$33*$B129^Inputs!$B$11)</f>
        <v/>
      </c>
      <c r="N129" s="11">
        <f>IF(Inputs!$D$34=0,0,Inputs!$C$34+Inputs!$B$12*Inputs!$B$5*$B129^2/(Inputs!$D$34^2*Inputs!$H$34^4*Inputs!$I$34^2)+Inputs!$G$34*$B129^Inputs!$B$11)</f>
        <v/>
      </c>
    </row>
    <row r="130">
      <c r="A130" s="7" t="n">
        <v>125</v>
      </c>
      <c r="B130" s="37">
        <f>Inputs!$B$4*A130/200</f>
        <v/>
      </c>
      <c r="C130" s="11">
        <f>IF(Inputs!$D$23=0,0,Inputs!$C$23+Inputs!$B$12*Inputs!$B$5*$B130^2/(Inputs!$D$23^2*Inputs!$H$23^4*Inputs!$I$23^2)+Inputs!$G$23*$B130^Inputs!$B$11)</f>
        <v/>
      </c>
      <c r="D130" s="11">
        <f>IF(Inputs!$D$24=0,0,Inputs!$C$24+Inputs!$B$12*Inputs!$B$5*$B130^2/(Inputs!$D$24^2*Inputs!$H$24^4*Inputs!$I$24^2)+Inputs!$G$24*$B130^Inputs!$B$11)</f>
        <v/>
      </c>
      <c r="E130" s="11">
        <f>IF(Inputs!$D$25=0,0,Inputs!$C$25+Inputs!$B$12*Inputs!$B$5*$B130^2/(Inputs!$D$25^2*Inputs!$H$25^4*Inputs!$I$25^2)+Inputs!$G$25*$B130^Inputs!$B$11)</f>
        <v/>
      </c>
      <c r="F130" s="11">
        <f>IF(Inputs!$D$26=0,0,Inputs!$C$26+Inputs!$B$12*Inputs!$B$5*$B130^2/(Inputs!$D$26^2*Inputs!$H$26^4*Inputs!$I$26^2)+Inputs!$G$26*$B130^Inputs!$B$11)</f>
        <v/>
      </c>
      <c r="G130" s="11">
        <f>IF(Inputs!$D$27=0,0,Inputs!$C$27+Inputs!$B$12*Inputs!$B$5*$B130^2/(Inputs!$D$27^2*Inputs!$H$27^4*Inputs!$I$27^2)+Inputs!$G$27*$B130^Inputs!$B$11)</f>
        <v/>
      </c>
      <c r="H130" s="11">
        <f>IF(Inputs!$D$28=0,0,Inputs!$C$28+Inputs!$B$12*Inputs!$B$5*$B130^2/(Inputs!$D$28^2*Inputs!$H$28^4*Inputs!$I$28^2)+Inputs!$G$28*$B130^Inputs!$B$11)</f>
        <v/>
      </c>
      <c r="I130" s="11">
        <f>IF(Inputs!$D$29=0,0,Inputs!$C$29+Inputs!$B$12*Inputs!$B$5*$B130^2/(Inputs!$D$29^2*Inputs!$H$29^4*Inputs!$I$29^2)+Inputs!$G$29*$B130^Inputs!$B$11)</f>
        <v/>
      </c>
      <c r="J130" s="11">
        <f>IF(Inputs!$D$30=0,0,Inputs!$C$30+Inputs!$B$12*Inputs!$B$5*$B130^2/(Inputs!$D$30^2*Inputs!$H$30^4*Inputs!$I$30^2)+Inputs!$G$30*$B130^Inputs!$B$11)</f>
        <v/>
      </c>
      <c r="K130" s="11">
        <f>IF(Inputs!$D$31=0,0,Inputs!$C$31+Inputs!$B$12*Inputs!$B$5*$B130^2/(Inputs!$D$31^2*Inputs!$H$31^4*Inputs!$I$31^2)+Inputs!$G$31*$B130^Inputs!$B$11)</f>
        <v/>
      </c>
      <c r="L130" s="11">
        <f>IF(Inputs!$D$32=0,0,Inputs!$C$32+Inputs!$B$12*Inputs!$B$5*$B130^2/(Inputs!$D$32^2*Inputs!$H$32^4*Inputs!$I$32^2)+Inputs!$G$32*$B130^Inputs!$B$11)</f>
        <v/>
      </c>
      <c r="M130" s="11">
        <f>IF(Inputs!$D$33=0,0,Inputs!$C$33+Inputs!$B$12*Inputs!$B$5*$B130^2/(Inputs!$D$33^2*Inputs!$H$33^4*Inputs!$I$33^2)+Inputs!$G$33*$B130^Inputs!$B$11)</f>
        <v/>
      </c>
      <c r="N130" s="11">
        <f>IF(Inputs!$D$34=0,0,Inputs!$C$34+Inputs!$B$12*Inputs!$B$5*$B130^2/(Inputs!$D$34^2*Inputs!$H$34^4*Inputs!$I$34^2)+Inputs!$G$34*$B130^Inputs!$B$11)</f>
        <v/>
      </c>
    </row>
    <row r="131">
      <c r="A131" s="7" t="n">
        <v>126</v>
      </c>
      <c r="B131" s="37">
        <f>Inputs!$B$4*A131/200</f>
        <v/>
      </c>
      <c r="C131" s="11">
        <f>IF(Inputs!$D$23=0,0,Inputs!$C$23+Inputs!$B$12*Inputs!$B$5*$B131^2/(Inputs!$D$23^2*Inputs!$H$23^4*Inputs!$I$23^2)+Inputs!$G$23*$B131^Inputs!$B$11)</f>
        <v/>
      </c>
      <c r="D131" s="11">
        <f>IF(Inputs!$D$24=0,0,Inputs!$C$24+Inputs!$B$12*Inputs!$B$5*$B131^2/(Inputs!$D$24^2*Inputs!$H$24^4*Inputs!$I$24^2)+Inputs!$G$24*$B131^Inputs!$B$11)</f>
        <v/>
      </c>
      <c r="E131" s="11">
        <f>IF(Inputs!$D$25=0,0,Inputs!$C$25+Inputs!$B$12*Inputs!$B$5*$B131^2/(Inputs!$D$25^2*Inputs!$H$25^4*Inputs!$I$25^2)+Inputs!$G$25*$B131^Inputs!$B$11)</f>
        <v/>
      </c>
      <c r="F131" s="11">
        <f>IF(Inputs!$D$26=0,0,Inputs!$C$26+Inputs!$B$12*Inputs!$B$5*$B131^2/(Inputs!$D$26^2*Inputs!$H$26^4*Inputs!$I$26^2)+Inputs!$G$26*$B131^Inputs!$B$11)</f>
        <v/>
      </c>
      <c r="G131" s="11">
        <f>IF(Inputs!$D$27=0,0,Inputs!$C$27+Inputs!$B$12*Inputs!$B$5*$B131^2/(Inputs!$D$27^2*Inputs!$H$27^4*Inputs!$I$27^2)+Inputs!$G$27*$B131^Inputs!$B$11)</f>
        <v/>
      </c>
      <c r="H131" s="11">
        <f>IF(Inputs!$D$28=0,0,Inputs!$C$28+Inputs!$B$12*Inputs!$B$5*$B131^2/(Inputs!$D$28^2*Inputs!$H$28^4*Inputs!$I$28^2)+Inputs!$G$28*$B131^Inputs!$B$11)</f>
        <v/>
      </c>
      <c r="I131" s="11">
        <f>IF(Inputs!$D$29=0,0,Inputs!$C$29+Inputs!$B$12*Inputs!$B$5*$B131^2/(Inputs!$D$29^2*Inputs!$H$29^4*Inputs!$I$29^2)+Inputs!$G$29*$B131^Inputs!$B$11)</f>
        <v/>
      </c>
      <c r="J131" s="11">
        <f>IF(Inputs!$D$30=0,0,Inputs!$C$30+Inputs!$B$12*Inputs!$B$5*$B131^2/(Inputs!$D$30^2*Inputs!$H$30^4*Inputs!$I$30^2)+Inputs!$G$30*$B131^Inputs!$B$11)</f>
        <v/>
      </c>
      <c r="K131" s="11">
        <f>IF(Inputs!$D$31=0,0,Inputs!$C$31+Inputs!$B$12*Inputs!$B$5*$B131^2/(Inputs!$D$31^2*Inputs!$H$31^4*Inputs!$I$31^2)+Inputs!$G$31*$B131^Inputs!$B$11)</f>
        <v/>
      </c>
      <c r="L131" s="11">
        <f>IF(Inputs!$D$32=0,0,Inputs!$C$32+Inputs!$B$12*Inputs!$B$5*$B131^2/(Inputs!$D$32^2*Inputs!$H$32^4*Inputs!$I$32^2)+Inputs!$G$32*$B131^Inputs!$B$11)</f>
        <v/>
      </c>
      <c r="M131" s="11">
        <f>IF(Inputs!$D$33=0,0,Inputs!$C$33+Inputs!$B$12*Inputs!$B$5*$B131^2/(Inputs!$D$33^2*Inputs!$H$33^4*Inputs!$I$33^2)+Inputs!$G$33*$B131^Inputs!$B$11)</f>
        <v/>
      </c>
      <c r="N131" s="11">
        <f>IF(Inputs!$D$34=0,0,Inputs!$C$34+Inputs!$B$12*Inputs!$B$5*$B131^2/(Inputs!$D$34^2*Inputs!$H$34^4*Inputs!$I$34^2)+Inputs!$G$34*$B131^Inputs!$B$11)</f>
        <v/>
      </c>
    </row>
    <row r="132">
      <c r="A132" s="7" t="n">
        <v>127</v>
      </c>
      <c r="B132" s="37">
        <f>Inputs!$B$4*A132/200</f>
        <v/>
      </c>
      <c r="C132" s="11">
        <f>IF(Inputs!$D$23=0,0,Inputs!$C$23+Inputs!$B$12*Inputs!$B$5*$B132^2/(Inputs!$D$23^2*Inputs!$H$23^4*Inputs!$I$23^2)+Inputs!$G$23*$B132^Inputs!$B$11)</f>
        <v/>
      </c>
      <c r="D132" s="11">
        <f>IF(Inputs!$D$24=0,0,Inputs!$C$24+Inputs!$B$12*Inputs!$B$5*$B132^2/(Inputs!$D$24^2*Inputs!$H$24^4*Inputs!$I$24^2)+Inputs!$G$24*$B132^Inputs!$B$11)</f>
        <v/>
      </c>
      <c r="E132" s="11">
        <f>IF(Inputs!$D$25=0,0,Inputs!$C$25+Inputs!$B$12*Inputs!$B$5*$B132^2/(Inputs!$D$25^2*Inputs!$H$25^4*Inputs!$I$25^2)+Inputs!$G$25*$B132^Inputs!$B$11)</f>
        <v/>
      </c>
      <c r="F132" s="11">
        <f>IF(Inputs!$D$26=0,0,Inputs!$C$26+Inputs!$B$12*Inputs!$B$5*$B132^2/(Inputs!$D$26^2*Inputs!$H$26^4*Inputs!$I$26^2)+Inputs!$G$26*$B132^Inputs!$B$11)</f>
        <v/>
      </c>
      <c r="G132" s="11">
        <f>IF(Inputs!$D$27=0,0,Inputs!$C$27+Inputs!$B$12*Inputs!$B$5*$B132^2/(Inputs!$D$27^2*Inputs!$H$27^4*Inputs!$I$27^2)+Inputs!$G$27*$B132^Inputs!$B$11)</f>
        <v/>
      </c>
      <c r="H132" s="11">
        <f>IF(Inputs!$D$28=0,0,Inputs!$C$28+Inputs!$B$12*Inputs!$B$5*$B132^2/(Inputs!$D$28^2*Inputs!$H$28^4*Inputs!$I$28^2)+Inputs!$G$28*$B132^Inputs!$B$11)</f>
        <v/>
      </c>
      <c r="I132" s="11">
        <f>IF(Inputs!$D$29=0,0,Inputs!$C$29+Inputs!$B$12*Inputs!$B$5*$B132^2/(Inputs!$D$29^2*Inputs!$H$29^4*Inputs!$I$29^2)+Inputs!$G$29*$B132^Inputs!$B$11)</f>
        <v/>
      </c>
      <c r="J132" s="11">
        <f>IF(Inputs!$D$30=0,0,Inputs!$C$30+Inputs!$B$12*Inputs!$B$5*$B132^2/(Inputs!$D$30^2*Inputs!$H$30^4*Inputs!$I$30^2)+Inputs!$G$30*$B132^Inputs!$B$11)</f>
        <v/>
      </c>
      <c r="K132" s="11">
        <f>IF(Inputs!$D$31=0,0,Inputs!$C$31+Inputs!$B$12*Inputs!$B$5*$B132^2/(Inputs!$D$31^2*Inputs!$H$31^4*Inputs!$I$31^2)+Inputs!$G$31*$B132^Inputs!$B$11)</f>
        <v/>
      </c>
      <c r="L132" s="11">
        <f>IF(Inputs!$D$32=0,0,Inputs!$C$32+Inputs!$B$12*Inputs!$B$5*$B132^2/(Inputs!$D$32^2*Inputs!$H$32^4*Inputs!$I$32^2)+Inputs!$G$32*$B132^Inputs!$B$11)</f>
        <v/>
      </c>
      <c r="M132" s="11">
        <f>IF(Inputs!$D$33=0,0,Inputs!$C$33+Inputs!$B$12*Inputs!$B$5*$B132^2/(Inputs!$D$33^2*Inputs!$H$33^4*Inputs!$I$33^2)+Inputs!$G$33*$B132^Inputs!$B$11)</f>
        <v/>
      </c>
      <c r="N132" s="11">
        <f>IF(Inputs!$D$34=0,0,Inputs!$C$34+Inputs!$B$12*Inputs!$B$5*$B132^2/(Inputs!$D$34^2*Inputs!$H$34^4*Inputs!$I$34^2)+Inputs!$G$34*$B132^Inputs!$B$11)</f>
        <v/>
      </c>
    </row>
    <row r="133">
      <c r="A133" s="7" t="n">
        <v>128</v>
      </c>
      <c r="B133" s="37">
        <f>Inputs!$B$4*A133/200</f>
        <v/>
      </c>
      <c r="C133" s="11">
        <f>IF(Inputs!$D$23=0,0,Inputs!$C$23+Inputs!$B$12*Inputs!$B$5*$B133^2/(Inputs!$D$23^2*Inputs!$H$23^4*Inputs!$I$23^2)+Inputs!$G$23*$B133^Inputs!$B$11)</f>
        <v/>
      </c>
      <c r="D133" s="11">
        <f>IF(Inputs!$D$24=0,0,Inputs!$C$24+Inputs!$B$12*Inputs!$B$5*$B133^2/(Inputs!$D$24^2*Inputs!$H$24^4*Inputs!$I$24^2)+Inputs!$G$24*$B133^Inputs!$B$11)</f>
        <v/>
      </c>
      <c r="E133" s="11">
        <f>IF(Inputs!$D$25=0,0,Inputs!$C$25+Inputs!$B$12*Inputs!$B$5*$B133^2/(Inputs!$D$25^2*Inputs!$H$25^4*Inputs!$I$25^2)+Inputs!$G$25*$B133^Inputs!$B$11)</f>
        <v/>
      </c>
      <c r="F133" s="11">
        <f>IF(Inputs!$D$26=0,0,Inputs!$C$26+Inputs!$B$12*Inputs!$B$5*$B133^2/(Inputs!$D$26^2*Inputs!$H$26^4*Inputs!$I$26^2)+Inputs!$G$26*$B133^Inputs!$B$11)</f>
        <v/>
      </c>
      <c r="G133" s="11">
        <f>IF(Inputs!$D$27=0,0,Inputs!$C$27+Inputs!$B$12*Inputs!$B$5*$B133^2/(Inputs!$D$27^2*Inputs!$H$27^4*Inputs!$I$27^2)+Inputs!$G$27*$B133^Inputs!$B$11)</f>
        <v/>
      </c>
      <c r="H133" s="11">
        <f>IF(Inputs!$D$28=0,0,Inputs!$C$28+Inputs!$B$12*Inputs!$B$5*$B133^2/(Inputs!$D$28^2*Inputs!$H$28^4*Inputs!$I$28^2)+Inputs!$G$28*$B133^Inputs!$B$11)</f>
        <v/>
      </c>
      <c r="I133" s="11">
        <f>IF(Inputs!$D$29=0,0,Inputs!$C$29+Inputs!$B$12*Inputs!$B$5*$B133^2/(Inputs!$D$29^2*Inputs!$H$29^4*Inputs!$I$29^2)+Inputs!$G$29*$B133^Inputs!$B$11)</f>
        <v/>
      </c>
      <c r="J133" s="11">
        <f>IF(Inputs!$D$30=0,0,Inputs!$C$30+Inputs!$B$12*Inputs!$B$5*$B133^2/(Inputs!$D$30^2*Inputs!$H$30^4*Inputs!$I$30^2)+Inputs!$G$30*$B133^Inputs!$B$11)</f>
        <v/>
      </c>
      <c r="K133" s="11">
        <f>IF(Inputs!$D$31=0,0,Inputs!$C$31+Inputs!$B$12*Inputs!$B$5*$B133^2/(Inputs!$D$31^2*Inputs!$H$31^4*Inputs!$I$31^2)+Inputs!$G$31*$B133^Inputs!$B$11)</f>
        <v/>
      </c>
      <c r="L133" s="11">
        <f>IF(Inputs!$D$32=0,0,Inputs!$C$32+Inputs!$B$12*Inputs!$B$5*$B133^2/(Inputs!$D$32^2*Inputs!$H$32^4*Inputs!$I$32^2)+Inputs!$G$32*$B133^Inputs!$B$11)</f>
        <v/>
      </c>
      <c r="M133" s="11">
        <f>IF(Inputs!$D$33=0,0,Inputs!$C$33+Inputs!$B$12*Inputs!$B$5*$B133^2/(Inputs!$D$33^2*Inputs!$H$33^4*Inputs!$I$33^2)+Inputs!$G$33*$B133^Inputs!$B$11)</f>
        <v/>
      </c>
      <c r="N133" s="11">
        <f>IF(Inputs!$D$34=0,0,Inputs!$C$34+Inputs!$B$12*Inputs!$B$5*$B133^2/(Inputs!$D$34^2*Inputs!$H$34^4*Inputs!$I$34^2)+Inputs!$G$34*$B133^Inputs!$B$11)</f>
        <v/>
      </c>
    </row>
    <row r="134">
      <c r="A134" s="7" t="n">
        <v>129</v>
      </c>
      <c r="B134" s="37">
        <f>Inputs!$B$4*A134/200</f>
        <v/>
      </c>
      <c r="C134" s="11">
        <f>IF(Inputs!$D$23=0,0,Inputs!$C$23+Inputs!$B$12*Inputs!$B$5*$B134^2/(Inputs!$D$23^2*Inputs!$H$23^4*Inputs!$I$23^2)+Inputs!$G$23*$B134^Inputs!$B$11)</f>
        <v/>
      </c>
      <c r="D134" s="11">
        <f>IF(Inputs!$D$24=0,0,Inputs!$C$24+Inputs!$B$12*Inputs!$B$5*$B134^2/(Inputs!$D$24^2*Inputs!$H$24^4*Inputs!$I$24^2)+Inputs!$G$24*$B134^Inputs!$B$11)</f>
        <v/>
      </c>
      <c r="E134" s="11">
        <f>IF(Inputs!$D$25=0,0,Inputs!$C$25+Inputs!$B$12*Inputs!$B$5*$B134^2/(Inputs!$D$25^2*Inputs!$H$25^4*Inputs!$I$25^2)+Inputs!$G$25*$B134^Inputs!$B$11)</f>
        <v/>
      </c>
      <c r="F134" s="11">
        <f>IF(Inputs!$D$26=0,0,Inputs!$C$26+Inputs!$B$12*Inputs!$B$5*$B134^2/(Inputs!$D$26^2*Inputs!$H$26^4*Inputs!$I$26^2)+Inputs!$G$26*$B134^Inputs!$B$11)</f>
        <v/>
      </c>
      <c r="G134" s="11">
        <f>IF(Inputs!$D$27=0,0,Inputs!$C$27+Inputs!$B$12*Inputs!$B$5*$B134^2/(Inputs!$D$27^2*Inputs!$H$27^4*Inputs!$I$27^2)+Inputs!$G$27*$B134^Inputs!$B$11)</f>
        <v/>
      </c>
      <c r="H134" s="11">
        <f>IF(Inputs!$D$28=0,0,Inputs!$C$28+Inputs!$B$12*Inputs!$B$5*$B134^2/(Inputs!$D$28^2*Inputs!$H$28^4*Inputs!$I$28^2)+Inputs!$G$28*$B134^Inputs!$B$11)</f>
        <v/>
      </c>
      <c r="I134" s="11">
        <f>IF(Inputs!$D$29=0,0,Inputs!$C$29+Inputs!$B$12*Inputs!$B$5*$B134^2/(Inputs!$D$29^2*Inputs!$H$29^4*Inputs!$I$29^2)+Inputs!$G$29*$B134^Inputs!$B$11)</f>
        <v/>
      </c>
      <c r="J134" s="11">
        <f>IF(Inputs!$D$30=0,0,Inputs!$C$30+Inputs!$B$12*Inputs!$B$5*$B134^2/(Inputs!$D$30^2*Inputs!$H$30^4*Inputs!$I$30^2)+Inputs!$G$30*$B134^Inputs!$B$11)</f>
        <v/>
      </c>
      <c r="K134" s="11">
        <f>IF(Inputs!$D$31=0,0,Inputs!$C$31+Inputs!$B$12*Inputs!$B$5*$B134^2/(Inputs!$D$31^2*Inputs!$H$31^4*Inputs!$I$31^2)+Inputs!$G$31*$B134^Inputs!$B$11)</f>
        <v/>
      </c>
      <c r="L134" s="11">
        <f>IF(Inputs!$D$32=0,0,Inputs!$C$32+Inputs!$B$12*Inputs!$B$5*$B134^2/(Inputs!$D$32^2*Inputs!$H$32^4*Inputs!$I$32^2)+Inputs!$G$32*$B134^Inputs!$B$11)</f>
        <v/>
      </c>
      <c r="M134" s="11">
        <f>IF(Inputs!$D$33=0,0,Inputs!$C$33+Inputs!$B$12*Inputs!$B$5*$B134^2/(Inputs!$D$33^2*Inputs!$H$33^4*Inputs!$I$33^2)+Inputs!$G$33*$B134^Inputs!$B$11)</f>
        <v/>
      </c>
      <c r="N134" s="11">
        <f>IF(Inputs!$D$34=0,0,Inputs!$C$34+Inputs!$B$12*Inputs!$B$5*$B134^2/(Inputs!$D$34^2*Inputs!$H$34^4*Inputs!$I$34^2)+Inputs!$G$34*$B134^Inputs!$B$11)</f>
        <v/>
      </c>
    </row>
    <row r="135">
      <c r="A135" s="7" t="n">
        <v>130</v>
      </c>
      <c r="B135" s="37">
        <f>Inputs!$B$4*A135/200</f>
        <v/>
      </c>
      <c r="C135" s="11">
        <f>IF(Inputs!$D$23=0,0,Inputs!$C$23+Inputs!$B$12*Inputs!$B$5*$B135^2/(Inputs!$D$23^2*Inputs!$H$23^4*Inputs!$I$23^2)+Inputs!$G$23*$B135^Inputs!$B$11)</f>
        <v/>
      </c>
      <c r="D135" s="11">
        <f>IF(Inputs!$D$24=0,0,Inputs!$C$24+Inputs!$B$12*Inputs!$B$5*$B135^2/(Inputs!$D$24^2*Inputs!$H$24^4*Inputs!$I$24^2)+Inputs!$G$24*$B135^Inputs!$B$11)</f>
        <v/>
      </c>
      <c r="E135" s="11">
        <f>IF(Inputs!$D$25=0,0,Inputs!$C$25+Inputs!$B$12*Inputs!$B$5*$B135^2/(Inputs!$D$25^2*Inputs!$H$25^4*Inputs!$I$25^2)+Inputs!$G$25*$B135^Inputs!$B$11)</f>
        <v/>
      </c>
      <c r="F135" s="11">
        <f>IF(Inputs!$D$26=0,0,Inputs!$C$26+Inputs!$B$12*Inputs!$B$5*$B135^2/(Inputs!$D$26^2*Inputs!$H$26^4*Inputs!$I$26^2)+Inputs!$G$26*$B135^Inputs!$B$11)</f>
        <v/>
      </c>
      <c r="G135" s="11">
        <f>IF(Inputs!$D$27=0,0,Inputs!$C$27+Inputs!$B$12*Inputs!$B$5*$B135^2/(Inputs!$D$27^2*Inputs!$H$27^4*Inputs!$I$27^2)+Inputs!$G$27*$B135^Inputs!$B$11)</f>
        <v/>
      </c>
      <c r="H135" s="11">
        <f>IF(Inputs!$D$28=0,0,Inputs!$C$28+Inputs!$B$12*Inputs!$B$5*$B135^2/(Inputs!$D$28^2*Inputs!$H$28^4*Inputs!$I$28^2)+Inputs!$G$28*$B135^Inputs!$B$11)</f>
        <v/>
      </c>
      <c r="I135" s="11">
        <f>IF(Inputs!$D$29=0,0,Inputs!$C$29+Inputs!$B$12*Inputs!$B$5*$B135^2/(Inputs!$D$29^2*Inputs!$H$29^4*Inputs!$I$29^2)+Inputs!$G$29*$B135^Inputs!$B$11)</f>
        <v/>
      </c>
      <c r="J135" s="11">
        <f>IF(Inputs!$D$30=0,0,Inputs!$C$30+Inputs!$B$12*Inputs!$B$5*$B135^2/(Inputs!$D$30^2*Inputs!$H$30^4*Inputs!$I$30^2)+Inputs!$G$30*$B135^Inputs!$B$11)</f>
        <v/>
      </c>
      <c r="K135" s="11">
        <f>IF(Inputs!$D$31=0,0,Inputs!$C$31+Inputs!$B$12*Inputs!$B$5*$B135^2/(Inputs!$D$31^2*Inputs!$H$31^4*Inputs!$I$31^2)+Inputs!$G$31*$B135^Inputs!$B$11)</f>
        <v/>
      </c>
      <c r="L135" s="11">
        <f>IF(Inputs!$D$32=0,0,Inputs!$C$32+Inputs!$B$12*Inputs!$B$5*$B135^2/(Inputs!$D$32^2*Inputs!$H$32^4*Inputs!$I$32^2)+Inputs!$G$32*$B135^Inputs!$B$11)</f>
        <v/>
      </c>
      <c r="M135" s="11">
        <f>IF(Inputs!$D$33=0,0,Inputs!$C$33+Inputs!$B$12*Inputs!$B$5*$B135^2/(Inputs!$D$33^2*Inputs!$H$33^4*Inputs!$I$33^2)+Inputs!$G$33*$B135^Inputs!$B$11)</f>
        <v/>
      </c>
      <c r="N135" s="11">
        <f>IF(Inputs!$D$34=0,0,Inputs!$C$34+Inputs!$B$12*Inputs!$B$5*$B135^2/(Inputs!$D$34^2*Inputs!$H$34^4*Inputs!$I$34^2)+Inputs!$G$34*$B135^Inputs!$B$11)</f>
        <v/>
      </c>
    </row>
    <row r="136">
      <c r="A136" s="7" t="n">
        <v>131</v>
      </c>
      <c r="B136" s="37">
        <f>Inputs!$B$4*A136/200</f>
        <v/>
      </c>
      <c r="C136" s="11">
        <f>IF(Inputs!$D$23=0,0,Inputs!$C$23+Inputs!$B$12*Inputs!$B$5*$B136^2/(Inputs!$D$23^2*Inputs!$H$23^4*Inputs!$I$23^2)+Inputs!$G$23*$B136^Inputs!$B$11)</f>
        <v/>
      </c>
      <c r="D136" s="11">
        <f>IF(Inputs!$D$24=0,0,Inputs!$C$24+Inputs!$B$12*Inputs!$B$5*$B136^2/(Inputs!$D$24^2*Inputs!$H$24^4*Inputs!$I$24^2)+Inputs!$G$24*$B136^Inputs!$B$11)</f>
        <v/>
      </c>
      <c r="E136" s="11">
        <f>IF(Inputs!$D$25=0,0,Inputs!$C$25+Inputs!$B$12*Inputs!$B$5*$B136^2/(Inputs!$D$25^2*Inputs!$H$25^4*Inputs!$I$25^2)+Inputs!$G$25*$B136^Inputs!$B$11)</f>
        <v/>
      </c>
      <c r="F136" s="11">
        <f>IF(Inputs!$D$26=0,0,Inputs!$C$26+Inputs!$B$12*Inputs!$B$5*$B136^2/(Inputs!$D$26^2*Inputs!$H$26^4*Inputs!$I$26^2)+Inputs!$G$26*$B136^Inputs!$B$11)</f>
        <v/>
      </c>
      <c r="G136" s="11">
        <f>IF(Inputs!$D$27=0,0,Inputs!$C$27+Inputs!$B$12*Inputs!$B$5*$B136^2/(Inputs!$D$27^2*Inputs!$H$27^4*Inputs!$I$27^2)+Inputs!$G$27*$B136^Inputs!$B$11)</f>
        <v/>
      </c>
      <c r="H136" s="11">
        <f>IF(Inputs!$D$28=0,0,Inputs!$C$28+Inputs!$B$12*Inputs!$B$5*$B136^2/(Inputs!$D$28^2*Inputs!$H$28^4*Inputs!$I$28^2)+Inputs!$G$28*$B136^Inputs!$B$11)</f>
        <v/>
      </c>
      <c r="I136" s="11">
        <f>IF(Inputs!$D$29=0,0,Inputs!$C$29+Inputs!$B$12*Inputs!$B$5*$B136^2/(Inputs!$D$29^2*Inputs!$H$29^4*Inputs!$I$29^2)+Inputs!$G$29*$B136^Inputs!$B$11)</f>
        <v/>
      </c>
      <c r="J136" s="11">
        <f>IF(Inputs!$D$30=0,0,Inputs!$C$30+Inputs!$B$12*Inputs!$B$5*$B136^2/(Inputs!$D$30^2*Inputs!$H$30^4*Inputs!$I$30^2)+Inputs!$G$30*$B136^Inputs!$B$11)</f>
        <v/>
      </c>
      <c r="K136" s="11">
        <f>IF(Inputs!$D$31=0,0,Inputs!$C$31+Inputs!$B$12*Inputs!$B$5*$B136^2/(Inputs!$D$31^2*Inputs!$H$31^4*Inputs!$I$31^2)+Inputs!$G$31*$B136^Inputs!$B$11)</f>
        <v/>
      </c>
      <c r="L136" s="11">
        <f>IF(Inputs!$D$32=0,0,Inputs!$C$32+Inputs!$B$12*Inputs!$B$5*$B136^2/(Inputs!$D$32^2*Inputs!$H$32^4*Inputs!$I$32^2)+Inputs!$G$32*$B136^Inputs!$B$11)</f>
        <v/>
      </c>
      <c r="M136" s="11">
        <f>IF(Inputs!$D$33=0,0,Inputs!$C$33+Inputs!$B$12*Inputs!$B$5*$B136^2/(Inputs!$D$33^2*Inputs!$H$33^4*Inputs!$I$33^2)+Inputs!$G$33*$B136^Inputs!$B$11)</f>
        <v/>
      </c>
      <c r="N136" s="11">
        <f>IF(Inputs!$D$34=0,0,Inputs!$C$34+Inputs!$B$12*Inputs!$B$5*$B136^2/(Inputs!$D$34^2*Inputs!$H$34^4*Inputs!$I$34^2)+Inputs!$G$34*$B136^Inputs!$B$11)</f>
        <v/>
      </c>
    </row>
    <row r="137">
      <c r="A137" s="7" t="n">
        <v>132</v>
      </c>
      <c r="B137" s="37">
        <f>Inputs!$B$4*A137/200</f>
        <v/>
      </c>
      <c r="C137" s="11">
        <f>IF(Inputs!$D$23=0,0,Inputs!$C$23+Inputs!$B$12*Inputs!$B$5*$B137^2/(Inputs!$D$23^2*Inputs!$H$23^4*Inputs!$I$23^2)+Inputs!$G$23*$B137^Inputs!$B$11)</f>
        <v/>
      </c>
      <c r="D137" s="11">
        <f>IF(Inputs!$D$24=0,0,Inputs!$C$24+Inputs!$B$12*Inputs!$B$5*$B137^2/(Inputs!$D$24^2*Inputs!$H$24^4*Inputs!$I$24^2)+Inputs!$G$24*$B137^Inputs!$B$11)</f>
        <v/>
      </c>
      <c r="E137" s="11">
        <f>IF(Inputs!$D$25=0,0,Inputs!$C$25+Inputs!$B$12*Inputs!$B$5*$B137^2/(Inputs!$D$25^2*Inputs!$H$25^4*Inputs!$I$25^2)+Inputs!$G$25*$B137^Inputs!$B$11)</f>
        <v/>
      </c>
      <c r="F137" s="11">
        <f>IF(Inputs!$D$26=0,0,Inputs!$C$26+Inputs!$B$12*Inputs!$B$5*$B137^2/(Inputs!$D$26^2*Inputs!$H$26^4*Inputs!$I$26^2)+Inputs!$G$26*$B137^Inputs!$B$11)</f>
        <v/>
      </c>
      <c r="G137" s="11">
        <f>IF(Inputs!$D$27=0,0,Inputs!$C$27+Inputs!$B$12*Inputs!$B$5*$B137^2/(Inputs!$D$27^2*Inputs!$H$27^4*Inputs!$I$27^2)+Inputs!$G$27*$B137^Inputs!$B$11)</f>
        <v/>
      </c>
      <c r="H137" s="11">
        <f>IF(Inputs!$D$28=0,0,Inputs!$C$28+Inputs!$B$12*Inputs!$B$5*$B137^2/(Inputs!$D$28^2*Inputs!$H$28^4*Inputs!$I$28^2)+Inputs!$G$28*$B137^Inputs!$B$11)</f>
        <v/>
      </c>
      <c r="I137" s="11">
        <f>IF(Inputs!$D$29=0,0,Inputs!$C$29+Inputs!$B$12*Inputs!$B$5*$B137^2/(Inputs!$D$29^2*Inputs!$H$29^4*Inputs!$I$29^2)+Inputs!$G$29*$B137^Inputs!$B$11)</f>
        <v/>
      </c>
      <c r="J137" s="11">
        <f>IF(Inputs!$D$30=0,0,Inputs!$C$30+Inputs!$B$12*Inputs!$B$5*$B137^2/(Inputs!$D$30^2*Inputs!$H$30^4*Inputs!$I$30^2)+Inputs!$G$30*$B137^Inputs!$B$11)</f>
        <v/>
      </c>
      <c r="K137" s="11">
        <f>IF(Inputs!$D$31=0,0,Inputs!$C$31+Inputs!$B$12*Inputs!$B$5*$B137^2/(Inputs!$D$31^2*Inputs!$H$31^4*Inputs!$I$31^2)+Inputs!$G$31*$B137^Inputs!$B$11)</f>
        <v/>
      </c>
      <c r="L137" s="11">
        <f>IF(Inputs!$D$32=0,0,Inputs!$C$32+Inputs!$B$12*Inputs!$B$5*$B137^2/(Inputs!$D$32^2*Inputs!$H$32^4*Inputs!$I$32^2)+Inputs!$G$32*$B137^Inputs!$B$11)</f>
        <v/>
      </c>
      <c r="M137" s="11">
        <f>IF(Inputs!$D$33=0,0,Inputs!$C$33+Inputs!$B$12*Inputs!$B$5*$B137^2/(Inputs!$D$33^2*Inputs!$H$33^4*Inputs!$I$33^2)+Inputs!$G$33*$B137^Inputs!$B$11)</f>
        <v/>
      </c>
      <c r="N137" s="11">
        <f>IF(Inputs!$D$34=0,0,Inputs!$C$34+Inputs!$B$12*Inputs!$B$5*$B137^2/(Inputs!$D$34^2*Inputs!$H$34^4*Inputs!$I$34^2)+Inputs!$G$34*$B137^Inputs!$B$11)</f>
        <v/>
      </c>
    </row>
    <row r="138">
      <c r="A138" s="7" t="n">
        <v>133</v>
      </c>
      <c r="B138" s="37">
        <f>Inputs!$B$4*A138/200</f>
        <v/>
      </c>
      <c r="C138" s="11">
        <f>IF(Inputs!$D$23=0,0,Inputs!$C$23+Inputs!$B$12*Inputs!$B$5*$B138^2/(Inputs!$D$23^2*Inputs!$H$23^4*Inputs!$I$23^2)+Inputs!$G$23*$B138^Inputs!$B$11)</f>
        <v/>
      </c>
      <c r="D138" s="11">
        <f>IF(Inputs!$D$24=0,0,Inputs!$C$24+Inputs!$B$12*Inputs!$B$5*$B138^2/(Inputs!$D$24^2*Inputs!$H$24^4*Inputs!$I$24^2)+Inputs!$G$24*$B138^Inputs!$B$11)</f>
        <v/>
      </c>
      <c r="E138" s="11">
        <f>IF(Inputs!$D$25=0,0,Inputs!$C$25+Inputs!$B$12*Inputs!$B$5*$B138^2/(Inputs!$D$25^2*Inputs!$H$25^4*Inputs!$I$25^2)+Inputs!$G$25*$B138^Inputs!$B$11)</f>
        <v/>
      </c>
      <c r="F138" s="11">
        <f>IF(Inputs!$D$26=0,0,Inputs!$C$26+Inputs!$B$12*Inputs!$B$5*$B138^2/(Inputs!$D$26^2*Inputs!$H$26^4*Inputs!$I$26^2)+Inputs!$G$26*$B138^Inputs!$B$11)</f>
        <v/>
      </c>
      <c r="G138" s="11">
        <f>IF(Inputs!$D$27=0,0,Inputs!$C$27+Inputs!$B$12*Inputs!$B$5*$B138^2/(Inputs!$D$27^2*Inputs!$H$27^4*Inputs!$I$27^2)+Inputs!$G$27*$B138^Inputs!$B$11)</f>
        <v/>
      </c>
      <c r="H138" s="11">
        <f>IF(Inputs!$D$28=0,0,Inputs!$C$28+Inputs!$B$12*Inputs!$B$5*$B138^2/(Inputs!$D$28^2*Inputs!$H$28^4*Inputs!$I$28^2)+Inputs!$G$28*$B138^Inputs!$B$11)</f>
        <v/>
      </c>
      <c r="I138" s="11">
        <f>IF(Inputs!$D$29=0,0,Inputs!$C$29+Inputs!$B$12*Inputs!$B$5*$B138^2/(Inputs!$D$29^2*Inputs!$H$29^4*Inputs!$I$29^2)+Inputs!$G$29*$B138^Inputs!$B$11)</f>
        <v/>
      </c>
      <c r="J138" s="11">
        <f>IF(Inputs!$D$30=0,0,Inputs!$C$30+Inputs!$B$12*Inputs!$B$5*$B138^2/(Inputs!$D$30^2*Inputs!$H$30^4*Inputs!$I$30^2)+Inputs!$G$30*$B138^Inputs!$B$11)</f>
        <v/>
      </c>
      <c r="K138" s="11">
        <f>IF(Inputs!$D$31=0,0,Inputs!$C$31+Inputs!$B$12*Inputs!$B$5*$B138^2/(Inputs!$D$31^2*Inputs!$H$31^4*Inputs!$I$31^2)+Inputs!$G$31*$B138^Inputs!$B$11)</f>
        <v/>
      </c>
      <c r="L138" s="11">
        <f>IF(Inputs!$D$32=0,0,Inputs!$C$32+Inputs!$B$12*Inputs!$B$5*$B138^2/(Inputs!$D$32^2*Inputs!$H$32^4*Inputs!$I$32^2)+Inputs!$G$32*$B138^Inputs!$B$11)</f>
        <v/>
      </c>
      <c r="M138" s="11">
        <f>IF(Inputs!$D$33=0,0,Inputs!$C$33+Inputs!$B$12*Inputs!$B$5*$B138^2/(Inputs!$D$33^2*Inputs!$H$33^4*Inputs!$I$33^2)+Inputs!$G$33*$B138^Inputs!$B$11)</f>
        <v/>
      </c>
      <c r="N138" s="11">
        <f>IF(Inputs!$D$34=0,0,Inputs!$C$34+Inputs!$B$12*Inputs!$B$5*$B138^2/(Inputs!$D$34^2*Inputs!$H$34^4*Inputs!$I$34^2)+Inputs!$G$34*$B138^Inputs!$B$11)</f>
        <v/>
      </c>
    </row>
    <row r="139">
      <c r="A139" s="7" t="n">
        <v>134</v>
      </c>
      <c r="B139" s="37">
        <f>Inputs!$B$4*A139/200</f>
        <v/>
      </c>
      <c r="C139" s="11">
        <f>IF(Inputs!$D$23=0,0,Inputs!$C$23+Inputs!$B$12*Inputs!$B$5*$B139^2/(Inputs!$D$23^2*Inputs!$H$23^4*Inputs!$I$23^2)+Inputs!$G$23*$B139^Inputs!$B$11)</f>
        <v/>
      </c>
      <c r="D139" s="11">
        <f>IF(Inputs!$D$24=0,0,Inputs!$C$24+Inputs!$B$12*Inputs!$B$5*$B139^2/(Inputs!$D$24^2*Inputs!$H$24^4*Inputs!$I$24^2)+Inputs!$G$24*$B139^Inputs!$B$11)</f>
        <v/>
      </c>
      <c r="E139" s="11">
        <f>IF(Inputs!$D$25=0,0,Inputs!$C$25+Inputs!$B$12*Inputs!$B$5*$B139^2/(Inputs!$D$25^2*Inputs!$H$25^4*Inputs!$I$25^2)+Inputs!$G$25*$B139^Inputs!$B$11)</f>
        <v/>
      </c>
      <c r="F139" s="11">
        <f>IF(Inputs!$D$26=0,0,Inputs!$C$26+Inputs!$B$12*Inputs!$B$5*$B139^2/(Inputs!$D$26^2*Inputs!$H$26^4*Inputs!$I$26^2)+Inputs!$G$26*$B139^Inputs!$B$11)</f>
        <v/>
      </c>
      <c r="G139" s="11">
        <f>IF(Inputs!$D$27=0,0,Inputs!$C$27+Inputs!$B$12*Inputs!$B$5*$B139^2/(Inputs!$D$27^2*Inputs!$H$27^4*Inputs!$I$27^2)+Inputs!$G$27*$B139^Inputs!$B$11)</f>
        <v/>
      </c>
      <c r="H139" s="11">
        <f>IF(Inputs!$D$28=0,0,Inputs!$C$28+Inputs!$B$12*Inputs!$B$5*$B139^2/(Inputs!$D$28^2*Inputs!$H$28^4*Inputs!$I$28^2)+Inputs!$G$28*$B139^Inputs!$B$11)</f>
        <v/>
      </c>
      <c r="I139" s="11">
        <f>IF(Inputs!$D$29=0,0,Inputs!$C$29+Inputs!$B$12*Inputs!$B$5*$B139^2/(Inputs!$D$29^2*Inputs!$H$29^4*Inputs!$I$29^2)+Inputs!$G$29*$B139^Inputs!$B$11)</f>
        <v/>
      </c>
      <c r="J139" s="11">
        <f>IF(Inputs!$D$30=0,0,Inputs!$C$30+Inputs!$B$12*Inputs!$B$5*$B139^2/(Inputs!$D$30^2*Inputs!$H$30^4*Inputs!$I$30^2)+Inputs!$G$30*$B139^Inputs!$B$11)</f>
        <v/>
      </c>
      <c r="K139" s="11">
        <f>IF(Inputs!$D$31=0,0,Inputs!$C$31+Inputs!$B$12*Inputs!$B$5*$B139^2/(Inputs!$D$31^2*Inputs!$H$31^4*Inputs!$I$31^2)+Inputs!$G$31*$B139^Inputs!$B$11)</f>
        <v/>
      </c>
      <c r="L139" s="11">
        <f>IF(Inputs!$D$32=0,0,Inputs!$C$32+Inputs!$B$12*Inputs!$B$5*$B139^2/(Inputs!$D$32^2*Inputs!$H$32^4*Inputs!$I$32^2)+Inputs!$G$32*$B139^Inputs!$B$11)</f>
        <v/>
      </c>
      <c r="M139" s="11">
        <f>IF(Inputs!$D$33=0,0,Inputs!$C$33+Inputs!$B$12*Inputs!$B$5*$B139^2/(Inputs!$D$33^2*Inputs!$H$33^4*Inputs!$I$33^2)+Inputs!$G$33*$B139^Inputs!$B$11)</f>
        <v/>
      </c>
      <c r="N139" s="11">
        <f>IF(Inputs!$D$34=0,0,Inputs!$C$34+Inputs!$B$12*Inputs!$B$5*$B139^2/(Inputs!$D$34^2*Inputs!$H$34^4*Inputs!$I$34^2)+Inputs!$G$34*$B139^Inputs!$B$11)</f>
        <v/>
      </c>
    </row>
    <row r="140">
      <c r="A140" s="7" t="n">
        <v>135</v>
      </c>
      <c r="B140" s="37">
        <f>Inputs!$B$4*A140/200</f>
        <v/>
      </c>
      <c r="C140" s="11">
        <f>IF(Inputs!$D$23=0,0,Inputs!$C$23+Inputs!$B$12*Inputs!$B$5*$B140^2/(Inputs!$D$23^2*Inputs!$H$23^4*Inputs!$I$23^2)+Inputs!$G$23*$B140^Inputs!$B$11)</f>
        <v/>
      </c>
      <c r="D140" s="11">
        <f>IF(Inputs!$D$24=0,0,Inputs!$C$24+Inputs!$B$12*Inputs!$B$5*$B140^2/(Inputs!$D$24^2*Inputs!$H$24^4*Inputs!$I$24^2)+Inputs!$G$24*$B140^Inputs!$B$11)</f>
        <v/>
      </c>
      <c r="E140" s="11">
        <f>IF(Inputs!$D$25=0,0,Inputs!$C$25+Inputs!$B$12*Inputs!$B$5*$B140^2/(Inputs!$D$25^2*Inputs!$H$25^4*Inputs!$I$25^2)+Inputs!$G$25*$B140^Inputs!$B$11)</f>
        <v/>
      </c>
      <c r="F140" s="11">
        <f>IF(Inputs!$D$26=0,0,Inputs!$C$26+Inputs!$B$12*Inputs!$B$5*$B140^2/(Inputs!$D$26^2*Inputs!$H$26^4*Inputs!$I$26^2)+Inputs!$G$26*$B140^Inputs!$B$11)</f>
        <v/>
      </c>
      <c r="G140" s="11">
        <f>IF(Inputs!$D$27=0,0,Inputs!$C$27+Inputs!$B$12*Inputs!$B$5*$B140^2/(Inputs!$D$27^2*Inputs!$H$27^4*Inputs!$I$27^2)+Inputs!$G$27*$B140^Inputs!$B$11)</f>
        <v/>
      </c>
      <c r="H140" s="11">
        <f>IF(Inputs!$D$28=0,0,Inputs!$C$28+Inputs!$B$12*Inputs!$B$5*$B140^2/(Inputs!$D$28^2*Inputs!$H$28^4*Inputs!$I$28^2)+Inputs!$G$28*$B140^Inputs!$B$11)</f>
        <v/>
      </c>
      <c r="I140" s="11">
        <f>IF(Inputs!$D$29=0,0,Inputs!$C$29+Inputs!$B$12*Inputs!$B$5*$B140^2/(Inputs!$D$29^2*Inputs!$H$29^4*Inputs!$I$29^2)+Inputs!$G$29*$B140^Inputs!$B$11)</f>
        <v/>
      </c>
      <c r="J140" s="11">
        <f>IF(Inputs!$D$30=0,0,Inputs!$C$30+Inputs!$B$12*Inputs!$B$5*$B140^2/(Inputs!$D$30^2*Inputs!$H$30^4*Inputs!$I$30^2)+Inputs!$G$30*$B140^Inputs!$B$11)</f>
        <v/>
      </c>
      <c r="K140" s="11">
        <f>IF(Inputs!$D$31=0,0,Inputs!$C$31+Inputs!$B$12*Inputs!$B$5*$B140^2/(Inputs!$D$31^2*Inputs!$H$31^4*Inputs!$I$31^2)+Inputs!$G$31*$B140^Inputs!$B$11)</f>
        <v/>
      </c>
      <c r="L140" s="11">
        <f>IF(Inputs!$D$32=0,0,Inputs!$C$32+Inputs!$B$12*Inputs!$B$5*$B140^2/(Inputs!$D$32^2*Inputs!$H$32^4*Inputs!$I$32^2)+Inputs!$G$32*$B140^Inputs!$B$11)</f>
        <v/>
      </c>
      <c r="M140" s="11">
        <f>IF(Inputs!$D$33=0,0,Inputs!$C$33+Inputs!$B$12*Inputs!$B$5*$B140^2/(Inputs!$D$33^2*Inputs!$H$33^4*Inputs!$I$33^2)+Inputs!$G$33*$B140^Inputs!$B$11)</f>
        <v/>
      </c>
      <c r="N140" s="11">
        <f>IF(Inputs!$D$34=0,0,Inputs!$C$34+Inputs!$B$12*Inputs!$B$5*$B140^2/(Inputs!$D$34^2*Inputs!$H$34^4*Inputs!$I$34^2)+Inputs!$G$34*$B140^Inputs!$B$11)</f>
        <v/>
      </c>
    </row>
    <row r="141">
      <c r="A141" s="7" t="n">
        <v>136</v>
      </c>
      <c r="B141" s="37">
        <f>Inputs!$B$4*A141/200</f>
        <v/>
      </c>
      <c r="C141" s="11">
        <f>IF(Inputs!$D$23=0,0,Inputs!$C$23+Inputs!$B$12*Inputs!$B$5*$B141^2/(Inputs!$D$23^2*Inputs!$H$23^4*Inputs!$I$23^2)+Inputs!$G$23*$B141^Inputs!$B$11)</f>
        <v/>
      </c>
      <c r="D141" s="11">
        <f>IF(Inputs!$D$24=0,0,Inputs!$C$24+Inputs!$B$12*Inputs!$B$5*$B141^2/(Inputs!$D$24^2*Inputs!$H$24^4*Inputs!$I$24^2)+Inputs!$G$24*$B141^Inputs!$B$11)</f>
        <v/>
      </c>
      <c r="E141" s="11">
        <f>IF(Inputs!$D$25=0,0,Inputs!$C$25+Inputs!$B$12*Inputs!$B$5*$B141^2/(Inputs!$D$25^2*Inputs!$H$25^4*Inputs!$I$25^2)+Inputs!$G$25*$B141^Inputs!$B$11)</f>
        <v/>
      </c>
      <c r="F141" s="11">
        <f>IF(Inputs!$D$26=0,0,Inputs!$C$26+Inputs!$B$12*Inputs!$B$5*$B141^2/(Inputs!$D$26^2*Inputs!$H$26^4*Inputs!$I$26^2)+Inputs!$G$26*$B141^Inputs!$B$11)</f>
        <v/>
      </c>
      <c r="G141" s="11">
        <f>IF(Inputs!$D$27=0,0,Inputs!$C$27+Inputs!$B$12*Inputs!$B$5*$B141^2/(Inputs!$D$27^2*Inputs!$H$27^4*Inputs!$I$27^2)+Inputs!$G$27*$B141^Inputs!$B$11)</f>
        <v/>
      </c>
      <c r="H141" s="11">
        <f>IF(Inputs!$D$28=0,0,Inputs!$C$28+Inputs!$B$12*Inputs!$B$5*$B141^2/(Inputs!$D$28^2*Inputs!$H$28^4*Inputs!$I$28^2)+Inputs!$G$28*$B141^Inputs!$B$11)</f>
        <v/>
      </c>
      <c r="I141" s="11">
        <f>IF(Inputs!$D$29=0,0,Inputs!$C$29+Inputs!$B$12*Inputs!$B$5*$B141^2/(Inputs!$D$29^2*Inputs!$H$29^4*Inputs!$I$29^2)+Inputs!$G$29*$B141^Inputs!$B$11)</f>
        <v/>
      </c>
      <c r="J141" s="11">
        <f>IF(Inputs!$D$30=0,0,Inputs!$C$30+Inputs!$B$12*Inputs!$B$5*$B141^2/(Inputs!$D$30^2*Inputs!$H$30^4*Inputs!$I$30^2)+Inputs!$G$30*$B141^Inputs!$B$11)</f>
        <v/>
      </c>
      <c r="K141" s="11">
        <f>IF(Inputs!$D$31=0,0,Inputs!$C$31+Inputs!$B$12*Inputs!$B$5*$B141^2/(Inputs!$D$31^2*Inputs!$H$31^4*Inputs!$I$31^2)+Inputs!$G$31*$B141^Inputs!$B$11)</f>
        <v/>
      </c>
      <c r="L141" s="11">
        <f>IF(Inputs!$D$32=0,0,Inputs!$C$32+Inputs!$B$12*Inputs!$B$5*$B141^2/(Inputs!$D$32^2*Inputs!$H$32^4*Inputs!$I$32^2)+Inputs!$G$32*$B141^Inputs!$B$11)</f>
        <v/>
      </c>
      <c r="M141" s="11">
        <f>IF(Inputs!$D$33=0,0,Inputs!$C$33+Inputs!$B$12*Inputs!$B$5*$B141^2/(Inputs!$D$33^2*Inputs!$H$33^4*Inputs!$I$33^2)+Inputs!$G$33*$B141^Inputs!$B$11)</f>
        <v/>
      </c>
      <c r="N141" s="11">
        <f>IF(Inputs!$D$34=0,0,Inputs!$C$34+Inputs!$B$12*Inputs!$B$5*$B141^2/(Inputs!$D$34^2*Inputs!$H$34^4*Inputs!$I$34^2)+Inputs!$G$34*$B141^Inputs!$B$11)</f>
        <v/>
      </c>
    </row>
    <row r="142">
      <c r="A142" s="7" t="n">
        <v>137</v>
      </c>
      <c r="B142" s="37">
        <f>Inputs!$B$4*A142/200</f>
        <v/>
      </c>
      <c r="C142" s="11">
        <f>IF(Inputs!$D$23=0,0,Inputs!$C$23+Inputs!$B$12*Inputs!$B$5*$B142^2/(Inputs!$D$23^2*Inputs!$H$23^4*Inputs!$I$23^2)+Inputs!$G$23*$B142^Inputs!$B$11)</f>
        <v/>
      </c>
      <c r="D142" s="11">
        <f>IF(Inputs!$D$24=0,0,Inputs!$C$24+Inputs!$B$12*Inputs!$B$5*$B142^2/(Inputs!$D$24^2*Inputs!$H$24^4*Inputs!$I$24^2)+Inputs!$G$24*$B142^Inputs!$B$11)</f>
        <v/>
      </c>
      <c r="E142" s="11">
        <f>IF(Inputs!$D$25=0,0,Inputs!$C$25+Inputs!$B$12*Inputs!$B$5*$B142^2/(Inputs!$D$25^2*Inputs!$H$25^4*Inputs!$I$25^2)+Inputs!$G$25*$B142^Inputs!$B$11)</f>
        <v/>
      </c>
      <c r="F142" s="11">
        <f>IF(Inputs!$D$26=0,0,Inputs!$C$26+Inputs!$B$12*Inputs!$B$5*$B142^2/(Inputs!$D$26^2*Inputs!$H$26^4*Inputs!$I$26^2)+Inputs!$G$26*$B142^Inputs!$B$11)</f>
        <v/>
      </c>
      <c r="G142" s="11">
        <f>IF(Inputs!$D$27=0,0,Inputs!$C$27+Inputs!$B$12*Inputs!$B$5*$B142^2/(Inputs!$D$27^2*Inputs!$H$27^4*Inputs!$I$27^2)+Inputs!$G$27*$B142^Inputs!$B$11)</f>
        <v/>
      </c>
      <c r="H142" s="11">
        <f>IF(Inputs!$D$28=0,0,Inputs!$C$28+Inputs!$B$12*Inputs!$B$5*$B142^2/(Inputs!$D$28^2*Inputs!$H$28^4*Inputs!$I$28^2)+Inputs!$G$28*$B142^Inputs!$B$11)</f>
        <v/>
      </c>
      <c r="I142" s="11">
        <f>IF(Inputs!$D$29=0,0,Inputs!$C$29+Inputs!$B$12*Inputs!$B$5*$B142^2/(Inputs!$D$29^2*Inputs!$H$29^4*Inputs!$I$29^2)+Inputs!$G$29*$B142^Inputs!$B$11)</f>
        <v/>
      </c>
      <c r="J142" s="11">
        <f>IF(Inputs!$D$30=0,0,Inputs!$C$30+Inputs!$B$12*Inputs!$B$5*$B142^2/(Inputs!$D$30^2*Inputs!$H$30^4*Inputs!$I$30^2)+Inputs!$G$30*$B142^Inputs!$B$11)</f>
        <v/>
      </c>
      <c r="K142" s="11">
        <f>IF(Inputs!$D$31=0,0,Inputs!$C$31+Inputs!$B$12*Inputs!$B$5*$B142^2/(Inputs!$D$31^2*Inputs!$H$31^4*Inputs!$I$31^2)+Inputs!$G$31*$B142^Inputs!$B$11)</f>
        <v/>
      </c>
      <c r="L142" s="11">
        <f>IF(Inputs!$D$32=0,0,Inputs!$C$32+Inputs!$B$12*Inputs!$B$5*$B142^2/(Inputs!$D$32^2*Inputs!$H$32^4*Inputs!$I$32^2)+Inputs!$G$32*$B142^Inputs!$B$11)</f>
        <v/>
      </c>
      <c r="M142" s="11">
        <f>IF(Inputs!$D$33=0,0,Inputs!$C$33+Inputs!$B$12*Inputs!$B$5*$B142^2/(Inputs!$D$33^2*Inputs!$H$33^4*Inputs!$I$33^2)+Inputs!$G$33*$B142^Inputs!$B$11)</f>
        <v/>
      </c>
      <c r="N142" s="11">
        <f>IF(Inputs!$D$34=0,0,Inputs!$C$34+Inputs!$B$12*Inputs!$B$5*$B142^2/(Inputs!$D$34^2*Inputs!$H$34^4*Inputs!$I$34^2)+Inputs!$G$34*$B142^Inputs!$B$11)</f>
        <v/>
      </c>
    </row>
    <row r="143">
      <c r="A143" s="7" t="n">
        <v>138</v>
      </c>
      <c r="B143" s="37">
        <f>Inputs!$B$4*A143/200</f>
        <v/>
      </c>
      <c r="C143" s="11">
        <f>IF(Inputs!$D$23=0,0,Inputs!$C$23+Inputs!$B$12*Inputs!$B$5*$B143^2/(Inputs!$D$23^2*Inputs!$H$23^4*Inputs!$I$23^2)+Inputs!$G$23*$B143^Inputs!$B$11)</f>
        <v/>
      </c>
      <c r="D143" s="11">
        <f>IF(Inputs!$D$24=0,0,Inputs!$C$24+Inputs!$B$12*Inputs!$B$5*$B143^2/(Inputs!$D$24^2*Inputs!$H$24^4*Inputs!$I$24^2)+Inputs!$G$24*$B143^Inputs!$B$11)</f>
        <v/>
      </c>
      <c r="E143" s="11">
        <f>IF(Inputs!$D$25=0,0,Inputs!$C$25+Inputs!$B$12*Inputs!$B$5*$B143^2/(Inputs!$D$25^2*Inputs!$H$25^4*Inputs!$I$25^2)+Inputs!$G$25*$B143^Inputs!$B$11)</f>
        <v/>
      </c>
      <c r="F143" s="11">
        <f>IF(Inputs!$D$26=0,0,Inputs!$C$26+Inputs!$B$12*Inputs!$B$5*$B143^2/(Inputs!$D$26^2*Inputs!$H$26^4*Inputs!$I$26^2)+Inputs!$G$26*$B143^Inputs!$B$11)</f>
        <v/>
      </c>
      <c r="G143" s="11">
        <f>IF(Inputs!$D$27=0,0,Inputs!$C$27+Inputs!$B$12*Inputs!$B$5*$B143^2/(Inputs!$D$27^2*Inputs!$H$27^4*Inputs!$I$27^2)+Inputs!$G$27*$B143^Inputs!$B$11)</f>
        <v/>
      </c>
      <c r="H143" s="11">
        <f>IF(Inputs!$D$28=0,0,Inputs!$C$28+Inputs!$B$12*Inputs!$B$5*$B143^2/(Inputs!$D$28^2*Inputs!$H$28^4*Inputs!$I$28^2)+Inputs!$G$28*$B143^Inputs!$B$11)</f>
        <v/>
      </c>
      <c r="I143" s="11">
        <f>IF(Inputs!$D$29=0,0,Inputs!$C$29+Inputs!$B$12*Inputs!$B$5*$B143^2/(Inputs!$D$29^2*Inputs!$H$29^4*Inputs!$I$29^2)+Inputs!$G$29*$B143^Inputs!$B$11)</f>
        <v/>
      </c>
      <c r="J143" s="11">
        <f>IF(Inputs!$D$30=0,0,Inputs!$C$30+Inputs!$B$12*Inputs!$B$5*$B143^2/(Inputs!$D$30^2*Inputs!$H$30^4*Inputs!$I$30^2)+Inputs!$G$30*$B143^Inputs!$B$11)</f>
        <v/>
      </c>
      <c r="K143" s="11">
        <f>IF(Inputs!$D$31=0,0,Inputs!$C$31+Inputs!$B$12*Inputs!$B$5*$B143^2/(Inputs!$D$31^2*Inputs!$H$31^4*Inputs!$I$31^2)+Inputs!$G$31*$B143^Inputs!$B$11)</f>
        <v/>
      </c>
      <c r="L143" s="11">
        <f>IF(Inputs!$D$32=0,0,Inputs!$C$32+Inputs!$B$12*Inputs!$B$5*$B143^2/(Inputs!$D$32^2*Inputs!$H$32^4*Inputs!$I$32^2)+Inputs!$G$32*$B143^Inputs!$B$11)</f>
        <v/>
      </c>
      <c r="M143" s="11">
        <f>IF(Inputs!$D$33=0,0,Inputs!$C$33+Inputs!$B$12*Inputs!$B$5*$B143^2/(Inputs!$D$33^2*Inputs!$H$33^4*Inputs!$I$33^2)+Inputs!$G$33*$B143^Inputs!$B$11)</f>
        <v/>
      </c>
      <c r="N143" s="11">
        <f>IF(Inputs!$D$34=0,0,Inputs!$C$34+Inputs!$B$12*Inputs!$B$5*$B143^2/(Inputs!$D$34^2*Inputs!$H$34^4*Inputs!$I$34^2)+Inputs!$G$34*$B143^Inputs!$B$11)</f>
        <v/>
      </c>
    </row>
    <row r="144">
      <c r="A144" s="7" t="n">
        <v>139</v>
      </c>
      <c r="B144" s="37">
        <f>Inputs!$B$4*A144/200</f>
        <v/>
      </c>
      <c r="C144" s="11">
        <f>IF(Inputs!$D$23=0,0,Inputs!$C$23+Inputs!$B$12*Inputs!$B$5*$B144^2/(Inputs!$D$23^2*Inputs!$H$23^4*Inputs!$I$23^2)+Inputs!$G$23*$B144^Inputs!$B$11)</f>
        <v/>
      </c>
      <c r="D144" s="11">
        <f>IF(Inputs!$D$24=0,0,Inputs!$C$24+Inputs!$B$12*Inputs!$B$5*$B144^2/(Inputs!$D$24^2*Inputs!$H$24^4*Inputs!$I$24^2)+Inputs!$G$24*$B144^Inputs!$B$11)</f>
        <v/>
      </c>
      <c r="E144" s="11">
        <f>IF(Inputs!$D$25=0,0,Inputs!$C$25+Inputs!$B$12*Inputs!$B$5*$B144^2/(Inputs!$D$25^2*Inputs!$H$25^4*Inputs!$I$25^2)+Inputs!$G$25*$B144^Inputs!$B$11)</f>
        <v/>
      </c>
      <c r="F144" s="11">
        <f>IF(Inputs!$D$26=0,0,Inputs!$C$26+Inputs!$B$12*Inputs!$B$5*$B144^2/(Inputs!$D$26^2*Inputs!$H$26^4*Inputs!$I$26^2)+Inputs!$G$26*$B144^Inputs!$B$11)</f>
        <v/>
      </c>
      <c r="G144" s="11">
        <f>IF(Inputs!$D$27=0,0,Inputs!$C$27+Inputs!$B$12*Inputs!$B$5*$B144^2/(Inputs!$D$27^2*Inputs!$H$27^4*Inputs!$I$27^2)+Inputs!$G$27*$B144^Inputs!$B$11)</f>
        <v/>
      </c>
      <c r="H144" s="11">
        <f>IF(Inputs!$D$28=0,0,Inputs!$C$28+Inputs!$B$12*Inputs!$B$5*$B144^2/(Inputs!$D$28^2*Inputs!$H$28^4*Inputs!$I$28^2)+Inputs!$G$28*$B144^Inputs!$B$11)</f>
        <v/>
      </c>
      <c r="I144" s="11">
        <f>IF(Inputs!$D$29=0,0,Inputs!$C$29+Inputs!$B$12*Inputs!$B$5*$B144^2/(Inputs!$D$29^2*Inputs!$H$29^4*Inputs!$I$29^2)+Inputs!$G$29*$B144^Inputs!$B$11)</f>
        <v/>
      </c>
      <c r="J144" s="11">
        <f>IF(Inputs!$D$30=0,0,Inputs!$C$30+Inputs!$B$12*Inputs!$B$5*$B144^2/(Inputs!$D$30^2*Inputs!$H$30^4*Inputs!$I$30^2)+Inputs!$G$30*$B144^Inputs!$B$11)</f>
        <v/>
      </c>
      <c r="K144" s="11">
        <f>IF(Inputs!$D$31=0,0,Inputs!$C$31+Inputs!$B$12*Inputs!$B$5*$B144^2/(Inputs!$D$31^2*Inputs!$H$31^4*Inputs!$I$31^2)+Inputs!$G$31*$B144^Inputs!$B$11)</f>
        <v/>
      </c>
      <c r="L144" s="11">
        <f>IF(Inputs!$D$32=0,0,Inputs!$C$32+Inputs!$B$12*Inputs!$B$5*$B144^2/(Inputs!$D$32^2*Inputs!$H$32^4*Inputs!$I$32^2)+Inputs!$G$32*$B144^Inputs!$B$11)</f>
        <v/>
      </c>
      <c r="M144" s="11">
        <f>IF(Inputs!$D$33=0,0,Inputs!$C$33+Inputs!$B$12*Inputs!$B$5*$B144^2/(Inputs!$D$33^2*Inputs!$H$33^4*Inputs!$I$33^2)+Inputs!$G$33*$B144^Inputs!$B$11)</f>
        <v/>
      </c>
      <c r="N144" s="11">
        <f>IF(Inputs!$D$34=0,0,Inputs!$C$34+Inputs!$B$12*Inputs!$B$5*$B144^2/(Inputs!$D$34^2*Inputs!$H$34^4*Inputs!$I$34^2)+Inputs!$G$34*$B144^Inputs!$B$11)</f>
        <v/>
      </c>
    </row>
    <row r="145">
      <c r="A145" s="7" t="n">
        <v>140</v>
      </c>
      <c r="B145" s="37">
        <f>Inputs!$B$4*A145/200</f>
        <v/>
      </c>
      <c r="C145" s="11">
        <f>IF(Inputs!$D$23=0,0,Inputs!$C$23+Inputs!$B$12*Inputs!$B$5*$B145^2/(Inputs!$D$23^2*Inputs!$H$23^4*Inputs!$I$23^2)+Inputs!$G$23*$B145^Inputs!$B$11)</f>
        <v/>
      </c>
      <c r="D145" s="11">
        <f>IF(Inputs!$D$24=0,0,Inputs!$C$24+Inputs!$B$12*Inputs!$B$5*$B145^2/(Inputs!$D$24^2*Inputs!$H$24^4*Inputs!$I$24^2)+Inputs!$G$24*$B145^Inputs!$B$11)</f>
        <v/>
      </c>
      <c r="E145" s="11">
        <f>IF(Inputs!$D$25=0,0,Inputs!$C$25+Inputs!$B$12*Inputs!$B$5*$B145^2/(Inputs!$D$25^2*Inputs!$H$25^4*Inputs!$I$25^2)+Inputs!$G$25*$B145^Inputs!$B$11)</f>
        <v/>
      </c>
      <c r="F145" s="11">
        <f>IF(Inputs!$D$26=0,0,Inputs!$C$26+Inputs!$B$12*Inputs!$B$5*$B145^2/(Inputs!$D$26^2*Inputs!$H$26^4*Inputs!$I$26^2)+Inputs!$G$26*$B145^Inputs!$B$11)</f>
        <v/>
      </c>
      <c r="G145" s="11">
        <f>IF(Inputs!$D$27=0,0,Inputs!$C$27+Inputs!$B$12*Inputs!$B$5*$B145^2/(Inputs!$D$27^2*Inputs!$H$27^4*Inputs!$I$27^2)+Inputs!$G$27*$B145^Inputs!$B$11)</f>
        <v/>
      </c>
      <c r="H145" s="11">
        <f>IF(Inputs!$D$28=0,0,Inputs!$C$28+Inputs!$B$12*Inputs!$B$5*$B145^2/(Inputs!$D$28^2*Inputs!$H$28^4*Inputs!$I$28^2)+Inputs!$G$28*$B145^Inputs!$B$11)</f>
        <v/>
      </c>
      <c r="I145" s="11">
        <f>IF(Inputs!$D$29=0,0,Inputs!$C$29+Inputs!$B$12*Inputs!$B$5*$B145^2/(Inputs!$D$29^2*Inputs!$H$29^4*Inputs!$I$29^2)+Inputs!$G$29*$B145^Inputs!$B$11)</f>
        <v/>
      </c>
      <c r="J145" s="11">
        <f>IF(Inputs!$D$30=0,0,Inputs!$C$30+Inputs!$B$12*Inputs!$B$5*$B145^2/(Inputs!$D$30^2*Inputs!$H$30^4*Inputs!$I$30^2)+Inputs!$G$30*$B145^Inputs!$B$11)</f>
        <v/>
      </c>
      <c r="K145" s="11">
        <f>IF(Inputs!$D$31=0,0,Inputs!$C$31+Inputs!$B$12*Inputs!$B$5*$B145^2/(Inputs!$D$31^2*Inputs!$H$31^4*Inputs!$I$31^2)+Inputs!$G$31*$B145^Inputs!$B$11)</f>
        <v/>
      </c>
      <c r="L145" s="11">
        <f>IF(Inputs!$D$32=0,0,Inputs!$C$32+Inputs!$B$12*Inputs!$B$5*$B145^2/(Inputs!$D$32^2*Inputs!$H$32^4*Inputs!$I$32^2)+Inputs!$G$32*$B145^Inputs!$B$11)</f>
        <v/>
      </c>
      <c r="M145" s="11">
        <f>IF(Inputs!$D$33=0,0,Inputs!$C$33+Inputs!$B$12*Inputs!$B$5*$B145^2/(Inputs!$D$33^2*Inputs!$H$33^4*Inputs!$I$33^2)+Inputs!$G$33*$B145^Inputs!$B$11)</f>
        <v/>
      </c>
      <c r="N145" s="11">
        <f>IF(Inputs!$D$34=0,0,Inputs!$C$34+Inputs!$B$12*Inputs!$B$5*$B145^2/(Inputs!$D$34^2*Inputs!$H$34^4*Inputs!$I$34^2)+Inputs!$G$34*$B145^Inputs!$B$11)</f>
        <v/>
      </c>
    </row>
    <row r="146">
      <c r="A146" s="7" t="n">
        <v>141</v>
      </c>
      <c r="B146" s="37">
        <f>Inputs!$B$4*A146/200</f>
        <v/>
      </c>
      <c r="C146" s="11">
        <f>IF(Inputs!$D$23=0,0,Inputs!$C$23+Inputs!$B$12*Inputs!$B$5*$B146^2/(Inputs!$D$23^2*Inputs!$H$23^4*Inputs!$I$23^2)+Inputs!$G$23*$B146^Inputs!$B$11)</f>
        <v/>
      </c>
      <c r="D146" s="11">
        <f>IF(Inputs!$D$24=0,0,Inputs!$C$24+Inputs!$B$12*Inputs!$B$5*$B146^2/(Inputs!$D$24^2*Inputs!$H$24^4*Inputs!$I$24^2)+Inputs!$G$24*$B146^Inputs!$B$11)</f>
        <v/>
      </c>
      <c r="E146" s="11">
        <f>IF(Inputs!$D$25=0,0,Inputs!$C$25+Inputs!$B$12*Inputs!$B$5*$B146^2/(Inputs!$D$25^2*Inputs!$H$25^4*Inputs!$I$25^2)+Inputs!$G$25*$B146^Inputs!$B$11)</f>
        <v/>
      </c>
      <c r="F146" s="11">
        <f>IF(Inputs!$D$26=0,0,Inputs!$C$26+Inputs!$B$12*Inputs!$B$5*$B146^2/(Inputs!$D$26^2*Inputs!$H$26^4*Inputs!$I$26^2)+Inputs!$G$26*$B146^Inputs!$B$11)</f>
        <v/>
      </c>
      <c r="G146" s="11">
        <f>IF(Inputs!$D$27=0,0,Inputs!$C$27+Inputs!$B$12*Inputs!$B$5*$B146^2/(Inputs!$D$27^2*Inputs!$H$27^4*Inputs!$I$27^2)+Inputs!$G$27*$B146^Inputs!$B$11)</f>
        <v/>
      </c>
      <c r="H146" s="11">
        <f>IF(Inputs!$D$28=0,0,Inputs!$C$28+Inputs!$B$12*Inputs!$B$5*$B146^2/(Inputs!$D$28^2*Inputs!$H$28^4*Inputs!$I$28^2)+Inputs!$G$28*$B146^Inputs!$B$11)</f>
        <v/>
      </c>
      <c r="I146" s="11">
        <f>IF(Inputs!$D$29=0,0,Inputs!$C$29+Inputs!$B$12*Inputs!$B$5*$B146^2/(Inputs!$D$29^2*Inputs!$H$29^4*Inputs!$I$29^2)+Inputs!$G$29*$B146^Inputs!$B$11)</f>
        <v/>
      </c>
      <c r="J146" s="11">
        <f>IF(Inputs!$D$30=0,0,Inputs!$C$30+Inputs!$B$12*Inputs!$B$5*$B146^2/(Inputs!$D$30^2*Inputs!$H$30^4*Inputs!$I$30^2)+Inputs!$G$30*$B146^Inputs!$B$11)</f>
        <v/>
      </c>
      <c r="K146" s="11">
        <f>IF(Inputs!$D$31=0,0,Inputs!$C$31+Inputs!$B$12*Inputs!$B$5*$B146^2/(Inputs!$D$31^2*Inputs!$H$31^4*Inputs!$I$31^2)+Inputs!$G$31*$B146^Inputs!$B$11)</f>
        <v/>
      </c>
      <c r="L146" s="11">
        <f>IF(Inputs!$D$32=0,0,Inputs!$C$32+Inputs!$B$12*Inputs!$B$5*$B146^2/(Inputs!$D$32^2*Inputs!$H$32^4*Inputs!$I$32^2)+Inputs!$G$32*$B146^Inputs!$B$11)</f>
        <v/>
      </c>
      <c r="M146" s="11">
        <f>IF(Inputs!$D$33=0,0,Inputs!$C$33+Inputs!$B$12*Inputs!$B$5*$B146^2/(Inputs!$D$33^2*Inputs!$H$33^4*Inputs!$I$33^2)+Inputs!$G$33*$B146^Inputs!$B$11)</f>
        <v/>
      </c>
      <c r="N146" s="11">
        <f>IF(Inputs!$D$34=0,0,Inputs!$C$34+Inputs!$B$12*Inputs!$B$5*$B146^2/(Inputs!$D$34^2*Inputs!$H$34^4*Inputs!$I$34^2)+Inputs!$G$34*$B146^Inputs!$B$11)</f>
        <v/>
      </c>
    </row>
    <row r="147">
      <c r="A147" s="7" t="n">
        <v>142</v>
      </c>
      <c r="B147" s="37">
        <f>Inputs!$B$4*A147/200</f>
        <v/>
      </c>
      <c r="C147" s="11">
        <f>IF(Inputs!$D$23=0,0,Inputs!$C$23+Inputs!$B$12*Inputs!$B$5*$B147^2/(Inputs!$D$23^2*Inputs!$H$23^4*Inputs!$I$23^2)+Inputs!$G$23*$B147^Inputs!$B$11)</f>
        <v/>
      </c>
      <c r="D147" s="11">
        <f>IF(Inputs!$D$24=0,0,Inputs!$C$24+Inputs!$B$12*Inputs!$B$5*$B147^2/(Inputs!$D$24^2*Inputs!$H$24^4*Inputs!$I$24^2)+Inputs!$G$24*$B147^Inputs!$B$11)</f>
        <v/>
      </c>
      <c r="E147" s="11">
        <f>IF(Inputs!$D$25=0,0,Inputs!$C$25+Inputs!$B$12*Inputs!$B$5*$B147^2/(Inputs!$D$25^2*Inputs!$H$25^4*Inputs!$I$25^2)+Inputs!$G$25*$B147^Inputs!$B$11)</f>
        <v/>
      </c>
      <c r="F147" s="11">
        <f>IF(Inputs!$D$26=0,0,Inputs!$C$26+Inputs!$B$12*Inputs!$B$5*$B147^2/(Inputs!$D$26^2*Inputs!$H$26^4*Inputs!$I$26^2)+Inputs!$G$26*$B147^Inputs!$B$11)</f>
        <v/>
      </c>
      <c r="G147" s="11">
        <f>IF(Inputs!$D$27=0,0,Inputs!$C$27+Inputs!$B$12*Inputs!$B$5*$B147^2/(Inputs!$D$27^2*Inputs!$H$27^4*Inputs!$I$27^2)+Inputs!$G$27*$B147^Inputs!$B$11)</f>
        <v/>
      </c>
      <c r="H147" s="11">
        <f>IF(Inputs!$D$28=0,0,Inputs!$C$28+Inputs!$B$12*Inputs!$B$5*$B147^2/(Inputs!$D$28^2*Inputs!$H$28^4*Inputs!$I$28^2)+Inputs!$G$28*$B147^Inputs!$B$11)</f>
        <v/>
      </c>
      <c r="I147" s="11">
        <f>IF(Inputs!$D$29=0,0,Inputs!$C$29+Inputs!$B$12*Inputs!$B$5*$B147^2/(Inputs!$D$29^2*Inputs!$H$29^4*Inputs!$I$29^2)+Inputs!$G$29*$B147^Inputs!$B$11)</f>
        <v/>
      </c>
      <c r="J147" s="11">
        <f>IF(Inputs!$D$30=0,0,Inputs!$C$30+Inputs!$B$12*Inputs!$B$5*$B147^2/(Inputs!$D$30^2*Inputs!$H$30^4*Inputs!$I$30^2)+Inputs!$G$30*$B147^Inputs!$B$11)</f>
        <v/>
      </c>
      <c r="K147" s="11">
        <f>IF(Inputs!$D$31=0,0,Inputs!$C$31+Inputs!$B$12*Inputs!$B$5*$B147^2/(Inputs!$D$31^2*Inputs!$H$31^4*Inputs!$I$31^2)+Inputs!$G$31*$B147^Inputs!$B$11)</f>
        <v/>
      </c>
      <c r="L147" s="11">
        <f>IF(Inputs!$D$32=0,0,Inputs!$C$32+Inputs!$B$12*Inputs!$B$5*$B147^2/(Inputs!$D$32^2*Inputs!$H$32^4*Inputs!$I$32^2)+Inputs!$G$32*$B147^Inputs!$B$11)</f>
        <v/>
      </c>
      <c r="M147" s="11">
        <f>IF(Inputs!$D$33=0,0,Inputs!$C$33+Inputs!$B$12*Inputs!$B$5*$B147^2/(Inputs!$D$33^2*Inputs!$H$33^4*Inputs!$I$33^2)+Inputs!$G$33*$B147^Inputs!$B$11)</f>
        <v/>
      </c>
      <c r="N147" s="11">
        <f>IF(Inputs!$D$34=0,0,Inputs!$C$34+Inputs!$B$12*Inputs!$B$5*$B147^2/(Inputs!$D$34^2*Inputs!$H$34^4*Inputs!$I$34^2)+Inputs!$G$34*$B147^Inputs!$B$11)</f>
        <v/>
      </c>
    </row>
    <row r="148">
      <c r="A148" s="7" t="n">
        <v>143</v>
      </c>
      <c r="B148" s="37">
        <f>Inputs!$B$4*A148/200</f>
        <v/>
      </c>
      <c r="C148" s="11">
        <f>IF(Inputs!$D$23=0,0,Inputs!$C$23+Inputs!$B$12*Inputs!$B$5*$B148^2/(Inputs!$D$23^2*Inputs!$H$23^4*Inputs!$I$23^2)+Inputs!$G$23*$B148^Inputs!$B$11)</f>
        <v/>
      </c>
      <c r="D148" s="11">
        <f>IF(Inputs!$D$24=0,0,Inputs!$C$24+Inputs!$B$12*Inputs!$B$5*$B148^2/(Inputs!$D$24^2*Inputs!$H$24^4*Inputs!$I$24^2)+Inputs!$G$24*$B148^Inputs!$B$11)</f>
        <v/>
      </c>
      <c r="E148" s="11">
        <f>IF(Inputs!$D$25=0,0,Inputs!$C$25+Inputs!$B$12*Inputs!$B$5*$B148^2/(Inputs!$D$25^2*Inputs!$H$25^4*Inputs!$I$25^2)+Inputs!$G$25*$B148^Inputs!$B$11)</f>
        <v/>
      </c>
      <c r="F148" s="11">
        <f>IF(Inputs!$D$26=0,0,Inputs!$C$26+Inputs!$B$12*Inputs!$B$5*$B148^2/(Inputs!$D$26^2*Inputs!$H$26^4*Inputs!$I$26^2)+Inputs!$G$26*$B148^Inputs!$B$11)</f>
        <v/>
      </c>
      <c r="G148" s="11">
        <f>IF(Inputs!$D$27=0,0,Inputs!$C$27+Inputs!$B$12*Inputs!$B$5*$B148^2/(Inputs!$D$27^2*Inputs!$H$27^4*Inputs!$I$27^2)+Inputs!$G$27*$B148^Inputs!$B$11)</f>
        <v/>
      </c>
      <c r="H148" s="11">
        <f>IF(Inputs!$D$28=0,0,Inputs!$C$28+Inputs!$B$12*Inputs!$B$5*$B148^2/(Inputs!$D$28^2*Inputs!$H$28^4*Inputs!$I$28^2)+Inputs!$G$28*$B148^Inputs!$B$11)</f>
        <v/>
      </c>
      <c r="I148" s="11">
        <f>IF(Inputs!$D$29=0,0,Inputs!$C$29+Inputs!$B$12*Inputs!$B$5*$B148^2/(Inputs!$D$29^2*Inputs!$H$29^4*Inputs!$I$29^2)+Inputs!$G$29*$B148^Inputs!$B$11)</f>
        <v/>
      </c>
      <c r="J148" s="11">
        <f>IF(Inputs!$D$30=0,0,Inputs!$C$30+Inputs!$B$12*Inputs!$B$5*$B148^2/(Inputs!$D$30^2*Inputs!$H$30^4*Inputs!$I$30^2)+Inputs!$G$30*$B148^Inputs!$B$11)</f>
        <v/>
      </c>
      <c r="K148" s="11">
        <f>IF(Inputs!$D$31=0,0,Inputs!$C$31+Inputs!$B$12*Inputs!$B$5*$B148^2/(Inputs!$D$31^2*Inputs!$H$31^4*Inputs!$I$31^2)+Inputs!$G$31*$B148^Inputs!$B$11)</f>
        <v/>
      </c>
      <c r="L148" s="11">
        <f>IF(Inputs!$D$32=0,0,Inputs!$C$32+Inputs!$B$12*Inputs!$B$5*$B148^2/(Inputs!$D$32^2*Inputs!$H$32^4*Inputs!$I$32^2)+Inputs!$G$32*$B148^Inputs!$B$11)</f>
        <v/>
      </c>
      <c r="M148" s="11">
        <f>IF(Inputs!$D$33=0,0,Inputs!$C$33+Inputs!$B$12*Inputs!$B$5*$B148^2/(Inputs!$D$33^2*Inputs!$H$33^4*Inputs!$I$33^2)+Inputs!$G$33*$B148^Inputs!$B$11)</f>
        <v/>
      </c>
      <c r="N148" s="11">
        <f>IF(Inputs!$D$34=0,0,Inputs!$C$34+Inputs!$B$12*Inputs!$B$5*$B148^2/(Inputs!$D$34^2*Inputs!$H$34^4*Inputs!$I$34^2)+Inputs!$G$34*$B148^Inputs!$B$11)</f>
        <v/>
      </c>
    </row>
    <row r="149">
      <c r="A149" s="7" t="n">
        <v>144</v>
      </c>
      <c r="B149" s="37">
        <f>Inputs!$B$4*A149/200</f>
        <v/>
      </c>
      <c r="C149" s="11">
        <f>IF(Inputs!$D$23=0,0,Inputs!$C$23+Inputs!$B$12*Inputs!$B$5*$B149^2/(Inputs!$D$23^2*Inputs!$H$23^4*Inputs!$I$23^2)+Inputs!$G$23*$B149^Inputs!$B$11)</f>
        <v/>
      </c>
      <c r="D149" s="11">
        <f>IF(Inputs!$D$24=0,0,Inputs!$C$24+Inputs!$B$12*Inputs!$B$5*$B149^2/(Inputs!$D$24^2*Inputs!$H$24^4*Inputs!$I$24^2)+Inputs!$G$24*$B149^Inputs!$B$11)</f>
        <v/>
      </c>
      <c r="E149" s="11">
        <f>IF(Inputs!$D$25=0,0,Inputs!$C$25+Inputs!$B$12*Inputs!$B$5*$B149^2/(Inputs!$D$25^2*Inputs!$H$25^4*Inputs!$I$25^2)+Inputs!$G$25*$B149^Inputs!$B$11)</f>
        <v/>
      </c>
      <c r="F149" s="11">
        <f>IF(Inputs!$D$26=0,0,Inputs!$C$26+Inputs!$B$12*Inputs!$B$5*$B149^2/(Inputs!$D$26^2*Inputs!$H$26^4*Inputs!$I$26^2)+Inputs!$G$26*$B149^Inputs!$B$11)</f>
        <v/>
      </c>
      <c r="G149" s="11">
        <f>IF(Inputs!$D$27=0,0,Inputs!$C$27+Inputs!$B$12*Inputs!$B$5*$B149^2/(Inputs!$D$27^2*Inputs!$H$27^4*Inputs!$I$27^2)+Inputs!$G$27*$B149^Inputs!$B$11)</f>
        <v/>
      </c>
      <c r="H149" s="11">
        <f>IF(Inputs!$D$28=0,0,Inputs!$C$28+Inputs!$B$12*Inputs!$B$5*$B149^2/(Inputs!$D$28^2*Inputs!$H$28^4*Inputs!$I$28^2)+Inputs!$G$28*$B149^Inputs!$B$11)</f>
        <v/>
      </c>
      <c r="I149" s="11">
        <f>IF(Inputs!$D$29=0,0,Inputs!$C$29+Inputs!$B$12*Inputs!$B$5*$B149^2/(Inputs!$D$29^2*Inputs!$H$29^4*Inputs!$I$29^2)+Inputs!$G$29*$B149^Inputs!$B$11)</f>
        <v/>
      </c>
      <c r="J149" s="11">
        <f>IF(Inputs!$D$30=0,0,Inputs!$C$30+Inputs!$B$12*Inputs!$B$5*$B149^2/(Inputs!$D$30^2*Inputs!$H$30^4*Inputs!$I$30^2)+Inputs!$G$30*$B149^Inputs!$B$11)</f>
        <v/>
      </c>
      <c r="K149" s="11">
        <f>IF(Inputs!$D$31=0,0,Inputs!$C$31+Inputs!$B$12*Inputs!$B$5*$B149^2/(Inputs!$D$31^2*Inputs!$H$31^4*Inputs!$I$31^2)+Inputs!$G$31*$B149^Inputs!$B$11)</f>
        <v/>
      </c>
      <c r="L149" s="11">
        <f>IF(Inputs!$D$32=0,0,Inputs!$C$32+Inputs!$B$12*Inputs!$B$5*$B149^2/(Inputs!$D$32^2*Inputs!$H$32^4*Inputs!$I$32^2)+Inputs!$G$32*$B149^Inputs!$B$11)</f>
        <v/>
      </c>
      <c r="M149" s="11">
        <f>IF(Inputs!$D$33=0,0,Inputs!$C$33+Inputs!$B$12*Inputs!$B$5*$B149^2/(Inputs!$D$33^2*Inputs!$H$33^4*Inputs!$I$33^2)+Inputs!$G$33*$B149^Inputs!$B$11)</f>
        <v/>
      </c>
      <c r="N149" s="11">
        <f>IF(Inputs!$D$34=0,0,Inputs!$C$34+Inputs!$B$12*Inputs!$B$5*$B149^2/(Inputs!$D$34^2*Inputs!$H$34^4*Inputs!$I$34^2)+Inputs!$G$34*$B149^Inputs!$B$11)</f>
        <v/>
      </c>
    </row>
    <row r="150">
      <c r="A150" s="7" t="n">
        <v>145</v>
      </c>
      <c r="B150" s="37">
        <f>Inputs!$B$4*A150/200</f>
        <v/>
      </c>
      <c r="C150" s="11">
        <f>IF(Inputs!$D$23=0,0,Inputs!$C$23+Inputs!$B$12*Inputs!$B$5*$B150^2/(Inputs!$D$23^2*Inputs!$H$23^4*Inputs!$I$23^2)+Inputs!$G$23*$B150^Inputs!$B$11)</f>
        <v/>
      </c>
      <c r="D150" s="11">
        <f>IF(Inputs!$D$24=0,0,Inputs!$C$24+Inputs!$B$12*Inputs!$B$5*$B150^2/(Inputs!$D$24^2*Inputs!$H$24^4*Inputs!$I$24^2)+Inputs!$G$24*$B150^Inputs!$B$11)</f>
        <v/>
      </c>
      <c r="E150" s="11">
        <f>IF(Inputs!$D$25=0,0,Inputs!$C$25+Inputs!$B$12*Inputs!$B$5*$B150^2/(Inputs!$D$25^2*Inputs!$H$25^4*Inputs!$I$25^2)+Inputs!$G$25*$B150^Inputs!$B$11)</f>
        <v/>
      </c>
      <c r="F150" s="11">
        <f>IF(Inputs!$D$26=0,0,Inputs!$C$26+Inputs!$B$12*Inputs!$B$5*$B150^2/(Inputs!$D$26^2*Inputs!$H$26^4*Inputs!$I$26^2)+Inputs!$G$26*$B150^Inputs!$B$11)</f>
        <v/>
      </c>
      <c r="G150" s="11">
        <f>IF(Inputs!$D$27=0,0,Inputs!$C$27+Inputs!$B$12*Inputs!$B$5*$B150^2/(Inputs!$D$27^2*Inputs!$H$27^4*Inputs!$I$27^2)+Inputs!$G$27*$B150^Inputs!$B$11)</f>
        <v/>
      </c>
      <c r="H150" s="11">
        <f>IF(Inputs!$D$28=0,0,Inputs!$C$28+Inputs!$B$12*Inputs!$B$5*$B150^2/(Inputs!$D$28^2*Inputs!$H$28^4*Inputs!$I$28^2)+Inputs!$G$28*$B150^Inputs!$B$11)</f>
        <v/>
      </c>
      <c r="I150" s="11">
        <f>IF(Inputs!$D$29=0,0,Inputs!$C$29+Inputs!$B$12*Inputs!$B$5*$B150^2/(Inputs!$D$29^2*Inputs!$H$29^4*Inputs!$I$29^2)+Inputs!$G$29*$B150^Inputs!$B$11)</f>
        <v/>
      </c>
      <c r="J150" s="11">
        <f>IF(Inputs!$D$30=0,0,Inputs!$C$30+Inputs!$B$12*Inputs!$B$5*$B150^2/(Inputs!$D$30^2*Inputs!$H$30^4*Inputs!$I$30^2)+Inputs!$G$30*$B150^Inputs!$B$11)</f>
        <v/>
      </c>
      <c r="K150" s="11">
        <f>IF(Inputs!$D$31=0,0,Inputs!$C$31+Inputs!$B$12*Inputs!$B$5*$B150^2/(Inputs!$D$31^2*Inputs!$H$31^4*Inputs!$I$31^2)+Inputs!$G$31*$B150^Inputs!$B$11)</f>
        <v/>
      </c>
      <c r="L150" s="11">
        <f>IF(Inputs!$D$32=0,0,Inputs!$C$32+Inputs!$B$12*Inputs!$B$5*$B150^2/(Inputs!$D$32^2*Inputs!$H$32^4*Inputs!$I$32^2)+Inputs!$G$32*$B150^Inputs!$B$11)</f>
        <v/>
      </c>
      <c r="M150" s="11">
        <f>IF(Inputs!$D$33=0,0,Inputs!$C$33+Inputs!$B$12*Inputs!$B$5*$B150^2/(Inputs!$D$33^2*Inputs!$H$33^4*Inputs!$I$33^2)+Inputs!$G$33*$B150^Inputs!$B$11)</f>
        <v/>
      </c>
      <c r="N150" s="11">
        <f>IF(Inputs!$D$34=0,0,Inputs!$C$34+Inputs!$B$12*Inputs!$B$5*$B150^2/(Inputs!$D$34^2*Inputs!$H$34^4*Inputs!$I$34^2)+Inputs!$G$34*$B150^Inputs!$B$11)</f>
        <v/>
      </c>
    </row>
    <row r="151">
      <c r="A151" s="7" t="n">
        <v>146</v>
      </c>
      <c r="B151" s="37">
        <f>Inputs!$B$4*A151/200</f>
        <v/>
      </c>
      <c r="C151" s="11">
        <f>IF(Inputs!$D$23=0,0,Inputs!$C$23+Inputs!$B$12*Inputs!$B$5*$B151^2/(Inputs!$D$23^2*Inputs!$H$23^4*Inputs!$I$23^2)+Inputs!$G$23*$B151^Inputs!$B$11)</f>
        <v/>
      </c>
      <c r="D151" s="11">
        <f>IF(Inputs!$D$24=0,0,Inputs!$C$24+Inputs!$B$12*Inputs!$B$5*$B151^2/(Inputs!$D$24^2*Inputs!$H$24^4*Inputs!$I$24^2)+Inputs!$G$24*$B151^Inputs!$B$11)</f>
        <v/>
      </c>
      <c r="E151" s="11">
        <f>IF(Inputs!$D$25=0,0,Inputs!$C$25+Inputs!$B$12*Inputs!$B$5*$B151^2/(Inputs!$D$25^2*Inputs!$H$25^4*Inputs!$I$25^2)+Inputs!$G$25*$B151^Inputs!$B$11)</f>
        <v/>
      </c>
      <c r="F151" s="11">
        <f>IF(Inputs!$D$26=0,0,Inputs!$C$26+Inputs!$B$12*Inputs!$B$5*$B151^2/(Inputs!$D$26^2*Inputs!$H$26^4*Inputs!$I$26^2)+Inputs!$G$26*$B151^Inputs!$B$11)</f>
        <v/>
      </c>
      <c r="G151" s="11">
        <f>IF(Inputs!$D$27=0,0,Inputs!$C$27+Inputs!$B$12*Inputs!$B$5*$B151^2/(Inputs!$D$27^2*Inputs!$H$27^4*Inputs!$I$27^2)+Inputs!$G$27*$B151^Inputs!$B$11)</f>
        <v/>
      </c>
      <c r="H151" s="11">
        <f>IF(Inputs!$D$28=0,0,Inputs!$C$28+Inputs!$B$12*Inputs!$B$5*$B151^2/(Inputs!$D$28^2*Inputs!$H$28^4*Inputs!$I$28^2)+Inputs!$G$28*$B151^Inputs!$B$11)</f>
        <v/>
      </c>
      <c r="I151" s="11">
        <f>IF(Inputs!$D$29=0,0,Inputs!$C$29+Inputs!$B$12*Inputs!$B$5*$B151^2/(Inputs!$D$29^2*Inputs!$H$29^4*Inputs!$I$29^2)+Inputs!$G$29*$B151^Inputs!$B$11)</f>
        <v/>
      </c>
      <c r="J151" s="11">
        <f>IF(Inputs!$D$30=0,0,Inputs!$C$30+Inputs!$B$12*Inputs!$B$5*$B151^2/(Inputs!$D$30^2*Inputs!$H$30^4*Inputs!$I$30^2)+Inputs!$G$30*$B151^Inputs!$B$11)</f>
        <v/>
      </c>
      <c r="K151" s="11">
        <f>IF(Inputs!$D$31=0,0,Inputs!$C$31+Inputs!$B$12*Inputs!$B$5*$B151^2/(Inputs!$D$31^2*Inputs!$H$31^4*Inputs!$I$31^2)+Inputs!$G$31*$B151^Inputs!$B$11)</f>
        <v/>
      </c>
      <c r="L151" s="11">
        <f>IF(Inputs!$D$32=0,0,Inputs!$C$32+Inputs!$B$12*Inputs!$B$5*$B151^2/(Inputs!$D$32^2*Inputs!$H$32^4*Inputs!$I$32^2)+Inputs!$G$32*$B151^Inputs!$B$11)</f>
        <v/>
      </c>
      <c r="M151" s="11">
        <f>IF(Inputs!$D$33=0,0,Inputs!$C$33+Inputs!$B$12*Inputs!$B$5*$B151^2/(Inputs!$D$33^2*Inputs!$H$33^4*Inputs!$I$33^2)+Inputs!$G$33*$B151^Inputs!$B$11)</f>
        <v/>
      </c>
      <c r="N151" s="11">
        <f>IF(Inputs!$D$34=0,0,Inputs!$C$34+Inputs!$B$12*Inputs!$B$5*$B151^2/(Inputs!$D$34^2*Inputs!$H$34^4*Inputs!$I$34^2)+Inputs!$G$34*$B151^Inputs!$B$11)</f>
        <v/>
      </c>
    </row>
    <row r="152">
      <c r="A152" s="7" t="n">
        <v>147</v>
      </c>
      <c r="B152" s="37">
        <f>Inputs!$B$4*A152/200</f>
        <v/>
      </c>
      <c r="C152" s="11">
        <f>IF(Inputs!$D$23=0,0,Inputs!$C$23+Inputs!$B$12*Inputs!$B$5*$B152^2/(Inputs!$D$23^2*Inputs!$H$23^4*Inputs!$I$23^2)+Inputs!$G$23*$B152^Inputs!$B$11)</f>
        <v/>
      </c>
      <c r="D152" s="11">
        <f>IF(Inputs!$D$24=0,0,Inputs!$C$24+Inputs!$B$12*Inputs!$B$5*$B152^2/(Inputs!$D$24^2*Inputs!$H$24^4*Inputs!$I$24^2)+Inputs!$G$24*$B152^Inputs!$B$11)</f>
        <v/>
      </c>
      <c r="E152" s="11">
        <f>IF(Inputs!$D$25=0,0,Inputs!$C$25+Inputs!$B$12*Inputs!$B$5*$B152^2/(Inputs!$D$25^2*Inputs!$H$25^4*Inputs!$I$25^2)+Inputs!$G$25*$B152^Inputs!$B$11)</f>
        <v/>
      </c>
      <c r="F152" s="11">
        <f>IF(Inputs!$D$26=0,0,Inputs!$C$26+Inputs!$B$12*Inputs!$B$5*$B152^2/(Inputs!$D$26^2*Inputs!$H$26^4*Inputs!$I$26^2)+Inputs!$G$26*$B152^Inputs!$B$11)</f>
        <v/>
      </c>
      <c r="G152" s="11">
        <f>IF(Inputs!$D$27=0,0,Inputs!$C$27+Inputs!$B$12*Inputs!$B$5*$B152^2/(Inputs!$D$27^2*Inputs!$H$27^4*Inputs!$I$27^2)+Inputs!$G$27*$B152^Inputs!$B$11)</f>
        <v/>
      </c>
      <c r="H152" s="11">
        <f>IF(Inputs!$D$28=0,0,Inputs!$C$28+Inputs!$B$12*Inputs!$B$5*$B152^2/(Inputs!$D$28^2*Inputs!$H$28^4*Inputs!$I$28^2)+Inputs!$G$28*$B152^Inputs!$B$11)</f>
        <v/>
      </c>
      <c r="I152" s="11">
        <f>IF(Inputs!$D$29=0,0,Inputs!$C$29+Inputs!$B$12*Inputs!$B$5*$B152^2/(Inputs!$D$29^2*Inputs!$H$29^4*Inputs!$I$29^2)+Inputs!$G$29*$B152^Inputs!$B$11)</f>
        <v/>
      </c>
      <c r="J152" s="11">
        <f>IF(Inputs!$D$30=0,0,Inputs!$C$30+Inputs!$B$12*Inputs!$B$5*$B152^2/(Inputs!$D$30^2*Inputs!$H$30^4*Inputs!$I$30^2)+Inputs!$G$30*$B152^Inputs!$B$11)</f>
        <v/>
      </c>
      <c r="K152" s="11">
        <f>IF(Inputs!$D$31=0,0,Inputs!$C$31+Inputs!$B$12*Inputs!$B$5*$B152^2/(Inputs!$D$31^2*Inputs!$H$31^4*Inputs!$I$31^2)+Inputs!$G$31*$B152^Inputs!$B$11)</f>
        <v/>
      </c>
      <c r="L152" s="11">
        <f>IF(Inputs!$D$32=0,0,Inputs!$C$32+Inputs!$B$12*Inputs!$B$5*$B152^2/(Inputs!$D$32^2*Inputs!$H$32^4*Inputs!$I$32^2)+Inputs!$G$32*$B152^Inputs!$B$11)</f>
        <v/>
      </c>
      <c r="M152" s="11">
        <f>IF(Inputs!$D$33=0,0,Inputs!$C$33+Inputs!$B$12*Inputs!$B$5*$B152^2/(Inputs!$D$33^2*Inputs!$H$33^4*Inputs!$I$33^2)+Inputs!$G$33*$B152^Inputs!$B$11)</f>
        <v/>
      </c>
      <c r="N152" s="11">
        <f>IF(Inputs!$D$34=0,0,Inputs!$C$34+Inputs!$B$12*Inputs!$B$5*$B152^2/(Inputs!$D$34^2*Inputs!$H$34^4*Inputs!$I$34^2)+Inputs!$G$34*$B152^Inputs!$B$11)</f>
        <v/>
      </c>
    </row>
    <row r="153">
      <c r="A153" s="7" t="n">
        <v>148</v>
      </c>
      <c r="B153" s="37">
        <f>Inputs!$B$4*A153/200</f>
        <v/>
      </c>
      <c r="C153" s="11">
        <f>IF(Inputs!$D$23=0,0,Inputs!$C$23+Inputs!$B$12*Inputs!$B$5*$B153^2/(Inputs!$D$23^2*Inputs!$H$23^4*Inputs!$I$23^2)+Inputs!$G$23*$B153^Inputs!$B$11)</f>
        <v/>
      </c>
      <c r="D153" s="11">
        <f>IF(Inputs!$D$24=0,0,Inputs!$C$24+Inputs!$B$12*Inputs!$B$5*$B153^2/(Inputs!$D$24^2*Inputs!$H$24^4*Inputs!$I$24^2)+Inputs!$G$24*$B153^Inputs!$B$11)</f>
        <v/>
      </c>
      <c r="E153" s="11">
        <f>IF(Inputs!$D$25=0,0,Inputs!$C$25+Inputs!$B$12*Inputs!$B$5*$B153^2/(Inputs!$D$25^2*Inputs!$H$25^4*Inputs!$I$25^2)+Inputs!$G$25*$B153^Inputs!$B$11)</f>
        <v/>
      </c>
      <c r="F153" s="11">
        <f>IF(Inputs!$D$26=0,0,Inputs!$C$26+Inputs!$B$12*Inputs!$B$5*$B153^2/(Inputs!$D$26^2*Inputs!$H$26^4*Inputs!$I$26^2)+Inputs!$G$26*$B153^Inputs!$B$11)</f>
        <v/>
      </c>
      <c r="G153" s="11">
        <f>IF(Inputs!$D$27=0,0,Inputs!$C$27+Inputs!$B$12*Inputs!$B$5*$B153^2/(Inputs!$D$27^2*Inputs!$H$27^4*Inputs!$I$27^2)+Inputs!$G$27*$B153^Inputs!$B$11)</f>
        <v/>
      </c>
      <c r="H153" s="11">
        <f>IF(Inputs!$D$28=0,0,Inputs!$C$28+Inputs!$B$12*Inputs!$B$5*$B153^2/(Inputs!$D$28^2*Inputs!$H$28^4*Inputs!$I$28^2)+Inputs!$G$28*$B153^Inputs!$B$11)</f>
        <v/>
      </c>
      <c r="I153" s="11">
        <f>IF(Inputs!$D$29=0,0,Inputs!$C$29+Inputs!$B$12*Inputs!$B$5*$B153^2/(Inputs!$D$29^2*Inputs!$H$29^4*Inputs!$I$29^2)+Inputs!$G$29*$B153^Inputs!$B$11)</f>
        <v/>
      </c>
      <c r="J153" s="11">
        <f>IF(Inputs!$D$30=0,0,Inputs!$C$30+Inputs!$B$12*Inputs!$B$5*$B153^2/(Inputs!$D$30^2*Inputs!$H$30^4*Inputs!$I$30^2)+Inputs!$G$30*$B153^Inputs!$B$11)</f>
        <v/>
      </c>
      <c r="K153" s="11">
        <f>IF(Inputs!$D$31=0,0,Inputs!$C$31+Inputs!$B$12*Inputs!$B$5*$B153^2/(Inputs!$D$31^2*Inputs!$H$31^4*Inputs!$I$31^2)+Inputs!$G$31*$B153^Inputs!$B$11)</f>
        <v/>
      </c>
      <c r="L153" s="11">
        <f>IF(Inputs!$D$32=0,0,Inputs!$C$32+Inputs!$B$12*Inputs!$B$5*$B153^2/(Inputs!$D$32^2*Inputs!$H$32^4*Inputs!$I$32^2)+Inputs!$G$32*$B153^Inputs!$B$11)</f>
        <v/>
      </c>
      <c r="M153" s="11">
        <f>IF(Inputs!$D$33=0,0,Inputs!$C$33+Inputs!$B$12*Inputs!$B$5*$B153^2/(Inputs!$D$33^2*Inputs!$H$33^4*Inputs!$I$33^2)+Inputs!$G$33*$B153^Inputs!$B$11)</f>
        <v/>
      </c>
      <c r="N153" s="11">
        <f>IF(Inputs!$D$34=0,0,Inputs!$C$34+Inputs!$B$12*Inputs!$B$5*$B153^2/(Inputs!$D$34^2*Inputs!$H$34^4*Inputs!$I$34^2)+Inputs!$G$34*$B153^Inputs!$B$11)</f>
        <v/>
      </c>
    </row>
    <row r="154">
      <c r="A154" s="7" t="n">
        <v>149</v>
      </c>
      <c r="B154" s="37">
        <f>Inputs!$B$4*A154/200</f>
        <v/>
      </c>
      <c r="C154" s="11">
        <f>IF(Inputs!$D$23=0,0,Inputs!$C$23+Inputs!$B$12*Inputs!$B$5*$B154^2/(Inputs!$D$23^2*Inputs!$H$23^4*Inputs!$I$23^2)+Inputs!$G$23*$B154^Inputs!$B$11)</f>
        <v/>
      </c>
      <c r="D154" s="11">
        <f>IF(Inputs!$D$24=0,0,Inputs!$C$24+Inputs!$B$12*Inputs!$B$5*$B154^2/(Inputs!$D$24^2*Inputs!$H$24^4*Inputs!$I$24^2)+Inputs!$G$24*$B154^Inputs!$B$11)</f>
        <v/>
      </c>
      <c r="E154" s="11">
        <f>IF(Inputs!$D$25=0,0,Inputs!$C$25+Inputs!$B$12*Inputs!$B$5*$B154^2/(Inputs!$D$25^2*Inputs!$H$25^4*Inputs!$I$25^2)+Inputs!$G$25*$B154^Inputs!$B$11)</f>
        <v/>
      </c>
      <c r="F154" s="11">
        <f>IF(Inputs!$D$26=0,0,Inputs!$C$26+Inputs!$B$12*Inputs!$B$5*$B154^2/(Inputs!$D$26^2*Inputs!$H$26^4*Inputs!$I$26^2)+Inputs!$G$26*$B154^Inputs!$B$11)</f>
        <v/>
      </c>
      <c r="G154" s="11">
        <f>IF(Inputs!$D$27=0,0,Inputs!$C$27+Inputs!$B$12*Inputs!$B$5*$B154^2/(Inputs!$D$27^2*Inputs!$H$27^4*Inputs!$I$27^2)+Inputs!$G$27*$B154^Inputs!$B$11)</f>
        <v/>
      </c>
      <c r="H154" s="11">
        <f>IF(Inputs!$D$28=0,0,Inputs!$C$28+Inputs!$B$12*Inputs!$B$5*$B154^2/(Inputs!$D$28^2*Inputs!$H$28^4*Inputs!$I$28^2)+Inputs!$G$28*$B154^Inputs!$B$11)</f>
        <v/>
      </c>
      <c r="I154" s="11">
        <f>IF(Inputs!$D$29=0,0,Inputs!$C$29+Inputs!$B$12*Inputs!$B$5*$B154^2/(Inputs!$D$29^2*Inputs!$H$29^4*Inputs!$I$29^2)+Inputs!$G$29*$B154^Inputs!$B$11)</f>
        <v/>
      </c>
      <c r="J154" s="11">
        <f>IF(Inputs!$D$30=0,0,Inputs!$C$30+Inputs!$B$12*Inputs!$B$5*$B154^2/(Inputs!$D$30^2*Inputs!$H$30^4*Inputs!$I$30^2)+Inputs!$G$30*$B154^Inputs!$B$11)</f>
        <v/>
      </c>
      <c r="K154" s="11">
        <f>IF(Inputs!$D$31=0,0,Inputs!$C$31+Inputs!$B$12*Inputs!$B$5*$B154^2/(Inputs!$D$31^2*Inputs!$H$31^4*Inputs!$I$31^2)+Inputs!$G$31*$B154^Inputs!$B$11)</f>
        <v/>
      </c>
      <c r="L154" s="11">
        <f>IF(Inputs!$D$32=0,0,Inputs!$C$32+Inputs!$B$12*Inputs!$B$5*$B154^2/(Inputs!$D$32^2*Inputs!$H$32^4*Inputs!$I$32^2)+Inputs!$G$32*$B154^Inputs!$B$11)</f>
        <v/>
      </c>
      <c r="M154" s="11">
        <f>IF(Inputs!$D$33=0,0,Inputs!$C$33+Inputs!$B$12*Inputs!$B$5*$B154^2/(Inputs!$D$33^2*Inputs!$H$33^4*Inputs!$I$33^2)+Inputs!$G$33*$B154^Inputs!$B$11)</f>
        <v/>
      </c>
      <c r="N154" s="11">
        <f>IF(Inputs!$D$34=0,0,Inputs!$C$34+Inputs!$B$12*Inputs!$B$5*$B154^2/(Inputs!$D$34^2*Inputs!$H$34^4*Inputs!$I$34^2)+Inputs!$G$34*$B154^Inputs!$B$11)</f>
        <v/>
      </c>
    </row>
    <row r="155">
      <c r="A155" s="7" t="n">
        <v>150</v>
      </c>
      <c r="B155" s="37">
        <f>Inputs!$B$4*A155/200</f>
        <v/>
      </c>
      <c r="C155" s="11">
        <f>IF(Inputs!$D$23=0,0,Inputs!$C$23+Inputs!$B$12*Inputs!$B$5*$B155^2/(Inputs!$D$23^2*Inputs!$H$23^4*Inputs!$I$23^2)+Inputs!$G$23*$B155^Inputs!$B$11)</f>
        <v/>
      </c>
      <c r="D155" s="11">
        <f>IF(Inputs!$D$24=0,0,Inputs!$C$24+Inputs!$B$12*Inputs!$B$5*$B155^2/(Inputs!$D$24^2*Inputs!$H$24^4*Inputs!$I$24^2)+Inputs!$G$24*$B155^Inputs!$B$11)</f>
        <v/>
      </c>
      <c r="E155" s="11">
        <f>IF(Inputs!$D$25=0,0,Inputs!$C$25+Inputs!$B$12*Inputs!$B$5*$B155^2/(Inputs!$D$25^2*Inputs!$H$25^4*Inputs!$I$25^2)+Inputs!$G$25*$B155^Inputs!$B$11)</f>
        <v/>
      </c>
      <c r="F155" s="11">
        <f>IF(Inputs!$D$26=0,0,Inputs!$C$26+Inputs!$B$12*Inputs!$B$5*$B155^2/(Inputs!$D$26^2*Inputs!$H$26^4*Inputs!$I$26^2)+Inputs!$G$26*$B155^Inputs!$B$11)</f>
        <v/>
      </c>
      <c r="G155" s="11">
        <f>IF(Inputs!$D$27=0,0,Inputs!$C$27+Inputs!$B$12*Inputs!$B$5*$B155^2/(Inputs!$D$27^2*Inputs!$H$27^4*Inputs!$I$27^2)+Inputs!$G$27*$B155^Inputs!$B$11)</f>
        <v/>
      </c>
      <c r="H155" s="11">
        <f>IF(Inputs!$D$28=0,0,Inputs!$C$28+Inputs!$B$12*Inputs!$B$5*$B155^2/(Inputs!$D$28^2*Inputs!$H$28^4*Inputs!$I$28^2)+Inputs!$G$28*$B155^Inputs!$B$11)</f>
        <v/>
      </c>
      <c r="I155" s="11">
        <f>IF(Inputs!$D$29=0,0,Inputs!$C$29+Inputs!$B$12*Inputs!$B$5*$B155^2/(Inputs!$D$29^2*Inputs!$H$29^4*Inputs!$I$29^2)+Inputs!$G$29*$B155^Inputs!$B$11)</f>
        <v/>
      </c>
      <c r="J155" s="11">
        <f>IF(Inputs!$D$30=0,0,Inputs!$C$30+Inputs!$B$12*Inputs!$B$5*$B155^2/(Inputs!$D$30^2*Inputs!$H$30^4*Inputs!$I$30^2)+Inputs!$G$30*$B155^Inputs!$B$11)</f>
        <v/>
      </c>
      <c r="K155" s="11">
        <f>IF(Inputs!$D$31=0,0,Inputs!$C$31+Inputs!$B$12*Inputs!$B$5*$B155^2/(Inputs!$D$31^2*Inputs!$H$31^4*Inputs!$I$31^2)+Inputs!$G$31*$B155^Inputs!$B$11)</f>
        <v/>
      </c>
      <c r="L155" s="11">
        <f>IF(Inputs!$D$32=0,0,Inputs!$C$32+Inputs!$B$12*Inputs!$B$5*$B155^2/(Inputs!$D$32^2*Inputs!$H$32^4*Inputs!$I$32^2)+Inputs!$G$32*$B155^Inputs!$B$11)</f>
        <v/>
      </c>
      <c r="M155" s="11">
        <f>IF(Inputs!$D$33=0,0,Inputs!$C$33+Inputs!$B$12*Inputs!$B$5*$B155^2/(Inputs!$D$33^2*Inputs!$H$33^4*Inputs!$I$33^2)+Inputs!$G$33*$B155^Inputs!$B$11)</f>
        <v/>
      </c>
      <c r="N155" s="11">
        <f>IF(Inputs!$D$34=0,0,Inputs!$C$34+Inputs!$B$12*Inputs!$B$5*$B155^2/(Inputs!$D$34^2*Inputs!$H$34^4*Inputs!$I$34^2)+Inputs!$G$34*$B155^Inputs!$B$11)</f>
        <v/>
      </c>
    </row>
    <row r="156">
      <c r="A156" s="7" t="n">
        <v>151</v>
      </c>
      <c r="B156" s="37">
        <f>Inputs!$B$4*A156/200</f>
        <v/>
      </c>
      <c r="C156" s="11">
        <f>IF(Inputs!$D$23=0,0,Inputs!$C$23+Inputs!$B$12*Inputs!$B$5*$B156^2/(Inputs!$D$23^2*Inputs!$H$23^4*Inputs!$I$23^2)+Inputs!$G$23*$B156^Inputs!$B$11)</f>
        <v/>
      </c>
      <c r="D156" s="11">
        <f>IF(Inputs!$D$24=0,0,Inputs!$C$24+Inputs!$B$12*Inputs!$B$5*$B156^2/(Inputs!$D$24^2*Inputs!$H$24^4*Inputs!$I$24^2)+Inputs!$G$24*$B156^Inputs!$B$11)</f>
        <v/>
      </c>
      <c r="E156" s="11">
        <f>IF(Inputs!$D$25=0,0,Inputs!$C$25+Inputs!$B$12*Inputs!$B$5*$B156^2/(Inputs!$D$25^2*Inputs!$H$25^4*Inputs!$I$25^2)+Inputs!$G$25*$B156^Inputs!$B$11)</f>
        <v/>
      </c>
      <c r="F156" s="11">
        <f>IF(Inputs!$D$26=0,0,Inputs!$C$26+Inputs!$B$12*Inputs!$B$5*$B156^2/(Inputs!$D$26^2*Inputs!$H$26^4*Inputs!$I$26^2)+Inputs!$G$26*$B156^Inputs!$B$11)</f>
        <v/>
      </c>
      <c r="G156" s="11">
        <f>IF(Inputs!$D$27=0,0,Inputs!$C$27+Inputs!$B$12*Inputs!$B$5*$B156^2/(Inputs!$D$27^2*Inputs!$H$27^4*Inputs!$I$27^2)+Inputs!$G$27*$B156^Inputs!$B$11)</f>
        <v/>
      </c>
      <c r="H156" s="11">
        <f>IF(Inputs!$D$28=0,0,Inputs!$C$28+Inputs!$B$12*Inputs!$B$5*$B156^2/(Inputs!$D$28^2*Inputs!$H$28^4*Inputs!$I$28^2)+Inputs!$G$28*$B156^Inputs!$B$11)</f>
        <v/>
      </c>
      <c r="I156" s="11">
        <f>IF(Inputs!$D$29=0,0,Inputs!$C$29+Inputs!$B$12*Inputs!$B$5*$B156^2/(Inputs!$D$29^2*Inputs!$H$29^4*Inputs!$I$29^2)+Inputs!$G$29*$B156^Inputs!$B$11)</f>
        <v/>
      </c>
      <c r="J156" s="11">
        <f>IF(Inputs!$D$30=0,0,Inputs!$C$30+Inputs!$B$12*Inputs!$B$5*$B156^2/(Inputs!$D$30^2*Inputs!$H$30^4*Inputs!$I$30^2)+Inputs!$G$30*$B156^Inputs!$B$11)</f>
        <v/>
      </c>
      <c r="K156" s="11">
        <f>IF(Inputs!$D$31=0,0,Inputs!$C$31+Inputs!$B$12*Inputs!$B$5*$B156^2/(Inputs!$D$31^2*Inputs!$H$31^4*Inputs!$I$31^2)+Inputs!$G$31*$B156^Inputs!$B$11)</f>
        <v/>
      </c>
      <c r="L156" s="11">
        <f>IF(Inputs!$D$32=0,0,Inputs!$C$32+Inputs!$B$12*Inputs!$B$5*$B156^2/(Inputs!$D$32^2*Inputs!$H$32^4*Inputs!$I$32^2)+Inputs!$G$32*$B156^Inputs!$B$11)</f>
        <v/>
      </c>
      <c r="M156" s="11">
        <f>IF(Inputs!$D$33=0,0,Inputs!$C$33+Inputs!$B$12*Inputs!$B$5*$B156^2/(Inputs!$D$33^2*Inputs!$H$33^4*Inputs!$I$33^2)+Inputs!$G$33*$B156^Inputs!$B$11)</f>
        <v/>
      </c>
      <c r="N156" s="11">
        <f>IF(Inputs!$D$34=0,0,Inputs!$C$34+Inputs!$B$12*Inputs!$B$5*$B156^2/(Inputs!$D$34^2*Inputs!$H$34^4*Inputs!$I$34^2)+Inputs!$G$34*$B156^Inputs!$B$11)</f>
        <v/>
      </c>
    </row>
    <row r="157">
      <c r="A157" s="7" t="n">
        <v>152</v>
      </c>
      <c r="B157" s="37">
        <f>Inputs!$B$4*A157/200</f>
        <v/>
      </c>
      <c r="C157" s="11">
        <f>IF(Inputs!$D$23=0,0,Inputs!$C$23+Inputs!$B$12*Inputs!$B$5*$B157^2/(Inputs!$D$23^2*Inputs!$H$23^4*Inputs!$I$23^2)+Inputs!$G$23*$B157^Inputs!$B$11)</f>
        <v/>
      </c>
      <c r="D157" s="11">
        <f>IF(Inputs!$D$24=0,0,Inputs!$C$24+Inputs!$B$12*Inputs!$B$5*$B157^2/(Inputs!$D$24^2*Inputs!$H$24^4*Inputs!$I$24^2)+Inputs!$G$24*$B157^Inputs!$B$11)</f>
        <v/>
      </c>
      <c r="E157" s="11">
        <f>IF(Inputs!$D$25=0,0,Inputs!$C$25+Inputs!$B$12*Inputs!$B$5*$B157^2/(Inputs!$D$25^2*Inputs!$H$25^4*Inputs!$I$25^2)+Inputs!$G$25*$B157^Inputs!$B$11)</f>
        <v/>
      </c>
      <c r="F157" s="11">
        <f>IF(Inputs!$D$26=0,0,Inputs!$C$26+Inputs!$B$12*Inputs!$B$5*$B157^2/(Inputs!$D$26^2*Inputs!$H$26^4*Inputs!$I$26^2)+Inputs!$G$26*$B157^Inputs!$B$11)</f>
        <v/>
      </c>
      <c r="G157" s="11">
        <f>IF(Inputs!$D$27=0,0,Inputs!$C$27+Inputs!$B$12*Inputs!$B$5*$B157^2/(Inputs!$D$27^2*Inputs!$H$27^4*Inputs!$I$27^2)+Inputs!$G$27*$B157^Inputs!$B$11)</f>
        <v/>
      </c>
      <c r="H157" s="11">
        <f>IF(Inputs!$D$28=0,0,Inputs!$C$28+Inputs!$B$12*Inputs!$B$5*$B157^2/(Inputs!$D$28^2*Inputs!$H$28^4*Inputs!$I$28^2)+Inputs!$G$28*$B157^Inputs!$B$11)</f>
        <v/>
      </c>
      <c r="I157" s="11">
        <f>IF(Inputs!$D$29=0,0,Inputs!$C$29+Inputs!$B$12*Inputs!$B$5*$B157^2/(Inputs!$D$29^2*Inputs!$H$29^4*Inputs!$I$29^2)+Inputs!$G$29*$B157^Inputs!$B$11)</f>
        <v/>
      </c>
      <c r="J157" s="11">
        <f>IF(Inputs!$D$30=0,0,Inputs!$C$30+Inputs!$B$12*Inputs!$B$5*$B157^2/(Inputs!$D$30^2*Inputs!$H$30^4*Inputs!$I$30^2)+Inputs!$G$30*$B157^Inputs!$B$11)</f>
        <v/>
      </c>
      <c r="K157" s="11">
        <f>IF(Inputs!$D$31=0,0,Inputs!$C$31+Inputs!$B$12*Inputs!$B$5*$B157^2/(Inputs!$D$31^2*Inputs!$H$31^4*Inputs!$I$31^2)+Inputs!$G$31*$B157^Inputs!$B$11)</f>
        <v/>
      </c>
      <c r="L157" s="11">
        <f>IF(Inputs!$D$32=0,0,Inputs!$C$32+Inputs!$B$12*Inputs!$B$5*$B157^2/(Inputs!$D$32^2*Inputs!$H$32^4*Inputs!$I$32^2)+Inputs!$G$32*$B157^Inputs!$B$11)</f>
        <v/>
      </c>
      <c r="M157" s="11">
        <f>IF(Inputs!$D$33=0,0,Inputs!$C$33+Inputs!$B$12*Inputs!$B$5*$B157^2/(Inputs!$D$33^2*Inputs!$H$33^4*Inputs!$I$33^2)+Inputs!$G$33*$B157^Inputs!$B$11)</f>
        <v/>
      </c>
      <c r="N157" s="11">
        <f>IF(Inputs!$D$34=0,0,Inputs!$C$34+Inputs!$B$12*Inputs!$B$5*$B157^2/(Inputs!$D$34^2*Inputs!$H$34^4*Inputs!$I$34^2)+Inputs!$G$34*$B157^Inputs!$B$11)</f>
        <v/>
      </c>
    </row>
    <row r="158">
      <c r="A158" s="7" t="n">
        <v>153</v>
      </c>
      <c r="B158" s="37">
        <f>Inputs!$B$4*A158/200</f>
        <v/>
      </c>
      <c r="C158" s="11">
        <f>IF(Inputs!$D$23=0,0,Inputs!$C$23+Inputs!$B$12*Inputs!$B$5*$B158^2/(Inputs!$D$23^2*Inputs!$H$23^4*Inputs!$I$23^2)+Inputs!$G$23*$B158^Inputs!$B$11)</f>
        <v/>
      </c>
      <c r="D158" s="11">
        <f>IF(Inputs!$D$24=0,0,Inputs!$C$24+Inputs!$B$12*Inputs!$B$5*$B158^2/(Inputs!$D$24^2*Inputs!$H$24^4*Inputs!$I$24^2)+Inputs!$G$24*$B158^Inputs!$B$11)</f>
        <v/>
      </c>
      <c r="E158" s="11">
        <f>IF(Inputs!$D$25=0,0,Inputs!$C$25+Inputs!$B$12*Inputs!$B$5*$B158^2/(Inputs!$D$25^2*Inputs!$H$25^4*Inputs!$I$25^2)+Inputs!$G$25*$B158^Inputs!$B$11)</f>
        <v/>
      </c>
      <c r="F158" s="11">
        <f>IF(Inputs!$D$26=0,0,Inputs!$C$26+Inputs!$B$12*Inputs!$B$5*$B158^2/(Inputs!$D$26^2*Inputs!$H$26^4*Inputs!$I$26^2)+Inputs!$G$26*$B158^Inputs!$B$11)</f>
        <v/>
      </c>
      <c r="G158" s="11">
        <f>IF(Inputs!$D$27=0,0,Inputs!$C$27+Inputs!$B$12*Inputs!$B$5*$B158^2/(Inputs!$D$27^2*Inputs!$H$27^4*Inputs!$I$27^2)+Inputs!$G$27*$B158^Inputs!$B$11)</f>
        <v/>
      </c>
      <c r="H158" s="11">
        <f>IF(Inputs!$D$28=0,0,Inputs!$C$28+Inputs!$B$12*Inputs!$B$5*$B158^2/(Inputs!$D$28^2*Inputs!$H$28^4*Inputs!$I$28^2)+Inputs!$G$28*$B158^Inputs!$B$11)</f>
        <v/>
      </c>
      <c r="I158" s="11">
        <f>IF(Inputs!$D$29=0,0,Inputs!$C$29+Inputs!$B$12*Inputs!$B$5*$B158^2/(Inputs!$D$29^2*Inputs!$H$29^4*Inputs!$I$29^2)+Inputs!$G$29*$B158^Inputs!$B$11)</f>
        <v/>
      </c>
      <c r="J158" s="11">
        <f>IF(Inputs!$D$30=0,0,Inputs!$C$30+Inputs!$B$12*Inputs!$B$5*$B158^2/(Inputs!$D$30^2*Inputs!$H$30^4*Inputs!$I$30^2)+Inputs!$G$30*$B158^Inputs!$B$11)</f>
        <v/>
      </c>
      <c r="K158" s="11">
        <f>IF(Inputs!$D$31=0,0,Inputs!$C$31+Inputs!$B$12*Inputs!$B$5*$B158^2/(Inputs!$D$31^2*Inputs!$H$31^4*Inputs!$I$31^2)+Inputs!$G$31*$B158^Inputs!$B$11)</f>
        <v/>
      </c>
      <c r="L158" s="11">
        <f>IF(Inputs!$D$32=0,0,Inputs!$C$32+Inputs!$B$12*Inputs!$B$5*$B158^2/(Inputs!$D$32^2*Inputs!$H$32^4*Inputs!$I$32^2)+Inputs!$G$32*$B158^Inputs!$B$11)</f>
        <v/>
      </c>
      <c r="M158" s="11">
        <f>IF(Inputs!$D$33=0,0,Inputs!$C$33+Inputs!$B$12*Inputs!$B$5*$B158^2/(Inputs!$D$33^2*Inputs!$H$33^4*Inputs!$I$33^2)+Inputs!$G$33*$B158^Inputs!$B$11)</f>
        <v/>
      </c>
      <c r="N158" s="11">
        <f>IF(Inputs!$D$34=0,0,Inputs!$C$34+Inputs!$B$12*Inputs!$B$5*$B158^2/(Inputs!$D$34^2*Inputs!$H$34^4*Inputs!$I$34^2)+Inputs!$G$34*$B158^Inputs!$B$11)</f>
        <v/>
      </c>
    </row>
    <row r="159">
      <c r="A159" s="7" t="n">
        <v>154</v>
      </c>
      <c r="B159" s="37">
        <f>Inputs!$B$4*A159/200</f>
        <v/>
      </c>
      <c r="C159" s="11">
        <f>IF(Inputs!$D$23=0,0,Inputs!$C$23+Inputs!$B$12*Inputs!$B$5*$B159^2/(Inputs!$D$23^2*Inputs!$H$23^4*Inputs!$I$23^2)+Inputs!$G$23*$B159^Inputs!$B$11)</f>
        <v/>
      </c>
      <c r="D159" s="11">
        <f>IF(Inputs!$D$24=0,0,Inputs!$C$24+Inputs!$B$12*Inputs!$B$5*$B159^2/(Inputs!$D$24^2*Inputs!$H$24^4*Inputs!$I$24^2)+Inputs!$G$24*$B159^Inputs!$B$11)</f>
        <v/>
      </c>
      <c r="E159" s="11">
        <f>IF(Inputs!$D$25=0,0,Inputs!$C$25+Inputs!$B$12*Inputs!$B$5*$B159^2/(Inputs!$D$25^2*Inputs!$H$25^4*Inputs!$I$25^2)+Inputs!$G$25*$B159^Inputs!$B$11)</f>
        <v/>
      </c>
      <c r="F159" s="11">
        <f>IF(Inputs!$D$26=0,0,Inputs!$C$26+Inputs!$B$12*Inputs!$B$5*$B159^2/(Inputs!$D$26^2*Inputs!$H$26^4*Inputs!$I$26^2)+Inputs!$G$26*$B159^Inputs!$B$11)</f>
        <v/>
      </c>
      <c r="G159" s="11">
        <f>IF(Inputs!$D$27=0,0,Inputs!$C$27+Inputs!$B$12*Inputs!$B$5*$B159^2/(Inputs!$D$27^2*Inputs!$H$27^4*Inputs!$I$27^2)+Inputs!$G$27*$B159^Inputs!$B$11)</f>
        <v/>
      </c>
      <c r="H159" s="11">
        <f>IF(Inputs!$D$28=0,0,Inputs!$C$28+Inputs!$B$12*Inputs!$B$5*$B159^2/(Inputs!$D$28^2*Inputs!$H$28^4*Inputs!$I$28^2)+Inputs!$G$28*$B159^Inputs!$B$11)</f>
        <v/>
      </c>
      <c r="I159" s="11">
        <f>IF(Inputs!$D$29=0,0,Inputs!$C$29+Inputs!$B$12*Inputs!$B$5*$B159^2/(Inputs!$D$29^2*Inputs!$H$29^4*Inputs!$I$29^2)+Inputs!$G$29*$B159^Inputs!$B$11)</f>
        <v/>
      </c>
      <c r="J159" s="11">
        <f>IF(Inputs!$D$30=0,0,Inputs!$C$30+Inputs!$B$12*Inputs!$B$5*$B159^2/(Inputs!$D$30^2*Inputs!$H$30^4*Inputs!$I$30^2)+Inputs!$G$30*$B159^Inputs!$B$11)</f>
        <v/>
      </c>
      <c r="K159" s="11">
        <f>IF(Inputs!$D$31=0,0,Inputs!$C$31+Inputs!$B$12*Inputs!$B$5*$B159^2/(Inputs!$D$31^2*Inputs!$H$31^4*Inputs!$I$31^2)+Inputs!$G$31*$B159^Inputs!$B$11)</f>
        <v/>
      </c>
      <c r="L159" s="11">
        <f>IF(Inputs!$D$32=0,0,Inputs!$C$32+Inputs!$B$12*Inputs!$B$5*$B159^2/(Inputs!$D$32^2*Inputs!$H$32^4*Inputs!$I$32^2)+Inputs!$G$32*$B159^Inputs!$B$11)</f>
        <v/>
      </c>
      <c r="M159" s="11">
        <f>IF(Inputs!$D$33=0,0,Inputs!$C$33+Inputs!$B$12*Inputs!$B$5*$B159^2/(Inputs!$D$33^2*Inputs!$H$33^4*Inputs!$I$33^2)+Inputs!$G$33*$B159^Inputs!$B$11)</f>
        <v/>
      </c>
      <c r="N159" s="11">
        <f>IF(Inputs!$D$34=0,0,Inputs!$C$34+Inputs!$B$12*Inputs!$B$5*$B159^2/(Inputs!$D$34^2*Inputs!$H$34^4*Inputs!$I$34^2)+Inputs!$G$34*$B159^Inputs!$B$11)</f>
        <v/>
      </c>
    </row>
    <row r="160">
      <c r="A160" s="7" t="n">
        <v>155</v>
      </c>
      <c r="B160" s="37">
        <f>Inputs!$B$4*A160/200</f>
        <v/>
      </c>
      <c r="C160" s="11">
        <f>IF(Inputs!$D$23=0,0,Inputs!$C$23+Inputs!$B$12*Inputs!$B$5*$B160^2/(Inputs!$D$23^2*Inputs!$H$23^4*Inputs!$I$23^2)+Inputs!$G$23*$B160^Inputs!$B$11)</f>
        <v/>
      </c>
      <c r="D160" s="11">
        <f>IF(Inputs!$D$24=0,0,Inputs!$C$24+Inputs!$B$12*Inputs!$B$5*$B160^2/(Inputs!$D$24^2*Inputs!$H$24^4*Inputs!$I$24^2)+Inputs!$G$24*$B160^Inputs!$B$11)</f>
        <v/>
      </c>
      <c r="E160" s="11">
        <f>IF(Inputs!$D$25=0,0,Inputs!$C$25+Inputs!$B$12*Inputs!$B$5*$B160^2/(Inputs!$D$25^2*Inputs!$H$25^4*Inputs!$I$25^2)+Inputs!$G$25*$B160^Inputs!$B$11)</f>
        <v/>
      </c>
      <c r="F160" s="11">
        <f>IF(Inputs!$D$26=0,0,Inputs!$C$26+Inputs!$B$12*Inputs!$B$5*$B160^2/(Inputs!$D$26^2*Inputs!$H$26^4*Inputs!$I$26^2)+Inputs!$G$26*$B160^Inputs!$B$11)</f>
        <v/>
      </c>
      <c r="G160" s="11">
        <f>IF(Inputs!$D$27=0,0,Inputs!$C$27+Inputs!$B$12*Inputs!$B$5*$B160^2/(Inputs!$D$27^2*Inputs!$H$27^4*Inputs!$I$27^2)+Inputs!$G$27*$B160^Inputs!$B$11)</f>
        <v/>
      </c>
      <c r="H160" s="11">
        <f>IF(Inputs!$D$28=0,0,Inputs!$C$28+Inputs!$B$12*Inputs!$B$5*$B160^2/(Inputs!$D$28^2*Inputs!$H$28^4*Inputs!$I$28^2)+Inputs!$G$28*$B160^Inputs!$B$11)</f>
        <v/>
      </c>
      <c r="I160" s="11">
        <f>IF(Inputs!$D$29=0,0,Inputs!$C$29+Inputs!$B$12*Inputs!$B$5*$B160^2/(Inputs!$D$29^2*Inputs!$H$29^4*Inputs!$I$29^2)+Inputs!$G$29*$B160^Inputs!$B$11)</f>
        <v/>
      </c>
      <c r="J160" s="11">
        <f>IF(Inputs!$D$30=0,0,Inputs!$C$30+Inputs!$B$12*Inputs!$B$5*$B160^2/(Inputs!$D$30^2*Inputs!$H$30^4*Inputs!$I$30^2)+Inputs!$G$30*$B160^Inputs!$B$11)</f>
        <v/>
      </c>
      <c r="K160" s="11">
        <f>IF(Inputs!$D$31=0,0,Inputs!$C$31+Inputs!$B$12*Inputs!$B$5*$B160^2/(Inputs!$D$31^2*Inputs!$H$31^4*Inputs!$I$31^2)+Inputs!$G$31*$B160^Inputs!$B$11)</f>
        <v/>
      </c>
      <c r="L160" s="11">
        <f>IF(Inputs!$D$32=0,0,Inputs!$C$32+Inputs!$B$12*Inputs!$B$5*$B160^2/(Inputs!$D$32^2*Inputs!$H$32^4*Inputs!$I$32^2)+Inputs!$G$32*$B160^Inputs!$B$11)</f>
        <v/>
      </c>
      <c r="M160" s="11">
        <f>IF(Inputs!$D$33=0,0,Inputs!$C$33+Inputs!$B$12*Inputs!$B$5*$B160^2/(Inputs!$D$33^2*Inputs!$H$33^4*Inputs!$I$33^2)+Inputs!$G$33*$B160^Inputs!$B$11)</f>
        <v/>
      </c>
      <c r="N160" s="11">
        <f>IF(Inputs!$D$34=0,0,Inputs!$C$34+Inputs!$B$12*Inputs!$B$5*$B160^2/(Inputs!$D$34^2*Inputs!$H$34^4*Inputs!$I$34^2)+Inputs!$G$34*$B160^Inputs!$B$11)</f>
        <v/>
      </c>
    </row>
    <row r="161">
      <c r="A161" s="7" t="n">
        <v>156</v>
      </c>
      <c r="B161" s="37">
        <f>Inputs!$B$4*A161/200</f>
        <v/>
      </c>
      <c r="C161" s="11">
        <f>IF(Inputs!$D$23=0,0,Inputs!$C$23+Inputs!$B$12*Inputs!$B$5*$B161^2/(Inputs!$D$23^2*Inputs!$H$23^4*Inputs!$I$23^2)+Inputs!$G$23*$B161^Inputs!$B$11)</f>
        <v/>
      </c>
      <c r="D161" s="11">
        <f>IF(Inputs!$D$24=0,0,Inputs!$C$24+Inputs!$B$12*Inputs!$B$5*$B161^2/(Inputs!$D$24^2*Inputs!$H$24^4*Inputs!$I$24^2)+Inputs!$G$24*$B161^Inputs!$B$11)</f>
        <v/>
      </c>
      <c r="E161" s="11">
        <f>IF(Inputs!$D$25=0,0,Inputs!$C$25+Inputs!$B$12*Inputs!$B$5*$B161^2/(Inputs!$D$25^2*Inputs!$H$25^4*Inputs!$I$25^2)+Inputs!$G$25*$B161^Inputs!$B$11)</f>
        <v/>
      </c>
      <c r="F161" s="11">
        <f>IF(Inputs!$D$26=0,0,Inputs!$C$26+Inputs!$B$12*Inputs!$B$5*$B161^2/(Inputs!$D$26^2*Inputs!$H$26^4*Inputs!$I$26^2)+Inputs!$G$26*$B161^Inputs!$B$11)</f>
        <v/>
      </c>
      <c r="G161" s="11">
        <f>IF(Inputs!$D$27=0,0,Inputs!$C$27+Inputs!$B$12*Inputs!$B$5*$B161^2/(Inputs!$D$27^2*Inputs!$H$27^4*Inputs!$I$27^2)+Inputs!$G$27*$B161^Inputs!$B$11)</f>
        <v/>
      </c>
      <c r="H161" s="11">
        <f>IF(Inputs!$D$28=0,0,Inputs!$C$28+Inputs!$B$12*Inputs!$B$5*$B161^2/(Inputs!$D$28^2*Inputs!$H$28^4*Inputs!$I$28^2)+Inputs!$G$28*$B161^Inputs!$B$11)</f>
        <v/>
      </c>
      <c r="I161" s="11">
        <f>IF(Inputs!$D$29=0,0,Inputs!$C$29+Inputs!$B$12*Inputs!$B$5*$B161^2/(Inputs!$D$29^2*Inputs!$H$29^4*Inputs!$I$29^2)+Inputs!$G$29*$B161^Inputs!$B$11)</f>
        <v/>
      </c>
      <c r="J161" s="11">
        <f>IF(Inputs!$D$30=0,0,Inputs!$C$30+Inputs!$B$12*Inputs!$B$5*$B161^2/(Inputs!$D$30^2*Inputs!$H$30^4*Inputs!$I$30^2)+Inputs!$G$30*$B161^Inputs!$B$11)</f>
        <v/>
      </c>
      <c r="K161" s="11">
        <f>IF(Inputs!$D$31=0,0,Inputs!$C$31+Inputs!$B$12*Inputs!$B$5*$B161^2/(Inputs!$D$31^2*Inputs!$H$31^4*Inputs!$I$31^2)+Inputs!$G$31*$B161^Inputs!$B$11)</f>
        <v/>
      </c>
      <c r="L161" s="11">
        <f>IF(Inputs!$D$32=0,0,Inputs!$C$32+Inputs!$B$12*Inputs!$B$5*$B161^2/(Inputs!$D$32^2*Inputs!$H$32^4*Inputs!$I$32^2)+Inputs!$G$32*$B161^Inputs!$B$11)</f>
        <v/>
      </c>
      <c r="M161" s="11">
        <f>IF(Inputs!$D$33=0,0,Inputs!$C$33+Inputs!$B$12*Inputs!$B$5*$B161^2/(Inputs!$D$33^2*Inputs!$H$33^4*Inputs!$I$33^2)+Inputs!$G$33*$B161^Inputs!$B$11)</f>
        <v/>
      </c>
      <c r="N161" s="11">
        <f>IF(Inputs!$D$34=0,0,Inputs!$C$34+Inputs!$B$12*Inputs!$B$5*$B161^2/(Inputs!$D$34^2*Inputs!$H$34^4*Inputs!$I$34^2)+Inputs!$G$34*$B161^Inputs!$B$11)</f>
        <v/>
      </c>
    </row>
    <row r="162">
      <c r="A162" s="7" t="n">
        <v>157</v>
      </c>
      <c r="B162" s="37">
        <f>Inputs!$B$4*A162/200</f>
        <v/>
      </c>
      <c r="C162" s="11">
        <f>IF(Inputs!$D$23=0,0,Inputs!$C$23+Inputs!$B$12*Inputs!$B$5*$B162^2/(Inputs!$D$23^2*Inputs!$H$23^4*Inputs!$I$23^2)+Inputs!$G$23*$B162^Inputs!$B$11)</f>
        <v/>
      </c>
      <c r="D162" s="11">
        <f>IF(Inputs!$D$24=0,0,Inputs!$C$24+Inputs!$B$12*Inputs!$B$5*$B162^2/(Inputs!$D$24^2*Inputs!$H$24^4*Inputs!$I$24^2)+Inputs!$G$24*$B162^Inputs!$B$11)</f>
        <v/>
      </c>
      <c r="E162" s="11">
        <f>IF(Inputs!$D$25=0,0,Inputs!$C$25+Inputs!$B$12*Inputs!$B$5*$B162^2/(Inputs!$D$25^2*Inputs!$H$25^4*Inputs!$I$25^2)+Inputs!$G$25*$B162^Inputs!$B$11)</f>
        <v/>
      </c>
      <c r="F162" s="11">
        <f>IF(Inputs!$D$26=0,0,Inputs!$C$26+Inputs!$B$12*Inputs!$B$5*$B162^2/(Inputs!$D$26^2*Inputs!$H$26^4*Inputs!$I$26^2)+Inputs!$G$26*$B162^Inputs!$B$11)</f>
        <v/>
      </c>
      <c r="G162" s="11">
        <f>IF(Inputs!$D$27=0,0,Inputs!$C$27+Inputs!$B$12*Inputs!$B$5*$B162^2/(Inputs!$D$27^2*Inputs!$H$27^4*Inputs!$I$27^2)+Inputs!$G$27*$B162^Inputs!$B$11)</f>
        <v/>
      </c>
      <c r="H162" s="11">
        <f>IF(Inputs!$D$28=0,0,Inputs!$C$28+Inputs!$B$12*Inputs!$B$5*$B162^2/(Inputs!$D$28^2*Inputs!$H$28^4*Inputs!$I$28^2)+Inputs!$G$28*$B162^Inputs!$B$11)</f>
        <v/>
      </c>
      <c r="I162" s="11">
        <f>IF(Inputs!$D$29=0,0,Inputs!$C$29+Inputs!$B$12*Inputs!$B$5*$B162^2/(Inputs!$D$29^2*Inputs!$H$29^4*Inputs!$I$29^2)+Inputs!$G$29*$B162^Inputs!$B$11)</f>
        <v/>
      </c>
      <c r="J162" s="11">
        <f>IF(Inputs!$D$30=0,0,Inputs!$C$30+Inputs!$B$12*Inputs!$B$5*$B162^2/(Inputs!$D$30^2*Inputs!$H$30^4*Inputs!$I$30^2)+Inputs!$G$30*$B162^Inputs!$B$11)</f>
        <v/>
      </c>
      <c r="K162" s="11">
        <f>IF(Inputs!$D$31=0,0,Inputs!$C$31+Inputs!$B$12*Inputs!$B$5*$B162^2/(Inputs!$D$31^2*Inputs!$H$31^4*Inputs!$I$31^2)+Inputs!$G$31*$B162^Inputs!$B$11)</f>
        <v/>
      </c>
      <c r="L162" s="11">
        <f>IF(Inputs!$D$32=0,0,Inputs!$C$32+Inputs!$B$12*Inputs!$B$5*$B162^2/(Inputs!$D$32^2*Inputs!$H$32^4*Inputs!$I$32^2)+Inputs!$G$32*$B162^Inputs!$B$11)</f>
        <v/>
      </c>
      <c r="M162" s="11">
        <f>IF(Inputs!$D$33=0,0,Inputs!$C$33+Inputs!$B$12*Inputs!$B$5*$B162^2/(Inputs!$D$33^2*Inputs!$H$33^4*Inputs!$I$33^2)+Inputs!$G$33*$B162^Inputs!$B$11)</f>
        <v/>
      </c>
      <c r="N162" s="11">
        <f>IF(Inputs!$D$34=0,0,Inputs!$C$34+Inputs!$B$12*Inputs!$B$5*$B162^2/(Inputs!$D$34^2*Inputs!$H$34^4*Inputs!$I$34^2)+Inputs!$G$34*$B162^Inputs!$B$11)</f>
        <v/>
      </c>
    </row>
    <row r="163">
      <c r="A163" s="7" t="n">
        <v>158</v>
      </c>
      <c r="B163" s="37">
        <f>Inputs!$B$4*A163/200</f>
        <v/>
      </c>
      <c r="C163" s="11">
        <f>IF(Inputs!$D$23=0,0,Inputs!$C$23+Inputs!$B$12*Inputs!$B$5*$B163^2/(Inputs!$D$23^2*Inputs!$H$23^4*Inputs!$I$23^2)+Inputs!$G$23*$B163^Inputs!$B$11)</f>
        <v/>
      </c>
      <c r="D163" s="11">
        <f>IF(Inputs!$D$24=0,0,Inputs!$C$24+Inputs!$B$12*Inputs!$B$5*$B163^2/(Inputs!$D$24^2*Inputs!$H$24^4*Inputs!$I$24^2)+Inputs!$G$24*$B163^Inputs!$B$11)</f>
        <v/>
      </c>
      <c r="E163" s="11">
        <f>IF(Inputs!$D$25=0,0,Inputs!$C$25+Inputs!$B$12*Inputs!$B$5*$B163^2/(Inputs!$D$25^2*Inputs!$H$25^4*Inputs!$I$25^2)+Inputs!$G$25*$B163^Inputs!$B$11)</f>
        <v/>
      </c>
      <c r="F163" s="11">
        <f>IF(Inputs!$D$26=0,0,Inputs!$C$26+Inputs!$B$12*Inputs!$B$5*$B163^2/(Inputs!$D$26^2*Inputs!$H$26^4*Inputs!$I$26^2)+Inputs!$G$26*$B163^Inputs!$B$11)</f>
        <v/>
      </c>
      <c r="G163" s="11">
        <f>IF(Inputs!$D$27=0,0,Inputs!$C$27+Inputs!$B$12*Inputs!$B$5*$B163^2/(Inputs!$D$27^2*Inputs!$H$27^4*Inputs!$I$27^2)+Inputs!$G$27*$B163^Inputs!$B$11)</f>
        <v/>
      </c>
      <c r="H163" s="11">
        <f>IF(Inputs!$D$28=0,0,Inputs!$C$28+Inputs!$B$12*Inputs!$B$5*$B163^2/(Inputs!$D$28^2*Inputs!$H$28^4*Inputs!$I$28^2)+Inputs!$G$28*$B163^Inputs!$B$11)</f>
        <v/>
      </c>
      <c r="I163" s="11">
        <f>IF(Inputs!$D$29=0,0,Inputs!$C$29+Inputs!$B$12*Inputs!$B$5*$B163^2/(Inputs!$D$29^2*Inputs!$H$29^4*Inputs!$I$29^2)+Inputs!$G$29*$B163^Inputs!$B$11)</f>
        <v/>
      </c>
      <c r="J163" s="11">
        <f>IF(Inputs!$D$30=0,0,Inputs!$C$30+Inputs!$B$12*Inputs!$B$5*$B163^2/(Inputs!$D$30^2*Inputs!$H$30^4*Inputs!$I$30^2)+Inputs!$G$30*$B163^Inputs!$B$11)</f>
        <v/>
      </c>
      <c r="K163" s="11">
        <f>IF(Inputs!$D$31=0,0,Inputs!$C$31+Inputs!$B$12*Inputs!$B$5*$B163^2/(Inputs!$D$31^2*Inputs!$H$31^4*Inputs!$I$31^2)+Inputs!$G$31*$B163^Inputs!$B$11)</f>
        <v/>
      </c>
      <c r="L163" s="11">
        <f>IF(Inputs!$D$32=0,0,Inputs!$C$32+Inputs!$B$12*Inputs!$B$5*$B163^2/(Inputs!$D$32^2*Inputs!$H$32^4*Inputs!$I$32^2)+Inputs!$G$32*$B163^Inputs!$B$11)</f>
        <v/>
      </c>
      <c r="M163" s="11">
        <f>IF(Inputs!$D$33=0,0,Inputs!$C$33+Inputs!$B$12*Inputs!$B$5*$B163^2/(Inputs!$D$33^2*Inputs!$H$33^4*Inputs!$I$33^2)+Inputs!$G$33*$B163^Inputs!$B$11)</f>
        <v/>
      </c>
      <c r="N163" s="11">
        <f>IF(Inputs!$D$34=0,0,Inputs!$C$34+Inputs!$B$12*Inputs!$B$5*$B163^2/(Inputs!$D$34^2*Inputs!$H$34^4*Inputs!$I$34^2)+Inputs!$G$34*$B163^Inputs!$B$11)</f>
        <v/>
      </c>
    </row>
    <row r="164">
      <c r="A164" s="7" t="n">
        <v>159</v>
      </c>
      <c r="B164" s="37">
        <f>Inputs!$B$4*A164/200</f>
        <v/>
      </c>
      <c r="C164" s="11">
        <f>IF(Inputs!$D$23=0,0,Inputs!$C$23+Inputs!$B$12*Inputs!$B$5*$B164^2/(Inputs!$D$23^2*Inputs!$H$23^4*Inputs!$I$23^2)+Inputs!$G$23*$B164^Inputs!$B$11)</f>
        <v/>
      </c>
      <c r="D164" s="11">
        <f>IF(Inputs!$D$24=0,0,Inputs!$C$24+Inputs!$B$12*Inputs!$B$5*$B164^2/(Inputs!$D$24^2*Inputs!$H$24^4*Inputs!$I$24^2)+Inputs!$G$24*$B164^Inputs!$B$11)</f>
        <v/>
      </c>
      <c r="E164" s="11">
        <f>IF(Inputs!$D$25=0,0,Inputs!$C$25+Inputs!$B$12*Inputs!$B$5*$B164^2/(Inputs!$D$25^2*Inputs!$H$25^4*Inputs!$I$25^2)+Inputs!$G$25*$B164^Inputs!$B$11)</f>
        <v/>
      </c>
      <c r="F164" s="11">
        <f>IF(Inputs!$D$26=0,0,Inputs!$C$26+Inputs!$B$12*Inputs!$B$5*$B164^2/(Inputs!$D$26^2*Inputs!$H$26^4*Inputs!$I$26^2)+Inputs!$G$26*$B164^Inputs!$B$11)</f>
        <v/>
      </c>
      <c r="G164" s="11">
        <f>IF(Inputs!$D$27=0,0,Inputs!$C$27+Inputs!$B$12*Inputs!$B$5*$B164^2/(Inputs!$D$27^2*Inputs!$H$27^4*Inputs!$I$27^2)+Inputs!$G$27*$B164^Inputs!$B$11)</f>
        <v/>
      </c>
      <c r="H164" s="11">
        <f>IF(Inputs!$D$28=0,0,Inputs!$C$28+Inputs!$B$12*Inputs!$B$5*$B164^2/(Inputs!$D$28^2*Inputs!$H$28^4*Inputs!$I$28^2)+Inputs!$G$28*$B164^Inputs!$B$11)</f>
        <v/>
      </c>
      <c r="I164" s="11">
        <f>IF(Inputs!$D$29=0,0,Inputs!$C$29+Inputs!$B$12*Inputs!$B$5*$B164^2/(Inputs!$D$29^2*Inputs!$H$29^4*Inputs!$I$29^2)+Inputs!$G$29*$B164^Inputs!$B$11)</f>
        <v/>
      </c>
      <c r="J164" s="11">
        <f>IF(Inputs!$D$30=0,0,Inputs!$C$30+Inputs!$B$12*Inputs!$B$5*$B164^2/(Inputs!$D$30^2*Inputs!$H$30^4*Inputs!$I$30^2)+Inputs!$G$30*$B164^Inputs!$B$11)</f>
        <v/>
      </c>
      <c r="K164" s="11">
        <f>IF(Inputs!$D$31=0,0,Inputs!$C$31+Inputs!$B$12*Inputs!$B$5*$B164^2/(Inputs!$D$31^2*Inputs!$H$31^4*Inputs!$I$31^2)+Inputs!$G$31*$B164^Inputs!$B$11)</f>
        <v/>
      </c>
      <c r="L164" s="11">
        <f>IF(Inputs!$D$32=0,0,Inputs!$C$32+Inputs!$B$12*Inputs!$B$5*$B164^2/(Inputs!$D$32^2*Inputs!$H$32^4*Inputs!$I$32^2)+Inputs!$G$32*$B164^Inputs!$B$11)</f>
        <v/>
      </c>
      <c r="M164" s="11">
        <f>IF(Inputs!$D$33=0,0,Inputs!$C$33+Inputs!$B$12*Inputs!$B$5*$B164^2/(Inputs!$D$33^2*Inputs!$H$33^4*Inputs!$I$33^2)+Inputs!$G$33*$B164^Inputs!$B$11)</f>
        <v/>
      </c>
      <c r="N164" s="11">
        <f>IF(Inputs!$D$34=0,0,Inputs!$C$34+Inputs!$B$12*Inputs!$B$5*$B164^2/(Inputs!$D$34^2*Inputs!$H$34^4*Inputs!$I$34^2)+Inputs!$G$34*$B164^Inputs!$B$11)</f>
        <v/>
      </c>
    </row>
    <row r="165">
      <c r="A165" s="7" t="n">
        <v>160</v>
      </c>
      <c r="B165" s="37">
        <f>Inputs!$B$4*A165/200</f>
        <v/>
      </c>
      <c r="C165" s="11">
        <f>IF(Inputs!$D$23=0,0,Inputs!$C$23+Inputs!$B$12*Inputs!$B$5*$B165^2/(Inputs!$D$23^2*Inputs!$H$23^4*Inputs!$I$23^2)+Inputs!$G$23*$B165^Inputs!$B$11)</f>
        <v/>
      </c>
      <c r="D165" s="11">
        <f>IF(Inputs!$D$24=0,0,Inputs!$C$24+Inputs!$B$12*Inputs!$B$5*$B165^2/(Inputs!$D$24^2*Inputs!$H$24^4*Inputs!$I$24^2)+Inputs!$G$24*$B165^Inputs!$B$11)</f>
        <v/>
      </c>
      <c r="E165" s="11">
        <f>IF(Inputs!$D$25=0,0,Inputs!$C$25+Inputs!$B$12*Inputs!$B$5*$B165^2/(Inputs!$D$25^2*Inputs!$H$25^4*Inputs!$I$25^2)+Inputs!$G$25*$B165^Inputs!$B$11)</f>
        <v/>
      </c>
      <c r="F165" s="11">
        <f>IF(Inputs!$D$26=0,0,Inputs!$C$26+Inputs!$B$12*Inputs!$B$5*$B165^2/(Inputs!$D$26^2*Inputs!$H$26^4*Inputs!$I$26^2)+Inputs!$G$26*$B165^Inputs!$B$11)</f>
        <v/>
      </c>
      <c r="G165" s="11">
        <f>IF(Inputs!$D$27=0,0,Inputs!$C$27+Inputs!$B$12*Inputs!$B$5*$B165^2/(Inputs!$D$27^2*Inputs!$H$27^4*Inputs!$I$27^2)+Inputs!$G$27*$B165^Inputs!$B$11)</f>
        <v/>
      </c>
      <c r="H165" s="11">
        <f>IF(Inputs!$D$28=0,0,Inputs!$C$28+Inputs!$B$12*Inputs!$B$5*$B165^2/(Inputs!$D$28^2*Inputs!$H$28^4*Inputs!$I$28^2)+Inputs!$G$28*$B165^Inputs!$B$11)</f>
        <v/>
      </c>
      <c r="I165" s="11">
        <f>IF(Inputs!$D$29=0,0,Inputs!$C$29+Inputs!$B$12*Inputs!$B$5*$B165^2/(Inputs!$D$29^2*Inputs!$H$29^4*Inputs!$I$29^2)+Inputs!$G$29*$B165^Inputs!$B$11)</f>
        <v/>
      </c>
      <c r="J165" s="11">
        <f>IF(Inputs!$D$30=0,0,Inputs!$C$30+Inputs!$B$12*Inputs!$B$5*$B165^2/(Inputs!$D$30^2*Inputs!$H$30^4*Inputs!$I$30^2)+Inputs!$G$30*$B165^Inputs!$B$11)</f>
        <v/>
      </c>
      <c r="K165" s="11">
        <f>IF(Inputs!$D$31=0,0,Inputs!$C$31+Inputs!$B$12*Inputs!$B$5*$B165^2/(Inputs!$D$31^2*Inputs!$H$31^4*Inputs!$I$31^2)+Inputs!$G$31*$B165^Inputs!$B$11)</f>
        <v/>
      </c>
      <c r="L165" s="11">
        <f>IF(Inputs!$D$32=0,0,Inputs!$C$32+Inputs!$B$12*Inputs!$B$5*$B165^2/(Inputs!$D$32^2*Inputs!$H$32^4*Inputs!$I$32^2)+Inputs!$G$32*$B165^Inputs!$B$11)</f>
        <v/>
      </c>
      <c r="M165" s="11">
        <f>IF(Inputs!$D$33=0,0,Inputs!$C$33+Inputs!$B$12*Inputs!$B$5*$B165^2/(Inputs!$D$33^2*Inputs!$H$33^4*Inputs!$I$33^2)+Inputs!$G$33*$B165^Inputs!$B$11)</f>
        <v/>
      </c>
      <c r="N165" s="11">
        <f>IF(Inputs!$D$34=0,0,Inputs!$C$34+Inputs!$B$12*Inputs!$B$5*$B165^2/(Inputs!$D$34^2*Inputs!$H$34^4*Inputs!$I$34^2)+Inputs!$G$34*$B165^Inputs!$B$11)</f>
        <v/>
      </c>
    </row>
    <row r="166">
      <c r="A166" s="7" t="n">
        <v>161</v>
      </c>
      <c r="B166" s="37">
        <f>Inputs!$B$4*A166/200</f>
        <v/>
      </c>
      <c r="C166" s="11">
        <f>IF(Inputs!$D$23=0,0,Inputs!$C$23+Inputs!$B$12*Inputs!$B$5*$B166^2/(Inputs!$D$23^2*Inputs!$H$23^4*Inputs!$I$23^2)+Inputs!$G$23*$B166^Inputs!$B$11)</f>
        <v/>
      </c>
      <c r="D166" s="11">
        <f>IF(Inputs!$D$24=0,0,Inputs!$C$24+Inputs!$B$12*Inputs!$B$5*$B166^2/(Inputs!$D$24^2*Inputs!$H$24^4*Inputs!$I$24^2)+Inputs!$G$24*$B166^Inputs!$B$11)</f>
        <v/>
      </c>
      <c r="E166" s="11">
        <f>IF(Inputs!$D$25=0,0,Inputs!$C$25+Inputs!$B$12*Inputs!$B$5*$B166^2/(Inputs!$D$25^2*Inputs!$H$25^4*Inputs!$I$25^2)+Inputs!$G$25*$B166^Inputs!$B$11)</f>
        <v/>
      </c>
      <c r="F166" s="11">
        <f>IF(Inputs!$D$26=0,0,Inputs!$C$26+Inputs!$B$12*Inputs!$B$5*$B166^2/(Inputs!$D$26^2*Inputs!$H$26^4*Inputs!$I$26^2)+Inputs!$G$26*$B166^Inputs!$B$11)</f>
        <v/>
      </c>
      <c r="G166" s="11">
        <f>IF(Inputs!$D$27=0,0,Inputs!$C$27+Inputs!$B$12*Inputs!$B$5*$B166^2/(Inputs!$D$27^2*Inputs!$H$27^4*Inputs!$I$27^2)+Inputs!$G$27*$B166^Inputs!$B$11)</f>
        <v/>
      </c>
      <c r="H166" s="11">
        <f>IF(Inputs!$D$28=0,0,Inputs!$C$28+Inputs!$B$12*Inputs!$B$5*$B166^2/(Inputs!$D$28^2*Inputs!$H$28^4*Inputs!$I$28^2)+Inputs!$G$28*$B166^Inputs!$B$11)</f>
        <v/>
      </c>
      <c r="I166" s="11">
        <f>IF(Inputs!$D$29=0,0,Inputs!$C$29+Inputs!$B$12*Inputs!$B$5*$B166^2/(Inputs!$D$29^2*Inputs!$H$29^4*Inputs!$I$29^2)+Inputs!$G$29*$B166^Inputs!$B$11)</f>
        <v/>
      </c>
      <c r="J166" s="11">
        <f>IF(Inputs!$D$30=0,0,Inputs!$C$30+Inputs!$B$12*Inputs!$B$5*$B166^2/(Inputs!$D$30^2*Inputs!$H$30^4*Inputs!$I$30^2)+Inputs!$G$30*$B166^Inputs!$B$11)</f>
        <v/>
      </c>
      <c r="K166" s="11">
        <f>IF(Inputs!$D$31=0,0,Inputs!$C$31+Inputs!$B$12*Inputs!$B$5*$B166^2/(Inputs!$D$31^2*Inputs!$H$31^4*Inputs!$I$31^2)+Inputs!$G$31*$B166^Inputs!$B$11)</f>
        <v/>
      </c>
      <c r="L166" s="11">
        <f>IF(Inputs!$D$32=0,0,Inputs!$C$32+Inputs!$B$12*Inputs!$B$5*$B166^2/(Inputs!$D$32^2*Inputs!$H$32^4*Inputs!$I$32^2)+Inputs!$G$32*$B166^Inputs!$B$11)</f>
        <v/>
      </c>
      <c r="M166" s="11">
        <f>IF(Inputs!$D$33=0,0,Inputs!$C$33+Inputs!$B$12*Inputs!$B$5*$B166^2/(Inputs!$D$33^2*Inputs!$H$33^4*Inputs!$I$33^2)+Inputs!$G$33*$B166^Inputs!$B$11)</f>
        <v/>
      </c>
      <c r="N166" s="11">
        <f>IF(Inputs!$D$34=0,0,Inputs!$C$34+Inputs!$B$12*Inputs!$B$5*$B166^2/(Inputs!$D$34^2*Inputs!$H$34^4*Inputs!$I$34^2)+Inputs!$G$34*$B166^Inputs!$B$11)</f>
        <v/>
      </c>
    </row>
    <row r="167">
      <c r="A167" s="7" t="n">
        <v>162</v>
      </c>
      <c r="B167" s="37">
        <f>Inputs!$B$4*A167/200</f>
        <v/>
      </c>
      <c r="C167" s="11">
        <f>IF(Inputs!$D$23=0,0,Inputs!$C$23+Inputs!$B$12*Inputs!$B$5*$B167^2/(Inputs!$D$23^2*Inputs!$H$23^4*Inputs!$I$23^2)+Inputs!$G$23*$B167^Inputs!$B$11)</f>
        <v/>
      </c>
      <c r="D167" s="11">
        <f>IF(Inputs!$D$24=0,0,Inputs!$C$24+Inputs!$B$12*Inputs!$B$5*$B167^2/(Inputs!$D$24^2*Inputs!$H$24^4*Inputs!$I$24^2)+Inputs!$G$24*$B167^Inputs!$B$11)</f>
        <v/>
      </c>
      <c r="E167" s="11">
        <f>IF(Inputs!$D$25=0,0,Inputs!$C$25+Inputs!$B$12*Inputs!$B$5*$B167^2/(Inputs!$D$25^2*Inputs!$H$25^4*Inputs!$I$25^2)+Inputs!$G$25*$B167^Inputs!$B$11)</f>
        <v/>
      </c>
      <c r="F167" s="11">
        <f>IF(Inputs!$D$26=0,0,Inputs!$C$26+Inputs!$B$12*Inputs!$B$5*$B167^2/(Inputs!$D$26^2*Inputs!$H$26^4*Inputs!$I$26^2)+Inputs!$G$26*$B167^Inputs!$B$11)</f>
        <v/>
      </c>
      <c r="G167" s="11">
        <f>IF(Inputs!$D$27=0,0,Inputs!$C$27+Inputs!$B$12*Inputs!$B$5*$B167^2/(Inputs!$D$27^2*Inputs!$H$27^4*Inputs!$I$27^2)+Inputs!$G$27*$B167^Inputs!$B$11)</f>
        <v/>
      </c>
      <c r="H167" s="11">
        <f>IF(Inputs!$D$28=0,0,Inputs!$C$28+Inputs!$B$12*Inputs!$B$5*$B167^2/(Inputs!$D$28^2*Inputs!$H$28^4*Inputs!$I$28^2)+Inputs!$G$28*$B167^Inputs!$B$11)</f>
        <v/>
      </c>
      <c r="I167" s="11">
        <f>IF(Inputs!$D$29=0,0,Inputs!$C$29+Inputs!$B$12*Inputs!$B$5*$B167^2/(Inputs!$D$29^2*Inputs!$H$29^4*Inputs!$I$29^2)+Inputs!$G$29*$B167^Inputs!$B$11)</f>
        <v/>
      </c>
      <c r="J167" s="11">
        <f>IF(Inputs!$D$30=0,0,Inputs!$C$30+Inputs!$B$12*Inputs!$B$5*$B167^2/(Inputs!$D$30^2*Inputs!$H$30^4*Inputs!$I$30^2)+Inputs!$G$30*$B167^Inputs!$B$11)</f>
        <v/>
      </c>
      <c r="K167" s="11">
        <f>IF(Inputs!$D$31=0,0,Inputs!$C$31+Inputs!$B$12*Inputs!$B$5*$B167^2/(Inputs!$D$31^2*Inputs!$H$31^4*Inputs!$I$31^2)+Inputs!$G$31*$B167^Inputs!$B$11)</f>
        <v/>
      </c>
      <c r="L167" s="11">
        <f>IF(Inputs!$D$32=0,0,Inputs!$C$32+Inputs!$B$12*Inputs!$B$5*$B167^2/(Inputs!$D$32^2*Inputs!$H$32^4*Inputs!$I$32^2)+Inputs!$G$32*$B167^Inputs!$B$11)</f>
        <v/>
      </c>
      <c r="M167" s="11">
        <f>IF(Inputs!$D$33=0,0,Inputs!$C$33+Inputs!$B$12*Inputs!$B$5*$B167^2/(Inputs!$D$33^2*Inputs!$H$33^4*Inputs!$I$33^2)+Inputs!$G$33*$B167^Inputs!$B$11)</f>
        <v/>
      </c>
      <c r="N167" s="11">
        <f>IF(Inputs!$D$34=0,0,Inputs!$C$34+Inputs!$B$12*Inputs!$B$5*$B167^2/(Inputs!$D$34^2*Inputs!$H$34^4*Inputs!$I$34^2)+Inputs!$G$34*$B167^Inputs!$B$11)</f>
        <v/>
      </c>
    </row>
    <row r="168">
      <c r="A168" s="7" t="n">
        <v>163</v>
      </c>
      <c r="B168" s="37">
        <f>Inputs!$B$4*A168/200</f>
        <v/>
      </c>
      <c r="C168" s="11">
        <f>IF(Inputs!$D$23=0,0,Inputs!$C$23+Inputs!$B$12*Inputs!$B$5*$B168^2/(Inputs!$D$23^2*Inputs!$H$23^4*Inputs!$I$23^2)+Inputs!$G$23*$B168^Inputs!$B$11)</f>
        <v/>
      </c>
      <c r="D168" s="11">
        <f>IF(Inputs!$D$24=0,0,Inputs!$C$24+Inputs!$B$12*Inputs!$B$5*$B168^2/(Inputs!$D$24^2*Inputs!$H$24^4*Inputs!$I$24^2)+Inputs!$G$24*$B168^Inputs!$B$11)</f>
        <v/>
      </c>
      <c r="E168" s="11">
        <f>IF(Inputs!$D$25=0,0,Inputs!$C$25+Inputs!$B$12*Inputs!$B$5*$B168^2/(Inputs!$D$25^2*Inputs!$H$25^4*Inputs!$I$25^2)+Inputs!$G$25*$B168^Inputs!$B$11)</f>
        <v/>
      </c>
      <c r="F168" s="11">
        <f>IF(Inputs!$D$26=0,0,Inputs!$C$26+Inputs!$B$12*Inputs!$B$5*$B168^2/(Inputs!$D$26^2*Inputs!$H$26^4*Inputs!$I$26^2)+Inputs!$G$26*$B168^Inputs!$B$11)</f>
        <v/>
      </c>
      <c r="G168" s="11">
        <f>IF(Inputs!$D$27=0,0,Inputs!$C$27+Inputs!$B$12*Inputs!$B$5*$B168^2/(Inputs!$D$27^2*Inputs!$H$27^4*Inputs!$I$27^2)+Inputs!$G$27*$B168^Inputs!$B$11)</f>
        <v/>
      </c>
      <c r="H168" s="11">
        <f>IF(Inputs!$D$28=0,0,Inputs!$C$28+Inputs!$B$12*Inputs!$B$5*$B168^2/(Inputs!$D$28^2*Inputs!$H$28^4*Inputs!$I$28^2)+Inputs!$G$28*$B168^Inputs!$B$11)</f>
        <v/>
      </c>
      <c r="I168" s="11">
        <f>IF(Inputs!$D$29=0,0,Inputs!$C$29+Inputs!$B$12*Inputs!$B$5*$B168^2/(Inputs!$D$29^2*Inputs!$H$29^4*Inputs!$I$29^2)+Inputs!$G$29*$B168^Inputs!$B$11)</f>
        <v/>
      </c>
      <c r="J168" s="11">
        <f>IF(Inputs!$D$30=0,0,Inputs!$C$30+Inputs!$B$12*Inputs!$B$5*$B168^2/(Inputs!$D$30^2*Inputs!$H$30^4*Inputs!$I$30^2)+Inputs!$G$30*$B168^Inputs!$B$11)</f>
        <v/>
      </c>
      <c r="K168" s="11">
        <f>IF(Inputs!$D$31=0,0,Inputs!$C$31+Inputs!$B$12*Inputs!$B$5*$B168^2/(Inputs!$D$31^2*Inputs!$H$31^4*Inputs!$I$31^2)+Inputs!$G$31*$B168^Inputs!$B$11)</f>
        <v/>
      </c>
      <c r="L168" s="11">
        <f>IF(Inputs!$D$32=0,0,Inputs!$C$32+Inputs!$B$12*Inputs!$B$5*$B168^2/(Inputs!$D$32^2*Inputs!$H$32^4*Inputs!$I$32^2)+Inputs!$G$32*$B168^Inputs!$B$11)</f>
        <v/>
      </c>
      <c r="M168" s="11">
        <f>IF(Inputs!$D$33=0,0,Inputs!$C$33+Inputs!$B$12*Inputs!$B$5*$B168^2/(Inputs!$D$33^2*Inputs!$H$33^4*Inputs!$I$33^2)+Inputs!$G$33*$B168^Inputs!$B$11)</f>
        <v/>
      </c>
      <c r="N168" s="11">
        <f>IF(Inputs!$D$34=0,0,Inputs!$C$34+Inputs!$B$12*Inputs!$B$5*$B168^2/(Inputs!$D$34^2*Inputs!$H$34^4*Inputs!$I$34^2)+Inputs!$G$34*$B168^Inputs!$B$11)</f>
        <v/>
      </c>
    </row>
    <row r="169">
      <c r="A169" s="7" t="n">
        <v>164</v>
      </c>
      <c r="B169" s="37">
        <f>Inputs!$B$4*A169/200</f>
        <v/>
      </c>
      <c r="C169" s="11">
        <f>IF(Inputs!$D$23=0,0,Inputs!$C$23+Inputs!$B$12*Inputs!$B$5*$B169^2/(Inputs!$D$23^2*Inputs!$H$23^4*Inputs!$I$23^2)+Inputs!$G$23*$B169^Inputs!$B$11)</f>
        <v/>
      </c>
      <c r="D169" s="11">
        <f>IF(Inputs!$D$24=0,0,Inputs!$C$24+Inputs!$B$12*Inputs!$B$5*$B169^2/(Inputs!$D$24^2*Inputs!$H$24^4*Inputs!$I$24^2)+Inputs!$G$24*$B169^Inputs!$B$11)</f>
        <v/>
      </c>
      <c r="E169" s="11">
        <f>IF(Inputs!$D$25=0,0,Inputs!$C$25+Inputs!$B$12*Inputs!$B$5*$B169^2/(Inputs!$D$25^2*Inputs!$H$25^4*Inputs!$I$25^2)+Inputs!$G$25*$B169^Inputs!$B$11)</f>
        <v/>
      </c>
      <c r="F169" s="11">
        <f>IF(Inputs!$D$26=0,0,Inputs!$C$26+Inputs!$B$12*Inputs!$B$5*$B169^2/(Inputs!$D$26^2*Inputs!$H$26^4*Inputs!$I$26^2)+Inputs!$G$26*$B169^Inputs!$B$11)</f>
        <v/>
      </c>
      <c r="G169" s="11">
        <f>IF(Inputs!$D$27=0,0,Inputs!$C$27+Inputs!$B$12*Inputs!$B$5*$B169^2/(Inputs!$D$27^2*Inputs!$H$27^4*Inputs!$I$27^2)+Inputs!$G$27*$B169^Inputs!$B$11)</f>
        <v/>
      </c>
      <c r="H169" s="11">
        <f>IF(Inputs!$D$28=0,0,Inputs!$C$28+Inputs!$B$12*Inputs!$B$5*$B169^2/(Inputs!$D$28^2*Inputs!$H$28^4*Inputs!$I$28^2)+Inputs!$G$28*$B169^Inputs!$B$11)</f>
        <v/>
      </c>
      <c r="I169" s="11">
        <f>IF(Inputs!$D$29=0,0,Inputs!$C$29+Inputs!$B$12*Inputs!$B$5*$B169^2/(Inputs!$D$29^2*Inputs!$H$29^4*Inputs!$I$29^2)+Inputs!$G$29*$B169^Inputs!$B$11)</f>
        <v/>
      </c>
      <c r="J169" s="11">
        <f>IF(Inputs!$D$30=0,0,Inputs!$C$30+Inputs!$B$12*Inputs!$B$5*$B169^2/(Inputs!$D$30^2*Inputs!$H$30^4*Inputs!$I$30^2)+Inputs!$G$30*$B169^Inputs!$B$11)</f>
        <v/>
      </c>
      <c r="K169" s="11">
        <f>IF(Inputs!$D$31=0,0,Inputs!$C$31+Inputs!$B$12*Inputs!$B$5*$B169^2/(Inputs!$D$31^2*Inputs!$H$31^4*Inputs!$I$31^2)+Inputs!$G$31*$B169^Inputs!$B$11)</f>
        <v/>
      </c>
      <c r="L169" s="11">
        <f>IF(Inputs!$D$32=0,0,Inputs!$C$32+Inputs!$B$12*Inputs!$B$5*$B169^2/(Inputs!$D$32^2*Inputs!$H$32^4*Inputs!$I$32^2)+Inputs!$G$32*$B169^Inputs!$B$11)</f>
        <v/>
      </c>
      <c r="M169" s="11">
        <f>IF(Inputs!$D$33=0,0,Inputs!$C$33+Inputs!$B$12*Inputs!$B$5*$B169^2/(Inputs!$D$33^2*Inputs!$H$33^4*Inputs!$I$33^2)+Inputs!$G$33*$B169^Inputs!$B$11)</f>
        <v/>
      </c>
      <c r="N169" s="11">
        <f>IF(Inputs!$D$34=0,0,Inputs!$C$34+Inputs!$B$12*Inputs!$B$5*$B169^2/(Inputs!$D$34^2*Inputs!$H$34^4*Inputs!$I$34^2)+Inputs!$G$34*$B169^Inputs!$B$11)</f>
        <v/>
      </c>
    </row>
    <row r="170">
      <c r="A170" s="7" t="n">
        <v>165</v>
      </c>
      <c r="B170" s="37">
        <f>Inputs!$B$4*A170/200</f>
        <v/>
      </c>
      <c r="C170" s="11">
        <f>IF(Inputs!$D$23=0,0,Inputs!$C$23+Inputs!$B$12*Inputs!$B$5*$B170^2/(Inputs!$D$23^2*Inputs!$H$23^4*Inputs!$I$23^2)+Inputs!$G$23*$B170^Inputs!$B$11)</f>
        <v/>
      </c>
      <c r="D170" s="11">
        <f>IF(Inputs!$D$24=0,0,Inputs!$C$24+Inputs!$B$12*Inputs!$B$5*$B170^2/(Inputs!$D$24^2*Inputs!$H$24^4*Inputs!$I$24^2)+Inputs!$G$24*$B170^Inputs!$B$11)</f>
        <v/>
      </c>
      <c r="E170" s="11">
        <f>IF(Inputs!$D$25=0,0,Inputs!$C$25+Inputs!$B$12*Inputs!$B$5*$B170^2/(Inputs!$D$25^2*Inputs!$H$25^4*Inputs!$I$25^2)+Inputs!$G$25*$B170^Inputs!$B$11)</f>
        <v/>
      </c>
      <c r="F170" s="11">
        <f>IF(Inputs!$D$26=0,0,Inputs!$C$26+Inputs!$B$12*Inputs!$B$5*$B170^2/(Inputs!$D$26^2*Inputs!$H$26^4*Inputs!$I$26^2)+Inputs!$G$26*$B170^Inputs!$B$11)</f>
        <v/>
      </c>
      <c r="G170" s="11">
        <f>IF(Inputs!$D$27=0,0,Inputs!$C$27+Inputs!$B$12*Inputs!$B$5*$B170^2/(Inputs!$D$27^2*Inputs!$H$27^4*Inputs!$I$27^2)+Inputs!$G$27*$B170^Inputs!$B$11)</f>
        <v/>
      </c>
      <c r="H170" s="11">
        <f>IF(Inputs!$D$28=0,0,Inputs!$C$28+Inputs!$B$12*Inputs!$B$5*$B170^2/(Inputs!$D$28^2*Inputs!$H$28^4*Inputs!$I$28^2)+Inputs!$G$28*$B170^Inputs!$B$11)</f>
        <v/>
      </c>
      <c r="I170" s="11">
        <f>IF(Inputs!$D$29=0,0,Inputs!$C$29+Inputs!$B$12*Inputs!$B$5*$B170^2/(Inputs!$D$29^2*Inputs!$H$29^4*Inputs!$I$29^2)+Inputs!$G$29*$B170^Inputs!$B$11)</f>
        <v/>
      </c>
      <c r="J170" s="11">
        <f>IF(Inputs!$D$30=0,0,Inputs!$C$30+Inputs!$B$12*Inputs!$B$5*$B170^2/(Inputs!$D$30^2*Inputs!$H$30^4*Inputs!$I$30^2)+Inputs!$G$30*$B170^Inputs!$B$11)</f>
        <v/>
      </c>
      <c r="K170" s="11">
        <f>IF(Inputs!$D$31=0,0,Inputs!$C$31+Inputs!$B$12*Inputs!$B$5*$B170^2/(Inputs!$D$31^2*Inputs!$H$31^4*Inputs!$I$31^2)+Inputs!$G$31*$B170^Inputs!$B$11)</f>
        <v/>
      </c>
      <c r="L170" s="11">
        <f>IF(Inputs!$D$32=0,0,Inputs!$C$32+Inputs!$B$12*Inputs!$B$5*$B170^2/(Inputs!$D$32^2*Inputs!$H$32^4*Inputs!$I$32^2)+Inputs!$G$32*$B170^Inputs!$B$11)</f>
        <v/>
      </c>
      <c r="M170" s="11">
        <f>IF(Inputs!$D$33=0,0,Inputs!$C$33+Inputs!$B$12*Inputs!$B$5*$B170^2/(Inputs!$D$33^2*Inputs!$H$33^4*Inputs!$I$33^2)+Inputs!$G$33*$B170^Inputs!$B$11)</f>
        <v/>
      </c>
      <c r="N170" s="11">
        <f>IF(Inputs!$D$34=0,0,Inputs!$C$34+Inputs!$B$12*Inputs!$B$5*$B170^2/(Inputs!$D$34^2*Inputs!$H$34^4*Inputs!$I$34^2)+Inputs!$G$34*$B170^Inputs!$B$11)</f>
        <v/>
      </c>
    </row>
    <row r="171">
      <c r="A171" s="7" t="n">
        <v>166</v>
      </c>
      <c r="B171" s="37">
        <f>Inputs!$B$4*A171/200</f>
        <v/>
      </c>
      <c r="C171" s="11">
        <f>IF(Inputs!$D$23=0,0,Inputs!$C$23+Inputs!$B$12*Inputs!$B$5*$B171^2/(Inputs!$D$23^2*Inputs!$H$23^4*Inputs!$I$23^2)+Inputs!$G$23*$B171^Inputs!$B$11)</f>
        <v/>
      </c>
      <c r="D171" s="11">
        <f>IF(Inputs!$D$24=0,0,Inputs!$C$24+Inputs!$B$12*Inputs!$B$5*$B171^2/(Inputs!$D$24^2*Inputs!$H$24^4*Inputs!$I$24^2)+Inputs!$G$24*$B171^Inputs!$B$11)</f>
        <v/>
      </c>
      <c r="E171" s="11">
        <f>IF(Inputs!$D$25=0,0,Inputs!$C$25+Inputs!$B$12*Inputs!$B$5*$B171^2/(Inputs!$D$25^2*Inputs!$H$25^4*Inputs!$I$25^2)+Inputs!$G$25*$B171^Inputs!$B$11)</f>
        <v/>
      </c>
      <c r="F171" s="11">
        <f>IF(Inputs!$D$26=0,0,Inputs!$C$26+Inputs!$B$12*Inputs!$B$5*$B171^2/(Inputs!$D$26^2*Inputs!$H$26^4*Inputs!$I$26^2)+Inputs!$G$26*$B171^Inputs!$B$11)</f>
        <v/>
      </c>
      <c r="G171" s="11">
        <f>IF(Inputs!$D$27=0,0,Inputs!$C$27+Inputs!$B$12*Inputs!$B$5*$B171^2/(Inputs!$D$27^2*Inputs!$H$27^4*Inputs!$I$27^2)+Inputs!$G$27*$B171^Inputs!$B$11)</f>
        <v/>
      </c>
      <c r="H171" s="11">
        <f>IF(Inputs!$D$28=0,0,Inputs!$C$28+Inputs!$B$12*Inputs!$B$5*$B171^2/(Inputs!$D$28^2*Inputs!$H$28^4*Inputs!$I$28^2)+Inputs!$G$28*$B171^Inputs!$B$11)</f>
        <v/>
      </c>
      <c r="I171" s="11">
        <f>IF(Inputs!$D$29=0,0,Inputs!$C$29+Inputs!$B$12*Inputs!$B$5*$B171^2/(Inputs!$D$29^2*Inputs!$H$29^4*Inputs!$I$29^2)+Inputs!$G$29*$B171^Inputs!$B$11)</f>
        <v/>
      </c>
      <c r="J171" s="11">
        <f>IF(Inputs!$D$30=0,0,Inputs!$C$30+Inputs!$B$12*Inputs!$B$5*$B171^2/(Inputs!$D$30^2*Inputs!$H$30^4*Inputs!$I$30^2)+Inputs!$G$30*$B171^Inputs!$B$11)</f>
        <v/>
      </c>
      <c r="K171" s="11">
        <f>IF(Inputs!$D$31=0,0,Inputs!$C$31+Inputs!$B$12*Inputs!$B$5*$B171^2/(Inputs!$D$31^2*Inputs!$H$31^4*Inputs!$I$31^2)+Inputs!$G$31*$B171^Inputs!$B$11)</f>
        <v/>
      </c>
      <c r="L171" s="11">
        <f>IF(Inputs!$D$32=0,0,Inputs!$C$32+Inputs!$B$12*Inputs!$B$5*$B171^2/(Inputs!$D$32^2*Inputs!$H$32^4*Inputs!$I$32^2)+Inputs!$G$32*$B171^Inputs!$B$11)</f>
        <v/>
      </c>
      <c r="M171" s="11">
        <f>IF(Inputs!$D$33=0,0,Inputs!$C$33+Inputs!$B$12*Inputs!$B$5*$B171^2/(Inputs!$D$33^2*Inputs!$H$33^4*Inputs!$I$33^2)+Inputs!$G$33*$B171^Inputs!$B$11)</f>
        <v/>
      </c>
      <c r="N171" s="11">
        <f>IF(Inputs!$D$34=0,0,Inputs!$C$34+Inputs!$B$12*Inputs!$B$5*$B171^2/(Inputs!$D$34^2*Inputs!$H$34^4*Inputs!$I$34^2)+Inputs!$G$34*$B171^Inputs!$B$11)</f>
        <v/>
      </c>
    </row>
    <row r="172">
      <c r="A172" s="7" t="n">
        <v>167</v>
      </c>
      <c r="B172" s="37">
        <f>Inputs!$B$4*A172/200</f>
        <v/>
      </c>
      <c r="C172" s="11">
        <f>IF(Inputs!$D$23=0,0,Inputs!$C$23+Inputs!$B$12*Inputs!$B$5*$B172^2/(Inputs!$D$23^2*Inputs!$H$23^4*Inputs!$I$23^2)+Inputs!$G$23*$B172^Inputs!$B$11)</f>
        <v/>
      </c>
      <c r="D172" s="11">
        <f>IF(Inputs!$D$24=0,0,Inputs!$C$24+Inputs!$B$12*Inputs!$B$5*$B172^2/(Inputs!$D$24^2*Inputs!$H$24^4*Inputs!$I$24^2)+Inputs!$G$24*$B172^Inputs!$B$11)</f>
        <v/>
      </c>
      <c r="E172" s="11">
        <f>IF(Inputs!$D$25=0,0,Inputs!$C$25+Inputs!$B$12*Inputs!$B$5*$B172^2/(Inputs!$D$25^2*Inputs!$H$25^4*Inputs!$I$25^2)+Inputs!$G$25*$B172^Inputs!$B$11)</f>
        <v/>
      </c>
      <c r="F172" s="11">
        <f>IF(Inputs!$D$26=0,0,Inputs!$C$26+Inputs!$B$12*Inputs!$B$5*$B172^2/(Inputs!$D$26^2*Inputs!$H$26^4*Inputs!$I$26^2)+Inputs!$G$26*$B172^Inputs!$B$11)</f>
        <v/>
      </c>
      <c r="G172" s="11">
        <f>IF(Inputs!$D$27=0,0,Inputs!$C$27+Inputs!$B$12*Inputs!$B$5*$B172^2/(Inputs!$D$27^2*Inputs!$H$27^4*Inputs!$I$27^2)+Inputs!$G$27*$B172^Inputs!$B$11)</f>
        <v/>
      </c>
      <c r="H172" s="11">
        <f>IF(Inputs!$D$28=0,0,Inputs!$C$28+Inputs!$B$12*Inputs!$B$5*$B172^2/(Inputs!$D$28^2*Inputs!$H$28^4*Inputs!$I$28^2)+Inputs!$G$28*$B172^Inputs!$B$11)</f>
        <v/>
      </c>
      <c r="I172" s="11">
        <f>IF(Inputs!$D$29=0,0,Inputs!$C$29+Inputs!$B$12*Inputs!$B$5*$B172^2/(Inputs!$D$29^2*Inputs!$H$29^4*Inputs!$I$29^2)+Inputs!$G$29*$B172^Inputs!$B$11)</f>
        <v/>
      </c>
      <c r="J172" s="11">
        <f>IF(Inputs!$D$30=0,0,Inputs!$C$30+Inputs!$B$12*Inputs!$B$5*$B172^2/(Inputs!$D$30^2*Inputs!$H$30^4*Inputs!$I$30^2)+Inputs!$G$30*$B172^Inputs!$B$11)</f>
        <v/>
      </c>
      <c r="K172" s="11">
        <f>IF(Inputs!$D$31=0,0,Inputs!$C$31+Inputs!$B$12*Inputs!$B$5*$B172^2/(Inputs!$D$31^2*Inputs!$H$31^4*Inputs!$I$31^2)+Inputs!$G$31*$B172^Inputs!$B$11)</f>
        <v/>
      </c>
      <c r="L172" s="11">
        <f>IF(Inputs!$D$32=0,0,Inputs!$C$32+Inputs!$B$12*Inputs!$B$5*$B172^2/(Inputs!$D$32^2*Inputs!$H$32^4*Inputs!$I$32^2)+Inputs!$G$32*$B172^Inputs!$B$11)</f>
        <v/>
      </c>
      <c r="M172" s="11">
        <f>IF(Inputs!$D$33=0,0,Inputs!$C$33+Inputs!$B$12*Inputs!$B$5*$B172^2/(Inputs!$D$33^2*Inputs!$H$33^4*Inputs!$I$33^2)+Inputs!$G$33*$B172^Inputs!$B$11)</f>
        <v/>
      </c>
      <c r="N172" s="11">
        <f>IF(Inputs!$D$34=0,0,Inputs!$C$34+Inputs!$B$12*Inputs!$B$5*$B172^2/(Inputs!$D$34^2*Inputs!$H$34^4*Inputs!$I$34^2)+Inputs!$G$34*$B172^Inputs!$B$11)</f>
        <v/>
      </c>
    </row>
    <row r="173">
      <c r="A173" s="7" t="n">
        <v>168</v>
      </c>
      <c r="B173" s="37">
        <f>Inputs!$B$4*A173/200</f>
        <v/>
      </c>
      <c r="C173" s="11">
        <f>IF(Inputs!$D$23=0,0,Inputs!$C$23+Inputs!$B$12*Inputs!$B$5*$B173^2/(Inputs!$D$23^2*Inputs!$H$23^4*Inputs!$I$23^2)+Inputs!$G$23*$B173^Inputs!$B$11)</f>
        <v/>
      </c>
      <c r="D173" s="11">
        <f>IF(Inputs!$D$24=0,0,Inputs!$C$24+Inputs!$B$12*Inputs!$B$5*$B173^2/(Inputs!$D$24^2*Inputs!$H$24^4*Inputs!$I$24^2)+Inputs!$G$24*$B173^Inputs!$B$11)</f>
        <v/>
      </c>
      <c r="E173" s="11">
        <f>IF(Inputs!$D$25=0,0,Inputs!$C$25+Inputs!$B$12*Inputs!$B$5*$B173^2/(Inputs!$D$25^2*Inputs!$H$25^4*Inputs!$I$25^2)+Inputs!$G$25*$B173^Inputs!$B$11)</f>
        <v/>
      </c>
      <c r="F173" s="11">
        <f>IF(Inputs!$D$26=0,0,Inputs!$C$26+Inputs!$B$12*Inputs!$B$5*$B173^2/(Inputs!$D$26^2*Inputs!$H$26^4*Inputs!$I$26^2)+Inputs!$G$26*$B173^Inputs!$B$11)</f>
        <v/>
      </c>
      <c r="G173" s="11">
        <f>IF(Inputs!$D$27=0,0,Inputs!$C$27+Inputs!$B$12*Inputs!$B$5*$B173^2/(Inputs!$D$27^2*Inputs!$H$27^4*Inputs!$I$27^2)+Inputs!$G$27*$B173^Inputs!$B$11)</f>
        <v/>
      </c>
      <c r="H173" s="11">
        <f>IF(Inputs!$D$28=0,0,Inputs!$C$28+Inputs!$B$12*Inputs!$B$5*$B173^2/(Inputs!$D$28^2*Inputs!$H$28^4*Inputs!$I$28^2)+Inputs!$G$28*$B173^Inputs!$B$11)</f>
        <v/>
      </c>
      <c r="I173" s="11">
        <f>IF(Inputs!$D$29=0,0,Inputs!$C$29+Inputs!$B$12*Inputs!$B$5*$B173^2/(Inputs!$D$29^2*Inputs!$H$29^4*Inputs!$I$29^2)+Inputs!$G$29*$B173^Inputs!$B$11)</f>
        <v/>
      </c>
      <c r="J173" s="11">
        <f>IF(Inputs!$D$30=0,0,Inputs!$C$30+Inputs!$B$12*Inputs!$B$5*$B173^2/(Inputs!$D$30^2*Inputs!$H$30^4*Inputs!$I$30^2)+Inputs!$G$30*$B173^Inputs!$B$11)</f>
        <v/>
      </c>
      <c r="K173" s="11">
        <f>IF(Inputs!$D$31=0,0,Inputs!$C$31+Inputs!$B$12*Inputs!$B$5*$B173^2/(Inputs!$D$31^2*Inputs!$H$31^4*Inputs!$I$31^2)+Inputs!$G$31*$B173^Inputs!$B$11)</f>
        <v/>
      </c>
      <c r="L173" s="11">
        <f>IF(Inputs!$D$32=0,0,Inputs!$C$32+Inputs!$B$12*Inputs!$B$5*$B173^2/(Inputs!$D$32^2*Inputs!$H$32^4*Inputs!$I$32^2)+Inputs!$G$32*$B173^Inputs!$B$11)</f>
        <v/>
      </c>
      <c r="M173" s="11">
        <f>IF(Inputs!$D$33=0,0,Inputs!$C$33+Inputs!$B$12*Inputs!$B$5*$B173^2/(Inputs!$D$33^2*Inputs!$H$33^4*Inputs!$I$33^2)+Inputs!$G$33*$B173^Inputs!$B$11)</f>
        <v/>
      </c>
      <c r="N173" s="11">
        <f>IF(Inputs!$D$34=0,0,Inputs!$C$34+Inputs!$B$12*Inputs!$B$5*$B173^2/(Inputs!$D$34^2*Inputs!$H$34^4*Inputs!$I$34^2)+Inputs!$G$34*$B173^Inputs!$B$11)</f>
        <v/>
      </c>
    </row>
    <row r="174">
      <c r="A174" s="7" t="n">
        <v>169</v>
      </c>
      <c r="B174" s="37">
        <f>Inputs!$B$4*A174/200</f>
        <v/>
      </c>
      <c r="C174" s="11">
        <f>IF(Inputs!$D$23=0,0,Inputs!$C$23+Inputs!$B$12*Inputs!$B$5*$B174^2/(Inputs!$D$23^2*Inputs!$H$23^4*Inputs!$I$23^2)+Inputs!$G$23*$B174^Inputs!$B$11)</f>
        <v/>
      </c>
      <c r="D174" s="11">
        <f>IF(Inputs!$D$24=0,0,Inputs!$C$24+Inputs!$B$12*Inputs!$B$5*$B174^2/(Inputs!$D$24^2*Inputs!$H$24^4*Inputs!$I$24^2)+Inputs!$G$24*$B174^Inputs!$B$11)</f>
        <v/>
      </c>
      <c r="E174" s="11">
        <f>IF(Inputs!$D$25=0,0,Inputs!$C$25+Inputs!$B$12*Inputs!$B$5*$B174^2/(Inputs!$D$25^2*Inputs!$H$25^4*Inputs!$I$25^2)+Inputs!$G$25*$B174^Inputs!$B$11)</f>
        <v/>
      </c>
      <c r="F174" s="11">
        <f>IF(Inputs!$D$26=0,0,Inputs!$C$26+Inputs!$B$12*Inputs!$B$5*$B174^2/(Inputs!$D$26^2*Inputs!$H$26^4*Inputs!$I$26^2)+Inputs!$G$26*$B174^Inputs!$B$11)</f>
        <v/>
      </c>
      <c r="G174" s="11">
        <f>IF(Inputs!$D$27=0,0,Inputs!$C$27+Inputs!$B$12*Inputs!$B$5*$B174^2/(Inputs!$D$27^2*Inputs!$H$27^4*Inputs!$I$27^2)+Inputs!$G$27*$B174^Inputs!$B$11)</f>
        <v/>
      </c>
      <c r="H174" s="11">
        <f>IF(Inputs!$D$28=0,0,Inputs!$C$28+Inputs!$B$12*Inputs!$B$5*$B174^2/(Inputs!$D$28^2*Inputs!$H$28^4*Inputs!$I$28^2)+Inputs!$G$28*$B174^Inputs!$B$11)</f>
        <v/>
      </c>
      <c r="I174" s="11">
        <f>IF(Inputs!$D$29=0,0,Inputs!$C$29+Inputs!$B$12*Inputs!$B$5*$B174^2/(Inputs!$D$29^2*Inputs!$H$29^4*Inputs!$I$29^2)+Inputs!$G$29*$B174^Inputs!$B$11)</f>
        <v/>
      </c>
      <c r="J174" s="11">
        <f>IF(Inputs!$D$30=0,0,Inputs!$C$30+Inputs!$B$12*Inputs!$B$5*$B174^2/(Inputs!$D$30^2*Inputs!$H$30^4*Inputs!$I$30^2)+Inputs!$G$30*$B174^Inputs!$B$11)</f>
        <v/>
      </c>
      <c r="K174" s="11">
        <f>IF(Inputs!$D$31=0,0,Inputs!$C$31+Inputs!$B$12*Inputs!$B$5*$B174^2/(Inputs!$D$31^2*Inputs!$H$31^4*Inputs!$I$31^2)+Inputs!$G$31*$B174^Inputs!$B$11)</f>
        <v/>
      </c>
      <c r="L174" s="11">
        <f>IF(Inputs!$D$32=0,0,Inputs!$C$32+Inputs!$B$12*Inputs!$B$5*$B174^2/(Inputs!$D$32^2*Inputs!$H$32^4*Inputs!$I$32^2)+Inputs!$G$32*$B174^Inputs!$B$11)</f>
        <v/>
      </c>
      <c r="M174" s="11">
        <f>IF(Inputs!$D$33=0,0,Inputs!$C$33+Inputs!$B$12*Inputs!$B$5*$B174^2/(Inputs!$D$33^2*Inputs!$H$33^4*Inputs!$I$33^2)+Inputs!$G$33*$B174^Inputs!$B$11)</f>
        <v/>
      </c>
      <c r="N174" s="11">
        <f>IF(Inputs!$D$34=0,0,Inputs!$C$34+Inputs!$B$12*Inputs!$B$5*$B174^2/(Inputs!$D$34^2*Inputs!$H$34^4*Inputs!$I$34^2)+Inputs!$G$34*$B174^Inputs!$B$11)</f>
        <v/>
      </c>
    </row>
    <row r="175">
      <c r="A175" s="7" t="n">
        <v>170</v>
      </c>
      <c r="B175" s="37">
        <f>Inputs!$B$4*A175/200</f>
        <v/>
      </c>
      <c r="C175" s="11">
        <f>IF(Inputs!$D$23=0,0,Inputs!$C$23+Inputs!$B$12*Inputs!$B$5*$B175^2/(Inputs!$D$23^2*Inputs!$H$23^4*Inputs!$I$23^2)+Inputs!$G$23*$B175^Inputs!$B$11)</f>
        <v/>
      </c>
      <c r="D175" s="11">
        <f>IF(Inputs!$D$24=0,0,Inputs!$C$24+Inputs!$B$12*Inputs!$B$5*$B175^2/(Inputs!$D$24^2*Inputs!$H$24^4*Inputs!$I$24^2)+Inputs!$G$24*$B175^Inputs!$B$11)</f>
        <v/>
      </c>
      <c r="E175" s="11">
        <f>IF(Inputs!$D$25=0,0,Inputs!$C$25+Inputs!$B$12*Inputs!$B$5*$B175^2/(Inputs!$D$25^2*Inputs!$H$25^4*Inputs!$I$25^2)+Inputs!$G$25*$B175^Inputs!$B$11)</f>
        <v/>
      </c>
      <c r="F175" s="11">
        <f>IF(Inputs!$D$26=0,0,Inputs!$C$26+Inputs!$B$12*Inputs!$B$5*$B175^2/(Inputs!$D$26^2*Inputs!$H$26^4*Inputs!$I$26^2)+Inputs!$G$26*$B175^Inputs!$B$11)</f>
        <v/>
      </c>
      <c r="G175" s="11">
        <f>IF(Inputs!$D$27=0,0,Inputs!$C$27+Inputs!$B$12*Inputs!$B$5*$B175^2/(Inputs!$D$27^2*Inputs!$H$27^4*Inputs!$I$27^2)+Inputs!$G$27*$B175^Inputs!$B$11)</f>
        <v/>
      </c>
      <c r="H175" s="11">
        <f>IF(Inputs!$D$28=0,0,Inputs!$C$28+Inputs!$B$12*Inputs!$B$5*$B175^2/(Inputs!$D$28^2*Inputs!$H$28^4*Inputs!$I$28^2)+Inputs!$G$28*$B175^Inputs!$B$11)</f>
        <v/>
      </c>
      <c r="I175" s="11">
        <f>IF(Inputs!$D$29=0,0,Inputs!$C$29+Inputs!$B$12*Inputs!$B$5*$B175^2/(Inputs!$D$29^2*Inputs!$H$29^4*Inputs!$I$29^2)+Inputs!$G$29*$B175^Inputs!$B$11)</f>
        <v/>
      </c>
      <c r="J175" s="11">
        <f>IF(Inputs!$D$30=0,0,Inputs!$C$30+Inputs!$B$12*Inputs!$B$5*$B175^2/(Inputs!$D$30^2*Inputs!$H$30^4*Inputs!$I$30^2)+Inputs!$G$30*$B175^Inputs!$B$11)</f>
        <v/>
      </c>
      <c r="K175" s="11">
        <f>IF(Inputs!$D$31=0,0,Inputs!$C$31+Inputs!$B$12*Inputs!$B$5*$B175^2/(Inputs!$D$31^2*Inputs!$H$31^4*Inputs!$I$31^2)+Inputs!$G$31*$B175^Inputs!$B$11)</f>
        <v/>
      </c>
      <c r="L175" s="11">
        <f>IF(Inputs!$D$32=0,0,Inputs!$C$32+Inputs!$B$12*Inputs!$B$5*$B175^2/(Inputs!$D$32^2*Inputs!$H$32^4*Inputs!$I$32^2)+Inputs!$G$32*$B175^Inputs!$B$11)</f>
        <v/>
      </c>
      <c r="M175" s="11">
        <f>IF(Inputs!$D$33=0,0,Inputs!$C$33+Inputs!$B$12*Inputs!$B$5*$B175^2/(Inputs!$D$33^2*Inputs!$H$33^4*Inputs!$I$33^2)+Inputs!$G$33*$B175^Inputs!$B$11)</f>
        <v/>
      </c>
      <c r="N175" s="11">
        <f>IF(Inputs!$D$34=0,0,Inputs!$C$34+Inputs!$B$12*Inputs!$B$5*$B175^2/(Inputs!$D$34^2*Inputs!$H$34^4*Inputs!$I$34^2)+Inputs!$G$34*$B175^Inputs!$B$11)</f>
        <v/>
      </c>
    </row>
    <row r="176">
      <c r="A176" s="7" t="n">
        <v>171</v>
      </c>
      <c r="B176" s="37">
        <f>Inputs!$B$4*A176/200</f>
        <v/>
      </c>
      <c r="C176" s="11">
        <f>IF(Inputs!$D$23=0,0,Inputs!$C$23+Inputs!$B$12*Inputs!$B$5*$B176^2/(Inputs!$D$23^2*Inputs!$H$23^4*Inputs!$I$23^2)+Inputs!$G$23*$B176^Inputs!$B$11)</f>
        <v/>
      </c>
      <c r="D176" s="11">
        <f>IF(Inputs!$D$24=0,0,Inputs!$C$24+Inputs!$B$12*Inputs!$B$5*$B176^2/(Inputs!$D$24^2*Inputs!$H$24^4*Inputs!$I$24^2)+Inputs!$G$24*$B176^Inputs!$B$11)</f>
        <v/>
      </c>
      <c r="E176" s="11">
        <f>IF(Inputs!$D$25=0,0,Inputs!$C$25+Inputs!$B$12*Inputs!$B$5*$B176^2/(Inputs!$D$25^2*Inputs!$H$25^4*Inputs!$I$25^2)+Inputs!$G$25*$B176^Inputs!$B$11)</f>
        <v/>
      </c>
      <c r="F176" s="11">
        <f>IF(Inputs!$D$26=0,0,Inputs!$C$26+Inputs!$B$12*Inputs!$B$5*$B176^2/(Inputs!$D$26^2*Inputs!$H$26^4*Inputs!$I$26^2)+Inputs!$G$26*$B176^Inputs!$B$11)</f>
        <v/>
      </c>
      <c r="G176" s="11">
        <f>IF(Inputs!$D$27=0,0,Inputs!$C$27+Inputs!$B$12*Inputs!$B$5*$B176^2/(Inputs!$D$27^2*Inputs!$H$27^4*Inputs!$I$27^2)+Inputs!$G$27*$B176^Inputs!$B$11)</f>
        <v/>
      </c>
      <c r="H176" s="11">
        <f>IF(Inputs!$D$28=0,0,Inputs!$C$28+Inputs!$B$12*Inputs!$B$5*$B176^2/(Inputs!$D$28^2*Inputs!$H$28^4*Inputs!$I$28^2)+Inputs!$G$28*$B176^Inputs!$B$11)</f>
        <v/>
      </c>
      <c r="I176" s="11">
        <f>IF(Inputs!$D$29=0,0,Inputs!$C$29+Inputs!$B$12*Inputs!$B$5*$B176^2/(Inputs!$D$29^2*Inputs!$H$29^4*Inputs!$I$29^2)+Inputs!$G$29*$B176^Inputs!$B$11)</f>
        <v/>
      </c>
      <c r="J176" s="11">
        <f>IF(Inputs!$D$30=0,0,Inputs!$C$30+Inputs!$B$12*Inputs!$B$5*$B176^2/(Inputs!$D$30^2*Inputs!$H$30^4*Inputs!$I$30^2)+Inputs!$G$30*$B176^Inputs!$B$11)</f>
        <v/>
      </c>
      <c r="K176" s="11">
        <f>IF(Inputs!$D$31=0,0,Inputs!$C$31+Inputs!$B$12*Inputs!$B$5*$B176^2/(Inputs!$D$31^2*Inputs!$H$31^4*Inputs!$I$31^2)+Inputs!$G$31*$B176^Inputs!$B$11)</f>
        <v/>
      </c>
      <c r="L176" s="11">
        <f>IF(Inputs!$D$32=0,0,Inputs!$C$32+Inputs!$B$12*Inputs!$B$5*$B176^2/(Inputs!$D$32^2*Inputs!$H$32^4*Inputs!$I$32^2)+Inputs!$G$32*$B176^Inputs!$B$11)</f>
        <v/>
      </c>
      <c r="M176" s="11">
        <f>IF(Inputs!$D$33=0,0,Inputs!$C$33+Inputs!$B$12*Inputs!$B$5*$B176^2/(Inputs!$D$33^2*Inputs!$H$33^4*Inputs!$I$33^2)+Inputs!$G$33*$B176^Inputs!$B$11)</f>
        <v/>
      </c>
      <c r="N176" s="11">
        <f>IF(Inputs!$D$34=0,0,Inputs!$C$34+Inputs!$B$12*Inputs!$B$5*$B176^2/(Inputs!$D$34^2*Inputs!$H$34^4*Inputs!$I$34^2)+Inputs!$G$34*$B176^Inputs!$B$11)</f>
        <v/>
      </c>
    </row>
    <row r="177">
      <c r="A177" s="7" t="n">
        <v>172</v>
      </c>
      <c r="B177" s="37">
        <f>Inputs!$B$4*A177/200</f>
        <v/>
      </c>
      <c r="C177" s="11">
        <f>IF(Inputs!$D$23=0,0,Inputs!$C$23+Inputs!$B$12*Inputs!$B$5*$B177^2/(Inputs!$D$23^2*Inputs!$H$23^4*Inputs!$I$23^2)+Inputs!$G$23*$B177^Inputs!$B$11)</f>
        <v/>
      </c>
      <c r="D177" s="11">
        <f>IF(Inputs!$D$24=0,0,Inputs!$C$24+Inputs!$B$12*Inputs!$B$5*$B177^2/(Inputs!$D$24^2*Inputs!$H$24^4*Inputs!$I$24^2)+Inputs!$G$24*$B177^Inputs!$B$11)</f>
        <v/>
      </c>
      <c r="E177" s="11">
        <f>IF(Inputs!$D$25=0,0,Inputs!$C$25+Inputs!$B$12*Inputs!$B$5*$B177^2/(Inputs!$D$25^2*Inputs!$H$25^4*Inputs!$I$25^2)+Inputs!$G$25*$B177^Inputs!$B$11)</f>
        <v/>
      </c>
      <c r="F177" s="11">
        <f>IF(Inputs!$D$26=0,0,Inputs!$C$26+Inputs!$B$12*Inputs!$B$5*$B177^2/(Inputs!$D$26^2*Inputs!$H$26^4*Inputs!$I$26^2)+Inputs!$G$26*$B177^Inputs!$B$11)</f>
        <v/>
      </c>
      <c r="G177" s="11">
        <f>IF(Inputs!$D$27=0,0,Inputs!$C$27+Inputs!$B$12*Inputs!$B$5*$B177^2/(Inputs!$D$27^2*Inputs!$H$27^4*Inputs!$I$27^2)+Inputs!$G$27*$B177^Inputs!$B$11)</f>
        <v/>
      </c>
      <c r="H177" s="11">
        <f>IF(Inputs!$D$28=0,0,Inputs!$C$28+Inputs!$B$12*Inputs!$B$5*$B177^2/(Inputs!$D$28^2*Inputs!$H$28^4*Inputs!$I$28^2)+Inputs!$G$28*$B177^Inputs!$B$11)</f>
        <v/>
      </c>
      <c r="I177" s="11">
        <f>IF(Inputs!$D$29=0,0,Inputs!$C$29+Inputs!$B$12*Inputs!$B$5*$B177^2/(Inputs!$D$29^2*Inputs!$H$29^4*Inputs!$I$29^2)+Inputs!$G$29*$B177^Inputs!$B$11)</f>
        <v/>
      </c>
      <c r="J177" s="11">
        <f>IF(Inputs!$D$30=0,0,Inputs!$C$30+Inputs!$B$12*Inputs!$B$5*$B177^2/(Inputs!$D$30^2*Inputs!$H$30^4*Inputs!$I$30^2)+Inputs!$G$30*$B177^Inputs!$B$11)</f>
        <v/>
      </c>
      <c r="K177" s="11">
        <f>IF(Inputs!$D$31=0,0,Inputs!$C$31+Inputs!$B$12*Inputs!$B$5*$B177^2/(Inputs!$D$31^2*Inputs!$H$31^4*Inputs!$I$31^2)+Inputs!$G$31*$B177^Inputs!$B$11)</f>
        <v/>
      </c>
      <c r="L177" s="11">
        <f>IF(Inputs!$D$32=0,0,Inputs!$C$32+Inputs!$B$12*Inputs!$B$5*$B177^2/(Inputs!$D$32^2*Inputs!$H$32^4*Inputs!$I$32^2)+Inputs!$G$32*$B177^Inputs!$B$11)</f>
        <v/>
      </c>
      <c r="M177" s="11">
        <f>IF(Inputs!$D$33=0,0,Inputs!$C$33+Inputs!$B$12*Inputs!$B$5*$B177^2/(Inputs!$D$33^2*Inputs!$H$33^4*Inputs!$I$33^2)+Inputs!$G$33*$B177^Inputs!$B$11)</f>
        <v/>
      </c>
      <c r="N177" s="11">
        <f>IF(Inputs!$D$34=0,0,Inputs!$C$34+Inputs!$B$12*Inputs!$B$5*$B177^2/(Inputs!$D$34^2*Inputs!$H$34^4*Inputs!$I$34^2)+Inputs!$G$34*$B177^Inputs!$B$11)</f>
        <v/>
      </c>
    </row>
    <row r="178">
      <c r="A178" s="7" t="n">
        <v>173</v>
      </c>
      <c r="B178" s="37">
        <f>Inputs!$B$4*A178/200</f>
        <v/>
      </c>
      <c r="C178" s="11">
        <f>IF(Inputs!$D$23=0,0,Inputs!$C$23+Inputs!$B$12*Inputs!$B$5*$B178^2/(Inputs!$D$23^2*Inputs!$H$23^4*Inputs!$I$23^2)+Inputs!$G$23*$B178^Inputs!$B$11)</f>
        <v/>
      </c>
      <c r="D178" s="11">
        <f>IF(Inputs!$D$24=0,0,Inputs!$C$24+Inputs!$B$12*Inputs!$B$5*$B178^2/(Inputs!$D$24^2*Inputs!$H$24^4*Inputs!$I$24^2)+Inputs!$G$24*$B178^Inputs!$B$11)</f>
        <v/>
      </c>
      <c r="E178" s="11">
        <f>IF(Inputs!$D$25=0,0,Inputs!$C$25+Inputs!$B$12*Inputs!$B$5*$B178^2/(Inputs!$D$25^2*Inputs!$H$25^4*Inputs!$I$25^2)+Inputs!$G$25*$B178^Inputs!$B$11)</f>
        <v/>
      </c>
      <c r="F178" s="11">
        <f>IF(Inputs!$D$26=0,0,Inputs!$C$26+Inputs!$B$12*Inputs!$B$5*$B178^2/(Inputs!$D$26^2*Inputs!$H$26^4*Inputs!$I$26^2)+Inputs!$G$26*$B178^Inputs!$B$11)</f>
        <v/>
      </c>
      <c r="G178" s="11">
        <f>IF(Inputs!$D$27=0,0,Inputs!$C$27+Inputs!$B$12*Inputs!$B$5*$B178^2/(Inputs!$D$27^2*Inputs!$H$27^4*Inputs!$I$27^2)+Inputs!$G$27*$B178^Inputs!$B$11)</f>
        <v/>
      </c>
      <c r="H178" s="11">
        <f>IF(Inputs!$D$28=0,0,Inputs!$C$28+Inputs!$B$12*Inputs!$B$5*$B178^2/(Inputs!$D$28^2*Inputs!$H$28^4*Inputs!$I$28^2)+Inputs!$G$28*$B178^Inputs!$B$11)</f>
        <v/>
      </c>
      <c r="I178" s="11">
        <f>IF(Inputs!$D$29=0,0,Inputs!$C$29+Inputs!$B$12*Inputs!$B$5*$B178^2/(Inputs!$D$29^2*Inputs!$H$29^4*Inputs!$I$29^2)+Inputs!$G$29*$B178^Inputs!$B$11)</f>
        <v/>
      </c>
      <c r="J178" s="11">
        <f>IF(Inputs!$D$30=0,0,Inputs!$C$30+Inputs!$B$12*Inputs!$B$5*$B178^2/(Inputs!$D$30^2*Inputs!$H$30^4*Inputs!$I$30^2)+Inputs!$G$30*$B178^Inputs!$B$11)</f>
        <v/>
      </c>
      <c r="K178" s="11">
        <f>IF(Inputs!$D$31=0,0,Inputs!$C$31+Inputs!$B$12*Inputs!$B$5*$B178^2/(Inputs!$D$31^2*Inputs!$H$31^4*Inputs!$I$31^2)+Inputs!$G$31*$B178^Inputs!$B$11)</f>
        <v/>
      </c>
      <c r="L178" s="11">
        <f>IF(Inputs!$D$32=0,0,Inputs!$C$32+Inputs!$B$12*Inputs!$B$5*$B178^2/(Inputs!$D$32^2*Inputs!$H$32^4*Inputs!$I$32^2)+Inputs!$G$32*$B178^Inputs!$B$11)</f>
        <v/>
      </c>
      <c r="M178" s="11">
        <f>IF(Inputs!$D$33=0,0,Inputs!$C$33+Inputs!$B$12*Inputs!$B$5*$B178^2/(Inputs!$D$33^2*Inputs!$H$33^4*Inputs!$I$33^2)+Inputs!$G$33*$B178^Inputs!$B$11)</f>
        <v/>
      </c>
      <c r="N178" s="11">
        <f>IF(Inputs!$D$34=0,0,Inputs!$C$34+Inputs!$B$12*Inputs!$B$5*$B178^2/(Inputs!$D$34^2*Inputs!$H$34^4*Inputs!$I$34^2)+Inputs!$G$34*$B178^Inputs!$B$11)</f>
        <v/>
      </c>
    </row>
    <row r="179">
      <c r="A179" s="7" t="n">
        <v>174</v>
      </c>
      <c r="B179" s="37">
        <f>Inputs!$B$4*A179/200</f>
        <v/>
      </c>
      <c r="C179" s="11">
        <f>IF(Inputs!$D$23=0,0,Inputs!$C$23+Inputs!$B$12*Inputs!$B$5*$B179^2/(Inputs!$D$23^2*Inputs!$H$23^4*Inputs!$I$23^2)+Inputs!$G$23*$B179^Inputs!$B$11)</f>
        <v/>
      </c>
      <c r="D179" s="11">
        <f>IF(Inputs!$D$24=0,0,Inputs!$C$24+Inputs!$B$12*Inputs!$B$5*$B179^2/(Inputs!$D$24^2*Inputs!$H$24^4*Inputs!$I$24^2)+Inputs!$G$24*$B179^Inputs!$B$11)</f>
        <v/>
      </c>
      <c r="E179" s="11">
        <f>IF(Inputs!$D$25=0,0,Inputs!$C$25+Inputs!$B$12*Inputs!$B$5*$B179^2/(Inputs!$D$25^2*Inputs!$H$25^4*Inputs!$I$25^2)+Inputs!$G$25*$B179^Inputs!$B$11)</f>
        <v/>
      </c>
      <c r="F179" s="11">
        <f>IF(Inputs!$D$26=0,0,Inputs!$C$26+Inputs!$B$12*Inputs!$B$5*$B179^2/(Inputs!$D$26^2*Inputs!$H$26^4*Inputs!$I$26^2)+Inputs!$G$26*$B179^Inputs!$B$11)</f>
        <v/>
      </c>
      <c r="G179" s="11">
        <f>IF(Inputs!$D$27=0,0,Inputs!$C$27+Inputs!$B$12*Inputs!$B$5*$B179^2/(Inputs!$D$27^2*Inputs!$H$27^4*Inputs!$I$27^2)+Inputs!$G$27*$B179^Inputs!$B$11)</f>
        <v/>
      </c>
      <c r="H179" s="11">
        <f>IF(Inputs!$D$28=0,0,Inputs!$C$28+Inputs!$B$12*Inputs!$B$5*$B179^2/(Inputs!$D$28^2*Inputs!$H$28^4*Inputs!$I$28^2)+Inputs!$G$28*$B179^Inputs!$B$11)</f>
        <v/>
      </c>
      <c r="I179" s="11">
        <f>IF(Inputs!$D$29=0,0,Inputs!$C$29+Inputs!$B$12*Inputs!$B$5*$B179^2/(Inputs!$D$29^2*Inputs!$H$29^4*Inputs!$I$29^2)+Inputs!$G$29*$B179^Inputs!$B$11)</f>
        <v/>
      </c>
      <c r="J179" s="11">
        <f>IF(Inputs!$D$30=0,0,Inputs!$C$30+Inputs!$B$12*Inputs!$B$5*$B179^2/(Inputs!$D$30^2*Inputs!$H$30^4*Inputs!$I$30^2)+Inputs!$G$30*$B179^Inputs!$B$11)</f>
        <v/>
      </c>
      <c r="K179" s="11">
        <f>IF(Inputs!$D$31=0,0,Inputs!$C$31+Inputs!$B$12*Inputs!$B$5*$B179^2/(Inputs!$D$31^2*Inputs!$H$31^4*Inputs!$I$31^2)+Inputs!$G$31*$B179^Inputs!$B$11)</f>
        <v/>
      </c>
      <c r="L179" s="11">
        <f>IF(Inputs!$D$32=0,0,Inputs!$C$32+Inputs!$B$12*Inputs!$B$5*$B179^2/(Inputs!$D$32^2*Inputs!$H$32^4*Inputs!$I$32^2)+Inputs!$G$32*$B179^Inputs!$B$11)</f>
        <v/>
      </c>
      <c r="M179" s="11">
        <f>IF(Inputs!$D$33=0,0,Inputs!$C$33+Inputs!$B$12*Inputs!$B$5*$B179^2/(Inputs!$D$33^2*Inputs!$H$33^4*Inputs!$I$33^2)+Inputs!$G$33*$B179^Inputs!$B$11)</f>
        <v/>
      </c>
      <c r="N179" s="11">
        <f>IF(Inputs!$D$34=0,0,Inputs!$C$34+Inputs!$B$12*Inputs!$B$5*$B179^2/(Inputs!$D$34^2*Inputs!$H$34^4*Inputs!$I$34^2)+Inputs!$G$34*$B179^Inputs!$B$11)</f>
        <v/>
      </c>
    </row>
    <row r="180">
      <c r="A180" s="7" t="n">
        <v>175</v>
      </c>
      <c r="B180" s="37">
        <f>Inputs!$B$4*A180/200</f>
        <v/>
      </c>
      <c r="C180" s="11">
        <f>IF(Inputs!$D$23=0,0,Inputs!$C$23+Inputs!$B$12*Inputs!$B$5*$B180^2/(Inputs!$D$23^2*Inputs!$H$23^4*Inputs!$I$23^2)+Inputs!$G$23*$B180^Inputs!$B$11)</f>
        <v/>
      </c>
      <c r="D180" s="11">
        <f>IF(Inputs!$D$24=0,0,Inputs!$C$24+Inputs!$B$12*Inputs!$B$5*$B180^2/(Inputs!$D$24^2*Inputs!$H$24^4*Inputs!$I$24^2)+Inputs!$G$24*$B180^Inputs!$B$11)</f>
        <v/>
      </c>
      <c r="E180" s="11">
        <f>IF(Inputs!$D$25=0,0,Inputs!$C$25+Inputs!$B$12*Inputs!$B$5*$B180^2/(Inputs!$D$25^2*Inputs!$H$25^4*Inputs!$I$25^2)+Inputs!$G$25*$B180^Inputs!$B$11)</f>
        <v/>
      </c>
      <c r="F180" s="11">
        <f>IF(Inputs!$D$26=0,0,Inputs!$C$26+Inputs!$B$12*Inputs!$B$5*$B180^2/(Inputs!$D$26^2*Inputs!$H$26^4*Inputs!$I$26^2)+Inputs!$G$26*$B180^Inputs!$B$11)</f>
        <v/>
      </c>
      <c r="G180" s="11">
        <f>IF(Inputs!$D$27=0,0,Inputs!$C$27+Inputs!$B$12*Inputs!$B$5*$B180^2/(Inputs!$D$27^2*Inputs!$H$27^4*Inputs!$I$27^2)+Inputs!$G$27*$B180^Inputs!$B$11)</f>
        <v/>
      </c>
      <c r="H180" s="11">
        <f>IF(Inputs!$D$28=0,0,Inputs!$C$28+Inputs!$B$12*Inputs!$B$5*$B180^2/(Inputs!$D$28^2*Inputs!$H$28^4*Inputs!$I$28^2)+Inputs!$G$28*$B180^Inputs!$B$11)</f>
        <v/>
      </c>
      <c r="I180" s="11">
        <f>IF(Inputs!$D$29=0,0,Inputs!$C$29+Inputs!$B$12*Inputs!$B$5*$B180^2/(Inputs!$D$29^2*Inputs!$H$29^4*Inputs!$I$29^2)+Inputs!$G$29*$B180^Inputs!$B$11)</f>
        <v/>
      </c>
      <c r="J180" s="11">
        <f>IF(Inputs!$D$30=0,0,Inputs!$C$30+Inputs!$B$12*Inputs!$B$5*$B180^2/(Inputs!$D$30^2*Inputs!$H$30^4*Inputs!$I$30^2)+Inputs!$G$30*$B180^Inputs!$B$11)</f>
        <v/>
      </c>
      <c r="K180" s="11">
        <f>IF(Inputs!$D$31=0,0,Inputs!$C$31+Inputs!$B$12*Inputs!$B$5*$B180^2/(Inputs!$D$31^2*Inputs!$H$31^4*Inputs!$I$31^2)+Inputs!$G$31*$B180^Inputs!$B$11)</f>
        <v/>
      </c>
      <c r="L180" s="11">
        <f>IF(Inputs!$D$32=0,0,Inputs!$C$32+Inputs!$B$12*Inputs!$B$5*$B180^2/(Inputs!$D$32^2*Inputs!$H$32^4*Inputs!$I$32^2)+Inputs!$G$32*$B180^Inputs!$B$11)</f>
        <v/>
      </c>
      <c r="M180" s="11">
        <f>IF(Inputs!$D$33=0,0,Inputs!$C$33+Inputs!$B$12*Inputs!$B$5*$B180^2/(Inputs!$D$33^2*Inputs!$H$33^4*Inputs!$I$33^2)+Inputs!$G$33*$B180^Inputs!$B$11)</f>
        <v/>
      </c>
      <c r="N180" s="11">
        <f>IF(Inputs!$D$34=0,0,Inputs!$C$34+Inputs!$B$12*Inputs!$B$5*$B180^2/(Inputs!$D$34^2*Inputs!$H$34^4*Inputs!$I$34^2)+Inputs!$G$34*$B180^Inputs!$B$11)</f>
        <v/>
      </c>
    </row>
    <row r="181">
      <c r="A181" s="7" t="n">
        <v>176</v>
      </c>
      <c r="B181" s="37">
        <f>Inputs!$B$4*A181/200</f>
        <v/>
      </c>
      <c r="C181" s="11">
        <f>IF(Inputs!$D$23=0,0,Inputs!$C$23+Inputs!$B$12*Inputs!$B$5*$B181^2/(Inputs!$D$23^2*Inputs!$H$23^4*Inputs!$I$23^2)+Inputs!$G$23*$B181^Inputs!$B$11)</f>
        <v/>
      </c>
      <c r="D181" s="11">
        <f>IF(Inputs!$D$24=0,0,Inputs!$C$24+Inputs!$B$12*Inputs!$B$5*$B181^2/(Inputs!$D$24^2*Inputs!$H$24^4*Inputs!$I$24^2)+Inputs!$G$24*$B181^Inputs!$B$11)</f>
        <v/>
      </c>
      <c r="E181" s="11">
        <f>IF(Inputs!$D$25=0,0,Inputs!$C$25+Inputs!$B$12*Inputs!$B$5*$B181^2/(Inputs!$D$25^2*Inputs!$H$25^4*Inputs!$I$25^2)+Inputs!$G$25*$B181^Inputs!$B$11)</f>
        <v/>
      </c>
      <c r="F181" s="11">
        <f>IF(Inputs!$D$26=0,0,Inputs!$C$26+Inputs!$B$12*Inputs!$B$5*$B181^2/(Inputs!$D$26^2*Inputs!$H$26^4*Inputs!$I$26^2)+Inputs!$G$26*$B181^Inputs!$B$11)</f>
        <v/>
      </c>
      <c r="G181" s="11">
        <f>IF(Inputs!$D$27=0,0,Inputs!$C$27+Inputs!$B$12*Inputs!$B$5*$B181^2/(Inputs!$D$27^2*Inputs!$H$27^4*Inputs!$I$27^2)+Inputs!$G$27*$B181^Inputs!$B$11)</f>
        <v/>
      </c>
      <c r="H181" s="11">
        <f>IF(Inputs!$D$28=0,0,Inputs!$C$28+Inputs!$B$12*Inputs!$B$5*$B181^2/(Inputs!$D$28^2*Inputs!$H$28^4*Inputs!$I$28^2)+Inputs!$G$28*$B181^Inputs!$B$11)</f>
        <v/>
      </c>
      <c r="I181" s="11">
        <f>IF(Inputs!$D$29=0,0,Inputs!$C$29+Inputs!$B$12*Inputs!$B$5*$B181^2/(Inputs!$D$29^2*Inputs!$H$29^4*Inputs!$I$29^2)+Inputs!$G$29*$B181^Inputs!$B$11)</f>
        <v/>
      </c>
      <c r="J181" s="11">
        <f>IF(Inputs!$D$30=0,0,Inputs!$C$30+Inputs!$B$12*Inputs!$B$5*$B181^2/(Inputs!$D$30^2*Inputs!$H$30^4*Inputs!$I$30^2)+Inputs!$G$30*$B181^Inputs!$B$11)</f>
        <v/>
      </c>
      <c r="K181" s="11">
        <f>IF(Inputs!$D$31=0,0,Inputs!$C$31+Inputs!$B$12*Inputs!$B$5*$B181^2/(Inputs!$D$31^2*Inputs!$H$31^4*Inputs!$I$31^2)+Inputs!$G$31*$B181^Inputs!$B$11)</f>
        <v/>
      </c>
      <c r="L181" s="11">
        <f>IF(Inputs!$D$32=0,0,Inputs!$C$32+Inputs!$B$12*Inputs!$B$5*$B181^2/(Inputs!$D$32^2*Inputs!$H$32^4*Inputs!$I$32^2)+Inputs!$G$32*$B181^Inputs!$B$11)</f>
        <v/>
      </c>
      <c r="M181" s="11">
        <f>IF(Inputs!$D$33=0,0,Inputs!$C$33+Inputs!$B$12*Inputs!$B$5*$B181^2/(Inputs!$D$33^2*Inputs!$H$33^4*Inputs!$I$33^2)+Inputs!$G$33*$B181^Inputs!$B$11)</f>
        <v/>
      </c>
      <c r="N181" s="11">
        <f>IF(Inputs!$D$34=0,0,Inputs!$C$34+Inputs!$B$12*Inputs!$B$5*$B181^2/(Inputs!$D$34^2*Inputs!$H$34^4*Inputs!$I$34^2)+Inputs!$G$34*$B181^Inputs!$B$11)</f>
        <v/>
      </c>
    </row>
    <row r="182">
      <c r="A182" s="7" t="n">
        <v>177</v>
      </c>
      <c r="B182" s="37">
        <f>Inputs!$B$4*A182/200</f>
        <v/>
      </c>
      <c r="C182" s="11">
        <f>IF(Inputs!$D$23=0,0,Inputs!$C$23+Inputs!$B$12*Inputs!$B$5*$B182^2/(Inputs!$D$23^2*Inputs!$H$23^4*Inputs!$I$23^2)+Inputs!$G$23*$B182^Inputs!$B$11)</f>
        <v/>
      </c>
      <c r="D182" s="11">
        <f>IF(Inputs!$D$24=0,0,Inputs!$C$24+Inputs!$B$12*Inputs!$B$5*$B182^2/(Inputs!$D$24^2*Inputs!$H$24^4*Inputs!$I$24^2)+Inputs!$G$24*$B182^Inputs!$B$11)</f>
        <v/>
      </c>
      <c r="E182" s="11">
        <f>IF(Inputs!$D$25=0,0,Inputs!$C$25+Inputs!$B$12*Inputs!$B$5*$B182^2/(Inputs!$D$25^2*Inputs!$H$25^4*Inputs!$I$25^2)+Inputs!$G$25*$B182^Inputs!$B$11)</f>
        <v/>
      </c>
      <c r="F182" s="11">
        <f>IF(Inputs!$D$26=0,0,Inputs!$C$26+Inputs!$B$12*Inputs!$B$5*$B182^2/(Inputs!$D$26^2*Inputs!$H$26^4*Inputs!$I$26^2)+Inputs!$G$26*$B182^Inputs!$B$11)</f>
        <v/>
      </c>
      <c r="G182" s="11">
        <f>IF(Inputs!$D$27=0,0,Inputs!$C$27+Inputs!$B$12*Inputs!$B$5*$B182^2/(Inputs!$D$27^2*Inputs!$H$27^4*Inputs!$I$27^2)+Inputs!$G$27*$B182^Inputs!$B$11)</f>
        <v/>
      </c>
      <c r="H182" s="11">
        <f>IF(Inputs!$D$28=0,0,Inputs!$C$28+Inputs!$B$12*Inputs!$B$5*$B182^2/(Inputs!$D$28^2*Inputs!$H$28^4*Inputs!$I$28^2)+Inputs!$G$28*$B182^Inputs!$B$11)</f>
        <v/>
      </c>
      <c r="I182" s="11">
        <f>IF(Inputs!$D$29=0,0,Inputs!$C$29+Inputs!$B$12*Inputs!$B$5*$B182^2/(Inputs!$D$29^2*Inputs!$H$29^4*Inputs!$I$29^2)+Inputs!$G$29*$B182^Inputs!$B$11)</f>
        <v/>
      </c>
      <c r="J182" s="11">
        <f>IF(Inputs!$D$30=0,0,Inputs!$C$30+Inputs!$B$12*Inputs!$B$5*$B182^2/(Inputs!$D$30^2*Inputs!$H$30^4*Inputs!$I$30^2)+Inputs!$G$30*$B182^Inputs!$B$11)</f>
        <v/>
      </c>
      <c r="K182" s="11">
        <f>IF(Inputs!$D$31=0,0,Inputs!$C$31+Inputs!$B$12*Inputs!$B$5*$B182^2/(Inputs!$D$31^2*Inputs!$H$31^4*Inputs!$I$31^2)+Inputs!$G$31*$B182^Inputs!$B$11)</f>
        <v/>
      </c>
      <c r="L182" s="11">
        <f>IF(Inputs!$D$32=0,0,Inputs!$C$32+Inputs!$B$12*Inputs!$B$5*$B182^2/(Inputs!$D$32^2*Inputs!$H$32^4*Inputs!$I$32^2)+Inputs!$G$32*$B182^Inputs!$B$11)</f>
        <v/>
      </c>
      <c r="M182" s="11">
        <f>IF(Inputs!$D$33=0,0,Inputs!$C$33+Inputs!$B$12*Inputs!$B$5*$B182^2/(Inputs!$D$33^2*Inputs!$H$33^4*Inputs!$I$33^2)+Inputs!$G$33*$B182^Inputs!$B$11)</f>
        <v/>
      </c>
      <c r="N182" s="11">
        <f>IF(Inputs!$D$34=0,0,Inputs!$C$34+Inputs!$B$12*Inputs!$B$5*$B182^2/(Inputs!$D$34^2*Inputs!$H$34^4*Inputs!$I$34^2)+Inputs!$G$34*$B182^Inputs!$B$11)</f>
        <v/>
      </c>
    </row>
    <row r="183">
      <c r="A183" s="7" t="n">
        <v>178</v>
      </c>
      <c r="B183" s="37">
        <f>Inputs!$B$4*A183/200</f>
        <v/>
      </c>
      <c r="C183" s="11">
        <f>IF(Inputs!$D$23=0,0,Inputs!$C$23+Inputs!$B$12*Inputs!$B$5*$B183^2/(Inputs!$D$23^2*Inputs!$H$23^4*Inputs!$I$23^2)+Inputs!$G$23*$B183^Inputs!$B$11)</f>
        <v/>
      </c>
      <c r="D183" s="11">
        <f>IF(Inputs!$D$24=0,0,Inputs!$C$24+Inputs!$B$12*Inputs!$B$5*$B183^2/(Inputs!$D$24^2*Inputs!$H$24^4*Inputs!$I$24^2)+Inputs!$G$24*$B183^Inputs!$B$11)</f>
        <v/>
      </c>
      <c r="E183" s="11">
        <f>IF(Inputs!$D$25=0,0,Inputs!$C$25+Inputs!$B$12*Inputs!$B$5*$B183^2/(Inputs!$D$25^2*Inputs!$H$25^4*Inputs!$I$25^2)+Inputs!$G$25*$B183^Inputs!$B$11)</f>
        <v/>
      </c>
      <c r="F183" s="11">
        <f>IF(Inputs!$D$26=0,0,Inputs!$C$26+Inputs!$B$12*Inputs!$B$5*$B183^2/(Inputs!$D$26^2*Inputs!$H$26^4*Inputs!$I$26^2)+Inputs!$G$26*$B183^Inputs!$B$11)</f>
        <v/>
      </c>
      <c r="G183" s="11">
        <f>IF(Inputs!$D$27=0,0,Inputs!$C$27+Inputs!$B$12*Inputs!$B$5*$B183^2/(Inputs!$D$27^2*Inputs!$H$27^4*Inputs!$I$27^2)+Inputs!$G$27*$B183^Inputs!$B$11)</f>
        <v/>
      </c>
      <c r="H183" s="11">
        <f>IF(Inputs!$D$28=0,0,Inputs!$C$28+Inputs!$B$12*Inputs!$B$5*$B183^2/(Inputs!$D$28^2*Inputs!$H$28^4*Inputs!$I$28^2)+Inputs!$G$28*$B183^Inputs!$B$11)</f>
        <v/>
      </c>
      <c r="I183" s="11">
        <f>IF(Inputs!$D$29=0,0,Inputs!$C$29+Inputs!$B$12*Inputs!$B$5*$B183^2/(Inputs!$D$29^2*Inputs!$H$29^4*Inputs!$I$29^2)+Inputs!$G$29*$B183^Inputs!$B$11)</f>
        <v/>
      </c>
      <c r="J183" s="11">
        <f>IF(Inputs!$D$30=0,0,Inputs!$C$30+Inputs!$B$12*Inputs!$B$5*$B183^2/(Inputs!$D$30^2*Inputs!$H$30^4*Inputs!$I$30^2)+Inputs!$G$30*$B183^Inputs!$B$11)</f>
        <v/>
      </c>
      <c r="K183" s="11">
        <f>IF(Inputs!$D$31=0,0,Inputs!$C$31+Inputs!$B$12*Inputs!$B$5*$B183^2/(Inputs!$D$31^2*Inputs!$H$31^4*Inputs!$I$31^2)+Inputs!$G$31*$B183^Inputs!$B$11)</f>
        <v/>
      </c>
      <c r="L183" s="11">
        <f>IF(Inputs!$D$32=0,0,Inputs!$C$32+Inputs!$B$12*Inputs!$B$5*$B183^2/(Inputs!$D$32^2*Inputs!$H$32^4*Inputs!$I$32^2)+Inputs!$G$32*$B183^Inputs!$B$11)</f>
        <v/>
      </c>
      <c r="M183" s="11">
        <f>IF(Inputs!$D$33=0,0,Inputs!$C$33+Inputs!$B$12*Inputs!$B$5*$B183^2/(Inputs!$D$33^2*Inputs!$H$33^4*Inputs!$I$33^2)+Inputs!$G$33*$B183^Inputs!$B$11)</f>
        <v/>
      </c>
      <c r="N183" s="11">
        <f>IF(Inputs!$D$34=0,0,Inputs!$C$34+Inputs!$B$12*Inputs!$B$5*$B183^2/(Inputs!$D$34^2*Inputs!$H$34^4*Inputs!$I$34^2)+Inputs!$G$34*$B183^Inputs!$B$11)</f>
        <v/>
      </c>
    </row>
    <row r="184">
      <c r="A184" s="7" t="n">
        <v>179</v>
      </c>
      <c r="B184" s="37">
        <f>Inputs!$B$4*A184/200</f>
        <v/>
      </c>
      <c r="C184" s="11">
        <f>IF(Inputs!$D$23=0,0,Inputs!$C$23+Inputs!$B$12*Inputs!$B$5*$B184^2/(Inputs!$D$23^2*Inputs!$H$23^4*Inputs!$I$23^2)+Inputs!$G$23*$B184^Inputs!$B$11)</f>
        <v/>
      </c>
      <c r="D184" s="11">
        <f>IF(Inputs!$D$24=0,0,Inputs!$C$24+Inputs!$B$12*Inputs!$B$5*$B184^2/(Inputs!$D$24^2*Inputs!$H$24^4*Inputs!$I$24^2)+Inputs!$G$24*$B184^Inputs!$B$11)</f>
        <v/>
      </c>
      <c r="E184" s="11">
        <f>IF(Inputs!$D$25=0,0,Inputs!$C$25+Inputs!$B$12*Inputs!$B$5*$B184^2/(Inputs!$D$25^2*Inputs!$H$25^4*Inputs!$I$25^2)+Inputs!$G$25*$B184^Inputs!$B$11)</f>
        <v/>
      </c>
      <c r="F184" s="11">
        <f>IF(Inputs!$D$26=0,0,Inputs!$C$26+Inputs!$B$12*Inputs!$B$5*$B184^2/(Inputs!$D$26^2*Inputs!$H$26^4*Inputs!$I$26^2)+Inputs!$G$26*$B184^Inputs!$B$11)</f>
        <v/>
      </c>
      <c r="G184" s="11">
        <f>IF(Inputs!$D$27=0,0,Inputs!$C$27+Inputs!$B$12*Inputs!$B$5*$B184^2/(Inputs!$D$27^2*Inputs!$H$27^4*Inputs!$I$27^2)+Inputs!$G$27*$B184^Inputs!$B$11)</f>
        <v/>
      </c>
      <c r="H184" s="11">
        <f>IF(Inputs!$D$28=0,0,Inputs!$C$28+Inputs!$B$12*Inputs!$B$5*$B184^2/(Inputs!$D$28^2*Inputs!$H$28^4*Inputs!$I$28^2)+Inputs!$G$28*$B184^Inputs!$B$11)</f>
        <v/>
      </c>
      <c r="I184" s="11">
        <f>IF(Inputs!$D$29=0,0,Inputs!$C$29+Inputs!$B$12*Inputs!$B$5*$B184^2/(Inputs!$D$29^2*Inputs!$H$29^4*Inputs!$I$29^2)+Inputs!$G$29*$B184^Inputs!$B$11)</f>
        <v/>
      </c>
      <c r="J184" s="11">
        <f>IF(Inputs!$D$30=0,0,Inputs!$C$30+Inputs!$B$12*Inputs!$B$5*$B184^2/(Inputs!$D$30^2*Inputs!$H$30^4*Inputs!$I$30^2)+Inputs!$G$30*$B184^Inputs!$B$11)</f>
        <v/>
      </c>
      <c r="K184" s="11">
        <f>IF(Inputs!$D$31=0,0,Inputs!$C$31+Inputs!$B$12*Inputs!$B$5*$B184^2/(Inputs!$D$31^2*Inputs!$H$31^4*Inputs!$I$31^2)+Inputs!$G$31*$B184^Inputs!$B$11)</f>
        <v/>
      </c>
      <c r="L184" s="11">
        <f>IF(Inputs!$D$32=0,0,Inputs!$C$32+Inputs!$B$12*Inputs!$B$5*$B184^2/(Inputs!$D$32^2*Inputs!$H$32^4*Inputs!$I$32^2)+Inputs!$G$32*$B184^Inputs!$B$11)</f>
        <v/>
      </c>
      <c r="M184" s="11">
        <f>IF(Inputs!$D$33=0,0,Inputs!$C$33+Inputs!$B$12*Inputs!$B$5*$B184^2/(Inputs!$D$33^2*Inputs!$H$33^4*Inputs!$I$33^2)+Inputs!$G$33*$B184^Inputs!$B$11)</f>
        <v/>
      </c>
      <c r="N184" s="11">
        <f>IF(Inputs!$D$34=0,0,Inputs!$C$34+Inputs!$B$12*Inputs!$B$5*$B184^2/(Inputs!$D$34^2*Inputs!$H$34^4*Inputs!$I$34^2)+Inputs!$G$34*$B184^Inputs!$B$11)</f>
        <v/>
      </c>
    </row>
    <row r="185">
      <c r="A185" s="7" t="n">
        <v>180</v>
      </c>
      <c r="B185" s="37">
        <f>Inputs!$B$4*A185/200</f>
        <v/>
      </c>
      <c r="C185" s="11">
        <f>IF(Inputs!$D$23=0,0,Inputs!$C$23+Inputs!$B$12*Inputs!$B$5*$B185^2/(Inputs!$D$23^2*Inputs!$H$23^4*Inputs!$I$23^2)+Inputs!$G$23*$B185^Inputs!$B$11)</f>
        <v/>
      </c>
      <c r="D185" s="11">
        <f>IF(Inputs!$D$24=0,0,Inputs!$C$24+Inputs!$B$12*Inputs!$B$5*$B185^2/(Inputs!$D$24^2*Inputs!$H$24^4*Inputs!$I$24^2)+Inputs!$G$24*$B185^Inputs!$B$11)</f>
        <v/>
      </c>
      <c r="E185" s="11">
        <f>IF(Inputs!$D$25=0,0,Inputs!$C$25+Inputs!$B$12*Inputs!$B$5*$B185^2/(Inputs!$D$25^2*Inputs!$H$25^4*Inputs!$I$25^2)+Inputs!$G$25*$B185^Inputs!$B$11)</f>
        <v/>
      </c>
      <c r="F185" s="11">
        <f>IF(Inputs!$D$26=0,0,Inputs!$C$26+Inputs!$B$12*Inputs!$B$5*$B185^2/(Inputs!$D$26^2*Inputs!$H$26^4*Inputs!$I$26^2)+Inputs!$G$26*$B185^Inputs!$B$11)</f>
        <v/>
      </c>
      <c r="G185" s="11">
        <f>IF(Inputs!$D$27=0,0,Inputs!$C$27+Inputs!$B$12*Inputs!$B$5*$B185^2/(Inputs!$D$27^2*Inputs!$H$27^4*Inputs!$I$27^2)+Inputs!$G$27*$B185^Inputs!$B$11)</f>
        <v/>
      </c>
      <c r="H185" s="11">
        <f>IF(Inputs!$D$28=0,0,Inputs!$C$28+Inputs!$B$12*Inputs!$B$5*$B185^2/(Inputs!$D$28^2*Inputs!$H$28^4*Inputs!$I$28^2)+Inputs!$G$28*$B185^Inputs!$B$11)</f>
        <v/>
      </c>
      <c r="I185" s="11">
        <f>IF(Inputs!$D$29=0,0,Inputs!$C$29+Inputs!$B$12*Inputs!$B$5*$B185^2/(Inputs!$D$29^2*Inputs!$H$29^4*Inputs!$I$29^2)+Inputs!$G$29*$B185^Inputs!$B$11)</f>
        <v/>
      </c>
      <c r="J185" s="11">
        <f>IF(Inputs!$D$30=0,0,Inputs!$C$30+Inputs!$B$12*Inputs!$B$5*$B185^2/(Inputs!$D$30^2*Inputs!$H$30^4*Inputs!$I$30^2)+Inputs!$G$30*$B185^Inputs!$B$11)</f>
        <v/>
      </c>
      <c r="K185" s="11">
        <f>IF(Inputs!$D$31=0,0,Inputs!$C$31+Inputs!$B$12*Inputs!$B$5*$B185^2/(Inputs!$D$31^2*Inputs!$H$31^4*Inputs!$I$31^2)+Inputs!$G$31*$B185^Inputs!$B$11)</f>
        <v/>
      </c>
      <c r="L185" s="11">
        <f>IF(Inputs!$D$32=0,0,Inputs!$C$32+Inputs!$B$12*Inputs!$B$5*$B185^2/(Inputs!$D$32^2*Inputs!$H$32^4*Inputs!$I$32^2)+Inputs!$G$32*$B185^Inputs!$B$11)</f>
        <v/>
      </c>
      <c r="M185" s="11">
        <f>IF(Inputs!$D$33=0,0,Inputs!$C$33+Inputs!$B$12*Inputs!$B$5*$B185^2/(Inputs!$D$33^2*Inputs!$H$33^4*Inputs!$I$33^2)+Inputs!$G$33*$B185^Inputs!$B$11)</f>
        <v/>
      </c>
      <c r="N185" s="11">
        <f>IF(Inputs!$D$34=0,0,Inputs!$C$34+Inputs!$B$12*Inputs!$B$5*$B185^2/(Inputs!$D$34^2*Inputs!$H$34^4*Inputs!$I$34^2)+Inputs!$G$34*$B185^Inputs!$B$11)</f>
        <v/>
      </c>
    </row>
    <row r="186">
      <c r="A186" s="7" t="n">
        <v>181</v>
      </c>
      <c r="B186" s="37">
        <f>Inputs!$B$4*A186/200</f>
        <v/>
      </c>
      <c r="C186" s="11">
        <f>IF(Inputs!$D$23=0,0,Inputs!$C$23+Inputs!$B$12*Inputs!$B$5*$B186^2/(Inputs!$D$23^2*Inputs!$H$23^4*Inputs!$I$23^2)+Inputs!$G$23*$B186^Inputs!$B$11)</f>
        <v/>
      </c>
      <c r="D186" s="11">
        <f>IF(Inputs!$D$24=0,0,Inputs!$C$24+Inputs!$B$12*Inputs!$B$5*$B186^2/(Inputs!$D$24^2*Inputs!$H$24^4*Inputs!$I$24^2)+Inputs!$G$24*$B186^Inputs!$B$11)</f>
        <v/>
      </c>
      <c r="E186" s="11">
        <f>IF(Inputs!$D$25=0,0,Inputs!$C$25+Inputs!$B$12*Inputs!$B$5*$B186^2/(Inputs!$D$25^2*Inputs!$H$25^4*Inputs!$I$25^2)+Inputs!$G$25*$B186^Inputs!$B$11)</f>
        <v/>
      </c>
      <c r="F186" s="11">
        <f>IF(Inputs!$D$26=0,0,Inputs!$C$26+Inputs!$B$12*Inputs!$B$5*$B186^2/(Inputs!$D$26^2*Inputs!$H$26^4*Inputs!$I$26^2)+Inputs!$G$26*$B186^Inputs!$B$11)</f>
        <v/>
      </c>
      <c r="G186" s="11">
        <f>IF(Inputs!$D$27=0,0,Inputs!$C$27+Inputs!$B$12*Inputs!$B$5*$B186^2/(Inputs!$D$27^2*Inputs!$H$27^4*Inputs!$I$27^2)+Inputs!$G$27*$B186^Inputs!$B$11)</f>
        <v/>
      </c>
      <c r="H186" s="11">
        <f>IF(Inputs!$D$28=0,0,Inputs!$C$28+Inputs!$B$12*Inputs!$B$5*$B186^2/(Inputs!$D$28^2*Inputs!$H$28^4*Inputs!$I$28^2)+Inputs!$G$28*$B186^Inputs!$B$11)</f>
        <v/>
      </c>
      <c r="I186" s="11">
        <f>IF(Inputs!$D$29=0,0,Inputs!$C$29+Inputs!$B$12*Inputs!$B$5*$B186^2/(Inputs!$D$29^2*Inputs!$H$29^4*Inputs!$I$29^2)+Inputs!$G$29*$B186^Inputs!$B$11)</f>
        <v/>
      </c>
      <c r="J186" s="11">
        <f>IF(Inputs!$D$30=0,0,Inputs!$C$30+Inputs!$B$12*Inputs!$B$5*$B186^2/(Inputs!$D$30^2*Inputs!$H$30^4*Inputs!$I$30^2)+Inputs!$G$30*$B186^Inputs!$B$11)</f>
        <v/>
      </c>
      <c r="K186" s="11">
        <f>IF(Inputs!$D$31=0,0,Inputs!$C$31+Inputs!$B$12*Inputs!$B$5*$B186^2/(Inputs!$D$31^2*Inputs!$H$31^4*Inputs!$I$31^2)+Inputs!$G$31*$B186^Inputs!$B$11)</f>
        <v/>
      </c>
      <c r="L186" s="11">
        <f>IF(Inputs!$D$32=0,0,Inputs!$C$32+Inputs!$B$12*Inputs!$B$5*$B186^2/(Inputs!$D$32^2*Inputs!$H$32^4*Inputs!$I$32^2)+Inputs!$G$32*$B186^Inputs!$B$11)</f>
        <v/>
      </c>
      <c r="M186" s="11">
        <f>IF(Inputs!$D$33=0,0,Inputs!$C$33+Inputs!$B$12*Inputs!$B$5*$B186^2/(Inputs!$D$33^2*Inputs!$H$33^4*Inputs!$I$33^2)+Inputs!$G$33*$B186^Inputs!$B$11)</f>
        <v/>
      </c>
      <c r="N186" s="11">
        <f>IF(Inputs!$D$34=0,0,Inputs!$C$34+Inputs!$B$12*Inputs!$B$5*$B186^2/(Inputs!$D$34^2*Inputs!$H$34^4*Inputs!$I$34^2)+Inputs!$G$34*$B186^Inputs!$B$11)</f>
        <v/>
      </c>
    </row>
    <row r="187">
      <c r="A187" s="7" t="n">
        <v>182</v>
      </c>
      <c r="B187" s="37">
        <f>Inputs!$B$4*A187/200</f>
        <v/>
      </c>
      <c r="C187" s="11">
        <f>IF(Inputs!$D$23=0,0,Inputs!$C$23+Inputs!$B$12*Inputs!$B$5*$B187^2/(Inputs!$D$23^2*Inputs!$H$23^4*Inputs!$I$23^2)+Inputs!$G$23*$B187^Inputs!$B$11)</f>
        <v/>
      </c>
      <c r="D187" s="11">
        <f>IF(Inputs!$D$24=0,0,Inputs!$C$24+Inputs!$B$12*Inputs!$B$5*$B187^2/(Inputs!$D$24^2*Inputs!$H$24^4*Inputs!$I$24^2)+Inputs!$G$24*$B187^Inputs!$B$11)</f>
        <v/>
      </c>
      <c r="E187" s="11">
        <f>IF(Inputs!$D$25=0,0,Inputs!$C$25+Inputs!$B$12*Inputs!$B$5*$B187^2/(Inputs!$D$25^2*Inputs!$H$25^4*Inputs!$I$25^2)+Inputs!$G$25*$B187^Inputs!$B$11)</f>
        <v/>
      </c>
      <c r="F187" s="11">
        <f>IF(Inputs!$D$26=0,0,Inputs!$C$26+Inputs!$B$12*Inputs!$B$5*$B187^2/(Inputs!$D$26^2*Inputs!$H$26^4*Inputs!$I$26^2)+Inputs!$G$26*$B187^Inputs!$B$11)</f>
        <v/>
      </c>
      <c r="G187" s="11">
        <f>IF(Inputs!$D$27=0,0,Inputs!$C$27+Inputs!$B$12*Inputs!$B$5*$B187^2/(Inputs!$D$27^2*Inputs!$H$27^4*Inputs!$I$27^2)+Inputs!$G$27*$B187^Inputs!$B$11)</f>
        <v/>
      </c>
      <c r="H187" s="11">
        <f>IF(Inputs!$D$28=0,0,Inputs!$C$28+Inputs!$B$12*Inputs!$B$5*$B187^2/(Inputs!$D$28^2*Inputs!$H$28^4*Inputs!$I$28^2)+Inputs!$G$28*$B187^Inputs!$B$11)</f>
        <v/>
      </c>
      <c r="I187" s="11">
        <f>IF(Inputs!$D$29=0,0,Inputs!$C$29+Inputs!$B$12*Inputs!$B$5*$B187^2/(Inputs!$D$29^2*Inputs!$H$29^4*Inputs!$I$29^2)+Inputs!$G$29*$B187^Inputs!$B$11)</f>
        <v/>
      </c>
      <c r="J187" s="11">
        <f>IF(Inputs!$D$30=0,0,Inputs!$C$30+Inputs!$B$12*Inputs!$B$5*$B187^2/(Inputs!$D$30^2*Inputs!$H$30^4*Inputs!$I$30^2)+Inputs!$G$30*$B187^Inputs!$B$11)</f>
        <v/>
      </c>
      <c r="K187" s="11">
        <f>IF(Inputs!$D$31=0,0,Inputs!$C$31+Inputs!$B$12*Inputs!$B$5*$B187^2/(Inputs!$D$31^2*Inputs!$H$31^4*Inputs!$I$31^2)+Inputs!$G$31*$B187^Inputs!$B$11)</f>
        <v/>
      </c>
      <c r="L187" s="11">
        <f>IF(Inputs!$D$32=0,0,Inputs!$C$32+Inputs!$B$12*Inputs!$B$5*$B187^2/(Inputs!$D$32^2*Inputs!$H$32^4*Inputs!$I$32^2)+Inputs!$G$32*$B187^Inputs!$B$11)</f>
        <v/>
      </c>
      <c r="M187" s="11">
        <f>IF(Inputs!$D$33=0,0,Inputs!$C$33+Inputs!$B$12*Inputs!$B$5*$B187^2/(Inputs!$D$33^2*Inputs!$H$33^4*Inputs!$I$33^2)+Inputs!$G$33*$B187^Inputs!$B$11)</f>
        <v/>
      </c>
      <c r="N187" s="11">
        <f>IF(Inputs!$D$34=0,0,Inputs!$C$34+Inputs!$B$12*Inputs!$B$5*$B187^2/(Inputs!$D$34^2*Inputs!$H$34^4*Inputs!$I$34^2)+Inputs!$G$34*$B187^Inputs!$B$11)</f>
        <v/>
      </c>
    </row>
    <row r="188">
      <c r="A188" s="7" t="n">
        <v>183</v>
      </c>
      <c r="B188" s="37">
        <f>Inputs!$B$4*A188/200</f>
        <v/>
      </c>
      <c r="C188" s="11">
        <f>IF(Inputs!$D$23=0,0,Inputs!$C$23+Inputs!$B$12*Inputs!$B$5*$B188^2/(Inputs!$D$23^2*Inputs!$H$23^4*Inputs!$I$23^2)+Inputs!$G$23*$B188^Inputs!$B$11)</f>
        <v/>
      </c>
      <c r="D188" s="11">
        <f>IF(Inputs!$D$24=0,0,Inputs!$C$24+Inputs!$B$12*Inputs!$B$5*$B188^2/(Inputs!$D$24^2*Inputs!$H$24^4*Inputs!$I$24^2)+Inputs!$G$24*$B188^Inputs!$B$11)</f>
        <v/>
      </c>
      <c r="E188" s="11">
        <f>IF(Inputs!$D$25=0,0,Inputs!$C$25+Inputs!$B$12*Inputs!$B$5*$B188^2/(Inputs!$D$25^2*Inputs!$H$25^4*Inputs!$I$25^2)+Inputs!$G$25*$B188^Inputs!$B$11)</f>
        <v/>
      </c>
      <c r="F188" s="11">
        <f>IF(Inputs!$D$26=0,0,Inputs!$C$26+Inputs!$B$12*Inputs!$B$5*$B188^2/(Inputs!$D$26^2*Inputs!$H$26^4*Inputs!$I$26^2)+Inputs!$G$26*$B188^Inputs!$B$11)</f>
        <v/>
      </c>
      <c r="G188" s="11">
        <f>IF(Inputs!$D$27=0,0,Inputs!$C$27+Inputs!$B$12*Inputs!$B$5*$B188^2/(Inputs!$D$27^2*Inputs!$H$27^4*Inputs!$I$27^2)+Inputs!$G$27*$B188^Inputs!$B$11)</f>
        <v/>
      </c>
      <c r="H188" s="11">
        <f>IF(Inputs!$D$28=0,0,Inputs!$C$28+Inputs!$B$12*Inputs!$B$5*$B188^2/(Inputs!$D$28^2*Inputs!$H$28^4*Inputs!$I$28^2)+Inputs!$G$28*$B188^Inputs!$B$11)</f>
        <v/>
      </c>
      <c r="I188" s="11">
        <f>IF(Inputs!$D$29=0,0,Inputs!$C$29+Inputs!$B$12*Inputs!$B$5*$B188^2/(Inputs!$D$29^2*Inputs!$H$29^4*Inputs!$I$29^2)+Inputs!$G$29*$B188^Inputs!$B$11)</f>
        <v/>
      </c>
      <c r="J188" s="11">
        <f>IF(Inputs!$D$30=0,0,Inputs!$C$30+Inputs!$B$12*Inputs!$B$5*$B188^2/(Inputs!$D$30^2*Inputs!$H$30^4*Inputs!$I$30^2)+Inputs!$G$30*$B188^Inputs!$B$11)</f>
        <v/>
      </c>
      <c r="K188" s="11">
        <f>IF(Inputs!$D$31=0,0,Inputs!$C$31+Inputs!$B$12*Inputs!$B$5*$B188^2/(Inputs!$D$31^2*Inputs!$H$31^4*Inputs!$I$31^2)+Inputs!$G$31*$B188^Inputs!$B$11)</f>
        <v/>
      </c>
      <c r="L188" s="11">
        <f>IF(Inputs!$D$32=0,0,Inputs!$C$32+Inputs!$B$12*Inputs!$B$5*$B188^2/(Inputs!$D$32^2*Inputs!$H$32^4*Inputs!$I$32^2)+Inputs!$G$32*$B188^Inputs!$B$11)</f>
        <v/>
      </c>
      <c r="M188" s="11">
        <f>IF(Inputs!$D$33=0,0,Inputs!$C$33+Inputs!$B$12*Inputs!$B$5*$B188^2/(Inputs!$D$33^2*Inputs!$H$33^4*Inputs!$I$33^2)+Inputs!$G$33*$B188^Inputs!$B$11)</f>
        <v/>
      </c>
      <c r="N188" s="11">
        <f>IF(Inputs!$D$34=0,0,Inputs!$C$34+Inputs!$B$12*Inputs!$B$5*$B188^2/(Inputs!$D$34^2*Inputs!$H$34^4*Inputs!$I$34^2)+Inputs!$G$34*$B188^Inputs!$B$11)</f>
        <v/>
      </c>
    </row>
    <row r="189">
      <c r="A189" s="7" t="n">
        <v>184</v>
      </c>
      <c r="B189" s="37">
        <f>Inputs!$B$4*A189/200</f>
        <v/>
      </c>
      <c r="C189" s="11">
        <f>IF(Inputs!$D$23=0,0,Inputs!$C$23+Inputs!$B$12*Inputs!$B$5*$B189^2/(Inputs!$D$23^2*Inputs!$H$23^4*Inputs!$I$23^2)+Inputs!$G$23*$B189^Inputs!$B$11)</f>
        <v/>
      </c>
      <c r="D189" s="11">
        <f>IF(Inputs!$D$24=0,0,Inputs!$C$24+Inputs!$B$12*Inputs!$B$5*$B189^2/(Inputs!$D$24^2*Inputs!$H$24^4*Inputs!$I$24^2)+Inputs!$G$24*$B189^Inputs!$B$11)</f>
        <v/>
      </c>
      <c r="E189" s="11">
        <f>IF(Inputs!$D$25=0,0,Inputs!$C$25+Inputs!$B$12*Inputs!$B$5*$B189^2/(Inputs!$D$25^2*Inputs!$H$25^4*Inputs!$I$25^2)+Inputs!$G$25*$B189^Inputs!$B$11)</f>
        <v/>
      </c>
      <c r="F189" s="11">
        <f>IF(Inputs!$D$26=0,0,Inputs!$C$26+Inputs!$B$12*Inputs!$B$5*$B189^2/(Inputs!$D$26^2*Inputs!$H$26^4*Inputs!$I$26^2)+Inputs!$G$26*$B189^Inputs!$B$11)</f>
        <v/>
      </c>
      <c r="G189" s="11">
        <f>IF(Inputs!$D$27=0,0,Inputs!$C$27+Inputs!$B$12*Inputs!$B$5*$B189^2/(Inputs!$D$27^2*Inputs!$H$27^4*Inputs!$I$27^2)+Inputs!$G$27*$B189^Inputs!$B$11)</f>
        <v/>
      </c>
      <c r="H189" s="11">
        <f>IF(Inputs!$D$28=0,0,Inputs!$C$28+Inputs!$B$12*Inputs!$B$5*$B189^2/(Inputs!$D$28^2*Inputs!$H$28^4*Inputs!$I$28^2)+Inputs!$G$28*$B189^Inputs!$B$11)</f>
        <v/>
      </c>
      <c r="I189" s="11">
        <f>IF(Inputs!$D$29=0,0,Inputs!$C$29+Inputs!$B$12*Inputs!$B$5*$B189^2/(Inputs!$D$29^2*Inputs!$H$29^4*Inputs!$I$29^2)+Inputs!$G$29*$B189^Inputs!$B$11)</f>
        <v/>
      </c>
      <c r="J189" s="11">
        <f>IF(Inputs!$D$30=0,0,Inputs!$C$30+Inputs!$B$12*Inputs!$B$5*$B189^2/(Inputs!$D$30^2*Inputs!$H$30^4*Inputs!$I$30^2)+Inputs!$G$30*$B189^Inputs!$B$11)</f>
        <v/>
      </c>
      <c r="K189" s="11">
        <f>IF(Inputs!$D$31=0,0,Inputs!$C$31+Inputs!$B$12*Inputs!$B$5*$B189^2/(Inputs!$D$31^2*Inputs!$H$31^4*Inputs!$I$31^2)+Inputs!$G$31*$B189^Inputs!$B$11)</f>
        <v/>
      </c>
      <c r="L189" s="11">
        <f>IF(Inputs!$D$32=0,0,Inputs!$C$32+Inputs!$B$12*Inputs!$B$5*$B189^2/(Inputs!$D$32^2*Inputs!$H$32^4*Inputs!$I$32^2)+Inputs!$G$32*$B189^Inputs!$B$11)</f>
        <v/>
      </c>
      <c r="M189" s="11">
        <f>IF(Inputs!$D$33=0,0,Inputs!$C$33+Inputs!$B$12*Inputs!$B$5*$B189^2/(Inputs!$D$33^2*Inputs!$H$33^4*Inputs!$I$33^2)+Inputs!$G$33*$B189^Inputs!$B$11)</f>
        <v/>
      </c>
      <c r="N189" s="11">
        <f>IF(Inputs!$D$34=0,0,Inputs!$C$34+Inputs!$B$12*Inputs!$B$5*$B189^2/(Inputs!$D$34^2*Inputs!$H$34^4*Inputs!$I$34^2)+Inputs!$G$34*$B189^Inputs!$B$11)</f>
        <v/>
      </c>
    </row>
    <row r="190">
      <c r="A190" s="7" t="n">
        <v>185</v>
      </c>
      <c r="B190" s="37">
        <f>Inputs!$B$4*A190/200</f>
        <v/>
      </c>
      <c r="C190" s="11">
        <f>IF(Inputs!$D$23=0,0,Inputs!$C$23+Inputs!$B$12*Inputs!$B$5*$B190^2/(Inputs!$D$23^2*Inputs!$H$23^4*Inputs!$I$23^2)+Inputs!$G$23*$B190^Inputs!$B$11)</f>
        <v/>
      </c>
      <c r="D190" s="11">
        <f>IF(Inputs!$D$24=0,0,Inputs!$C$24+Inputs!$B$12*Inputs!$B$5*$B190^2/(Inputs!$D$24^2*Inputs!$H$24^4*Inputs!$I$24^2)+Inputs!$G$24*$B190^Inputs!$B$11)</f>
        <v/>
      </c>
      <c r="E190" s="11">
        <f>IF(Inputs!$D$25=0,0,Inputs!$C$25+Inputs!$B$12*Inputs!$B$5*$B190^2/(Inputs!$D$25^2*Inputs!$H$25^4*Inputs!$I$25^2)+Inputs!$G$25*$B190^Inputs!$B$11)</f>
        <v/>
      </c>
      <c r="F190" s="11">
        <f>IF(Inputs!$D$26=0,0,Inputs!$C$26+Inputs!$B$12*Inputs!$B$5*$B190^2/(Inputs!$D$26^2*Inputs!$H$26^4*Inputs!$I$26^2)+Inputs!$G$26*$B190^Inputs!$B$11)</f>
        <v/>
      </c>
      <c r="G190" s="11">
        <f>IF(Inputs!$D$27=0,0,Inputs!$C$27+Inputs!$B$12*Inputs!$B$5*$B190^2/(Inputs!$D$27^2*Inputs!$H$27^4*Inputs!$I$27^2)+Inputs!$G$27*$B190^Inputs!$B$11)</f>
        <v/>
      </c>
      <c r="H190" s="11">
        <f>IF(Inputs!$D$28=0,0,Inputs!$C$28+Inputs!$B$12*Inputs!$B$5*$B190^2/(Inputs!$D$28^2*Inputs!$H$28^4*Inputs!$I$28^2)+Inputs!$G$28*$B190^Inputs!$B$11)</f>
        <v/>
      </c>
      <c r="I190" s="11">
        <f>IF(Inputs!$D$29=0,0,Inputs!$C$29+Inputs!$B$12*Inputs!$B$5*$B190^2/(Inputs!$D$29^2*Inputs!$H$29^4*Inputs!$I$29^2)+Inputs!$G$29*$B190^Inputs!$B$11)</f>
        <v/>
      </c>
      <c r="J190" s="11">
        <f>IF(Inputs!$D$30=0,0,Inputs!$C$30+Inputs!$B$12*Inputs!$B$5*$B190^2/(Inputs!$D$30^2*Inputs!$H$30^4*Inputs!$I$30^2)+Inputs!$G$30*$B190^Inputs!$B$11)</f>
        <v/>
      </c>
      <c r="K190" s="11">
        <f>IF(Inputs!$D$31=0,0,Inputs!$C$31+Inputs!$B$12*Inputs!$B$5*$B190^2/(Inputs!$D$31^2*Inputs!$H$31^4*Inputs!$I$31^2)+Inputs!$G$31*$B190^Inputs!$B$11)</f>
        <v/>
      </c>
      <c r="L190" s="11">
        <f>IF(Inputs!$D$32=0,0,Inputs!$C$32+Inputs!$B$12*Inputs!$B$5*$B190^2/(Inputs!$D$32^2*Inputs!$H$32^4*Inputs!$I$32^2)+Inputs!$G$32*$B190^Inputs!$B$11)</f>
        <v/>
      </c>
      <c r="M190" s="11">
        <f>IF(Inputs!$D$33=0,0,Inputs!$C$33+Inputs!$B$12*Inputs!$B$5*$B190^2/(Inputs!$D$33^2*Inputs!$H$33^4*Inputs!$I$33^2)+Inputs!$G$33*$B190^Inputs!$B$11)</f>
        <v/>
      </c>
      <c r="N190" s="11">
        <f>IF(Inputs!$D$34=0,0,Inputs!$C$34+Inputs!$B$12*Inputs!$B$5*$B190^2/(Inputs!$D$34^2*Inputs!$H$34^4*Inputs!$I$34^2)+Inputs!$G$34*$B190^Inputs!$B$11)</f>
        <v/>
      </c>
    </row>
    <row r="191">
      <c r="A191" s="7" t="n">
        <v>186</v>
      </c>
      <c r="B191" s="37">
        <f>Inputs!$B$4*A191/200</f>
        <v/>
      </c>
      <c r="C191" s="11">
        <f>IF(Inputs!$D$23=0,0,Inputs!$C$23+Inputs!$B$12*Inputs!$B$5*$B191^2/(Inputs!$D$23^2*Inputs!$H$23^4*Inputs!$I$23^2)+Inputs!$G$23*$B191^Inputs!$B$11)</f>
        <v/>
      </c>
      <c r="D191" s="11">
        <f>IF(Inputs!$D$24=0,0,Inputs!$C$24+Inputs!$B$12*Inputs!$B$5*$B191^2/(Inputs!$D$24^2*Inputs!$H$24^4*Inputs!$I$24^2)+Inputs!$G$24*$B191^Inputs!$B$11)</f>
        <v/>
      </c>
      <c r="E191" s="11">
        <f>IF(Inputs!$D$25=0,0,Inputs!$C$25+Inputs!$B$12*Inputs!$B$5*$B191^2/(Inputs!$D$25^2*Inputs!$H$25^4*Inputs!$I$25^2)+Inputs!$G$25*$B191^Inputs!$B$11)</f>
        <v/>
      </c>
      <c r="F191" s="11">
        <f>IF(Inputs!$D$26=0,0,Inputs!$C$26+Inputs!$B$12*Inputs!$B$5*$B191^2/(Inputs!$D$26^2*Inputs!$H$26^4*Inputs!$I$26^2)+Inputs!$G$26*$B191^Inputs!$B$11)</f>
        <v/>
      </c>
      <c r="G191" s="11">
        <f>IF(Inputs!$D$27=0,0,Inputs!$C$27+Inputs!$B$12*Inputs!$B$5*$B191^2/(Inputs!$D$27^2*Inputs!$H$27^4*Inputs!$I$27^2)+Inputs!$G$27*$B191^Inputs!$B$11)</f>
        <v/>
      </c>
      <c r="H191" s="11">
        <f>IF(Inputs!$D$28=0,0,Inputs!$C$28+Inputs!$B$12*Inputs!$B$5*$B191^2/(Inputs!$D$28^2*Inputs!$H$28^4*Inputs!$I$28^2)+Inputs!$G$28*$B191^Inputs!$B$11)</f>
        <v/>
      </c>
      <c r="I191" s="11">
        <f>IF(Inputs!$D$29=0,0,Inputs!$C$29+Inputs!$B$12*Inputs!$B$5*$B191^2/(Inputs!$D$29^2*Inputs!$H$29^4*Inputs!$I$29^2)+Inputs!$G$29*$B191^Inputs!$B$11)</f>
        <v/>
      </c>
      <c r="J191" s="11">
        <f>IF(Inputs!$D$30=0,0,Inputs!$C$30+Inputs!$B$12*Inputs!$B$5*$B191^2/(Inputs!$D$30^2*Inputs!$H$30^4*Inputs!$I$30^2)+Inputs!$G$30*$B191^Inputs!$B$11)</f>
        <v/>
      </c>
      <c r="K191" s="11">
        <f>IF(Inputs!$D$31=0,0,Inputs!$C$31+Inputs!$B$12*Inputs!$B$5*$B191^2/(Inputs!$D$31^2*Inputs!$H$31^4*Inputs!$I$31^2)+Inputs!$G$31*$B191^Inputs!$B$11)</f>
        <v/>
      </c>
      <c r="L191" s="11">
        <f>IF(Inputs!$D$32=0,0,Inputs!$C$32+Inputs!$B$12*Inputs!$B$5*$B191^2/(Inputs!$D$32^2*Inputs!$H$32^4*Inputs!$I$32^2)+Inputs!$G$32*$B191^Inputs!$B$11)</f>
        <v/>
      </c>
      <c r="M191" s="11">
        <f>IF(Inputs!$D$33=0,0,Inputs!$C$33+Inputs!$B$12*Inputs!$B$5*$B191^2/(Inputs!$D$33^2*Inputs!$H$33^4*Inputs!$I$33^2)+Inputs!$G$33*$B191^Inputs!$B$11)</f>
        <v/>
      </c>
      <c r="N191" s="11">
        <f>IF(Inputs!$D$34=0,0,Inputs!$C$34+Inputs!$B$12*Inputs!$B$5*$B191^2/(Inputs!$D$34^2*Inputs!$H$34^4*Inputs!$I$34^2)+Inputs!$G$34*$B191^Inputs!$B$11)</f>
        <v/>
      </c>
    </row>
    <row r="192">
      <c r="A192" s="7" t="n">
        <v>187</v>
      </c>
      <c r="B192" s="37">
        <f>Inputs!$B$4*A192/200</f>
        <v/>
      </c>
      <c r="C192" s="11">
        <f>IF(Inputs!$D$23=0,0,Inputs!$C$23+Inputs!$B$12*Inputs!$B$5*$B192^2/(Inputs!$D$23^2*Inputs!$H$23^4*Inputs!$I$23^2)+Inputs!$G$23*$B192^Inputs!$B$11)</f>
        <v/>
      </c>
      <c r="D192" s="11">
        <f>IF(Inputs!$D$24=0,0,Inputs!$C$24+Inputs!$B$12*Inputs!$B$5*$B192^2/(Inputs!$D$24^2*Inputs!$H$24^4*Inputs!$I$24^2)+Inputs!$G$24*$B192^Inputs!$B$11)</f>
        <v/>
      </c>
      <c r="E192" s="11">
        <f>IF(Inputs!$D$25=0,0,Inputs!$C$25+Inputs!$B$12*Inputs!$B$5*$B192^2/(Inputs!$D$25^2*Inputs!$H$25^4*Inputs!$I$25^2)+Inputs!$G$25*$B192^Inputs!$B$11)</f>
        <v/>
      </c>
      <c r="F192" s="11">
        <f>IF(Inputs!$D$26=0,0,Inputs!$C$26+Inputs!$B$12*Inputs!$B$5*$B192^2/(Inputs!$D$26^2*Inputs!$H$26^4*Inputs!$I$26^2)+Inputs!$G$26*$B192^Inputs!$B$11)</f>
        <v/>
      </c>
      <c r="G192" s="11">
        <f>IF(Inputs!$D$27=0,0,Inputs!$C$27+Inputs!$B$12*Inputs!$B$5*$B192^2/(Inputs!$D$27^2*Inputs!$H$27^4*Inputs!$I$27^2)+Inputs!$G$27*$B192^Inputs!$B$11)</f>
        <v/>
      </c>
      <c r="H192" s="11">
        <f>IF(Inputs!$D$28=0,0,Inputs!$C$28+Inputs!$B$12*Inputs!$B$5*$B192^2/(Inputs!$D$28^2*Inputs!$H$28^4*Inputs!$I$28^2)+Inputs!$G$28*$B192^Inputs!$B$11)</f>
        <v/>
      </c>
      <c r="I192" s="11">
        <f>IF(Inputs!$D$29=0,0,Inputs!$C$29+Inputs!$B$12*Inputs!$B$5*$B192^2/(Inputs!$D$29^2*Inputs!$H$29^4*Inputs!$I$29^2)+Inputs!$G$29*$B192^Inputs!$B$11)</f>
        <v/>
      </c>
      <c r="J192" s="11">
        <f>IF(Inputs!$D$30=0,0,Inputs!$C$30+Inputs!$B$12*Inputs!$B$5*$B192^2/(Inputs!$D$30^2*Inputs!$H$30^4*Inputs!$I$30^2)+Inputs!$G$30*$B192^Inputs!$B$11)</f>
        <v/>
      </c>
      <c r="K192" s="11">
        <f>IF(Inputs!$D$31=0,0,Inputs!$C$31+Inputs!$B$12*Inputs!$B$5*$B192^2/(Inputs!$D$31^2*Inputs!$H$31^4*Inputs!$I$31^2)+Inputs!$G$31*$B192^Inputs!$B$11)</f>
        <v/>
      </c>
      <c r="L192" s="11">
        <f>IF(Inputs!$D$32=0,0,Inputs!$C$32+Inputs!$B$12*Inputs!$B$5*$B192^2/(Inputs!$D$32^2*Inputs!$H$32^4*Inputs!$I$32^2)+Inputs!$G$32*$B192^Inputs!$B$11)</f>
        <v/>
      </c>
      <c r="M192" s="11">
        <f>IF(Inputs!$D$33=0,0,Inputs!$C$33+Inputs!$B$12*Inputs!$B$5*$B192^2/(Inputs!$D$33^2*Inputs!$H$33^4*Inputs!$I$33^2)+Inputs!$G$33*$B192^Inputs!$B$11)</f>
        <v/>
      </c>
      <c r="N192" s="11">
        <f>IF(Inputs!$D$34=0,0,Inputs!$C$34+Inputs!$B$12*Inputs!$B$5*$B192^2/(Inputs!$D$34^2*Inputs!$H$34^4*Inputs!$I$34^2)+Inputs!$G$34*$B192^Inputs!$B$11)</f>
        <v/>
      </c>
    </row>
    <row r="193">
      <c r="A193" s="7" t="n">
        <v>188</v>
      </c>
      <c r="B193" s="37">
        <f>Inputs!$B$4*A193/200</f>
        <v/>
      </c>
      <c r="C193" s="11">
        <f>IF(Inputs!$D$23=0,0,Inputs!$C$23+Inputs!$B$12*Inputs!$B$5*$B193^2/(Inputs!$D$23^2*Inputs!$H$23^4*Inputs!$I$23^2)+Inputs!$G$23*$B193^Inputs!$B$11)</f>
        <v/>
      </c>
      <c r="D193" s="11">
        <f>IF(Inputs!$D$24=0,0,Inputs!$C$24+Inputs!$B$12*Inputs!$B$5*$B193^2/(Inputs!$D$24^2*Inputs!$H$24^4*Inputs!$I$24^2)+Inputs!$G$24*$B193^Inputs!$B$11)</f>
        <v/>
      </c>
      <c r="E193" s="11">
        <f>IF(Inputs!$D$25=0,0,Inputs!$C$25+Inputs!$B$12*Inputs!$B$5*$B193^2/(Inputs!$D$25^2*Inputs!$H$25^4*Inputs!$I$25^2)+Inputs!$G$25*$B193^Inputs!$B$11)</f>
        <v/>
      </c>
      <c r="F193" s="11">
        <f>IF(Inputs!$D$26=0,0,Inputs!$C$26+Inputs!$B$12*Inputs!$B$5*$B193^2/(Inputs!$D$26^2*Inputs!$H$26^4*Inputs!$I$26^2)+Inputs!$G$26*$B193^Inputs!$B$11)</f>
        <v/>
      </c>
      <c r="G193" s="11">
        <f>IF(Inputs!$D$27=0,0,Inputs!$C$27+Inputs!$B$12*Inputs!$B$5*$B193^2/(Inputs!$D$27^2*Inputs!$H$27^4*Inputs!$I$27^2)+Inputs!$G$27*$B193^Inputs!$B$11)</f>
        <v/>
      </c>
      <c r="H193" s="11">
        <f>IF(Inputs!$D$28=0,0,Inputs!$C$28+Inputs!$B$12*Inputs!$B$5*$B193^2/(Inputs!$D$28^2*Inputs!$H$28^4*Inputs!$I$28^2)+Inputs!$G$28*$B193^Inputs!$B$11)</f>
        <v/>
      </c>
      <c r="I193" s="11">
        <f>IF(Inputs!$D$29=0,0,Inputs!$C$29+Inputs!$B$12*Inputs!$B$5*$B193^2/(Inputs!$D$29^2*Inputs!$H$29^4*Inputs!$I$29^2)+Inputs!$G$29*$B193^Inputs!$B$11)</f>
        <v/>
      </c>
      <c r="J193" s="11">
        <f>IF(Inputs!$D$30=0,0,Inputs!$C$30+Inputs!$B$12*Inputs!$B$5*$B193^2/(Inputs!$D$30^2*Inputs!$H$30^4*Inputs!$I$30^2)+Inputs!$G$30*$B193^Inputs!$B$11)</f>
        <v/>
      </c>
      <c r="K193" s="11">
        <f>IF(Inputs!$D$31=0,0,Inputs!$C$31+Inputs!$B$12*Inputs!$B$5*$B193^2/(Inputs!$D$31^2*Inputs!$H$31^4*Inputs!$I$31^2)+Inputs!$G$31*$B193^Inputs!$B$11)</f>
        <v/>
      </c>
      <c r="L193" s="11">
        <f>IF(Inputs!$D$32=0,0,Inputs!$C$32+Inputs!$B$12*Inputs!$B$5*$B193^2/(Inputs!$D$32^2*Inputs!$H$32^4*Inputs!$I$32^2)+Inputs!$G$32*$B193^Inputs!$B$11)</f>
        <v/>
      </c>
      <c r="M193" s="11">
        <f>IF(Inputs!$D$33=0,0,Inputs!$C$33+Inputs!$B$12*Inputs!$B$5*$B193^2/(Inputs!$D$33^2*Inputs!$H$33^4*Inputs!$I$33^2)+Inputs!$G$33*$B193^Inputs!$B$11)</f>
        <v/>
      </c>
      <c r="N193" s="11">
        <f>IF(Inputs!$D$34=0,0,Inputs!$C$34+Inputs!$B$12*Inputs!$B$5*$B193^2/(Inputs!$D$34^2*Inputs!$H$34^4*Inputs!$I$34^2)+Inputs!$G$34*$B193^Inputs!$B$11)</f>
        <v/>
      </c>
    </row>
    <row r="194">
      <c r="A194" s="7" t="n">
        <v>189</v>
      </c>
      <c r="B194" s="37">
        <f>Inputs!$B$4*A194/200</f>
        <v/>
      </c>
      <c r="C194" s="11">
        <f>IF(Inputs!$D$23=0,0,Inputs!$C$23+Inputs!$B$12*Inputs!$B$5*$B194^2/(Inputs!$D$23^2*Inputs!$H$23^4*Inputs!$I$23^2)+Inputs!$G$23*$B194^Inputs!$B$11)</f>
        <v/>
      </c>
      <c r="D194" s="11">
        <f>IF(Inputs!$D$24=0,0,Inputs!$C$24+Inputs!$B$12*Inputs!$B$5*$B194^2/(Inputs!$D$24^2*Inputs!$H$24^4*Inputs!$I$24^2)+Inputs!$G$24*$B194^Inputs!$B$11)</f>
        <v/>
      </c>
      <c r="E194" s="11">
        <f>IF(Inputs!$D$25=0,0,Inputs!$C$25+Inputs!$B$12*Inputs!$B$5*$B194^2/(Inputs!$D$25^2*Inputs!$H$25^4*Inputs!$I$25^2)+Inputs!$G$25*$B194^Inputs!$B$11)</f>
        <v/>
      </c>
      <c r="F194" s="11">
        <f>IF(Inputs!$D$26=0,0,Inputs!$C$26+Inputs!$B$12*Inputs!$B$5*$B194^2/(Inputs!$D$26^2*Inputs!$H$26^4*Inputs!$I$26^2)+Inputs!$G$26*$B194^Inputs!$B$11)</f>
        <v/>
      </c>
      <c r="G194" s="11">
        <f>IF(Inputs!$D$27=0,0,Inputs!$C$27+Inputs!$B$12*Inputs!$B$5*$B194^2/(Inputs!$D$27^2*Inputs!$H$27^4*Inputs!$I$27^2)+Inputs!$G$27*$B194^Inputs!$B$11)</f>
        <v/>
      </c>
      <c r="H194" s="11">
        <f>IF(Inputs!$D$28=0,0,Inputs!$C$28+Inputs!$B$12*Inputs!$B$5*$B194^2/(Inputs!$D$28^2*Inputs!$H$28^4*Inputs!$I$28^2)+Inputs!$G$28*$B194^Inputs!$B$11)</f>
        <v/>
      </c>
      <c r="I194" s="11">
        <f>IF(Inputs!$D$29=0,0,Inputs!$C$29+Inputs!$B$12*Inputs!$B$5*$B194^2/(Inputs!$D$29^2*Inputs!$H$29^4*Inputs!$I$29^2)+Inputs!$G$29*$B194^Inputs!$B$11)</f>
        <v/>
      </c>
      <c r="J194" s="11">
        <f>IF(Inputs!$D$30=0,0,Inputs!$C$30+Inputs!$B$12*Inputs!$B$5*$B194^2/(Inputs!$D$30^2*Inputs!$H$30^4*Inputs!$I$30^2)+Inputs!$G$30*$B194^Inputs!$B$11)</f>
        <v/>
      </c>
      <c r="K194" s="11">
        <f>IF(Inputs!$D$31=0,0,Inputs!$C$31+Inputs!$B$12*Inputs!$B$5*$B194^2/(Inputs!$D$31^2*Inputs!$H$31^4*Inputs!$I$31^2)+Inputs!$G$31*$B194^Inputs!$B$11)</f>
        <v/>
      </c>
      <c r="L194" s="11">
        <f>IF(Inputs!$D$32=0,0,Inputs!$C$32+Inputs!$B$12*Inputs!$B$5*$B194^2/(Inputs!$D$32^2*Inputs!$H$32^4*Inputs!$I$32^2)+Inputs!$G$32*$B194^Inputs!$B$11)</f>
        <v/>
      </c>
      <c r="M194" s="11">
        <f>IF(Inputs!$D$33=0,0,Inputs!$C$33+Inputs!$B$12*Inputs!$B$5*$B194^2/(Inputs!$D$33^2*Inputs!$H$33^4*Inputs!$I$33^2)+Inputs!$G$33*$B194^Inputs!$B$11)</f>
        <v/>
      </c>
      <c r="N194" s="11">
        <f>IF(Inputs!$D$34=0,0,Inputs!$C$34+Inputs!$B$12*Inputs!$B$5*$B194^2/(Inputs!$D$34^2*Inputs!$H$34^4*Inputs!$I$34^2)+Inputs!$G$34*$B194^Inputs!$B$11)</f>
        <v/>
      </c>
    </row>
    <row r="195">
      <c r="A195" s="7" t="n">
        <v>190</v>
      </c>
      <c r="B195" s="37">
        <f>Inputs!$B$4*A195/200</f>
        <v/>
      </c>
      <c r="C195" s="11">
        <f>IF(Inputs!$D$23=0,0,Inputs!$C$23+Inputs!$B$12*Inputs!$B$5*$B195^2/(Inputs!$D$23^2*Inputs!$H$23^4*Inputs!$I$23^2)+Inputs!$G$23*$B195^Inputs!$B$11)</f>
        <v/>
      </c>
      <c r="D195" s="11">
        <f>IF(Inputs!$D$24=0,0,Inputs!$C$24+Inputs!$B$12*Inputs!$B$5*$B195^2/(Inputs!$D$24^2*Inputs!$H$24^4*Inputs!$I$24^2)+Inputs!$G$24*$B195^Inputs!$B$11)</f>
        <v/>
      </c>
      <c r="E195" s="11">
        <f>IF(Inputs!$D$25=0,0,Inputs!$C$25+Inputs!$B$12*Inputs!$B$5*$B195^2/(Inputs!$D$25^2*Inputs!$H$25^4*Inputs!$I$25^2)+Inputs!$G$25*$B195^Inputs!$B$11)</f>
        <v/>
      </c>
      <c r="F195" s="11">
        <f>IF(Inputs!$D$26=0,0,Inputs!$C$26+Inputs!$B$12*Inputs!$B$5*$B195^2/(Inputs!$D$26^2*Inputs!$H$26^4*Inputs!$I$26^2)+Inputs!$G$26*$B195^Inputs!$B$11)</f>
        <v/>
      </c>
      <c r="G195" s="11">
        <f>IF(Inputs!$D$27=0,0,Inputs!$C$27+Inputs!$B$12*Inputs!$B$5*$B195^2/(Inputs!$D$27^2*Inputs!$H$27^4*Inputs!$I$27^2)+Inputs!$G$27*$B195^Inputs!$B$11)</f>
        <v/>
      </c>
      <c r="H195" s="11">
        <f>IF(Inputs!$D$28=0,0,Inputs!$C$28+Inputs!$B$12*Inputs!$B$5*$B195^2/(Inputs!$D$28^2*Inputs!$H$28^4*Inputs!$I$28^2)+Inputs!$G$28*$B195^Inputs!$B$11)</f>
        <v/>
      </c>
      <c r="I195" s="11">
        <f>IF(Inputs!$D$29=0,0,Inputs!$C$29+Inputs!$B$12*Inputs!$B$5*$B195^2/(Inputs!$D$29^2*Inputs!$H$29^4*Inputs!$I$29^2)+Inputs!$G$29*$B195^Inputs!$B$11)</f>
        <v/>
      </c>
      <c r="J195" s="11">
        <f>IF(Inputs!$D$30=0,0,Inputs!$C$30+Inputs!$B$12*Inputs!$B$5*$B195^2/(Inputs!$D$30^2*Inputs!$H$30^4*Inputs!$I$30^2)+Inputs!$G$30*$B195^Inputs!$B$11)</f>
        <v/>
      </c>
      <c r="K195" s="11">
        <f>IF(Inputs!$D$31=0,0,Inputs!$C$31+Inputs!$B$12*Inputs!$B$5*$B195^2/(Inputs!$D$31^2*Inputs!$H$31^4*Inputs!$I$31^2)+Inputs!$G$31*$B195^Inputs!$B$11)</f>
        <v/>
      </c>
      <c r="L195" s="11">
        <f>IF(Inputs!$D$32=0,0,Inputs!$C$32+Inputs!$B$12*Inputs!$B$5*$B195^2/(Inputs!$D$32^2*Inputs!$H$32^4*Inputs!$I$32^2)+Inputs!$G$32*$B195^Inputs!$B$11)</f>
        <v/>
      </c>
      <c r="M195" s="11">
        <f>IF(Inputs!$D$33=0,0,Inputs!$C$33+Inputs!$B$12*Inputs!$B$5*$B195^2/(Inputs!$D$33^2*Inputs!$H$33^4*Inputs!$I$33^2)+Inputs!$G$33*$B195^Inputs!$B$11)</f>
        <v/>
      </c>
      <c r="N195" s="11">
        <f>IF(Inputs!$D$34=0,0,Inputs!$C$34+Inputs!$B$12*Inputs!$B$5*$B195^2/(Inputs!$D$34^2*Inputs!$H$34^4*Inputs!$I$34^2)+Inputs!$G$34*$B195^Inputs!$B$11)</f>
        <v/>
      </c>
    </row>
    <row r="196">
      <c r="A196" s="7" t="n">
        <v>191</v>
      </c>
      <c r="B196" s="37">
        <f>Inputs!$B$4*A196/200</f>
        <v/>
      </c>
      <c r="C196" s="11">
        <f>IF(Inputs!$D$23=0,0,Inputs!$C$23+Inputs!$B$12*Inputs!$B$5*$B196^2/(Inputs!$D$23^2*Inputs!$H$23^4*Inputs!$I$23^2)+Inputs!$G$23*$B196^Inputs!$B$11)</f>
        <v/>
      </c>
      <c r="D196" s="11">
        <f>IF(Inputs!$D$24=0,0,Inputs!$C$24+Inputs!$B$12*Inputs!$B$5*$B196^2/(Inputs!$D$24^2*Inputs!$H$24^4*Inputs!$I$24^2)+Inputs!$G$24*$B196^Inputs!$B$11)</f>
        <v/>
      </c>
      <c r="E196" s="11">
        <f>IF(Inputs!$D$25=0,0,Inputs!$C$25+Inputs!$B$12*Inputs!$B$5*$B196^2/(Inputs!$D$25^2*Inputs!$H$25^4*Inputs!$I$25^2)+Inputs!$G$25*$B196^Inputs!$B$11)</f>
        <v/>
      </c>
      <c r="F196" s="11">
        <f>IF(Inputs!$D$26=0,0,Inputs!$C$26+Inputs!$B$12*Inputs!$B$5*$B196^2/(Inputs!$D$26^2*Inputs!$H$26^4*Inputs!$I$26^2)+Inputs!$G$26*$B196^Inputs!$B$11)</f>
        <v/>
      </c>
      <c r="G196" s="11">
        <f>IF(Inputs!$D$27=0,0,Inputs!$C$27+Inputs!$B$12*Inputs!$B$5*$B196^2/(Inputs!$D$27^2*Inputs!$H$27^4*Inputs!$I$27^2)+Inputs!$G$27*$B196^Inputs!$B$11)</f>
        <v/>
      </c>
      <c r="H196" s="11">
        <f>IF(Inputs!$D$28=0,0,Inputs!$C$28+Inputs!$B$12*Inputs!$B$5*$B196^2/(Inputs!$D$28^2*Inputs!$H$28^4*Inputs!$I$28^2)+Inputs!$G$28*$B196^Inputs!$B$11)</f>
        <v/>
      </c>
      <c r="I196" s="11">
        <f>IF(Inputs!$D$29=0,0,Inputs!$C$29+Inputs!$B$12*Inputs!$B$5*$B196^2/(Inputs!$D$29^2*Inputs!$H$29^4*Inputs!$I$29^2)+Inputs!$G$29*$B196^Inputs!$B$11)</f>
        <v/>
      </c>
      <c r="J196" s="11">
        <f>IF(Inputs!$D$30=0,0,Inputs!$C$30+Inputs!$B$12*Inputs!$B$5*$B196^2/(Inputs!$D$30^2*Inputs!$H$30^4*Inputs!$I$30^2)+Inputs!$G$30*$B196^Inputs!$B$11)</f>
        <v/>
      </c>
      <c r="K196" s="11">
        <f>IF(Inputs!$D$31=0,0,Inputs!$C$31+Inputs!$B$12*Inputs!$B$5*$B196^2/(Inputs!$D$31^2*Inputs!$H$31^4*Inputs!$I$31^2)+Inputs!$G$31*$B196^Inputs!$B$11)</f>
        <v/>
      </c>
      <c r="L196" s="11">
        <f>IF(Inputs!$D$32=0,0,Inputs!$C$32+Inputs!$B$12*Inputs!$B$5*$B196^2/(Inputs!$D$32^2*Inputs!$H$32^4*Inputs!$I$32^2)+Inputs!$G$32*$B196^Inputs!$B$11)</f>
        <v/>
      </c>
      <c r="M196" s="11">
        <f>IF(Inputs!$D$33=0,0,Inputs!$C$33+Inputs!$B$12*Inputs!$B$5*$B196^2/(Inputs!$D$33^2*Inputs!$H$33^4*Inputs!$I$33^2)+Inputs!$G$33*$B196^Inputs!$B$11)</f>
        <v/>
      </c>
      <c r="N196" s="11">
        <f>IF(Inputs!$D$34=0,0,Inputs!$C$34+Inputs!$B$12*Inputs!$B$5*$B196^2/(Inputs!$D$34^2*Inputs!$H$34^4*Inputs!$I$34^2)+Inputs!$G$34*$B196^Inputs!$B$11)</f>
        <v/>
      </c>
    </row>
    <row r="197">
      <c r="A197" s="7" t="n">
        <v>192</v>
      </c>
      <c r="B197" s="37">
        <f>Inputs!$B$4*A197/200</f>
        <v/>
      </c>
      <c r="C197" s="11">
        <f>IF(Inputs!$D$23=0,0,Inputs!$C$23+Inputs!$B$12*Inputs!$B$5*$B197^2/(Inputs!$D$23^2*Inputs!$H$23^4*Inputs!$I$23^2)+Inputs!$G$23*$B197^Inputs!$B$11)</f>
        <v/>
      </c>
      <c r="D197" s="11">
        <f>IF(Inputs!$D$24=0,0,Inputs!$C$24+Inputs!$B$12*Inputs!$B$5*$B197^2/(Inputs!$D$24^2*Inputs!$H$24^4*Inputs!$I$24^2)+Inputs!$G$24*$B197^Inputs!$B$11)</f>
        <v/>
      </c>
      <c r="E197" s="11">
        <f>IF(Inputs!$D$25=0,0,Inputs!$C$25+Inputs!$B$12*Inputs!$B$5*$B197^2/(Inputs!$D$25^2*Inputs!$H$25^4*Inputs!$I$25^2)+Inputs!$G$25*$B197^Inputs!$B$11)</f>
        <v/>
      </c>
      <c r="F197" s="11">
        <f>IF(Inputs!$D$26=0,0,Inputs!$C$26+Inputs!$B$12*Inputs!$B$5*$B197^2/(Inputs!$D$26^2*Inputs!$H$26^4*Inputs!$I$26^2)+Inputs!$G$26*$B197^Inputs!$B$11)</f>
        <v/>
      </c>
      <c r="G197" s="11">
        <f>IF(Inputs!$D$27=0,0,Inputs!$C$27+Inputs!$B$12*Inputs!$B$5*$B197^2/(Inputs!$D$27^2*Inputs!$H$27^4*Inputs!$I$27^2)+Inputs!$G$27*$B197^Inputs!$B$11)</f>
        <v/>
      </c>
      <c r="H197" s="11">
        <f>IF(Inputs!$D$28=0,0,Inputs!$C$28+Inputs!$B$12*Inputs!$B$5*$B197^2/(Inputs!$D$28^2*Inputs!$H$28^4*Inputs!$I$28^2)+Inputs!$G$28*$B197^Inputs!$B$11)</f>
        <v/>
      </c>
      <c r="I197" s="11">
        <f>IF(Inputs!$D$29=0,0,Inputs!$C$29+Inputs!$B$12*Inputs!$B$5*$B197^2/(Inputs!$D$29^2*Inputs!$H$29^4*Inputs!$I$29^2)+Inputs!$G$29*$B197^Inputs!$B$11)</f>
        <v/>
      </c>
      <c r="J197" s="11">
        <f>IF(Inputs!$D$30=0,0,Inputs!$C$30+Inputs!$B$12*Inputs!$B$5*$B197^2/(Inputs!$D$30^2*Inputs!$H$30^4*Inputs!$I$30^2)+Inputs!$G$30*$B197^Inputs!$B$11)</f>
        <v/>
      </c>
      <c r="K197" s="11">
        <f>IF(Inputs!$D$31=0,0,Inputs!$C$31+Inputs!$B$12*Inputs!$B$5*$B197^2/(Inputs!$D$31^2*Inputs!$H$31^4*Inputs!$I$31^2)+Inputs!$G$31*$B197^Inputs!$B$11)</f>
        <v/>
      </c>
      <c r="L197" s="11">
        <f>IF(Inputs!$D$32=0,0,Inputs!$C$32+Inputs!$B$12*Inputs!$B$5*$B197^2/(Inputs!$D$32^2*Inputs!$H$32^4*Inputs!$I$32^2)+Inputs!$G$32*$B197^Inputs!$B$11)</f>
        <v/>
      </c>
      <c r="M197" s="11">
        <f>IF(Inputs!$D$33=0,0,Inputs!$C$33+Inputs!$B$12*Inputs!$B$5*$B197^2/(Inputs!$D$33^2*Inputs!$H$33^4*Inputs!$I$33^2)+Inputs!$G$33*$B197^Inputs!$B$11)</f>
        <v/>
      </c>
      <c r="N197" s="11">
        <f>IF(Inputs!$D$34=0,0,Inputs!$C$34+Inputs!$B$12*Inputs!$B$5*$B197^2/(Inputs!$D$34^2*Inputs!$H$34^4*Inputs!$I$34^2)+Inputs!$G$34*$B197^Inputs!$B$11)</f>
        <v/>
      </c>
    </row>
    <row r="198">
      <c r="A198" s="7" t="n">
        <v>193</v>
      </c>
      <c r="B198" s="37">
        <f>Inputs!$B$4*A198/200</f>
        <v/>
      </c>
      <c r="C198" s="11">
        <f>IF(Inputs!$D$23=0,0,Inputs!$C$23+Inputs!$B$12*Inputs!$B$5*$B198^2/(Inputs!$D$23^2*Inputs!$H$23^4*Inputs!$I$23^2)+Inputs!$G$23*$B198^Inputs!$B$11)</f>
        <v/>
      </c>
      <c r="D198" s="11">
        <f>IF(Inputs!$D$24=0,0,Inputs!$C$24+Inputs!$B$12*Inputs!$B$5*$B198^2/(Inputs!$D$24^2*Inputs!$H$24^4*Inputs!$I$24^2)+Inputs!$G$24*$B198^Inputs!$B$11)</f>
        <v/>
      </c>
      <c r="E198" s="11">
        <f>IF(Inputs!$D$25=0,0,Inputs!$C$25+Inputs!$B$12*Inputs!$B$5*$B198^2/(Inputs!$D$25^2*Inputs!$H$25^4*Inputs!$I$25^2)+Inputs!$G$25*$B198^Inputs!$B$11)</f>
        <v/>
      </c>
      <c r="F198" s="11">
        <f>IF(Inputs!$D$26=0,0,Inputs!$C$26+Inputs!$B$12*Inputs!$B$5*$B198^2/(Inputs!$D$26^2*Inputs!$H$26^4*Inputs!$I$26^2)+Inputs!$G$26*$B198^Inputs!$B$11)</f>
        <v/>
      </c>
      <c r="G198" s="11">
        <f>IF(Inputs!$D$27=0,0,Inputs!$C$27+Inputs!$B$12*Inputs!$B$5*$B198^2/(Inputs!$D$27^2*Inputs!$H$27^4*Inputs!$I$27^2)+Inputs!$G$27*$B198^Inputs!$B$11)</f>
        <v/>
      </c>
      <c r="H198" s="11">
        <f>IF(Inputs!$D$28=0,0,Inputs!$C$28+Inputs!$B$12*Inputs!$B$5*$B198^2/(Inputs!$D$28^2*Inputs!$H$28^4*Inputs!$I$28^2)+Inputs!$G$28*$B198^Inputs!$B$11)</f>
        <v/>
      </c>
      <c r="I198" s="11">
        <f>IF(Inputs!$D$29=0,0,Inputs!$C$29+Inputs!$B$12*Inputs!$B$5*$B198^2/(Inputs!$D$29^2*Inputs!$H$29^4*Inputs!$I$29^2)+Inputs!$G$29*$B198^Inputs!$B$11)</f>
        <v/>
      </c>
      <c r="J198" s="11">
        <f>IF(Inputs!$D$30=0,0,Inputs!$C$30+Inputs!$B$12*Inputs!$B$5*$B198^2/(Inputs!$D$30^2*Inputs!$H$30^4*Inputs!$I$30^2)+Inputs!$G$30*$B198^Inputs!$B$11)</f>
        <v/>
      </c>
      <c r="K198" s="11">
        <f>IF(Inputs!$D$31=0,0,Inputs!$C$31+Inputs!$B$12*Inputs!$B$5*$B198^2/(Inputs!$D$31^2*Inputs!$H$31^4*Inputs!$I$31^2)+Inputs!$G$31*$B198^Inputs!$B$11)</f>
        <v/>
      </c>
      <c r="L198" s="11">
        <f>IF(Inputs!$D$32=0,0,Inputs!$C$32+Inputs!$B$12*Inputs!$B$5*$B198^2/(Inputs!$D$32^2*Inputs!$H$32^4*Inputs!$I$32^2)+Inputs!$G$32*$B198^Inputs!$B$11)</f>
        <v/>
      </c>
      <c r="M198" s="11">
        <f>IF(Inputs!$D$33=0,0,Inputs!$C$33+Inputs!$B$12*Inputs!$B$5*$B198^2/(Inputs!$D$33^2*Inputs!$H$33^4*Inputs!$I$33^2)+Inputs!$G$33*$B198^Inputs!$B$11)</f>
        <v/>
      </c>
      <c r="N198" s="11">
        <f>IF(Inputs!$D$34=0,0,Inputs!$C$34+Inputs!$B$12*Inputs!$B$5*$B198^2/(Inputs!$D$34^2*Inputs!$H$34^4*Inputs!$I$34^2)+Inputs!$G$34*$B198^Inputs!$B$11)</f>
        <v/>
      </c>
    </row>
    <row r="199">
      <c r="A199" s="7" t="n">
        <v>194</v>
      </c>
      <c r="B199" s="37">
        <f>Inputs!$B$4*A199/200</f>
        <v/>
      </c>
      <c r="C199" s="11">
        <f>IF(Inputs!$D$23=0,0,Inputs!$C$23+Inputs!$B$12*Inputs!$B$5*$B199^2/(Inputs!$D$23^2*Inputs!$H$23^4*Inputs!$I$23^2)+Inputs!$G$23*$B199^Inputs!$B$11)</f>
        <v/>
      </c>
      <c r="D199" s="11">
        <f>IF(Inputs!$D$24=0,0,Inputs!$C$24+Inputs!$B$12*Inputs!$B$5*$B199^2/(Inputs!$D$24^2*Inputs!$H$24^4*Inputs!$I$24^2)+Inputs!$G$24*$B199^Inputs!$B$11)</f>
        <v/>
      </c>
      <c r="E199" s="11">
        <f>IF(Inputs!$D$25=0,0,Inputs!$C$25+Inputs!$B$12*Inputs!$B$5*$B199^2/(Inputs!$D$25^2*Inputs!$H$25^4*Inputs!$I$25^2)+Inputs!$G$25*$B199^Inputs!$B$11)</f>
        <v/>
      </c>
      <c r="F199" s="11">
        <f>IF(Inputs!$D$26=0,0,Inputs!$C$26+Inputs!$B$12*Inputs!$B$5*$B199^2/(Inputs!$D$26^2*Inputs!$H$26^4*Inputs!$I$26^2)+Inputs!$G$26*$B199^Inputs!$B$11)</f>
        <v/>
      </c>
      <c r="G199" s="11">
        <f>IF(Inputs!$D$27=0,0,Inputs!$C$27+Inputs!$B$12*Inputs!$B$5*$B199^2/(Inputs!$D$27^2*Inputs!$H$27^4*Inputs!$I$27^2)+Inputs!$G$27*$B199^Inputs!$B$11)</f>
        <v/>
      </c>
      <c r="H199" s="11">
        <f>IF(Inputs!$D$28=0,0,Inputs!$C$28+Inputs!$B$12*Inputs!$B$5*$B199^2/(Inputs!$D$28^2*Inputs!$H$28^4*Inputs!$I$28^2)+Inputs!$G$28*$B199^Inputs!$B$11)</f>
        <v/>
      </c>
      <c r="I199" s="11">
        <f>IF(Inputs!$D$29=0,0,Inputs!$C$29+Inputs!$B$12*Inputs!$B$5*$B199^2/(Inputs!$D$29^2*Inputs!$H$29^4*Inputs!$I$29^2)+Inputs!$G$29*$B199^Inputs!$B$11)</f>
        <v/>
      </c>
      <c r="J199" s="11">
        <f>IF(Inputs!$D$30=0,0,Inputs!$C$30+Inputs!$B$12*Inputs!$B$5*$B199^2/(Inputs!$D$30^2*Inputs!$H$30^4*Inputs!$I$30^2)+Inputs!$G$30*$B199^Inputs!$B$11)</f>
        <v/>
      </c>
      <c r="K199" s="11">
        <f>IF(Inputs!$D$31=0,0,Inputs!$C$31+Inputs!$B$12*Inputs!$B$5*$B199^2/(Inputs!$D$31^2*Inputs!$H$31^4*Inputs!$I$31^2)+Inputs!$G$31*$B199^Inputs!$B$11)</f>
        <v/>
      </c>
      <c r="L199" s="11">
        <f>IF(Inputs!$D$32=0,0,Inputs!$C$32+Inputs!$B$12*Inputs!$B$5*$B199^2/(Inputs!$D$32^2*Inputs!$H$32^4*Inputs!$I$32^2)+Inputs!$G$32*$B199^Inputs!$B$11)</f>
        <v/>
      </c>
      <c r="M199" s="11">
        <f>IF(Inputs!$D$33=0,0,Inputs!$C$33+Inputs!$B$12*Inputs!$B$5*$B199^2/(Inputs!$D$33^2*Inputs!$H$33^4*Inputs!$I$33^2)+Inputs!$G$33*$B199^Inputs!$B$11)</f>
        <v/>
      </c>
      <c r="N199" s="11">
        <f>IF(Inputs!$D$34=0,0,Inputs!$C$34+Inputs!$B$12*Inputs!$B$5*$B199^2/(Inputs!$D$34^2*Inputs!$H$34^4*Inputs!$I$34^2)+Inputs!$G$34*$B199^Inputs!$B$11)</f>
        <v/>
      </c>
    </row>
    <row r="200">
      <c r="A200" s="7" t="n">
        <v>195</v>
      </c>
      <c r="B200" s="37">
        <f>Inputs!$B$4*A200/200</f>
        <v/>
      </c>
      <c r="C200" s="11">
        <f>IF(Inputs!$D$23=0,0,Inputs!$C$23+Inputs!$B$12*Inputs!$B$5*$B200^2/(Inputs!$D$23^2*Inputs!$H$23^4*Inputs!$I$23^2)+Inputs!$G$23*$B200^Inputs!$B$11)</f>
        <v/>
      </c>
      <c r="D200" s="11">
        <f>IF(Inputs!$D$24=0,0,Inputs!$C$24+Inputs!$B$12*Inputs!$B$5*$B200^2/(Inputs!$D$24^2*Inputs!$H$24^4*Inputs!$I$24^2)+Inputs!$G$24*$B200^Inputs!$B$11)</f>
        <v/>
      </c>
      <c r="E200" s="11">
        <f>IF(Inputs!$D$25=0,0,Inputs!$C$25+Inputs!$B$12*Inputs!$B$5*$B200^2/(Inputs!$D$25^2*Inputs!$H$25^4*Inputs!$I$25^2)+Inputs!$G$25*$B200^Inputs!$B$11)</f>
        <v/>
      </c>
      <c r="F200" s="11">
        <f>IF(Inputs!$D$26=0,0,Inputs!$C$26+Inputs!$B$12*Inputs!$B$5*$B200^2/(Inputs!$D$26^2*Inputs!$H$26^4*Inputs!$I$26^2)+Inputs!$G$26*$B200^Inputs!$B$11)</f>
        <v/>
      </c>
      <c r="G200" s="11">
        <f>IF(Inputs!$D$27=0,0,Inputs!$C$27+Inputs!$B$12*Inputs!$B$5*$B200^2/(Inputs!$D$27^2*Inputs!$H$27^4*Inputs!$I$27^2)+Inputs!$G$27*$B200^Inputs!$B$11)</f>
        <v/>
      </c>
      <c r="H200" s="11">
        <f>IF(Inputs!$D$28=0,0,Inputs!$C$28+Inputs!$B$12*Inputs!$B$5*$B200^2/(Inputs!$D$28^2*Inputs!$H$28^4*Inputs!$I$28^2)+Inputs!$G$28*$B200^Inputs!$B$11)</f>
        <v/>
      </c>
      <c r="I200" s="11">
        <f>IF(Inputs!$D$29=0,0,Inputs!$C$29+Inputs!$B$12*Inputs!$B$5*$B200^2/(Inputs!$D$29^2*Inputs!$H$29^4*Inputs!$I$29^2)+Inputs!$G$29*$B200^Inputs!$B$11)</f>
        <v/>
      </c>
      <c r="J200" s="11">
        <f>IF(Inputs!$D$30=0,0,Inputs!$C$30+Inputs!$B$12*Inputs!$B$5*$B200^2/(Inputs!$D$30^2*Inputs!$H$30^4*Inputs!$I$30^2)+Inputs!$G$30*$B200^Inputs!$B$11)</f>
        <v/>
      </c>
      <c r="K200" s="11">
        <f>IF(Inputs!$D$31=0,0,Inputs!$C$31+Inputs!$B$12*Inputs!$B$5*$B200^2/(Inputs!$D$31^2*Inputs!$H$31^4*Inputs!$I$31^2)+Inputs!$G$31*$B200^Inputs!$B$11)</f>
        <v/>
      </c>
      <c r="L200" s="11">
        <f>IF(Inputs!$D$32=0,0,Inputs!$C$32+Inputs!$B$12*Inputs!$B$5*$B200^2/(Inputs!$D$32^2*Inputs!$H$32^4*Inputs!$I$32^2)+Inputs!$G$32*$B200^Inputs!$B$11)</f>
        <v/>
      </c>
      <c r="M200" s="11">
        <f>IF(Inputs!$D$33=0,0,Inputs!$C$33+Inputs!$B$12*Inputs!$B$5*$B200^2/(Inputs!$D$33^2*Inputs!$H$33^4*Inputs!$I$33^2)+Inputs!$G$33*$B200^Inputs!$B$11)</f>
        <v/>
      </c>
      <c r="N200" s="11">
        <f>IF(Inputs!$D$34=0,0,Inputs!$C$34+Inputs!$B$12*Inputs!$B$5*$B200^2/(Inputs!$D$34^2*Inputs!$H$34^4*Inputs!$I$34^2)+Inputs!$G$34*$B200^Inputs!$B$11)</f>
        <v/>
      </c>
    </row>
    <row r="201">
      <c r="A201" s="7" t="n">
        <v>196</v>
      </c>
      <c r="B201" s="37">
        <f>Inputs!$B$4*A201/200</f>
        <v/>
      </c>
      <c r="C201" s="11">
        <f>IF(Inputs!$D$23=0,0,Inputs!$C$23+Inputs!$B$12*Inputs!$B$5*$B201^2/(Inputs!$D$23^2*Inputs!$H$23^4*Inputs!$I$23^2)+Inputs!$G$23*$B201^Inputs!$B$11)</f>
        <v/>
      </c>
      <c r="D201" s="11">
        <f>IF(Inputs!$D$24=0,0,Inputs!$C$24+Inputs!$B$12*Inputs!$B$5*$B201^2/(Inputs!$D$24^2*Inputs!$H$24^4*Inputs!$I$24^2)+Inputs!$G$24*$B201^Inputs!$B$11)</f>
        <v/>
      </c>
      <c r="E201" s="11">
        <f>IF(Inputs!$D$25=0,0,Inputs!$C$25+Inputs!$B$12*Inputs!$B$5*$B201^2/(Inputs!$D$25^2*Inputs!$H$25^4*Inputs!$I$25^2)+Inputs!$G$25*$B201^Inputs!$B$11)</f>
        <v/>
      </c>
      <c r="F201" s="11">
        <f>IF(Inputs!$D$26=0,0,Inputs!$C$26+Inputs!$B$12*Inputs!$B$5*$B201^2/(Inputs!$D$26^2*Inputs!$H$26^4*Inputs!$I$26^2)+Inputs!$G$26*$B201^Inputs!$B$11)</f>
        <v/>
      </c>
      <c r="G201" s="11">
        <f>IF(Inputs!$D$27=0,0,Inputs!$C$27+Inputs!$B$12*Inputs!$B$5*$B201^2/(Inputs!$D$27^2*Inputs!$H$27^4*Inputs!$I$27^2)+Inputs!$G$27*$B201^Inputs!$B$11)</f>
        <v/>
      </c>
      <c r="H201" s="11">
        <f>IF(Inputs!$D$28=0,0,Inputs!$C$28+Inputs!$B$12*Inputs!$B$5*$B201^2/(Inputs!$D$28^2*Inputs!$H$28^4*Inputs!$I$28^2)+Inputs!$G$28*$B201^Inputs!$B$11)</f>
        <v/>
      </c>
      <c r="I201" s="11">
        <f>IF(Inputs!$D$29=0,0,Inputs!$C$29+Inputs!$B$12*Inputs!$B$5*$B201^2/(Inputs!$D$29^2*Inputs!$H$29^4*Inputs!$I$29^2)+Inputs!$G$29*$B201^Inputs!$B$11)</f>
        <v/>
      </c>
      <c r="J201" s="11">
        <f>IF(Inputs!$D$30=0,0,Inputs!$C$30+Inputs!$B$12*Inputs!$B$5*$B201^2/(Inputs!$D$30^2*Inputs!$H$30^4*Inputs!$I$30^2)+Inputs!$G$30*$B201^Inputs!$B$11)</f>
        <v/>
      </c>
      <c r="K201" s="11">
        <f>IF(Inputs!$D$31=0,0,Inputs!$C$31+Inputs!$B$12*Inputs!$B$5*$B201^2/(Inputs!$D$31^2*Inputs!$H$31^4*Inputs!$I$31^2)+Inputs!$G$31*$B201^Inputs!$B$11)</f>
        <v/>
      </c>
      <c r="L201" s="11">
        <f>IF(Inputs!$D$32=0,0,Inputs!$C$32+Inputs!$B$12*Inputs!$B$5*$B201^2/(Inputs!$D$32^2*Inputs!$H$32^4*Inputs!$I$32^2)+Inputs!$G$32*$B201^Inputs!$B$11)</f>
        <v/>
      </c>
      <c r="M201" s="11">
        <f>IF(Inputs!$D$33=0,0,Inputs!$C$33+Inputs!$B$12*Inputs!$B$5*$B201^2/(Inputs!$D$33^2*Inputs!$H$33^4*Inputs!$I$33^2)+Inputs!$G$33*$B201^Inputs!$B$11)</f>
        <v/>
      </c>
      <c r="N201" s="11">
        <f>IF(Inputs!$D$34=0,0,Inputs!$C$34+Inputs!$B$12*Inputs!$B$5*$B201^2/(Inputs!$D$34^2*Inputs!$H$34^4*Inputs!$I$34^2)+Inputs!$G$34*$B201^Inputs!$B$11)</f>
        <v/>
      </c>
    </row>
    <row r="202">
      <c r="A202" s="7" t="n">
        <v>197</v>
      </c>
      <c r="B202" s="37">
        <f>Inputs!$B$4*A202/200</f>
        <v/>
      </c>
      <c r="C202" s="11">
        <f>IF(Inputs!$D$23=0,0,Inputs!$C$23+Inputs!$B$12*Inputs!$B$5*$B202^2/(Inputs!$D$23^2*Inputs!$H$23^4*Inputs!$I$23^2)+Inputs!$G$23*$B202^Inputs!$B$11)</f>
        <v/>
      </c>
      <c r="D202" s="11">
        <f>IF(Inputs!$D$24=0,0,Inputs!$C$24+Inputs!$B$12*Inputs!$B$5*$B202^2/(Inputs!$D$24^2*Inputs!$H$24^4*Inputs!$I$24^2)+Inputs!$G$24*$B202^Inputs!$B$11)</f>
        <v/>
      </c>
      <c r="E202" s="11">
        <f>IF(Inputs!$D$25=0,0,Inputs!$C$25+Inputs!$B$12*Inputs!$B$5*$B202^2/(Inputs!$D$25^2*Inputs!$H$25^4*Inputs!$I$25^2)+Inputs!$G$25*$B202^Inputs!$B$11)</f>
        <v/>
      </c>
      <c r="F202" s="11">
        <f>IF(Inputs!$D$26=0,0,Inputs!$C$26+Inputs!$B$12*Inputs!$B$5*$B202^2/(Inputs!$D$26^2*Inputs!$H$26^4*Inputs!$I$26^2)+Inputs!$G$26*$B202^Inputs!$B$11)</f>
        <v/>
      </c>
      <c r="G202" s="11">
        <f>IF(Inputs!$D$27=0,0,Inputs!$C$27+Inputs!$B$12*Inputs!$B$5*$B202^2/(Inputs!$D$27^2*Inputs!$H$27^4*Inputs!$I$27^2)+Inputs!$G$27*$B202^Inputs!$B$11)</f>
        <v/>
      </c>
      <c r="H202" s="11">
        <f>IF(Inputs!$D$28=0,0,Inputs!$C$28+Inputs!$B$12*Inputs!$B$5*$B202^2/(Inputs!$D$28^2*Inputs!$H$28^4*Inputs!$I$28^2)+Inputs!$G$28*$B202^Inputs!$B$11)</f>
        <v/>
      </c>
      <c r="I202" s="11">
        <f>IF(Inputs!$D$29=0,0,Inputs!$C$29+Inputs!$B$12*Inputs!$B$5*$B202^2/(Inputs!$D$29^2*Inputs!$H$29^4*Inputs!$I$29^2)+Inputs!$G$29*$B202^Inputs!$B$11)</f>
        <v/>
      </c>
      <c r="J202" s="11">
        <f>IF(Inputs!$D$30=0,0,Inputs!$C$30+Inputs!$B$12*Inputs!$B$5*$B202^2/(Inputs!$D$30^2*Inputs!$H$30^4*Inputs!$I$30^2)+Inputs!$G$30*$B202^Inputs!$B$11)</f>
        <v/>
      </c>
      <c r="K202" s="11">
        <f>IF(Inputs!$D$31=0,0,Inputs!$C$31+Inputs!$B$12*Inputs!$B$5*$B202^2/(Inputs!$D$31^2*Inputs!$H$31^4*Inputs!$I$31^2)+Inputs!$G$31*$B202^Inputs!$B$11)</f>
        <v/>
      </c>
      <c r="L202" s="11">
        <f>IF(Inputs!$D$32=0,0,Inputs!$C$32+Inputs!$B$12*Inputs!$B$5*$B202^2/(Inputs!$D$32^2*Inputs!$H$32^4*Inputs!$I$32^2)+Inputs!$G$32*$B202^Inputs!$B$11)</f>
        <v/>
      </c>
      <c r="M202" s="11">
        <f>IF(Inputs!$D$33=0,0,Inputs!$C$33+Inputs!$B$12*Inputs!$B$5*$B202^2/(Inputs!$D$33^2*Inputs!$H$33^4*Inputs!$I$33^2)+Inputs!$G$33*$B202^Inputs!$B$11)</f>
        <v/>
      </c>
      <c r="N202" s="11">
        <f>IF(Inputs!$D$34=0,0,Inputs!$C$34+Inputs!$B$12*Inputs!$B$5*$B202^2/(Inputs!$D$34^2*Inputs!$H$34^4*Inputs!$I$34^2)+Inputs!$G$34*$B202^Inputs!$B$11)</f>
        <v/>
      </c>
    </row>
    <row r="203">
      <c r="A203" s="7" t="n">
        <v>198</v>
      </c>
      <c r="B203" s="37">
        <f>Inputs!$B$4*A203/200</f>
        <v/>
      </c>
      <c r="C203" s="11">
        <f>IF(Inputs!$D$23=0,0,Inputs!$C$23+Inputs!$B$12*Inputs!$B$5*$B203^2/(Inputs!$D$23^2*Inputs!$H$23^4*Inputs!$I$23^2)+Inputs!$G$23*$B203^Inputs!$B$11)</f>
        <v/>
      </c>
      <c r="D203" s="11">
        <f>IF(Inputs!$D$24=0,0,Inputs!$C$24+Inputs!$B$12*Inputs!$B$5*$B203^2/(Inputs!$D$24^2*Inputs!$H$24^4*Inputs!$I$24^2)+Inputs!$G$24*$B203^Inputs!$B$11)</f>
        <v/>
      </c>
      <c r="E203" s="11">
        <f>IF(Inputs!$D$25=0,0,Inputs!$C$25+Inputs!$B$12*Inputs!$B$5*$B203^2/(Inputs!$D$25^2*Inputs!$H$25^4*Inputs!$I$25^2)+Inputs!$G$25*$B203^Inputs!$B$11)</f>
        <v/>
      </c>
      <c r="F203" s="11">
        <f>IF(Inputs!$D$26=0,0,Inputs!$C$26+Inputs!$B$12*Inputs!$B$5*$B203^2/(Inputs!$D$26^2*Inputs!$H$26^4*Inputs!$I$26^2)+Inputs!$G$26*$B203^Inputs!$B$11)</f>
        <v/>
      </c>
      <c r="G203" s="11">
        <f>IF(Inputs!$D$27=0,0,Inputs!$C$27+Inputs!$B$12*Inputs!$B$5*$B203^2/(Inputs!$D$27^2*Inputs!$H$27^4*Inputs!$I$27^2)+Inputs!$G$27*$B203^Inputs!$B$11)</f>
        <v/>
      </c>
      <c r="H203" s="11">
        <f>IF(Inputs!$D$28=0,0,Inputs!$C$28+Inputs!$B$12*Inputs!$B$5*$B203^2/(Inputs!$D$28^2*Inputs!$H$28^4*Inputs!$I$28^2)+Inputs!$G$28*$B203^Inputs!$B$11)</f>
        <v/>
      </c>
      <c r="I203" s="11">
        <f>IF(Inputs!$D$29=0,0,Inputs!$C$29+Inputs!$B$12*Inputs!$B$5*$B203^2/(Inputs!$D$29^2*Inputs!$H$29^4*Inputs!$I$29^2)+Inputs!$G$29*$B203^Inputs!$B$11)</f>
        <v/>
      </c>
      <c r="J203" s="11">
        <f>IF(Inputs!$D$30=0,0,Inputs!$C$30+Inputs!$B$12*Inputs!$B$5*$B203^2/(Inputs!$D$30^2*Inputs!$H$30^4*Inputs!$I$30^2)+Inputs!$G$30*$B203^Inputs!$B$11)</f>
        <v/>
      </c>
      <c r="K203" s="11">
        <f>IF(Inputs!$D$31=0,0,Inputs!$C$31+Inputs!$B$12*Inputs!$B$5*$B203^2/(Inputs!$D$31^2*Inputs!$H$31^4*Inputs!$I$31^2)+Inputs!$G$31*$B203^Inputs!$B$11)</f>
        <v/>
      </c>
      <c r="L203" s="11">
        <f>IF(Inputs!$D$32=0,0,Inputs!$C$32+Inputs!$B$12*Inputs!$B$5*$B203^2/(Inputs!$D$32^2*Inputs!$H$32^4*Inputs!$I$32^2)+Inputs!$G$32*$B203^Inputs!$B$11)</f>
        <v/>
      </c>
      <c r="M203" s="11">
        <f>IF(Inputs!$D$33=0,0,Inputs!$C$33+Inputs!$B$12*Inputs!$B$5*$B203^2/(Inputs!$D$33^2*Inputs!$H$33^4*Inputs!$I$33^2)+Inputs!$G$33*$B203^Inputs!$B$11)</f>
        <v/>
      </c>
      <c r="N203" s="11">
        <f>IF(Inputs!$D$34=0,0,Inputs!$C$34+Inputs!$B$12*Inputs!$B$5*$B203^2/(Inputs!$D$34^2*Inputs!$H$34^4*Inputs!$I$34^2)+Inputs!$G$34*$B203^Inputs!$B$11)</f>
        <v/>
      </c>
    </row>
    <row r="204">
      <c r="A204" s="7" t="n">
        <v>199</v>
      </c>
      <c r="B204" s="37">
        <f>Inputs!$B$4*A204/200</f>
        <v/>
      </c>
      <c r="C204" s="11">
        <f>IF(Inputs!$D$23=0,0,Inputs!$C$23+Inputs!$B$12*Inputs!$B$5*$B204^2/(Inputs!$D$23^2*Inputs!$H$23^4*Inputs!$I$23^2)+Inputs!$G$23*$B204^Inputs!$B$11)</f>
        <v/>
      </c>
      <c r="D204" s="11">
        <f>IF(Inputs!$D$24=0,0,Inputs!$C$24+Inputs!$B$12*Inputs!$B$5*$B204^2/(Inputs!$D$24^2*Inputs!$H$24^4*Inputs!$I$24^2)+Inputs!$G$24*$B204^Inputs!$B$11)</f>
        <v/>
      </c>
      <c r="E204" s="11">
        <f>IF(Inputs!$D$25=0,0,Inputs!$C$25+Inputs!$B$12*Inputs!$B$5*$B204^2/(Inputs!$D$25^2*Inputs!$H$25^4*Inputs!$I$25^2)+Inputs!$G$25*$B204^Inputs!$B$11)</f>
        <v/>
      </c>
      <c r="F204" s="11">
        <f>IF(Inputs!$D$26=0,0,Inputs!$C$26+Inputs!$B$12*Inputs!$B$5*$B204^2/(Inputs!$D$26^2*Inputs!$H$26^4*Inputs!$I$26^2)+Inputs!$G$26*$B204^Inputs!$B$11)</f>
        <v/>
      </c>
      <c r="G204" s="11">
        <f>IF(Inputs!$D$27=0,0,Inputs!$C$27+Inputs!$B$12*Inputs!$B$5*$B204^2/(Inputs!$D$27^2*Inputs!$H$27^4*Inputs!$I$27^2)+Inputs!$G$27*$B204^Inputs!$B$11)</f>
        <v/>
      </c>
      <c r="H204" s="11">
        <f>IF(Inputs!$D$28=0,0,Inputs!$C$28+Inputs!$B$12*Inputs!$B$5*$B204^2/(Inputs!$D$28^2*Inputs!$H$28^4*Inputs!$I$28^2)+Inputs!$G$28*$B204^Inputs!$B$11)</f>
        <v/>
      </c>
      <c r="I204" s="11">
        <f>IF(Inputs!$D$29=0,0,Inputs!$C$29+Inputs!$B$12*Inputs!$B$5*$B204^2/(Inputs!$D$29^2*Inputs!$H$29^4*Inputs!$I$29^2)+Inputs!$G$29*$B204^Inputs!$B$11)</f>
        <v/>
      </c>
      <c r="J204" s="11">
        <f>IF(Inputs!$D$30=0,0,Inputs!$C$30+Inputs!$B$12*Inputs!$B$5*$B204^2/(Inputs!$D$30^2*Inputs!$H$30^4*Inputs!$I$30^2)+Inputs!$G$30*$B204^Inputs!$B$11)</f>
        <v/>
      </c>
      <c r="K204" s="11">
        <f>IF(Inputs!$D$31=0,0,Inputs!$C$31+Inputs!$B$12*Inputs!$B$5*$B204^2/(Inputs!$D$31^2*Inputs!$H$31^4*Inputs!$I$31^2)+Inputs!$G$31*$B204^Inputs!$B$11)</f>
        <v/>
      </c>
      <c r="L204" s="11">
        <f>IF(Inputs!$D$32=0,0,Inputs!$C$32+Inputs!$B$12*Inputs!$B$5*$B204^2/(Inputs!$D$32^2*Inputs!$H$32^4*Inputs!$I$32^2)+Inputs!$G$32*$B204^Inputs!$B$11)</f>
        <v/>
      </c>
      <c r="M204" s="11">
        <f>IF(Inputs!$D$33=0,0,Inputs!$C$33+Inputs!$B$12*Inputs!$B$5*$B204^2/(Inputs!$D$33^2*Inputs!$H$33^4*Inputs!$I$33^2)+Inputs!$G$33*$B204^Inputs!$B$11)</f>
        <v/>
      </c>
      <c r="N204" s="11">
        <f>IF(Inputs!$D$34=0,0,Inputs!$C$34+Inputs!$B$12*Inputs!$B$5*$B204^2/(Inputs!$D$34^2*Inputs!$H$34^4*Inputs!$I$34^2)+Inputs!$G$34*$B204^Inputs!$B$11)</f>
        <v/>
      </c>
    </row>
    <row r="205">
      <c r="A205" s="7" t="n">
        <v>200</v>
      </c>
      <c r="B205" s="37">
        <f>Inputs!$B$4*A205/200</f>
        <v/>
      </c>
      <c r="C205" s="11">
        <f>IF(Inputs!$D$23=0,0,Inputs!$C$23+Inputs!$B$12*Inputs!$B$5*$B205^2/(Inputs!$D$23^2*Inputs!$H$23^4*Inputs!$I$23^2)+Inputs!$G$23*$B205^Inputs!$B$11)</f>
        <v/>
      </c>
      <c r="D205" s="11">
        <f>IF(Inputs!$D$24=0,0,Inputs!$C$24+Inputs!$B$12*Inputs!$B$5*$B205^2/(Inputs!$D$24^2*Inputs!$H$24^4*Inputs!$I$24^2)+Inputs!$G$24*$B205^Inputs!$B$11)</f>
        <v/>
      </c>
      <c r="E205" s="11">
        <f>IF(Inputs!$D$25=0,0,Inputs!$C$25+Inputs!$B$12*Inputs!$B$5*$B205^2/(Inputs!$D$25^2*Inputs!$H$25^4*Inputs!$I$25^2)+Inputs!$G$25*$B205^Inputs!$B$11)</f>
        <v/>
      </c>
      <c r="F205" s="11">
        <f>IF(Inputs!$D$26=0,0,Inputs!$C$26+Inputs!$B$12*Inputs!$B$5*$B205^2/(Inputs!$D$26^2*Inputs!$H$26^4*Inputs!$I$26^2)+Inputs!$G$26*$B205^Inputs!$B$11)</f>
        <v/>
      </c>
      <c r="G205" s="11">
        <f>IF(Inputs!$D$27=0,0,Inputs!$C$27+Inputs!$B$12*Inputs!$B$5*$B205^2/(Inputs!$D$27^2*Inputs!$H$27^4*Inputs!$I$27^2)+Inputs!$G$27*$B205^Inputs!$B$11)</f>
        <v/>
      </c>
      <c r="H205" s="11">
        <f>IF(Inputs!$D$28=0,0,Inputs!$C$28+Inputs!$B$12*Inputs!$B$5*$B205^2/(Inputs!$D$28^2*Inputs!$H$28^4*Inputs!$I$28^2)+Inputs!$G$28*$B205^Inputs!$B$11)</f>
        <v/>
      </c>
      <c r="I205" s="11">
        <f>IF(Inputs!$D$29=0,0,Inputs!$C$29+Inputs!$B$12*Inputs!$B$5*$B205^2/(Inputs!$D$29^2*Inputs!$H$29^4*Inputs!$I$29^2)+Inputs!$G$29*$B205^Inputs!$B$11)</f>
        <v/>
      </c>
      <c r="J205" s="11">
        <f>IF(Inputs!$D$30=0,0,Inputs!$C$30+Inputs!$B$12*Inputs!$B$5*$B205^2/(Inputs!$D$30^2*Inputs!$H$30^4*Inputs!$I$30^2)+Inputs!$G$30*$B205^Inputs!$B$11)</f>
        <v/>
      </c>
      <c r="K205" s="11">
        <f>IF(Inputs!$D$31=0,0,Inputs!$C$31+Inputs!$B$12*Inputs!$B$5*$B205^2/(Inputs!$D$31^2*Inputs!$H$31^4*Inputs!$I$31^2)+Inputs!$G$31*$B205^Inputs!$B$11)</f>
        <v/>
      </c>
      <c r="L205" s="11">
        <f>IF(Inputs!$D$32=0,0,Inputs!$C$32+Inputs!$B$12*Inputs!$B$5*$B205^2/(Inputs!$D$32^2*Inputs!$H$32^4*Inputs!$I$32^2)+Inputs!$G$32*$B205^Inputs!$B$11)</f>
        <v/>
      </c>
      <c r="M205" s="11">
        <f>IF(Inputs!$D$33=0,0,Inputs!$C$33+Inputs!$B$12*Inputs!$B$5*$B205^2/(Inputs!$D$33^2*Inputs!$H$33^4*Inputs!$I$33^2)+Inputs!$G$33*$B205^Inputs!$B$11)</f>
        <v/>
      </c>
      <c r="N205" s="11">
        <f>IF(Inputs!$D$34=0,0,Inputs!$C$34+Inputs!$B$12*Inputs!$B$5*$B205^2/(Inputs!$D$34^2*Inputs!$H$34^4*Inputs!$I$34^2)+Inputs!$G$34*$B205^Inputs!$B$11)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Chart helpers. #N/A is intentional: Excel skips #N/A points, so switched-off clusters disappear from the chart.</t>
        </is>
      </c>
    </row>
    <row r="2">
      <c r="A2" s="5" t="inlineStr">
        <is>
          <t>Y = casing pressure minus the lowest active cluster stress (MPa), so the axis autoscale stays readable.</t>
        </is>
      </c>
    </row>
    <row r="4">
      <c r="A4" s="17" t="inlineStr">
        <is>
          <t>q, m³/min</t>
        </is>
      </c>
      <c r="B4" s="17">
        <f>Inputs!A23</f>
        <v/>
      </c>
      <c r="C4" s="17">
        <f>Inputs!A24</f>
        <v/>
      </c>
      <c r="D4" s="17">
        <f>Inputs!A25</f>
        <v/>
      </c>
      <c r="E4" s="17">
        <f>Inputs!A26</f>
        <v/>
      </c>
      <c r="F4" s="17">
        <f>Inputs!A27</f>
        <v/>
      </c>
      <c r="G4" s="17">
        <f>Inputs!A28</f>
        <v/>
      </c>
      <c r="H4" s="17">
        <f>Inputs!A29</f>
        <v/>
      </c>
      <c r="I4" s="17">
        <f>Inputs!A30</f>
        <v/>
      </c>
      <c r="J4" s="17">
        <f>Inputs!A31</f>
        <v/>
      </c>
      <c r="K4" s="17">
        <f>Inputs!A32</f>
        <v/>
      </c>
      <c r="L4" s="17">
        <f>Inputs!A33</f>
        <v/>
      </c>
      <c r="M4" s="17">
        <f>Inputs!A34</f>
        <v/>
      </c>
      <c r="N4" s="17" t="inlineStr">
        <is>
          <t>P* line</t>
        </is>
      </c>
      <c r="O4" s="17" t="inlineStr">
        <is>
          <t>op q</t>
        </is>
      </c>
      <c r="P4" s="17" t="inlineStr">
        <is>
          <t>op P</t>
        </is>
      </c>
    </row>
    <row r="5">
      <c r="A5" s="11">
        <f>2.2*Inputs!$B$20*0/100</f>
        <v/>
      </c>
      <c r="B5" s="11">
        <f>IF(Inputs!$D$23=0,NA(),Inputs!$C$23+Inputs!$B$12*Inputs!$B$5*$A5^2/(Inputs!$D$23^2*Inputs!$H$23^4*Inputs!$I$23^2)+Inputs!$G$23*$A5^Inputs!$B$11-Distribution!$B$3)</f>
        <v/>
      </c>
      <c r="C5" s="11">
        <f>IF(Inputs!$D$24=0,NA(),Inputs!$C$24+Inputs!$B$12*Inputs!$B$5*$A5^2/(Inputs!$D$24^2*Inputs!$H$24^4*Inputs!$I$24^2)+Inputs!$G$24*$A5^Inputs!$B$11-Distribution!$B$3)</f>
        <v/>
      </c>
      <c r="D5" s="11">
        <f>IF(Inputs!$D$25=0,NA(),Inputs!$C$25+Inputs!$B$12*Inputs!$B$5*$A5^2/(Inputs!$D$25^2*Inputs!$H$25^4*Inputs!$I$25^2)+Inputs!$G$25*$A5^Inputs!$B$11-Distribution!$B$3)</f>
        <v/>
      </c>
      <c r="E5" s="11">
        <f>IF(Inputs!$D$26=0,NA(),Inputs!$C$26+Inputs!$B$12*Inputs!$B$5*$A5^2/(Inputs!$D$26^2*Inputs!$H$26^4*Inputs!$I$26^2)+Inputs!$G$26*$A5^Inputs!$B$11-Distribution!$B$3)</f>
        <v/>
      </c>
      <c r="F5" s="11">
        <f>IF(Inputs!$D$27=0,NA(),Inputs!$C$27+Inputs!$B$12*Inputs!$B$5*$A5^2/(Inputs!$D$27^2*Inputs!$H$27^4*Inputs!$I$27^2)+Inputs!$G$27*$A5^Inputs!$B$11-Distribution!$B$3)</f>
        <v/>
      </c>
      <c r="G5" s="11">
        <f>IF(Inputs!$D$28=0,NA(),Inputs!$C$28+Inputs!$B$12*Inputs!$B$5*$A5^2/(Inputs!$D$28^2*Inputs!$H$28^4*Inputs!$I$28^2)+Inputs!$G$28*$A5^Inputs!$B$11-Distribution!$B$3)</f>
        <v/>
      </c>
      <c r="H5" s="11">
        <f>IF(Inputs!$D$29=0,NA(),Inputs!$C$29+Inputs!$B$12*Inputs!$B$5*$A5^2/(Inputs!$D$29^2*Inputs!$H$29^4*Inputs!$I$29^2)+Inputs!$G$29*$A5^Inputs!$B$11-Distribution!$B$3)</f>
        <v/>
      </c>
      <c r="I5" s="11">
        <f>IF(Inputs!$D$30=0,NA(),Inputs!$C$30+Inputs!$B$12*Inputs!$B$5*$A5^2/(Inputs!$D$30^2*Inputs!$H$30^4*Inputs!$I$30^2)+Inputs!$G$30*$A5^Inputs!$B$11-Distribution!$B$3)</f>
        <v/>
      </c>
      <c r="J5" s="11">
        <f>IF(Inputs!$D$31=0,NA(),Inputs!$C$31+Inputs!$B$12*Inputs!$B$5*$A5^2/(Inputs!$D$31^2*Inputs!$H$31^4*Inputs!$I$31^2)+Inputs!$G$31*$A5^Inputs!$B$11-Distribution!$B$3)</f>
        <v/>
      </c>
      <c r="K5" s="11">
        <f>IF(Inputs!$D$32=0,NA(),Inputs!$C$32+Inputs!$B$12*Inputs!$B$5*$A5^2/(Inputs!$D$32^2*Inputs!$H$32^4*Inputs!$I$32^2)+Inputs!$G$32*$A5^Inputs!$B$11-Distribution!$B$3)</f>
        <v/>
      </c>
      <c r="L5" s="11">
        <f>IF(Inputs!$D$33=0,NA(),Inputs!$C$33+Inputs!$B$12*Inputs!$B$5*$A5^2/(Inputs!$D$33^2*Inputs!$H$33^4*Inputs!$I$33^2)+Inputs!$G$33*$A5^Inputs!$B$11-Distribution!$B$3)</f>
        <v/>
      </c>
      <c r="M5" s="11">
        <f>IF(Inputs!$D$34=0,NA(),Inputs!$C$34+Inputs!$B$12*Inputs!$B$5*$A5^2/(Inputs!$D$34^2*Inputs!$H$34^4*Inputs!$I$34^2)+Inputs!$G$34*$A5^Inputs!$B$11-Distribution!$B$3)</f>
        <v/>
      </c>
      <c r="N5" s="11">
        <f>Distribution!$B$9-Distribution!$B$3</f>
        <v/>
      </c>
      <c r="O5" s="11">
        <f>IF(Inputs!D23&gt;0,Distribution!H4,NA())</f>
        <v/>
      </c>
      <c r="P5" s="11">
        <f>IF(Inputs!D23&gt;0,Distribution!$B$9-Distribution!$B$3,NA())</f>
        <v/>
      </c>
    </row>
    <row r="6">
      <c r="A6" s="11">
        <f>2.2*Inputs!$B$20*1/100</f>
        <v/>
      </c>
      <c r="B6" s="11">
        <f>IF(Inputs!$D$23=0,NA(),Inputs!$C$23+Inputs!$B$12*Inputs!$B$5*$A6^2/(Inputs!$D$23^2*Inputs!$H$23^4*Inputs!$I$23^2)+Inputs!$G$23*$A6^Inputs!$B$11-Distribution!$B$3)</f>
        <v/>
      </c>
      <c r="C6" s="11">
        <f>IF(Inputs!$D$24=0,NA(),Inputs!$C$24+Inputs!$B$12*Inputs!$B$5*$A6^2/(Inputs!$D$24^2*Inputs!$H$24^4*Inputs!$I$24^2)+Inputs!$G$24*$A6^Inputs!$B$11-Distribution!$B$3)</f>
        <v/>
      </c>
      <c r="D6" s="11">
        <f>IF(Inputs!$D$25=0,NA(),Inputs!$C$25+Inputs!$B$12*Inputs!$B$5*$A6^2/(Inputs!$D$25^2*Inputs!$H$25^4*Inputs!$I$25^2)+Inputs!$G$25*$A6^Inputs!$B$11-Distribution!$B$3)</f>
        <v/>
      </c>
      <c r="E6" s="11">
        <f>IF(Inputs!$D$26=0,NA(),Inputs!$C$26+Inputs!$B$12*Inputs!$B$5*$A6^2/(Inputs!$D$26^2*Inputs!$H$26^4*Inputs!$I$26^2)+Inputs!$G$26*$A6^Inputs!$B$11-Distribution!$B$3)</f>
        <v/>
      </c>
      <c r="F6" s="11">
        <f>IF(Inputs!$D$27=0,NA(),Inputs!$C$27+Inputs!$B$12*Inputs!$B$5*$A6^2/(Inputs!$D$27^2*Inputs!$H$27^4*Inputs!$I$27^2)+Inputs!$G$27*$A6^Inputs!$B$11-Distribution!$B$3)</f>
        <v/>
      </c>
      <c r="G6" s="11">
        <f>IF(Inputs!$D$28=0,NA(),Inputs!$C$28+Inputs!$B$12*Inputs!$B$5*$A6^2/(Inputs!$D$28^2*Inputs!$H$28^4*Inputs!$I$28^2)+Inputs!$G$28*$A6^Inputs!$B$11-Distribution!$B$3)</f>
        <v/>
      </c>
      <c r="H6" s="11">
        <f>IF(Inputs!$D$29=0,NA(),Inputs!$C$29+Inputs!$B$12*Inputs!$B$5*$A6^2/(Inputs!$D$29^2*Inputs!$H$29^4*Inputs!$I$29^2)+Inputs!$G$29*$A6^Inputs!$B$11-Distribution!$B$3)</f>
        <v/>
      </c>
      <c r="I6" s="11">
        <f>IF(Inputs!$D$30=0,NA(),Inputs!$C$30+Inputs!$B$12*Inputs!$B$5*$A6^2/(Inputs!$D$30^2*Inputs!$H$30^4*Inputs!$I$30^2)+Inputs!$G$30*$A6^Inputs!$B$11-Distribution!$B$3)</f>
        <v/>
      </c>
      <c r="J6" s="11">
        <f>IF(Inputs!$D$31=0,NA(),Inputs!$C$31+Inputs!$B$12*Inputs!$B$5*$A6^2/(Inputs!$D$31^2*Inputs!$H$31^4*Inputs!$I$31^2)+Inputs!$G$31*$A6^Inputs!$B$11-Distribution!$B$3)</f>
        <v/>
      </c>
      <c r="K6" s="11">
        <f>IF(Inputs!$D$32=0,NA(),Inputs!$C$32+Inputs!$B$12*Inputs!$B$5*$A6^2/(Inputs!$D$32^2*Inputs!$H$32^4*Inputs!$I$32^2)+Inputs!$G$32*$A6^Inputs!$B$11-Distribution!$B$3)</f>
        <v/>
      </c>
      <c r="L6" s="11">
        <f>IF(Inputs!$D$33=0,NA(),Inputs!$C$33+Inputs!$B$12*Inputs!$B$5*$A6^2/(Inputs!$D$33^2*Inputs!$H$33^4*Inputs!$I$33^2)+Inputs!$G$33*$A6^Inputs!$B$11-Distribution!$B$3)</f>
        <v/>
      </c>
      <c r="M6" s="11">
        <f>IF(Inputs!$D$34=0,NA(),Inputs!$C$34+Inputs!$B$12*Inputs!$B$5*$A6^2/(Inputs!$D$34^2*Inputs!$H$34^4*Inputs!$I$34^2)+Inputs!$G$34*$A6^Inputs!$B$11-Distribution!$B$3)</f>
        <v/>
      </c>
      <c r="N6" s="11">
        <f>Distribution!$B$9-Distribution!$B$3</f>
        <v/>
      </c>
      <c r="O6" s="11">
        <f>IF(Inputs!D24&gt;0,Distribution!H5,NA())</f>
        <v/>
      </c>
      <c r="P6" s="11">
        <f>IF(Inputs!D24&gt;0,Distribution!$B$9-Distribution!$B$3,NA())</f>
        <v/>
      </c>
    </row>
    <row r="7">
      <c r="A7" s="11">
        <f>2.2*Inputs!$B$20*2/100</f>
        <v/>
      </c>
      <c r="B7" s="11">
        <f>IF(Inputs!$D$23=0,NA(),Inputs!$C$23+Inputs!$B$12*Inputs!$B$5*$A7^2/(Inputs!$D$23^2*Inputs!$H$23^4*Inputs!$I$23^2)+Inputs!$G$23*$A7^Inputs!$B$11-Distribution!$B$3)</f>
        <v/>
      </c>
      <c r="C7" s="11">
        <f>IF(Inputs!$D$24=0,NA(),Inputs!$C$24+Inputs!$B$12*Inputs!$B$5*$A7^2/(Inputs!$D$24^2*Inputs!$H$24^4*Inputs!$I$24^2)+Inputs!$G$24*$A7^Inputs!$B$11-Distribution!$B$3)</f>
        <v/>
      </c>
      <c r="D7" s="11">
        <f>IF(Inputs!$D$25=0,NA(),Inputs!$C$25+Inputs!$B$12*Inputs!$B$5*$A7^2/(Inputs!$D$25^2*Inputs!$H$25^4*Inputs!$I$25^2)+Inputs!$G$25*$A7^Inputs!$B$11-Distribution!$B$3)</f>
        <v/>
      </c>
      <c r="E7" s="11">
        <f>IF(Inputs!$D$26=0,NA(),Inputs!$C$26+Inputs!$B$12*Inputs!$B$5*$A7^2/(Inputs!$D$26^2*Inputs!$H$26^4*Inputs!$I$26^2)+Inputs!$G$26*$A7^Inputs!$B$11-Distribution!$B$3)</f>
        <v/>
      </c>
      <c r="F7" s="11">
        <f>IF(Inputs!$D$27=0,NA(),Inputs!$C$27+Inputs!$B$12*Inputs!$B$5*$A7^2/(Inputs!$D$27^2*Inputs!$H$27^4*Inputs!$I$27^2)+Inputs!$G$27*$A7^Inputs!$B$11-Distribution!$B$3)</f>
        <v/>
      </c>
      <c r="G7" s="11">
        <f>IF(Inputs!$D$28=0,NA(),Inputs!$C$28+Inputs!$B$12*Inputs!$B$5*$A7^2/(Inputs!$D$28^2*Inputs!$H$28^4*Inputs!$I$28^2)+Inputs!$G$28*$A7^Inputs!$B$11-Distribution!$B$3)</f>
        <v/>
      </c>
      <c r="H7" s="11">
        <f>IF(Inputs!$D$29=0,NA(),Inputs!$C$29+Inputs!$B$12*Inputs!$B$5*$A7^2/(Inputs!$D$29^2*Inputs!$H$29^4*Inputs!$I$29^2)+Inputs!$G$29*$A7^Inputs!$B$11-Distribution!$B$3)</f>
        <v/>
      </c>
      <c r="I7" s="11">
        <f>IF(Inputs!$D$30=0,NA(),Inputs!$C$30+Inputs!$B$12*Inputs!$B$5*$A7^2/(Inputs!$D$30^2*Inputs!$H$30^4*Inputs!$I$30^2)+Inputs!$G$30*$A7^Inputs!$B$11-Distribution!$B$3)</f>
        <v/>
      </c>
      <c r="J7" s="11">
        <f>IF(Inputs!$D$31=0,NA(),Inputs!$C$31+Inputs!$B$12*Inputs!$B$5*$A7^2/(Inputs!$D$31^2*Inputs!$H$31^4*Inputs!$I$31^2)+Inputs!$G$31*$A7^Inputs!$B$11-Distribution!$B$3)</f>
        <v/>
      </c>
      <c r="K7" s="11">
        <f>IF(Inputs!$D$32=0,NA(),Inputs!$C$32+Inputs!$B$12*Inputs!$B$5*$A7^2/(Inputs!$D$32^2*Inputs!$H$32^4*Inputs!$I$32^2)+Inputs!$G$32*$A7^Inputs!$B$11-Distribution!$B$3)</f>
        <v/>
      </c>
      <c r="L7" s="11">
        <f>IF(Inputs!$D$33=0,NA(),Inputs!$C$33+Inputs!$B$12*Inputs!$B$5*$A7^2/(Inputs!$D$33^2*Inputs!$H$33^4*Inputs!$I$33^2)+Inputs!$G$33*$A7^Inputs!$B$11-Distribution!$B$3)</f>
        <v/>
      </c>
      <c r="M7" s="11">
        <f>IF(Inputs!$D$34=0,NA(),Inputs!$C$34+Inputs!$B$12*Inputs!$B$5*$A7^2/(Inputs!$D$34^2*Inputs!$H$34^4*Inputs!$I$34^2)+Inputs!$G$34*$A7^Inputs!$B$11-Distribution!$B$3)</f>
        <v/>
      </c>
      <c r="N7" s="11">
        <f>Distribution!$B$9-Distribution!$B$3</f>
        <v/>
      </c>
      <c r="O7" s="11">
        <f>IF(Inputs!D25&gt;0,Distribution!H6,NA())</f>
        <v/>
      </c>
      <c r="P7" s="11">
        <f>IF(Inputs!D25&gt;0,Distribution!$B$9-Distribution!$B$3,NA())</f>
        <v/>
      </c>
    </row>
    <row r="8">
      <c r="A8" s="11">
        <f>2.2*Inputs!$B$20*3/100</f>
        <v/>
      </c>
      <c r="B8" s="11">
        <f>IF(Inputs!$D$23=0,NA(),Inputs!$C$23+Inputs!$B$12*Inputs!$B$5*$A8^2/(Inputs!$D$23^2*Inputs!$H$23^4*Inputs!$I$23^2)+Inputs!$G$23*$A8^Inputs!$B$11-Distribution!$B$3)</f>
        <v/>
      </c>
      <c r="C8" s="11">
        <f>IF(Inputs!$D$24=0,NA(),Inputs!$C$24+Inputs!$B$12*Inputs!$B$5*$A8^2/(Inputs!$D$24^2*Inputs!$H$24^4*Inputs!$I$24^2)+Inputs!$G$24*$A8^Inputs!$B$11-Distribution!$B$3)</f>
        <v/>
      </c>
      <c r="D8" s="11">
        <f>IF(Inputs!$D$25=0,NA(),Inputs!$C$25+Inputs!$B$12*Inputs!$B$5*$A8^2/(Inputs!$D$25^2*Inputs!$H$25^4*Inputs!$I$25^2)+Inputs!$G$25*$A8^Inputs!$B$11-Distribution!$B$3)</f>
        <v/>
      </c>
      <c r="E8" s="11">
        <f>IF(Inputs!$D$26=0,NA(),Inputs!$C$26+Inputs!$B$12*Inputs!$B$5*$A8^2/(Inputs!$D$26^2*Inputs!$H$26^4*Inputs!$I$26^2)+Inputs!$G$26*$A8^Inputs!$B$11-Distribution!$B$3)</f>
        <v/>
      </c>
      <c r="F8" s="11">
        <f>IF(Inputs!$D$27=0,NA(),Inputs!$C$27+Inputs!$B$12*Inputs!$B$5*$A8^2/(Inputs!$D$27^2*Inputs!$H$27^4*Inputs!$I$27^2)+Inputs!$G$27*$A8^Inputs!$B$11-Distribution!$B$3)</f>
        <v/>
      </c>
      <c r="G8" s="11">
        <f>IF(Inputs!$D$28=0,NA(),Inputs!$C$28+Inputs!$B$12*Inputs!$B$5*$A8^2/(Inputs!$D$28^2*Inputs!$H$28^4*Inputs!$I$28^2)+Inputs!$G$28*$A8^Inputs!$B$11-Distribution!$B$3)</f>
        <v/>
      </c>
      <c r="H8" s="11">
        <f>IF(Inputs!$D$29=0,NA(),Inputs!$C$29+Inputs!$B$12*Inputs!$B$5*$A8^2/(Inputs!$D$29^2*Inputs!$H$29^4*Inputs!$I$29^2)+Inputs!$G$29*$A8^Inputs!$B$11-Distribution!$B$3)</f>
        <v/>
      </c>
      <c r="I8" s="11">
        <f>IF(Inputs!$D$30=0,NA(),Inputs!$C$30+Inputs!$B$12*Inputs!$B$5*$A8^2/(Inputs!$D$30^2*Inputs!$H$30^4*Inputs!$I$30^2)+Inputs!$G$30*$A8^Inputs!$B$11-Distribution!$B$3)</f>
        <v/>
      </c>
      <c r="J8" s="11">
        <f>IF(Inputs!$D$31=0,NA(),Inputs!$C$31+Inputs!$B$12*Inputs!$B$5*$A8^2/(Inputs!$D$31^2*Inputs!$H$31^4*Inputs!$I$31^2)+Inputs!$G$31*$A8^Inputs!$B$11-Distribution!$B$3)</f>
        <v/>
      </c>
      <c r="K8" s="11">
        <f>IF(Inputs!$D$32=0,NA(),Inputs!$C$32+Inputs!$B$12*Inputs!$B$5*$A8^2/(Inputs!$D$32^2*Inputs!$H$32^4*Inputs!$I$32^2)+Inputs!$G$32*$A8^Inputs!$B$11-Distribution!$B$3)</f>
        <v/>
      </c>
      <c r="L8" s="11">
        <f>IF(Inputs!$D$33=0,NA(),Inputs!$C$33+Inputs!$B$12*Inputs!$B$5*$A8^2/(Inputs!$D$33^2*Inputs!$H$33^4*Inputs!$I$33^2)+Inputs!$G$33*$A8^Inputs!$B$11-Distribution!$B$3)</f>
        <v/>
      </c>
      <c r="M8" s="11">
        <f>IF(Inputs!$D$34=0,NA(),Inputs!$C$34+Inputs!$B$12*Inputs!$B$5*$A8^2/(Inputs!$D$34^2*Inputs!$H$34^4*Inputs!$I$34^2)+Inputs!$G$34*$A8^Inputs!$B$11-Distribution!$B$3)</f>
        <v/>
      </c>
      <c r="N8" s="11">
        <f>Distribution!$B$9-Distribution!$B$3</f>
        <v/>
      </c>
      <c r="O8" s="11">
        <f>IF(Inputs!D26&gt;0,Distribution!H7,NA())</f>
        <v/>
      </c>
      <c r="P8" s="11">
        <f>IF(Inputs!D26&gt;0,Distribution!$B$9-Distribution!$B$3,NA())</f>
        <v/>
      </c>
    </row>
    <row r="9">
      <c r="A9" s="11">
        <f>2.2*Inputs!$B$20*4/100</f>
        <v/>
      </c>
      <c r="B9" s="11">
        <f>IF(Inputs!$D$23=0,NA(),Inputs!$C$23+Inputs!$B$12*Inputs!$B$5*$A9^2/(Inputs!$D$23^2*Inputs!$H$23^4*Inputs!$I$23^2)+Inputs!$G$23*$A9^Inputs!$B$11-Distribution!$B$3)</f>
        <v/>
      </c>
      <c r="C9" s="11">
        <f>IF(Inputs!$D$24=0,NA(),Inputs!$C$24+Inputs!$B$12*Inputs!$B$5*$A9^2/(Inputs!$D$24^2*Inputs!$H$24^4*Inputs!$I$24^2)+Inputs!$G$24*$A9^Inputs!$B$11-Distribution!$B$3)</f>
        <v/>
      </c>
      <c r="D9" s="11">
        <f>IF(Inputs!$D$25=0,NA(),Inputs!$C$25+Inputs!$B$12*Inputs!$B$5*$A9^2/(Inputs!$D$25^2*Inputs!$H$25^4*Inputs!$I$25^2)+Inputs!$G$25*$A9^Inputs!$B$11-Distribution!$B$3)</f>
        <v/>
      </c>
      <c r="E9" s="11">
        <f>IF(Inputs!$D$26=0,NA(),Inputs!$C$26+Inputs!$B$12*Inputs!$B$5*$A9^2/(Inputs!$D$26^2*Inputs!$H$26^4*Inputs!$I$26^2)+Inputs!$G$26*$A9^Inputs!$B$11-Distribution!$B$3)</f>
        <v/>
      </c>
      <c r="F9" s="11">
        <f>IF(Inputs!$D$27=0,NA(),Inputs!$C$27+Inputs!$B$12*Inputs!$B$5*$A9^2/(Inputs!$D$27^2*Inputs!$H$27^4*Inputs!$I$27^2)+Inputs!$G$27*$A9^Inputs!$B$11-Distribution!$B$3)</f>
        <v/>
      </c>
      <c r="G9" s="11">
        <f>IF(Inputs!$D$28=0,NA(),Inputs!$C$28+Inputs!$B$12*Inputs!$B$5*$A9^2/(Inputs!$D$28^2*Inputs!$H$28^4*Inputs!$I$28^2)+Inputs!$G$28*$A9^Inputs!$B$11-Distribution!$B$3)</f>
        <v/>
      </c>
      <c r="H9" s="11">
        <f>IF(Inputs!$D$29=0,NA(),Inputs!$C$29+Inputs!$B$12*Inputs!$B$5*$A9^2/(Inputs!$D$29^2*Inputs!$H$29^4*Inputs!$I$29^2)+Inputs!$G$29*$A9^Inputs!$B$11-Distribution!$B$3)</f>
        <v/>
      </c>
      <c r="I9" s="11">
        <f>IF(Inputs!$D$30=0,NA(),Inputs!$C$30+Inputs!$B$12*Inputs!$B$5*$A9^2/(Inputs!$D$30^2*Inputs!$H$30^4*Inputs!$I$30^2)+Inputs!$G$30*$A9^Inputs!$B$11-Distribution!$B$3)</f>
        <v/>
      </c>
      <c r="J9" s="11">
        <f>IF(Inputs!$D$31=0,NA(),Inputs!$C$31+Inputs!$B$12*Inputs!$B$5*$A9^2/(Inputs!$D$31^2*Inputs!$H$31^4*Inputs!$I$31^2)+Inputs!$G$31*$A9^Inputs!$B$11-Distribution!$B$3)</f>
        <v/>
      </c>
      <c r="K9" s="11">
        <f>IF(Inputs!$D$32=0,NA(),Inputs!$C$32+Inputs!$B$12*Inputs!$B$5*$A9^2/(Inputs!$D$32^2*Inputs!$H$32^4*Inputs!$I$32^2)+Inputs!$G$32*$A9^Inputs!$B$11-Distribution!$B$3)</f>
        <v/>
      </c>
      <c r="L9" s="11">
        <f>IF(Inputs!$D$33=0,NA(),Inputs!$C$33+Inputs!$B$12*Inputs!$B$5*$A9^2/(Inputs!$D$33^2*Inputs!$H$33^4*Inputs!$I$33^2)+Inputs!$G$33*$A9^Inputs!$B$11-Distribution!$B$3)</f>
        <v/>
      </c>
      <c r="M9" s="11">
        <f>IF(Inputs!$D$34=0,NA(),Inputs!$C$34+Inputs!$B$12*Inputs!$B$5*$A9^2/(Inputs!$D$34^2*Inputs!$H$34^4*Inputs!$I$34^2)+Inputs!$G$34*$A9^Inputs!$B$11-Distribution!$B$3)</f>
        <v/>
      </c>
      <c r="N9" s="11">
        <f>Distribution!$B$9-Distribution!$B$3</f>
        <v/>
      </c>
      <c r="O9" s="11">
        <f>IF(Inputs!D27&gt;0,Distribution!H8,NA())</f>
        <v/>
      </c>
      <c r="P9" s="11">
        <f>IF(Inputs!D27&gt;0,Distribution!$B$9-Distribution!$B$3,NA())</f>
        <v/>
      </c>
    </row>
    <row r="10">
      <c r="A10" s="11">
        <f>2.2*Inputs!$B$20*5/100</f>
        <v/>
      </c>
      <c r="B10" s="11">
        <f>IF(Inputs!$D$23=0,NA(),Inputs!$C$23+Inputs!$B$12*Inputs!$B$5*$A10^2/(Inputs!$D$23^2*Inputs!$H$23^4*Inputs!$I$23^2)+Inputs!$G$23*$A10^Inputs!$B$11-Distribution!$B$3)</f>
        <v/>
      </c>
      <c r="C10" s="11">
        <f>IF(Inputs!$D$24=0,NA(),Inputs!$C$24+Inputs!$B$12*Inputs!$B$5*$A10^2/(Inputs!$D$24^2*Inputs!$H$24^4*Inputs!$I$24^2)+Inputs!$G$24*$A10^Inputs!$B$11-Distribution!$B$3)</f>
        <v/>
      </c>
      <c r="D10" s="11">
        <f>IF(Inputs!$D$25=0,NA(),Inputs!$C$25+Inputs!$B$12*Inputs!$B$5*$A10^2/(Inputs!$D$25^2*Inputs!$H$25^4*Inputs!$I$25^2)+Inputs!$G$25*$A10^Inputs!$B$11-Distribution!$B$3)</f>
        <v/>
      </c>
      <c r="E10" s="11">
        <f>IF(Inputs!$D$26=0,NA(),Inputs!$C$26+Inputs!$B$12*Inputs!$B$5*$A10^2/(Inputs!$D$26^2*Inputs!$H$26^4*Inputs!$I$26^2)+Inputs!$G$26*$A10^Inputs!$B$11-Distribution!$B$3)</f>
        <v/>
      </c>
      <c r="F10" s="11">
        <f>IF(Inputs!$D$27=0,NA(),Inputs!$C$27+Inputs!$B$12*Inputs!$B$5*$A10^2/(Inputs!$D$27^2*Inputs!$H$27^4*Inputs!$I$27^2)+Inputs!$G$27*$A10^Inputs!$B$11-Distribution!$B$3)</f>
        <v/>
      </c>
      <c r="G10" s="11">
        <f>IF(Inputs!$D$28=0,NA(),Inputs!$C$28+Inputs!$B$12*Inputs!$B$5*$A10^2/(Inputs!$D$28^2*Inputs!$H$28^4*Inputs!$I$28^2)+Inputs!$G$28*$A10^Inputs!$B$11-Distribution!$B$3)</f>
        <v/>
      </c>
      <c r="H10" s="11">
        <f>IF(Inputs!$D$29=0,NA(),Inputs!$C$29+Inputs!$B$12*Inputs!$B$5*$A10^2/(Inputs!$D$29^2*Inputs!$H$29^4*Inputs!$I$29^2)+Inputs!$G$29*$A10^Inputs!$B$11-Distribution!$B$3)</f>
        <v/>
      </c>
      <c r="I10" s="11">
        <f>IF(Inputs!$D$30=0,NA(),Inputs!$C$30+Inputs!$B$12*Inputs!$B$5*$A10^2/(Inputs!$D$30^2*Inputs!$H$30^4*Inputs!$I$30^2)+Inputs!$G$30*$A10^Inputs!$B$11-Distribution!$B$3)</f>
        <v/>
      </c>
      <c r="J10" s="11">
        <f>IF(Inputs!$D$31=0,NA(),Inputs!$C$31+Inputs!$B$12*Inputs!$B$5*$A10^2/(Inputs!$D$31^2*Inputs!$H$31^4*Inputs!$I$31^2)+Inputs!$G$31*$A10^Inputs!$B$11-Distribution!$B$3)</f>
        <v/>
      </c>
      <c r="K10" s="11">
        <f>IF(Inputs!$D$32=0,NA(),Inputs!$C$32+Inputs!$B$12*Inputs!$B$5*$A10^2/(Inputs!$D$32^2*Inputs!$H$32^4*Inputs!$I$32^2)+Inputs!$G$32*$A10^Inputs!$B$11-Distribution!$B$3)</f>
        <v/>
      </c>
      <c r="L10" s="11">
        <f>IF(Inputs!$D$33=0,NA(),Inputs!$C$33+Inputs!$B$12*Inputs!$B$5*$A10^2/(Inputs!$D$33^2*Inputs!$H$33^4*Inputs!$I$33^2)+Inputs!$G$33*$A10^Inputs!$B$11-Distribution!$B$3)</f>
        <v/>
      </c>
      <c r="M10" s="11">
        <f>IF(Inputs!$D$34=0,NA(),Inputs!$C$34+Inputs!$B$12*Inputs!$B$5*$A10^2/(Inputs!$D$34^2*Inputs!$H$34^4*Inputs!$I$34^2)+Inputs!$G$34*$A10^Inputs!$B$11-Distribution!$B$3)</f>
        <v/>
      </c>
      <c r="N10" s="11">
        <f>Distribution!$B$9-Distribution!$B$3</f>
        <v/>
      </c>
      <c r="O10" s="11">
        <f>IF(Inputs!D28&gt;0,Distribution!H9,NA())</f>
        <v/>
      </c>
      <c r="P10" s="11">
        <f>IF(Inputs!D28&gt;0,Distribution!$B$9-Distribution!$B$3,NA())</f>
        <v/>
      </c>
    </row>
    <row r="11">
      <c r="A11" s="11">
        <f>2.2*Inputs!$B$20*6/100</f>
        <v/>
      </c>
      <c r="B11" s="11">
        <f>IF(Inputs!$D$23=0,NA(),Inputs!$C$23+Inputs!$B$12*Inputs!$B$5*$A11^2/(Inputs!$D$23^2*Inputs!$H$23^4*Inputs!$I$23^2)+Inputs!$G$23*$A11^Inputs!$B$11-Distribution!$B$3)</f>
        <v/>
      </c>
      <c r="C11" s="11">
        <f>IF(Inputs!$D$24=0,NA(),Inputs!$C$24+Inputs!$B$12*Inputs!$B$5*$A11^2/(Inputs!$D$24^2*Inputs!$H$24^4*Inputs!$I$24^2)+Inputs!$G$24*$A11^Inputs!$B$11-Distribution!$B$3)</f>
        <v/>
      </c>
      <c r="D11" s="11">
        <f>IF(Inputs!$D$25=0,NA(),Inputs!$C$25+Inputs!$B$12*Inputs!$B$5*$A11^2/(Inputs!$D$25^2*Inputs!$H$25^4*Inputs!$I$25^2)+Inputs!$G$25*$A11^Inputs!$B$11-Distribution!$B$3)</f>
        <v/>
      </c>
      <c r="E11" s="11">
        <f>IF(Inputs!$D$26=0,NA(),Inputs!$C$26+Inputs!$B$12*Inputs!$B$5*$A11^2/(Inputs!$D$26^2*Inputs!$H$26^4*Inputs!$I$26^2)+Inputs!$G$26*$A11^Inputs!$B$11-Distribution!$B$3)</f>
        <v/>
      </c>
      <c r="F11" s="11">
        <f>IF(Inputs!$D$27=0,NA(),Inputs!$C$27+Inputs!$B$12*Inputs!$B$5*$A11^2/(Inputs!$D$27^2*Inputs!$H$27^4*Inputs!$I$27^2)+Inputs!$G$27*$A11^Inputs!$B$11-Distribution!$B$3)</f>
        <v/>
      </c>
      <c r="G11" s="11">
        <f>IF(Inputs!$D$28=0,NA(),Inputs!$C$28+Inputs!$B$12*Inputs!$B$5*$A11^2/(Inputs!$D$28^2*Inputs!$H$28^4*Inputs!$I$28^2)+Inputs!$G$28*$A11^Inputs!$B$11-Distribution!$B$3)</f>
        <v/>
      </c>
      <c r="H11" s="11">
        <f>IF(Inputs!$D$29=0,NA(),Inputs!$C$29+Inputs!$B$12*Inputs!$B$5*$A11^2/(Inputs!$D$29^2*Inputs!$H$29^4*Inputs!$I$29^2)+Inputs!$G$29*$A11^Inputs!$B$11-Distribution!$B$3)</f>
        <v/>
      </c>
      <c r="I11" s="11">
        <f>IF(Inputs!$D$30=0,NA(),Inputs!$C$30+Inputs!$B$12*Inputs!$B$5*$A11^2/(Inputs!$D$30^2*Inputs!$H$30^4*Inputs!$I$30^2)+Inputs!$G$30*$A11^Inputs!$B$11-Distribution!$B$3)</f>
        <v/>
      </c>
      <c r="J11" s="11">
        <f>IF(Inputs!$D$31=0,NA(),Inputs!$C$31+Inputs!$B$12*Inputs!$B$5*$A11^2/(Inputs!$D$31^2*Inputs!$H$31^4*Inputs!$I$31^2)+Inputs!$G$31*$A11^Inputs!$B$11-Distribution!$B$3)</f>
        <v/>
      </c>
      <c r="K11" s="11">
        <f>IF(Inputs!$D$32=0,NA(),Inputs!$C$32+Inputs!$B$12*Inputs!$B$5*$A11^2/(Inputs!$D$32^2*Inputs!$H$32^4*Inputs!$I$32^2)+Inputs!$G$32*$A11^Inputs!$B$11-Distribution!$B$3)</f>
        <v/>
      </c>
      <c r="L11" s="11">
        <f>IF(Inputs!$D$33=0,NA(),Inputs!$C$33+Inputs!$B$12*Inputs!$B$5*$A11^2/(Inputs!$D$33^2*Inputs!$H$33^4*Inputs!$I$33^2)+Inputs!$G$33*$A11^Inputs!$B$11-Distribution!$B$3)</f>
        <v/>
      </c>
      <c r="M11" s="11">
        <f>IF(Inputs!$D$34=0,NA(),Inputs!$C$34+Inputs!$B$12*Inputs!$B$5*$A11^2/(Inputs!$D$34^2*Inputs!$H$34^4*Inputs!$I$34^2)+Inputs!$G$34*$A11^Inputs!$B$11-Distribution!$B$3)</f>
        <v/>
      </c>
      <c r="N11" s="11">
        <f>Distribution!$B$9-Distribution!$B$3</f>
        <v/>
      </c>
      <c r="O11" s="11">
        <f>IF(Inputs!D29&gt;0,Distribution!H10,NA())</f>
        <v/>
      </c>
      <c r="P11" s="11">
        <f>IF(Inputs!D29&gt;0,Distribution!$B$9-Distribution!$B$3,NA())</f>
        <v/>
      </c>
    </row>
    <row r="12">
      <c r="A12" s="11">
        <f>2.2*Inputs!$B$20*7/100</f>
        <v/>
      </c>
      <c r="B12" s="11">
        <f>IF(Inputs!$D$23=0,NA(),Inputs!$C$23+Inputs!$B$12*Inputs!$B$5*$A12^2/(Inputs!$D$23^2*Inputs!$H$23^4*Inputs!$I$23^2)+Inputs!$G$23*$A12^Inputs!$B$11-Distribution!$B$3)</f>
        <v/>
      </c>
      <c r="C12" s="11">
        <f>IF(Inputs!$D$24=0,NA(),Inputs!$C$24+Inputs!$B$12*Inputs!$B$5*$A12^2/(Inputs!$D$24^2*Inputs!$H$24^4*Inputs!$I$24^2)+Inputs!$G$24*$A12^Inputs!$B$11-Distribution!$B$3)</f>
        <v/>
      </c>
      <c r="D12" s="11">
        <f>IF(Inputs!$D$25=0,NA(),Inputs!$C$25+Inputs!$B$12*Inputs!$B$5*$A12^2/(Inputs!$D$25^2*Inputs!$H$25^4*Inputs!$I$25^2)+Inputs!$G$25*$A12^Inputs!$B$11-Distribution!$B$3)</f>
        <v/>
      </c>
      <c r="E12" s="11">
        <f>IF(Inputs!$D$26=0,NA(),Inputs!$C$26+Inputs!$B$12*Inputs!$B$5*$A12^2/(Inputs!$D$26^2*Inputs!$H$26^4*Inputs!$I$26^2)+Inputs!$G$26*$A12^Inputs!$B$11-Distribution!$B$3)</f>
        <v/>
      </c>
      <c r="F12" s="11">
        <f>IF(Inputs!$D$27=0,NA(),Inputs!$C$27+Inputs!$B$12*Inputs!$B$5*$A12^2/(Inputs!$D$27^2*Inputs!$H$27^4*Inputs!$I$27^2)+Inputs!$G$27*$A12^Inputs!$B$11-Distribution!$B$3)</f>
        <v/>
      </c>
      <c r="G12" s="11">
        <f>IF(Inputs!$D$28=0,NA(),Inputs!$C$28+Inputs!$B$12*Inputs!$B$5*$A12^2/(Inputs!$D$28^2*Inputs!$H$28^4*Inputs!$I$28^2)+Inputs!$G$28*$A12^Inputs!$B$11-Distribution!$B$3)</f>
        <v/>
      </c>
      <c r="H12" s="11">
        <f>IF(Inputs!$D$29=0,NA(),Inputs!$C$29+Inputs!$B$12*Inputs!$B$5*$A12^2/(Inputs!$D$29^2*Inputs!$H$29^4*Inputs!$I$29^2)+Inputs!$G$29*$A12^Inputs!$B$11-Distribution!$B$3)</f>
        <v/>
      </c>
      <c r="I12" s="11">
        <f>IF(Inputs!$D$30=0,NA(),Inputs!$C$30+Inputs!$B$12*Inputs!$B$5*$A12^2/(Inputs!$D$30^2*Inputs!$H$30^4*Inputs!$I$30^2)+Inputs!$G$30*$A12^Inputs!$B$11-Distribution!$B$3)</f>
        <v/>
      </c>
      <c r="J12" s="11">
        <f>IF(Inputs!$D$31=0,NA(),Inputs!$C$31+Inputs!$B$12*Inputs!$B$5*$A12^2/(Inputs!$D$31^2*Inputs!$H$31^4*Inputs!$I$31^2)+Inputs!$G$31*$A12^Inputs!$B$11-Distribution!$B$3)</f>
        <v/>
      </c>
      <c r="K12" s="11">
        <f>IF(Inputs!$D$32=0,NA(),Inputs!$C$32+Inputs!$B$12*Inputs!$B$5*$A12^2/(Inputs!$D$32^2*Inputs!$H$32^4*Inputs!$I$32^2)+Inputs!$G$32*$A12^Inputs!$B$11-Distribution!$B$3)</f>
        <v/>
      </c>
      <c r="L12" s="11">
        <f>IF(Inputs!$D$33=0,NA(),Inputs!$C$33+Inputs!$B$12*Inputs!$B$5*$A12^2/(Inputs!$D$33^2*Inputs!$H$33^4*Inputs!$I$33^2)+Inputs!$G$33*$A12^Inputs!$B$11-Distribution!$B$3)</f>
        <v/>
      </c>
      <c r="M12" s="11">
        <f>IF(Inputs!$D$34=0,NA(),Inputs!$C$34+Inputs!$B$12*Inputs!$B$5*$A12^2/(Inputs!$D$34^2*Inputs!$H$34^4*Inputs!$I$34^2)+Inputs!$G$34*$A12^Inputs!$B$11-Distribution!$B$3)</f>
        <v/>
      </c>
      <c r="N12" s="11">
        <f>Distribution!$B$9-Distribution!$B$3</f>
        <v/>
      </c>
      <c r="O12" s="11">
        <f>IF(Inputs!D30&gt;0,Distribution!H11,NA())</f>
        <v/>
      </c>
      <c r="P12" s="11">
        <f>IF(Inputs!D30&gt;0,Distribution!$B$9-Distribution!$B$3,NA())</f>
        <v/>
      </c>
    </row>
    <row r="13">
      <c r="A13" s="11">
        <f>2.2*Inputs!$B$20*8/100</f>
        <v/>
      </c>
      <c r="B13" s="11">
        <f>IF(Inputs!$D$23=0,NA(),Inputs!$C$23+Inputs!$B$12*Inputs!$B$5*$A13^2/(Inputs!$D$23^2*Inputs!$H$23^4*Inputs!$I$23^2)+Inputs!$G$23*$A13^Inputs!$B$11-Distribution!$B$3)</f>
        <v/>
      </c>
      <c r="C13" s="11">
        <f>IF(Inputs!$D$24=0,NA(),Inputs!$C$24+Inputs!$B$12*Inputs!$B$5*$A13^2/(Inputs!$D$24^2*Inputs!$H$24^4*Inputs!$I$24^2)+Inputs!$G$24*$A13^Inputs!$B$11-Distribution!$B$3)</f>
        <v/>
      </c>
      <c r="D13" s="11">
        <f>IF(Inputs!$D$25=0,NA(),Inputs!$C$25+Inputs!$B$12*Inputs!$B$5*$A13^2/(Inputs!$D$25^2*Inputs!$H$25^4*Inputs!$I$25^2)+Inputs!$G$25*$A13^Inputs!$B$11-Distribution!$B$3)</f>
        <v/>
      </c>
      <c r="E13" s="11">
        <f>IF(Inputs!$D$26=0,NA(),Inputs!$C$26+Inputs!$B$12*Inputs!$B$5*$A13^2/(Inputs!$D$26^2*Inputs!$H$26^4*Inputs!$I$26^2)+Inputs!$G$26*$A13^Inputs!$B$11-Distribution!$B$3)</f>
        <v/>
      </c>
      <c r="F13" s="11">
        <f>IF(Inputs!$D$27=0,NA(),Inputs!$C$27+Inputs!$B$12*Inputs!$B$5*$A13^2/(Inputs!$D$27^2*Inputs!$H$27^4*Inputs!$I$27^2)+Inputs!$G$27*$A13^Inputs!$B$11-Distribution!$B$3)</f>
        <v/>
      </c>
      <c r="G13" s="11">
        <f>IF(Inputs!$D$28=0,NA(),Inputs!$C$28+Inputs!$B$12*Inputs!$B$5*$A13^2/(Inputs!$D$28^2*Inputs!$H$28^4*Inputs!$I$28^2)+Inputs!$G$28*$A13^Inputs!$B$11-Distribution!$B$3)</f>
        <v/>
      </c>
      <c r="H13" s="11">
        <f>IF(Inputs!$D$29=0,NA(),Inputs!$C$29+Inputs!$B$12*Inputs!$B$5*$A13^2/(Inputs!$D$29^2*Inputs!$H$29^4*Inputs!$I$29^2)+Inputs!$G$29*$A13^Inputs!$B$11-Distribution!$B$3)</f>
        <v/>
      </c>
      <c r="I13" s="11">
        <f>IF(Inputs!$D$30=0,NA(),Inputs!$C$30+Inputs!$B$12*Inputs!$B$5*$A13^2/(Inputs!$D$30^2*Inputs!$H$30^4*Inputs!$I$30^2)+Inputs!$G$30*$A13^Inputs!$B$11-Distribution!$B$3)</f>
        <v/>
      </c>
      <c r="J13" s="11">
        <f>IF(Inputs!$D$31=0,NA(),Inputs!$C$31+Inputs!$B$12*Inputs!$B$5*$A13^2/(Inputs!$D$31^2*Inputs!$H$31^4*Inputs!$I$31^2)+Inputs!$G$31*$A13^Inputs!$B$11-Distribution!$B$3)</f>
        <v/>
      </c>
      <c r="K13" s="11">
        <f>IF(Inputs!$D$32=0,NA(),Inputs!$C$32+Inputs!$B$12*Inputs!$B$5*$A13^2/(Inputs!$D$32^2*Inputs!$H$32^4*Inputs!$I$32^2)+Inputs!$G$32*$A13^Inputs!$B$11-Distribution!$B$3)</f>
        <v/>
      </c>
      <c r="L13" s="11">
        <f>IF(Inputs!$D$33=0,NA(),Inputs!$C$33+Inputs!$B$12*Inputs!$B$5*$A13^2/(Inputs!$D$33^2*Inputs!$H$33^4*Inputs!$I$33^2)+Inputs!$G$33*$A13^Inputs!$B$11-Distribution!$B$3)</f>
        <v/>
      </c>
      <c r="M13" s="11">
        <f>IF(Inputs!$D$34=0,NA(),Inputs!$C$34+Inputs!$B$12*Inputs!$B$5*$A13^2/(Inputs!$D$34^2*Inputs!$H$34^4*Inputs!$I$34^2)+Inputs!$G$34*$A13^Inputs!$B$11-Distribution!$B$3)</f>
        <v/>
      </c>
      <c r="N13" s="11">
        <f>Distribution!$B$9-Distribution!$B$3</f>
        <v/>
      </c>
      <c r="O13" s="11">
        <f>IF(Inputs!D31&gt;0,Distribution!H12,NA())</f>
        <v/>
      </c>
      <c r="P13" s="11">
        <f>IF(Inputs!D31&gt;0,Distribution!$B$9-Distribution!$B$3,NA())</f>
        <v/>
      </c>
    </row>
    <row r="14">
      <c r="A14" s="11">
        <f>2.2*Inputs!$B$20*9/100</f>
        <v/>
      </c>
      <c r="B14" s="11">
        <f>IF(Inputs!$D$23=0,NA(),Inputs!$C$23+Inputs!$B$12*Inputs!$B$5*$A14^2/(Inputs!$D$23^2*Inputs!$H$23^4*Inputs!$I$23^2)+Inputs!$G$23*$A14^Inputs!$B$11-Distribution!$B$3)</f>
        <v/>
      </c>
      <c r="C14" s="11">
        <f>IF(Inputs!$D$24=0,NA(),Inputs!$C$24+Inputs!$B$12*Inputs!$B$5*$A14^2/(Inputs!$D$24^2*Inputs!$H$24^4*Inputs!$I$24^2)+Inputs!$G$24*$A14^Inputs!$B$11-Distribution!$B$3)</f>
        <v/>
      </c>
      <c r="D14" s="11">
        <f>IF(Inputs!$D$25=0,NA(),Inputs!$C$25+Inputs!$B$12*Inputs!$B$5*$A14^2/(Inputs!$D$25^2*Inputs!$H$25^4*Inputs!$I$25^2)+Inputs!$G$25*$A14^Inputs!$B$11-Distribution!$B$3)</f>
        <v/>
      </c>
      <c r="E14" s="11">
        <f>IF(Inputs!$D$26=0,NA(),Inputs!$C$26+Inputs!$B$12*Inputs!$B$5*$A14^2/(Inputs!$D$26^2*Inputs!$H$26^4*Inputs!$I$26^2)+Inputs!$G$26*$A14^Inputs!$B$11-Distribution!$B$3)</f>
        <v/>
      </c>
      <c r="F14" s="11">
        <f>IF(Inputs!$D$27=0,NA(),Inputs!$C$27+Inputs!$B$12*Inputs!$B$5*$A14^2/(Inputs!$D$27^2*Inputs!$H$27^4*Inputs!$I$27^2)+Inputs!$G$27*$A14^Inputs!$B$11-Distribution!$B$3)</f>
        <v/>
      </c>
      <c r="G14" s="11">
        <f>IF(Inputs!$D$28=0,NA(),Inputs!$C$28+Inputs!$B$12*Inputs!$B$5*$A14^2/(Inputs!$D$28^2*Inputs!$H$28^4*Inputs!$I$28^2)+Inputs!$G$28*$A14^Inputs!$B$11-Distribution!$B$3)</f>
        <v/>
      </c>
      <c r="H14" s="11">
        <f>IF(Inputs!$D$29=0,NA(),Inputs!$C$29+Inputs!$B$12*Inputs!$B$5*$A14^2/(Inputs!$D$29^2*Inputs!$H$29^4*Inputs!$I$29^2)+Inputs!$G$29*$A14^Inputs!$B$11-Distribution!$B$3)</f>
        <v/>
      </c>
      <c r="I14" s="11">
        <f>IF(Inputs!$D$30=0,NA(),Inputs!$C$30+Inputs!$B$12*Inputs!$B$5*$A14^2/(Inputs!$D$30^2*Inputs!$H$30^4*Inputs!$I$30^2)+Inputs!$G$30*$A14^Inputs!$B$11-Distribution!$B$3)</f>
        <v/>
      </c>
      <c r="J14" s="11">
        <f>IF(Inputs!$D$31=0,NA(),Inputs!$C$31+Inputs!$B$12*Inputs!$B$5*$A14^2/(Inputs!$D$31^2*Inputs!$H$31^4*Inputs!$I$31^2)+Inputs!$G$31*$A14^Inputs!$B$11-Distribution!$B$3)</f>
        <v/>
      </c>
      <c r="K14" s="11">
        <f>IF(Inputs!$D$32=0,NA(),Inputs!$C$32+Inputs!$B$12*Inputs!$B$5*$A14^2/(Inputs!$D$32^2*Inputs!$H$32^4*Inputs!$I$32^2)+Inputs!$G$32*$A14^Inputs!$B$11-Distribution!$B$3)</f>
        <v/>
      </c>
      <c r="L14" s="11">
        <f>IF(Inputs!$D$33=0,NA(),Inputs!$C$33+Inputs!$B$12*Inputs!$B$5*$A14^2/(Inputs!$D$33^2*Inputs!$H$33^4*Inputs!$I$33^2)+Inputs!$G$33*$A14^Inputs!$B$11-Distribution!$B$3)</f>
        <v/>
      </c>
      <c r="M14" s="11">
        <f>IF(Inputs!$D$34=0,NA(),Inputs!$C$34+Inputs!$B$12*Inputs!$B$5*$A14^2/(Inputs!$D$34^2*Inputs!$H$34^4*Inputs!$I$34^2)+Inputs!$G$34*$A14^Inputs!$B$11-Distribution!$B$3)</f>
        <v/>
      </c>
      <c r="N14" s="11">
        <f>Distribution!$B$9-Distribution!$B$3</f>
        <v/>
      </c>
      <c r="O14" s="11">
        <f>IF(Inputs!D32&gt;0,Distribution!H13,NA())</f>
        <v/>
      </c>
      <c r="P14" s="11">
        <f>IF(Inputs!D32&gt;0,Distribution!$B$9-Distribution!$B$3,NA())</f>
        <v/>
      </c>
    </row>
    <row r="15">
      <c r="A15" s="11">
        <f>2.2*Inputs!$B$20*10/100</f>
        <v/>
      </c>
      <c r="B15" s="11">
        <f>IF(Inputs!$D$23=0,NA(),Inputs!$C$23+Inputs!$B$12*Inputs!$B$5*$A15^2/(Inputs!$D$23^2*Inputs!$H$23^4*Inputs!$I$23^2)+Inputs!$G$23*$A15^Inputs!$B$11-Distribution!$B$3)</f>
        <v/>
      </c>
      <c r="C15" s="11">
        <f>IF(Inputs!$D$24=0,NA(),Inputs!$C$24+Inputs!$B$12*Inputs!$B$5*$A15^2/(Inputs!$D$24^2*Inputs!$H$24^4*Inputs!$I$24^2)+Inputs!$G$24*$A15^Inputs!$B$11-Distribution!$B$3)</f>
        <v/>
      </c>
      <c r="D15" s="11">
        <f>IF(Inputs!$D$25=0,NA(),Inputs!$C$25+Inputs!$B$12*Inputs!$B$5*$A15^2/(Inputs!$D$25^2*Inputs!$H$25^4*Inputs!$I$25^2)+Inputs!$G$25*$A15^Inputs!$B$11-Distribution!$B$3)</f>
        <v/>
      </c>
      <c r="E15" s="11">
        <f>IF(Inputs!$D$26=0,NA(),Inputs!$C$26+Inputs!$B$12*Inputs!$B$5*$A15^2/(Inputs!$D$26^2*Inputs!$H$26^4*Inputs!$I$26^2)+Inputs!$G$26*$A15^Inputs!$B$11-Distribution!$B$3)</f>
        <v/>
      </c>
      <c r="F15" s="11">
        <f>IF(Inputs!$D$27=0,NA(),Inputs!$C$27+Inputs!$B$12*Inputs!$B$5*$A15^2/(Inputs!$D$27^2*Inputs!$H$27^4*Inputs!$I$27^2)+Inputs!$G$27*$A15^Inputs!$B$11-Distribution!$B$3)</f>
        <v/>
      </c>
      <c r="G15" s="11">
        <f>IF(Inputs!$D$28=0,NA(),Inputs!$C$28+Inputs!$B$12*Inputs!$B$5*$A15^2/(Inputs!$D$28^2*Inputs!$H$28^4*Inputs!$I$28^2)+Inputs!$G$28*$A15^Inputs!$B$11-Distribution!$B$3)</f>
        <v/>
      </c>
      <c r="H15" s="11">
        <f>IF(Inputs!$D$29=0,NA(),Inputs!$C$29+Inputs!$B$12*Inputs!$B$5*$A15^2/(Inputs!$D$29^2*Inputs!$H$29^4*Inputs!$I$29^2)+Inputs!$G$29*$A15^Inputs!$B$11-Distribution!$B$3)</f>
        <v/>
      </c>
      <c r="I15" s="11">
        <f>IF(Inputs!$D$30=0,NA(),Inputs!$C$30+Inputs!$B$12*Inputs!$B$5*$A15^2/(Inputs!$D$30^2*Inputs!$H$30^4*Inputs!$I$30^2)+Inputs!$G$30*$A15^Inputs!$B$11-Distribution!$B$3)</f>
        <v/>
      </c>
      <c r="J15" s="11">
        <f>IF(Inputs!$D$31=0,NA(),Inputs!$C$31+Inputs!$B$12*Inputs!$B$5*$A15^2/(Inputs!$D$31^2*Inputs!$H$31^4*Inputs!$I$31^2)+Inputs!$G$31*$A15^Inputs!$B$11-Distribution!$B$3)</f>
        <v/>
      </c>
      <c r="K15" s="11">
        <f>IF(Inputs!$D$32=0,NA(),Inputs!$C$32+Inputs!$B$12*Inputs!$B$5*$A15^2/(Inputs!$D$32^2*Inputs!$H$32^4*Inputs!$I$32^2)+Inputs!$G$32*$A15^Inputs!$B$11-Distribution!$B$3)</f>
        <v/>
      </c>
      <c r="L15" s="11">
        <f>IF(Inputs!$D$33=0,NA(),Inputs!$C$33+Inputs!$B$12*Inputs!$B$5*$A15^2/(Inputs!$D$33^2*Inputs!$H$33^4*Inputs!$I$33^2)+Inputs!$G$33*$A15^Inputs!$B$11-Distribution!$B$3)</f>
        <v/>
      </c>
      <c r="M15" s="11">
        <f>IF(Inputs!$D$34=0,NA(),Inputs!$C$34+Inputs!$B$12*Inputs!$B$5*$A15^2/(Inputs!$D$34^2*Inputs!$H$34^4*Inputs!$I$34^2)+Inputs!$G$34*$A15^Inputs!$B$11-Distribution!$B$3)</f>
        <v/>
      </c>
      <c r="N15" s="11">
        <f>Distribution!$B$9-Distribution!$B$3</f>
        <v/>
      </c>
      <c r="O15" s="11">
        <f>IF(Inputs!D33&gt;0,Distribution!H14,NA())</f>
        <v/>
      </c>
      <c r="P15" s="11">
        <f>IF(Inputs!D33&gt;0,Distribution!$B$9-Distribution!$B$3,NA())</f>
        <v/>
      </c>
    </row>
    <row r="16">
      <c r="A16" s="11">
        <f>2.2*Inputs!$B$20*11/100</f>
        <v/>
      </c>
      <c r="B16" s="11">
        <f>IF(Inputs!$D$23=0,NA(),Inputs!$C$23+Inputs!$B$12*Inputs!$B$5*$A16^2/(Inputs!$D$23^2*Inputs!$H$23^4*Inputs!$I$23^2)+Inputs!$G$23*$A16^Inputs!$B$11-Distribution!$B$3)</f>
        <v/>
      </c>
      <c r="C16" s="11">
        <f>IF(Inputs!$D$24=0,NA(),Inputs!$C$24+Inputs!$B$12*Inputs!$B$5*$A16^2/(Inputs!$D$24^2*Inputs!$H$24^4*Inputs!$I$24^2)+Inputs!$G$24*$A16^Inputs!$B$11-Distribution!$B$3)</f>
        <v/>
      </c>
      <c r="D16" s="11">
        <f>IF(Inputs!$D$25=0,NA(),Inputs!$C$25+Inputs!$B$12*Inputs!$B$5*$A16^2/(Inputs!$D$25^2*Inputs!$H$25^4*Inputs!$I$25^2)+Inputs!$G$25*$A16^Inputs!$B$11-Distribution!$B$3)</f>
        <v/>
      </c>
      <c r="E16" s="11">
        <f>IF(Inputs!$D$26=0,NA(),Inputs!$C$26+Inputs!$B$12*Inputs!$B$5*$A16^2/(Inputs!$D$26^2*Inputs!$H$26^4*Inputs!$I$26^2)+Inputs!$G$26*$A16^Inputs!$B$11-Distribution!$B$3)</f>
        <v/>
      </c>
      <c r="F16" s="11">
        <f>IF(Inputs!$D$27=0,NA(),Inputs!$C$27+Inputs!$B$12*Inputs!$B$5*$A16^2/(Inputs!$D$27^2*Inputs!$H$27^4*Inputs!$I$27^2)+Inputs!$G$27*$A16^Inputs!$B$11-Distribution!$B$3)</f>
        <v/>
      </c>
      <c r="G16" s="11">
        <f>IF(Inputs!$D$28=0,NA(),Inputs!$C$28+Inputs!$B$12*Inputs!$B$5*$A16^2/(Inputs!$D$28^2*Inputs!$H$28^4*Inputs!$I$28^2)+Inputs!$G$28*$A16^Inputs!$B$11-Distribution!$B$3)</f>
        <v/>
      </c>
      <c r="H16" s="11">
        <f>IF(Inputs!$D$29=0,NA(),Inputs!$C$29+Inputs!$B$12*Inputs!$B$5*$A16^2/(Inputs!$D$29^2*Inputs!$H$29^4*Inputs!$I$29^2)+Inputs!$G$29*$A16^Inputs!$B$11-Distribution!$B$3)</f>
        <v/>
      </c>
      <c r="I16" s="11">
        <f>IF(Inputs!$D$30=0,NA(),Inputs!$C$30+Inputs!$B$12*Inputs!$B$5*$A16^2/(Inputs!$D$30^2*Inputs!$H$30^4*Inputs!$I$30^2)+Inputs!$G$30*$A16^Inputs!$B$11-Distribution!$B$3)</f>
        <v/>
      </c>
      <c r="J16" s="11">
        <f>IF(Inputs!$D$31=0,NA(),Inputs!$C$31+Inputs!$B$12*Inputs!$B$5*$A16^2/(Inputs!$D$31^2*Inputs!$H$31^4*Inputs!$I$31^2)+Inputs!$G$31*$A16^Inputs!$B$11-Distribution!$B$3)</f>
        <v/>
      </c>
      <c r="K16" s="11">
        <f>IF(Inputs!$D$32=0,NA(),Inputs!$C$32+Inputs!$B$12*Inputs!$B$5*$A16^2/(Inputs!$D$32^2*Inputs!$H$32^4*Inputs!$I$32^2)+Inputs!$G$32*$A16^Inputs!$B$11-Distribution!$B$3)</f>
        <v/>
      </c>
      <c r="L16" s="11">
        <f>IF(Inputs!$D$33=0,NA(),Inputs!$C$33+Inputs!$B$12*Inputs!$B$5*$A16^2/(Inputs!$D$33^2*Inputs!$H$33^4*Inputs!$I$33^2)+Inputs!$G$33*$A16^Inputs!$B$11-Distribution!$B$3)</f>
        <v/>
      </c>
      <c r="M16" s="11">
        <f>IF(Inputs!$D$34=0,NA(),Inputs!$C$34+Inputs!$B$12*Inputs!$B$5*$A16^2/(Inputs!$D$34^2*Inputs!$H$34^4*Inputs!$I$34^2)+Inputs!$G$34*$A16^Inputs!$B$11-Distribution!$B$3)</f>
        <v/>
      </c>
      <c r="N16" s="11">
        <f>Distribution!$B$9-Distribution!$B$3</f>
        <v/>
      </c>
      <c r="O16" s="11">
        <f>IF(Inputs!D34&gt;0,Distribution!H15,NA())</f>
        <v/>
      </c>
      <c r="P16" s="11">
        <f>IF(Inputs!D34&gt;0,Distribution!$B$9-Distribution!$B$3,NA())</f>
        <v/>
      </c>
    </row>
    <row r="17">
      <c r="A17" s="11">
        <f>2.2*Inputs!$B$20*12/100</f>
        <v/>
      </c>
      <c r="B17" s="11">
        <f>IF(Inputs!$D$23=0,NA(),Inputs!$C$23+Inputs!$B$12*Inputs!$B$5*$A17^2/(Inputs!$D$23^2*Inputs!$H$23^4*Inputs!$I$23^2)+Inputs!$G$23*$A17^Inputs!$B$11-Distribution!$B$3)</f>
        <v/>
      </c>
      <c r="C17" s="11">
        <f>IF(Inputs!$D$24=0,NA(),Inputs!$C$24+Inputs!$B$12*Inputs!$B$5*$A17^2/(Inputs!$D$24^2*Inputs!$H$24^4*Inputs!$I$24^2)+Inputs!$G$24*$A17^Inputs!$B$11-Distribution!$B$3)</f>
        <v/>
      </c>
      <c r="D17" s="11">
        <f>IF(Inputs!$D$25=0,NA(),Inputs!$C$25+Inputs!$B$12*Inputs!$B$5*$A17^2/(Inputs!$D$25^2*Inputs!$H$25^4*Inputs!$I$25^2)+Inputs!$G$25*$A17^Inputs!$B$11-Distribution!$B$3)</f>
        <v/>
      </c>
      <c r="E17" s="11">
        <f>IF(Inputs!$D$26=0,NA(),Inputs!$C$26+Inputs!$B$12*Inputs!$B$5*$A17^2/(Inputs!$D$26^2*Inputs!$H$26^4*Inputs!$I$26^2)+Inputs!$G$26*$A17^Inputs!$B$11-Distribution!$B$3)</f>
        <v/>
      </c>
      <c r="F17" s="11">
        <f>IF(Inputs!$D$27=0,NA(),Inputs!$C$27+Inputs!$B$12*Inputs!$B$5*$A17^2/(Inputs!$D$27^2*Inputs!$H$27^4*Inputs!$I$27^2)+Inputs!$G$27*$A17^Inputs!$B$11-Distribution!$B$3)</f>
        <v/>
      </c>
      <c r="G17" s="11">
        <f>IF(Inputs!$D$28=0,NA(),Inputs!$C$28+Inputs!$B$12*Inputs!$B$5*$A17^2/(Inputs!$D$28^2*Inputs!$H$28^4*Inputs!$I$28^2)+Inputs!$G$28*$A17^Inputs!$B$11-Distribution!$B$3)</f>
        <v/>
      </c>
      <c r="H17" s="11">
        <f>IF(Inputs!$D$29=0,NA(),Inputs!$C$29+Inputs!$B$12*Inputs!$B$5*$A17^2/(Inputs!$D$29^2*Inputs!$H$29^4*Inputs!$I$29^2)+Inputs!$G$29*$A17^Inputs!$B$11-Distribution!$B$3)</f>
        <v/>
      </c>
      <c r="I17" s="11">
        <f>IF(Inputs!$D$30=0,NA(),Inputs!$C$30+Inputs!$B$12*Inputs!$B$5*$A17^2/(Inputs!$D$30^2*Inputs!$H$30^4*Inputs!$I$30^2)+Inputs!$G$30*$A17^Inputs!$B$11-Distribution!$B$3)</f>
        <v/>
      </c>
      <c r="J17" s="11">
        <f>IF(Inputs!$D$31=0,NA(),Inputs!$C$31+Inputs!$B$12*Inputs!$B$5*$A17^2/(Inputs!$D$31^2*Inputs!$H$31^4*Inputs!$I$31^2)+Inputs!$G$31*$A17^Inputs!$B$11-Distribution!$B$3)</f>
        <v/>
      </c>
      <c r="K17" s="11">
        <f>IF(Inputs!$D$32=0,NA(),Inputs!$C$32+Inputs!$B$12*Inputs!$B$5*$A17^2/(Inputs!$D$32^2*Inputs!$H$32^4*Inputs!$I$32^2)+Inputs!$G$32*$A17^Inputs!$B$11-Distribution!$B$3)</f>
        <v/>
      </c>
      <c r="L17" s="11">
        <f>IF(Inputs!$D$33=0,NA(),Inputs!$C$33+Inputs!$B$12*Inputs!$B$5*$A17^2/(Inputs!$D$33^2*Inputs!$H$33^4*Inputs!$I$33^2)+Inputs!$G$33*$A17^Inputs!$B$11-Distribution!$B$3)</f>
        <v/>
      </c>
      <c r="M17" s="11">
        <f>IF(Inputs!$D$34=0,NA(),Inputs!$C$34+Inputs!$B$12*Inputs!$B$5*$A17^2/(Inputs!$D$34^2*Inputs!$H$34^4*Inputs!$I$34^2)+Inputs!$G$34*$A17^Inputs!$B$11-Distribution!$B$3)</f>
        <v/>
      </c>
      <c r="N17" s="11">
        <f>Distribution!$B$9-Distribution!$B$3</f>
        <v/>
      </c>
    </row>
    <row r="18">
      <c r="A18" s="11">
        <f>2.2*Inputs!$B$20*13/100</f>
        <v/>
      </c>
      <c r="B18" s="11">
        <f>IF(Inputs!$D$23=0,NA(),Inputs!$C$23+Inputs!$B$12*Inputs!$B$5*$A18^2/(Inputs!$D$23^2*Inputs!$H$23^4*Inputs!$I$23^2)+Inputs!$G$23*$A18^Inputs!$B$11-Distribution!$B$3)</f>
        <v/>
      </c>
      <c r="C18" s="11">
        <f>IF(Inputs!$D$24=0,NA(),Inputs!$C$24+Inputs!$B$12*Inputs!$B$5*$A18^2/(Inputs!$D$24^2*Inputs!$H$24^4*Inputs!$I$24^2)+Inputs!$G$24*$A18^Inputs!$B$11-Distribution!$B$3)</f>
        <v/>
      </c>
      <c r="D18" s="11">
        <f>IF(Inputs!$D$25=0,NA(),Inputs!$C$25+Inputs!$B$12*Inputs!$B$5*$A18^2/(Inputs!$D$25^2*Inputs!$H$25^4*Inputs!$I$25^2)+Inputs!$G$25*$A18^Inputs!$B$11-Distribution!$B$3)</f>
        <v/>
      </c>
      <c r="E18" s="11">
        <f>IF(Inputs!$D$26=0,NA(),Inputs!$C$26+Inputs!$B$12*Inputs!$B$5*$A18^2/(Inputs!$D$26^2*Inputs!$H$26^4*Inputs!$I$26^2)+Inputs!$G$26*$A18^Inputs!$B$11-Distribution!$B$3)</f>
        <v/>
      </c>
      <c r="F18" s="11">
        <f>IF(Inputs!$D$27=0,NA(),Inputs!$C$27+Inputs!$B$12*Inputs!$B$5*$A18^2/(Inputs!$D$27^2*Inputs!$H$27^4*Inputs!$I$27^2)+Inputs!$G$27*$A18^Inputs!$B$11-Distribution!$B$3)</f>
        <v/>
      </c>
      <c r="G18" s="11">
        <f>IF(Inputs!$D$28=0,NA(),Inputs!$C$28+Inputs!$B$12*Inputs!$B$5*$A18^2/(Inputs!$D$28^2*Inputs!$H$28^4*Inputs!$I$28^2)+Inputs!$G$28*$A18^Inputs!$B$11-Distribution!$B$3)</f>
        <v/>
      </c>
      <c r="H18" s="11">
        <f>IF(Inputs!$D$29=0,NA(),Inputs!$C$29+Inputs!$B$12*Inputs!$B$5*$A18^2/(Inputs!$D$29^2*Inputs!$H$29^4*Inputs!$I$29^2)+Inputs!$G$29*$A18^Inputs!$B$11-Distribution!$B$3)</f>
        <v/>
      </c>
      <c r="I18" s="11">
        <f>IF(Inputs!$D$30=0,NA(),Inputs!$C$30+Inputs!$B$12*Inputs!$B$5*$A18^2/(Inputs!$D$30^2*Inputs!$H$30^4*Inputs!$I$30^2)+Inputs!$G$30*$A18^Inputs!$B$11-Distribution!$B$3)</f>
        <v/>
      </c>
      <c r="J18" s="11">
        <f>IF(Inputs!$D$31=0,NA(),Inputs!$C$31+Inputs!$B$12*Inputs!$B$5*$A18^2/(Inputs!$D$31^2*Inputs!$H$31^4*Inputs!$I$31^2)+Inputs!$G$31*$A18^Inputs!$B$11-Distribution!$B$3)</f>
        <v/>
      </c>
      <c r="K18" s="11">
        <f>IF(Inputs!$D$32=0,NA(),Inputs!$C$32+Inputs!$B$12*Inputs!$B$5*$A18^2/(Inputs!$D$32^2*Inputs!$H$32^4*Inputs!$I$32^2)+Inputs!$G$32*$A18^Inputs!$B$11-Distribution!$B$3)</f>
        <v/>
      </c>
      <c r="L18" s="11">
        <f>IF(Inputs!$D$33=0,NA(),Inputs!$C$33+Inputs!$B$12*Inputs!$B$5*$A18^2/(Inputs!$D$33^2*Inputs!$H$33^4*Inputs!$I$33^2)+Inputs!$G$33*$A18^Inputs!$B$11-Distribution!$B$3)</f>
        <v/>
      </c>
      <c r="M18" s="11">
        <f>IF(Inputs!$D$34=0,NA(),Inputs!$C$34+Inputs!$B$12*Inputs!$B$5*$A18^2/(Inputs!$D$34^2*Inputs!$H$34^4*Inputs!$I$34^2)+Inputs!$G$34*$A18^Inputs!$B$11-Distribution!$B$3)</f>
        <v/>
      </c>
      <c r="N18" s="11">
        <f>Distribution!$B$9-Distribution!$B$3</f>
        <v/>
      </c>
    </row>
    <row r="19">
      <c r="A19" s="11">
        <f>2.2*Inputs!$B$20*14/100</f>
        <v/>
      </c>
      <c r="B19" s="11">
        <f>IF(Inputs!$D$23=0,NA(),Inputs!$C$23+Inputs!$B$12*Inputs!$B$5*$A19^2/(Inputs!$D$23^2*Inputs!$H$23^4*Inputs!$I$23^2)+Inputs!$G$23*$A19^Inputs!$B$11-Distribution!$B$3)</f>
        <v/>
      </c>
      <c r="C19" s="11">
        <f>IF(Inputs!$D$24=0,NA(),Inputs!$C$24+Inputs!$B$12*Inputs!$B$5*$A19^2/(Inputs!$D$24^2*Inputs!$H$24^4*Inputs!$I$24^2)+Inputs!$G$24*$A19^Inputs!$B$11-Distribution!$B$3)</f>
        <v/>
      </c>
      <c r="D19" s="11">
        <f>IF(Inputs!$D$25=0,NA(),Inputs!$C$25+Inputs!$B$12*Inputs!$B$5*$A19^2/(Inputs!$D$25^2*Inputs!$H$25^4*Inputs!$I$25^2)+Inputs!$G$25*$A19^Inputs!$B$11-Distribution!$B$3)</f>
        <v/>
      </c>
      <c r="E19" s="11">
        <f>IF(Inputs!$D$26=0,NA(),Inputs!$C$26+Inputs!$B$12*Inputs!$B$5*$A19^2/(Inputs!$D$26^2*Inputs!$H$26^4*Inputs!$I$26^2)+Inputs!$G$26*$A19^Inputs!$B$11-Distribution!$B$3)</f>
        <v/>
      </c>
      <c r="F19" s="11">
        <f>IF(Inputs!$D$27=0,NA(),Inputs!$C$27+Inputs!$B$12*Inputs!$B$5*$A19^2/(Inputs!$D$27^2*Inputs!$H$27^4*Inputs!$I$27^2)+Inputs!$G$27*$A19^Inputs!$B$11-Distribution!$B$3)</f>
        <v/>
      </c>
      <c r="G19" s="11">
        <f>IF(Inputs!$D$28=0,NA(),Inputs!$C$28+Inputs!$B$12*Inputs!$B$5*$A19^2/(Inputs!$D$28^2*Inputs!$H$28^4*Inputs!$I$28^2)+Inputs!$G$28*$A19^Inputs!$B$11-Distribution!$B$3)</f>
        <v/>
      </c>
      <c r="H19" s="11">
        <f>IF(Inputs!$D$29=0,NA(),Inputs!$C$29+Inputs!$B$12*Inputs!$B$5*$A19^2/(Inputs!$D$29^2*Inputs!$H$29^4*Inputs!$I$29^2)+Inputs!$G$29*$A19^Inputs!$B$11-Distribution!$B$3)</f>
        <v/>
      </c>
      <c r="I19" s="11">
        <f>IF(Inputs!$D$30=0,NA(),Inputs!$C$30+Inputs!$B$12*Inputs!$B$5*$A19^2/(Inputs!$D$30^2*Inputs!$H$30^4*Inputs!$I$30^2)+Inputs!$G$30*$A19^Inputs!$B$11-Distribution!$B$3)</f>
        <v/>
      </c>
      <c r="J19" s="11">
        <f>IF(Inputs!$D$31=0,NA(),Inputs!$C$31+Inputs!$B$12*Inputs!$B$5*$A19^2/(Inputs!$D$31^2*Inputs!$H$31^4*Inputs!$I$31^2)+Inputs!$G$31*$A19^Inputs!$B$11-Distribution!$B$3)</f>
        <v/>
      </c>
      <c r="K19" s="11">
        <f>IF(Inputs!$D$32=0,NA(),Inputs!$C$32+Inputs!$B$12*Inputs!$B$5*$A19^2/(Inputs!$D$32^2*Inputs!$H$32^4*Inputs!$I$32^2)+Inputs!$G$32*$A19^Inputs!$B$11-Distribution!$B$3)</f>
        <v/>
      </c>
      <c r="L19" s="11">
        <f>IF(Inputs!$D$33=0,NA(),Inputs!$C$33+Inputs!$B$12*Inputs!$B$5*$A19^2/(Inputs!$D$33^2*Inputs!$H$33^4*Inputs!$I$33^2)+Inputs!$G$33*$A19^Inputs!$B$11-Distribution!$B$3)</f>
        <v/>
      </c>
      <c r="M19" s="11">
        <f>IF(Inputs!$D$34=0,NA(),Inputs!$C$34+Inputs!$B$12*Inputs!$B$5*$A19^2/(Inputs!$D$34^2*Inputs!$H$34^4*Inputs!$I$34^2)+Inputs!$G$34*$A19^Inputs!$B$11-Distribution!$B$3)</f>
        <v/>
      </c>
      <c r="N19" s="11">
        <f>Distribution!$B$9-Distribution!$B$3</f>
        <v/>
      </c>
    </row>
    <row r="20">
      <c r="A20" s="11">
        <f>2.2*Inputs!$B$20*15/100</f>
        <v/>
      </c>
      <c r="B20" s="11">
        <f>IF(Inputs!$D$23=0,NA(),Inputs!$C$23+Inputs!$B$12*Inputs!$B$5*$A20^2/(Inputs!$D$23^2*Inputs!$H$23^4*Inputs!$I$23^2)+Inputs!$G$23*$A20^Inputs!$B$11-Distribution!$B$3)</f>
        <v/>
      </c>
      <c r="C20" s="11">
        <f>IF(Inputs!$D$24=0,NA(),Inputs!$C$24+Inputs!$B$12*Inputs!$B$5*$A20^2/(Inputs!$D$24^2*Inputs!$H$24^4*Inputs!$I$24^2)+Inputs!$G$24*$A20^Inputs!$B$11-Distribution!$B$3)</f>
        <v/>
      </c>
      <c r="D20" s="11">
        <f>IF(Inputs!$D$25=0,NA(),Inputs!$C$25+Inputs!$B$12*Inputs!$B$5*$A20^2/(Inputs!$D$25^2*Inputs!$H$25^4*Inputs!$I$25^2)+Inputs!$G$25*$A20^Inputs!$B$11-Distribution!$B$3)</f>
        <v/>
      </c>
      <c r="E20" s="11">
        <f>IF(Inputs!$D$26=0,NA(),Inputs!$C$26+Inputs!$B$12*Inputs!$B$5*$A20^2/(Inputs!$D$26^2*Inputs!$H$26^4*Inputs!$I$26^2)+Inputs!$G$26*$A20^Inputs!$B$11-Distribution!$B$3)</f>
        <v/>
      </c>
      <c r="F20" s="11">
        <f>IF(Inputs!$D$27=0,NA(),Inputs!$C$27+Inputs!$B$12*Inputs!$B$5*$A20^2/(Inputs!$D$27^2*Inputs!$H$27^4*Inputs!$I$27^2)+Inputs!$G$27*$A20^Inputs!$B$11-Distribution!$B$3)</f>
        <v/>
      </c>
      <c r="G20" s="11">
        <f>IF(Inputs!$D$28=0,NA(),Inputs!$C$28+Inputs!$B$12*Inputs!$B$5*$A20^2/(Inputs!$D$28^2*Inputs!$H$28^4*Inputs!$I$28^2)+Inputs!$G$28*$A20^Inputs!$B$11-Distribution!$B$3)</f>
        <v/>
      </c>
      <c r="H20" s="11">
        <f>IF(Inputs!$D$29=0,NA(),Inputs!$C$29+Inputs!$B$12*Inputs!$B$5*$A20^2/(Inputs!$D$29^2*Inputs!$H$29^4*Inputs!$I$29^2)+Inputs!$G$29*$A20^Inputs!$B$11-Distribution!$B$3)</f>
        <v/>
      </c>
      <c r="I20" s="11">
        <f>IF(Inputs!$D$30=0,NA(),Inputs!$C$30+Inputs!$B$12*Inputs!$B$5*$A20^2/(Inputs!$D$30^2*Inputs!$H$30^4*Inputs!$I$30^2)+Inputs!$G$30*$A20^Inputs!$B$11-Distribution!$B$3)</f>
        <v/>
      </c>
      <c r="J20" s="11">
        <f>IF(Inputs!$D$31=0,NA(),Inputs!$C$31+Inputs!$B$12*Inputs!$B$5*$A20^2/(Inputs!$D$31^2*Inputs!$H$31^4*Inputs!$I$31^2)+Inputs!$G$31*$A20^Inputs!$B$11-Distribution!$B$3)</f>
        <v/>
      </c>
      <c r="K20" s="11">
        <f>IF(Inputs!$D$32=0,NA(),Inputs!$C$32+Inputs!$B$12*Inputs!$B$5*$A20^2/(Inputs!$D$32^2*Inputs!$H$32^4*Inputs!$I$32^2)+Inputs!$G$32*$A20^Inputs!$B$11-Distribution!$B$3)</f>
        <v/>
      </c>
      <c r="L20" s="11">
        <f>IF(Inputs!$D$33=0,NA(),Inputs!$C$33+Inputs!$B$12*Inputs!$B$5*$A20^2/(Inputs!$D$33^2*Inputs!$H$33^4*Inputs!$I$33^2)+Inputs!$G$33*$A20^Inputs!$B$11-Distribution!$B$3)</f>
        <v/>
      </c>
      <c r="M20" s="11">
        <f>IF(Inputs!$D$34=0,NA(),Inputs!$C$34+Inputs!$B$12*Inputs!$B$5*$A20^2/(Inputs!$D$34^2*Inputs!$H$34^4*Inputs!$I$34^2)+Inputs!$G$34*$A20^Inputs!$B$11-Distribution!$B$3)</f>
        <v/>
      </c>
      <c r="N20" s="11">
        <f>Distribution!$B$9-Distribution!$B$3</f>
        <v/>
      </c>
    </row>
    <row r="21">
      <c r="A21" s="11">
        <f>2.2*Inputs!$B$20*16/100</f>
        <v/>
      </c>
      <c r="B21" s="11">
        <f>IF(Inputs!$D$23=0,NA(),Inputs!$C$23+Inputs!$B$12*Inputs!$B$5*$A21^2/(Inputs!$D$23^2*Inputs!$H$23^4*Inputs!$I$23^2)+Inputs!$G$23*$A21^Inputs!$B$11-Distribution!$B$3)</f>
        <v/>
      </c>
      <c r="C21" s="11">
        <f>IF(Inputs!$D$24=0,NA(),Inputs!$C$24+Inputs!$B$12*Inputs!$B$5*$A21^2/(Inputs!$D$24^2*Inputs!$H$24^4*Inputs!$I$24^2)+Inputs!$G$24*$A21^Inputs!$B$11-Distribution!$B$3)</f>
        <v/>
      </c>
      <c r="D21" s="11">
        <f>IF(Inputs!$D$25=0,NA(),Inputs!$C$25+Inputs!$B$12*Inputs!$B$5*$A21^2/(Inputs!$D$25^2*Inputs!$H$25^4*Inputs!$I$25^2)+Inputs!$G$25*$A21^Inputs!$B$11-Distribution!$B$3)</f>
        <v/>
      </c>
      <c r="E21" s="11">
        <f>IF(Inputs!$D$26=0,NA(),Inputs!$C$26+Inputs!$B$12*Inputs!$B$5*$A21^2/(Inputs!$D$26^2*Inputs!$H$26^4*Inputs!$I$26^2)+Inputs!$G$26*$A21^Inputs!$B$11-Distribution!$B$3)</f>
        <v/>
      </c>
      <c r="F21" s="11">
        <f>IF(Inputs!$D$27=0,NA(),Inputs!$C$27+Inputs!$B$12*Inputs!$B$5*$A21^2/(Inputs!$D$27^2*Inputs!$H$27^4*Inputs!$I$27^2)+Inputs!$G$27*$A21^Inputs!$B$11-Distribution!$B$3)</f>
        <v/>
      </c>
      <c r="G21" s="11">
        <f>IF(Inputs!$D$28=0,NA(),Inputs!$C$28+Inputs!$B$12*Inputs!$B$5*$A21^2/(Inputs!$D$28^2*Inputs!$H$28^4*Inputs!$I$28^2)+Inputs!$G$28*$A21^Inputs!$B$11-Distribution!$B$3)</f>
        <v/>
      </c>
      <c r="H21" s="11">
        <f>IF(Inputs!$D$29=0,NA(),Inputs!$C$29+Inputs!$B$12*Inputs!$B$5*$A21^2/(Inputs!$D$29^2*Inputs!$H$29^4*Inputs!$I$29^2)+Inputs!$G$29*$A21^Inputs!$B$11-Distribution!$B$3)</f>
        <v/>
      </c>
      <c r="I21" s="11">
        <f>IF(Inputs!$D$30=0,NA(),Inputs!$C$30+Inputs!$B$12*Inputs!$B$5*$A21^2/(Inputs!$D$30^2*Inputs!$H$30^4*Inputs!$I$30^2)+Inputs!$G$30*$A21^Inputs!$B$11-Distribution!$B$3)</f>
        <v/>
      </c>
      <c r="J21" s="11">
        <f>IF(Inputs!$D$31=0,NA(),Inputs!$C$31+Inputs!$B$12*Inputs!$B$5*$A21^2/(Inputs!$D$31^2*Inputs!$H$31^4*Inputs!$I$31^2)+Inputs!$G$31*$A21^Inputs!$B$11-Distribution!$B$3)</f>
        <v/>
      </c>
      <c r="K21" s="11">
        <f>IF(Inputs!$D$32=0,NA(),Inputs!$C$32+Inputs!$B$12*Inputs!$B$5*$A21^2/(Inputs!$D$32^2*Inputs!$H$32^4*Inputs!$I$32^2)+Inputs!$G$32*$A21^Inputs!$B$11-Distribution!$B$3)</f>
        <v/>
      </c>
      <c r="L21" s="11">
        <f>IF(Inputs!$D$33=0,NA(),Inputs!$C$33+Inputs!$B$12*Inputs!$B$5*$A21^2/(Inputs!$D$33^2*Inputs!$H$33^4*Inputs!$I$33^2)+Inputs!$G$33*$A21^Inputs!$B$11-Distribution!$B$3)</f>
        <v/>
      </c>
      <c r="M21" s="11">
        <f>IF(Inputs!$D$34=0,NA(),Inputs!$C$34+Inputs!$B$12*Inputs!$B$5*$A21^2/(Inputs!$D$34^2*Inputs!$H$34^4*Inputs!$I$34^2)+Inputs!$G$34*$A21^Inputs!$B$11-Distribution!$B$3)</f>
        <v/>
      </c>
      <c r="N21" s="11">
        <f>Distribution!$B$9-Distribution!$B$3</f>
        <v/>
      </c>
    </row>
    <row r="22">
      <c r="A22" s="11">
        <f>2.2*Inputs!$B$20*17/100</f>
        <v/>
      </c>
      <c r="B22" s="11">
        <f>IF(Inputs!$D$23=0,NA(),Inputs!$C$23+Inputs!$B$12*Inputs!$B$5*$A22^2/(Inputs!$D$23^2*Inputs!$H$23^4*Inputs!$I$23^2)+Inputs!$G$23*$A22^Inputs!$B$11-Distribution!$B$3)</f>
        <v/>
      </c>
      <c r="C22" s="11">
        <f>IF(Inputs!$D$24=0,NA(),Inputs!$C$24+Inputs!$B$12*Inputs!$B$5*$A22^2/(Inputs!$D$24^2*Inputs!$H$24^4*Inputs!$I$24^2)+Inputs!$G$24*$A22^Inputs!$B$11-Distribution!$B$3)</f>
        <v/>
      </c>
      <c r="D22" s="11">
        <f>IF(Inputs!$D$25=0,NA(),Inputs!$C$25+Inputs!$B$12*Inputs!$B$5*$A22^2/(Inputs!$D$25^2*Inputs!$H$25^4*Inputs!$I$25^2)+Inputs!$G$25*$A22^Inputs!$B$11-Distribution!$B$3)</f>
        <v/>
      </c>
      <c r="E22" s="11">
        <f>IF(Inputs!$D$26=0,NA(),Inputs!$C$26+Inputs!$B$12*Inputs!$B$5*$A22^2/(Inputs!$D$26^2*Inputs!$H$26^4*Inputs!$I$26^2)+Inputs!$G$26*$A22^Inputs!$B$11-Distribution!$B$3)</f>
        <v/>
      </c>
      <c r="F22" s="11">
        <f>IF(Inputs!$D$27=0,NA(),Inputs!$C$27+Inputs!$B$12*Inputs!$B$5*$A22^2/(Inputs!$D$27^2*Inputs!$H$27^4*Inputs!$I$27^2)+Inputs!$G$27*$A22^Inputs!$B$11-Distribution!$B$3)</f>
        <v/>
      </c>
      <c r="G22" s="11">
        <f>IF(Inputs!$D$28=0,NA(),Inputs!$C$28+Inputs!$B$12*Inputs!$B$5*$A22^2/(Inputs!$D$28^2*Inputs!$H$28^4*Inputs!$I$28^2)+Inputs!$G$28*$A22^Inputs!$B$11-Distribution!$B$3)</f>
        <v/>
      </c>
      <c r="H22" s="11">
        <f>IF(Inputs!$D$29=0,NA(),Inputs!$C$29+Inputs!$B$12*Inputs!$B$5*$A22^2/(Inputs!$D$29^2*Inputs!$H$29^4*Inputs!$I$29^2)+Inputs!$G$29*$A22^Inputs!$B$11-Distribution!$B$3)</f>
        <v/>
      </c>
      <c r="I22" s="11">
        <f>IF(Inputs!$D$30=0,NA(),Inputs!$C$30+Inputs!$B$12*Inputs!$B$5*$A22^2/(Inputs!$D$30^2*Inputs!$H$30^4*Inputs!$I$30^2)+Inputs!$G$30*$A22^Inputs!$B$11-Distribution!$B$3)</f>
        <v/>
      </c>
      <c r="J22" s="11">
        <f>IF(Inputs!$D$31=0,NA(),Inputs!$C$31+Inputs!$B$12*Inputs!$B$5*$A22^2/(Inputs!$D$31^2*Inputs!$H$31^4*Inputs!$I$31^2)+Inputs!$G$31*$A22^Inputs!$B$11-Distribution!$B$3)</f>
        <v/>
      </c>
      <c r="K22" s="11">
        <f>IF(Inputs!$D$32=0,NA(),Inputs!$C$32+Inputs!$B$12*Inputs!$B$5*$A22^2/(Inputs!$D$32^2*Inputs!$H$32^4*Inputs!$I$32^2)+Inputs!$G$32*$A22^Inputs!$B$11-Distribution!$B$3)</f>
        <v/>
      </c>
      <c r="L22" s="11">
        <f>IF(Inputs!$D$33=0,NA(),Inputs!$C$33+Inputs!$B$12*Inputs!$B$5*$A22^2/(Inputs!$D$33^2*Inputs!$H$33^4*Inputs!$I$33^2)+Inputs!$G$33*$A22^Inputs!$B$11-Distribution!$B$3)</f>
        <v/>
      </c>
      <c r="M22" s="11">
        <f>IF(Inputs!$D$34=0,NA(),Inputs!$C$34+Inputs!$B$12*Inputs!$B$5*$A22^2/(Inputs!$D$34^2*Inputs!$H$34^4*Inputs!$I$34^2)+Inputs!$G$34*$A22^Inputs!$B$11-Distribution!$B$3)</f>
        <v/>
      </c>
      <c r="N22" s="11">
        <f>Distribution!$B$9-Distribution!$B$3</f>
        <v/>
      </c>
    </row>
    <row r="23">
      <c r="A23" s="11">
        <f>2.2*Inputs!$B$20*18/100</f>
        <v/>
      </c>
      <c r="B23" s="11">
        <f>IF(Inputs!$D$23=0,NA(),Inputs!$C$23+Inputs!$B$12*Inputs!$B$5*$A23^2/(Inputs!$D$23^2*Inputs!$H$23^4*Inputs!$I$23^2)+Inputs!$G$23*$A23^Inputs!$B$11-Distribution!$B$3)</f>
        <v/>
      </c>
      <c r="C23" s="11">
        <f>IF(Inputs!$D$24=0,NA(),Inputs!$C$24+Inputs!$B$12*Inputs!$B$5*$A23^2/(Inputs!$D$24^2*Inputs!$H$24^4*Inputs!$I$24^2)+Inputs!$G$24*$A23^Inputs!$B$11-Distribution!$B$3)</f>
        <v/>
      </c>
      <c r="D23" s="11">
        <f>IF(Inputs!$D$25=0,NA(),Inputs!$C$25+Inputs!$B$12*Inputs!$B$5*$A23^2/(Inputs!$D$25^2*Inputs!$H$25^4*Inputs!$I$25^2)+Inputs!$G$25*$A23^Inputs!$B$11-Distribution!$B$3)</f>
        <v/>
      </c>
      <c r="E23" s="11">
        <f>IF(Inputs!$D$26=0,NA(),Inputs!$C$26+Inputs!$B$12*Inputs!$B$5*$A23^2/(Inputs!$D$26^2*Inputs!$H$26^4*Inputs!$I$26^2)+Inputs!$G$26*$A23^Inputs!$B$11-Distribution!$B$3)</f>
        <v/>
      </c>
      <c r="F23" s="11">
        <f>IF(Inputs!$D$27=0,NA(),Inputs!$C$27+Inputs!$B$12*Inputs!$B$5*$A23^2/(Inputs!$D$27^2*Inputs!$H$27^4*Inputs!$I$27^2)+Inputs!$G$27*$A23^Inputs!$B$11-Distribution!$B$3)</f>
        <v/>
      </c>
      <c r="G23" s="11">
        <f>IF(Inputs!$D$28=0,NA(),Inputs!$C$28+Inputs!$B$12*Inputs!$B$5*$A23^2/(Inputs!$D$28^2*Inputs!$H$28^4*Inputs!$I$28^2)+Inputs!$G$28*$A23^Inputs!$B$11-Distribution!$B$3)</f>
        <v/>
      </c>
      <c r="H23" s="11">
        <f>IF(Inputs!$D$29=0,NA(),Inputs!$C$29+Inputs!$B$12*Inputs!$B$5*$A23^2/(Inputs!$D$29^2*Inputs!$H$29^4*Inputs!$I$29^2)+Inputs!$G$29*$A23^Inputs!$B$11-Distribution!$B$3)</f>
        <v/>
      </c>
      <c r="I23" s="11">
        <f>IF(Inputs!$D$30=0,NA(),Inputs!$C$30+Inputs!$B$12*Inputs!$B$5*$A23^2/(Inputs!$D$30^2*Inputs!$H$30^4*Inputs!$I$30^2)+Inputs!$G$30*$A23^Inputs!$B$11-Distribution!$B$3)</f>
        <v/>
      </c>
      <c r="J23" s="11">
        <f>IF(Inputs!$D$31=0,NA(),Inputs!$C$31+Inputs!$B$12*Inputs!$B$5*$A23^2/(Inputs!$D$31^2*Inputs!$H$31^4*Inputs!$I$31^2)+Inputs!$G$31*$A23^Inputs!$B$11-Distribution!$B$3)</f>
        <v/>
      </c>
      <c r="K23" s="11">
        <f>IF(Inputs!$D$32=0,NA(),Inputs!$C$32+Inputs!$B$12*Inputs!$B$5*$A23^2/(Inputs!$D$32^2*Inputs!$H$32^4*Inputs!$I$32^2)+Inputs!$G$32*$A23^Inputs!$B$11-Distribution!$B$3)</f>
        <v/>
      </c>
      <c r="L23" s="11">
        <f>IF(Inputs!$D$33=0,NA(),Inputs!$C$33+Inputs!$B$12*Inputs!$B$5*$A23^2/(Inputs!$D$33^2*Inputs!$H$33^4*Inputs!$I$33^2)+Inputs!$G$33*$A23^Inputs!$B$11-Distribution!$B$3)</f>
        <v/>
      </c>
      <c r="M23" s="11">
        <f>IF(Inputs!$D$34=0,NA(),Inputs!$C$34+Inputs!$B$12*Inputs!$B$5*$A23^2/(Inputs!$D$34^2*Inputs!$H$34^4*Inputs!$I$34^2)+Inputs!$G$34*$A23^Inputs!$B$11-Distribution!$B$3)</f>
        <v/>
      </c>
      <c r="N23" s="11">
        <f>Distribution!$B$9-Distribution!$B$3</f>
        <v/>
      </c>
    </row>
    <row r="24">
      <c r="A24" s="11">
        <f>2.2*Inputs!$B$20*19/100</f>
        <v/>
      </c>
      <c r="B24" s="11">
        <f>IF(Inputs!$D$23=0,NA(),Inputs!$C$23+Inputs!$B$12*Inputs!$B$5*$A24^2/(Inputs!$D$23^2*Inputs!$H$23^4*Inputs!$I$23^2)+Inputs!$G$23*$A24^Inputs!$B$11-Distribution!$B$3)</f>
        <v/>
      </c>
      <c r="C24" s="11">
        <f>IF(Inputs!$D$24=0,NA(),Inputs!$C$24+Inputs!$B$12*Inputs!$B$5*$A24^2/(Inputs!$D$24^2*Inputs!$H$24^4*Inputs!$I$24^2)+Inputs!$G$24*$A24^Inputs!$B$11-Distribution!$B$3)</f>
        <v/>
      </c>
      <c r="D24" s="11">
        <f>IF(Inputs!$D$25=0,NA(),Inputs!$C$25+Inputs!$B$12*Inputs!$B$5*$A24^2/(Inputs!$D$25^2*Inputs!$H$25^4*Inputs!$I$25^2)+Inputs!$G$25*$A24^Inputs!$B$11-Distribution!$B$3)</f>
        <v/>
      </c>
      <c r="E24" s="11">
        <f>IF(Inputs!$D$26=0,NA(),Inputs!$C$26+Inputs!$B$12*Inputs!$B$5*$A24^2/(Inputs!$D$26^2*Inputs!$H$26^4*Inputs!$I$26^2)+Inputs!$G$26*$A24^Inputs!$B$11-Distribution!$B$3)</f>
        <v/>
      </c>
      <c r="F24" s="11">
        <f>IF(Inputs!$D$27=0,NA(),Inputs!$C$27+Inputs!$B$12*Inputs!$B$5*$A24^2/(Inputs!$D$27^2*Inputs!$H$27^4*Inputs!$I$27^2)+Inputs!$G$27*$A24^Inputs!$B$11-Distribution!$B$3)</f>
        <v/>
      </c>
      <c r="G24" s="11">
        <f>IF(Inputs!$D$28=0,NA(),Inputs!$C$28+Inputs!$B$12*Inputs!$B$5*$A24^2/(Inputs!$D$28^2*Inputs!$H$28^4*Inputs!$I$28^2)+Inputs!$G$28*$A24^Inputs!$B$11-Distribution!$B$3)</f>
        <v/>
      </c>
      <c r="H24" s="11">
        <f>IF(Inputs!$D$29=0,NA(),Inputs!$C$29+Inputs!$B$12*Inputs!$B$5*$A24^2/(Inputs!$D$29^2*Inputs!$H$29^4*Inputs!$I$29^2)+Inputs!$G$29*$A24^Inputs!$B$11-Distribution!$B$3)</f>
        <v/>
      </c>
      <c r="I24" s="11">
        <f>IF(Inputs!$D$30=0,NA(),Inputs!$C$30+Inputs!$B$12*Inputs!$B$5*$A24^2/(Inputs!$D$30^2*Inputs!$H$30^4*Inputs!$I$30^2)+Inputs!$G$30*$A24^Inputs!$B$11-Distribution!$B$3)</f>
        <v/>
      </c>
      <c r="J24" s="11">
        <f>IF(Inputs!$D$31=0,NA(),Inputs!$C$31+Inputs!$B$12*Inputs!$B$5*$A24^2/(Inputs!$D$31^2*Inputs!$H$31^4*Inputs!$I$31^2)+Inputs!$G$31*$A24^Inputs!$B$11-Distribution!$B$3)</f>
        <v/>
      </c>
      <c r="K24" s="11">
        <f>IF(Inputs!$D$32=0,NA(),Inputs!$C$32+Inputs!$B$12*Inputs!$B$5*$A24^2/(Inputs!$D$32^2*Inputs!$H$32^4*Inputs!$I$32^2)+Inputs!$G$32*$A24^Inputs!$B$11-Distribution!$B$3)</f>
        <v/>
      </c>
      <c r="L24" s="11">
        <f>IF(Inputs!$D$33=0,NA(),Inputs!$C$33+Inputs!$B$12*Inputs!$B$5*$A24^2/(Inputs!$D$33^2*Inputs!$H$33^4*Inputs!$I$33^2)+Inputs!$G$33*$A24^Inputs!$B$11-Distribution!$B$3)</f>
        <v/>
      </c>
      <c r="M24" s="11">
        <f>IF(Inputs!$D$34=0,NA(),Inputs!$C$34+Inputs!$B$12*Inputs!$B$5*$A24^2/(Inputs!$D$34^2*Inputs!$H$34^4*Inputs!$I$34^2)+Inputs!$G$34*$A24^Inputs!$B$11-Distribution!$B$3)</f>
        <v/>
      </c>
      <c r="N24" s="11">
        <f>Distribution!$B$9-Distribution!$B$3</f>
        <v/>
      </c>
    </row>
    <row r="25">
      <c r="A25" s="11">
        <f>2.2*Inputs!$B$20*20/100</f>
        <v/>
      </c>
      <c r="B25" s="11">
        <f>IF(Inputs!$D$23=0,NA(),Inputs!$C$23+Inputs!$B$12*Inputs!$B$5*$A25^2/(Inputs!$D$23^2*Inputs!$H$23^4*Inputs!$I$23^2)+Inputs!$G$23*$A25^Inputs!$B$11-Distribution!$B$3)</f>
        <v/>
      </c>
      <c r="C25" s="11">
        <f>IF(Inputs!$D$24=0,NA(),Inputs!$C$24+Inputs!$B$12*Inputs!$B$5*$A25^2/(Inputs!$D$24^2*Inputs!$H$24^4*Inputs!$I$24^2)+Inputs!$G$24*$A25^Inputs!$B$11-Distribution!$B$3)</f>
        <v/>
      </c>
      <c r="D25" s="11">
        <f>IF(Inputs!$D$25=0,NA(),Inputs!$C$25+Inputs!$B$12*Inputs!$B$5*$A25^2/(Inputs!$D$25^2*Inputs!$H$25^4*Inputs!$I$25^2)+Inputs!$G$25*$A25^Inputs!$B$11-Distribution!$B$3)</f>
        <v/>
      </c>
      <c r="E25" s="11">
        <f>IF(Inputs!$D$26=0,NA(),Inputs!$C$26+Inputs!$B$12*Inputs!$B$5*$A25^2/(Inputs!$D$26^2*Inputs!$H$26^4*Inputs!$I$26^2)+Inputs!$G$26*$A25^Inputs!$B$11-Distribution!$B$3)</f>
        <v/>
      </c>
      <c r="F25" s="11">
        <f>IF(Inputs!$D$27=0,NA(),Inputs!$C$27+Inputs!$B$12*Inputs!$B$5*$A25^2/(Inputs!$D$27^2*Inputs!$H$27^4*Inputs!$I$27^2)+Inputs!$G$27*$A25^Inputs!$B$11-Distribution!$B$3)</f>
        <v/>
      </c>
      <c r="G25" s="11">
        <f>IF(Inputs!$D$28=0,NA(),Inputs!$C$28+Inputs!$B$12*Inputs!$B$5*$A25^2/(Inputs!$D$28^2*Inputs!$H$28^4*Inputs!$I$28^2)+Inputs!$G$28*$A25^Inputs!$B$11-Distribution!$B$3)</f>
        <v/>
      </c>
      <c r="H25" s="11">
        <f>IF(Inputs!$D$29=0,NA(),Inputs!$C$29+Inputs!$B$12*Inputs!$B$5*$A25^2/(Inputs!$D$29^2*Inputs!$H$29^4*Inputs!$I$29^2)+Inputs!$G$29*$A25^Inputs!$B$11-Distribution!$B$3)</f>
        <v/>
      </c>
      <c r="I25" s="11">
        <f>IF(Inputs!$D$30=0,NA(),Inputs!$C$30+Inputs!$B$12*Inputs!$B$5*$A25^2/(Inputs!$D$30^2*Inputs!$H$30^4*Inputs!$I$30^2)+Inputs!$G$30*$A25^Inputs!$B$11-Distribution!$B$3)</f>
        <v/>
      </c>
      <c r="J25" s="11">
        <f>IF(Inputs!$D$31=0,NA(),Inputs!$C$31+Inputs!$B$12*Inputs!$B$5*$A25^2/(Inputs!$D$31^2*Inputs!$H$31^4*Inputs!$I$31^2)+Inputs!$G$31*$A25^Inputs!$B$11-Distribution!$B$3)</f>
        <v/>
      </c>
      <c r="K25" s="11">
        <f>IF(Inputs!$D$32=0,NA(),Inputs!$C$32+Inputs!$B$12*Inputs!$B$5*$A25^2/(Inputs!$D$32^2*Inputs!$H$32^4*Inputs!$I$32^2)+Inputs!$G$32*$A25^Inputs!$B$11-Distribution!$B$3)</f>
        <v/>
      </c>
      <c r="L25" s="11">
        <f>IF(Inputs!$D$33=0,NA(),Inputs!$C$33+Inputs!$B$12*Inputs!$B$5*$A25^2/(Inputs!$D$33^2*Inputs!$H$33^4*Inputs!$I$33^2)+Inputs!$G$33*$A25^Inputs!$B$11-Distribution!$B$3)</f>
        <v/>
      </c>
      <c r="M25" s="11">
        <f>IF(Inputs!$D$34=0,NA(),Inputs!$C$34+Inputs!$B$12*Inputs!$B$5*$A25^2/(Inputs!$D$34^2*Inputs!$H$34^4*Inputs!$I$34^2)+Inputs!$G$34*$A25^Inputs!$B$11-Distribution!$B$3)</f>
        <v/>
      </c>
      <c r="N25" s="11">
        <f>Distribution!$B$9-Distribution!$B$3</f>
        <v/>
      </c>
    </row>
    <row r="26">
      <c r="A26" s="11">
        <f>2.2*Inputs!$B$20*21/100</f>
        <v/>
      </c>
      <c r="B26" s="11">
        <f>IF(Inputs!$D$23=0,NA(),Inputs!$C$23+Inputs!$B$12*Inputs!$B$5*$A26^2/(Inputs!$D$23^2*Inputs!$H$23^4*Inputs!$I$23^2)+Inputs!$G$23*$A26^Inputs!$B$11-Distribution!$B$3)</f>
        <v/>
      </c>
      <c r="C26" s="11">
        <f>IF(Inputs!$D$24=0,NA(),Inputs!$C$24+Inputs!$B$12*Inputs!$B$5*$A26^2/(Inputs!$D$24^2*Inputs!$H$24^4*Inputs!$I$24^2)+Inputs!$G$24*$A26^Inputs!$B$11-Distribution!$B$3)</f>
        <v/>
      </c>
      <c r="D26" s="11">
        <f>IF(Inputs!$D$25=0,NA(),Inputs!$C$25+Inputs!$B$12*Inputs!$B$5*$A26^2/(Inputs!$D$25^2*Inputs!$H$25^4*Inputs!$I$25^2)+Inputs!$G$25*$A26^Inputs!$B$11-Distribution!$B$3)</f>
        <v/>
      </c>
      <c r="E26" s="11">
        <f>IF(Inputs!$D$26=0,NA(),Inputs!$C$26+Inputs!$B$12*Inputs!$B$5*$A26^2/(Inputs!$D$26^2*Inputs!$H$26^4*Inputs!$I$26^2)+Inputs!$G$26*$A26^Inputs!$B$11-Distribution!$B$3)</f>
        <v/>
      </c>
      <c r="F26" s="11">
        <f>IF(Inputs!$D$27=0,NA(),Inputs!$C$27+Inputs!$B$12*Inputs!$B$5*$A26^2/(Inputs!$D$27^2*Inputs!$H$27^4*Inputs!$I$27^2)+Inputs!$G$27*$A26^Inputs!$B$11-Distribution!$B$3)</f>
        <v/>
      </c>
      <c r="G26" s="11">
        <f>IF(Inputs!$D$28=0,NA(),Inputs!$C$28+Inputs!$B$12*Inputs!$B$5*$A26^2/(Inputs!$D$28^2*Inputs!$H$28^4*Inputs!$I$28^2)+Inputs!$G$28*$A26^Inputs!$B$11-Distribution!$B$3)</f>
        <v/>
      </c>
      <c r="H26" s="11">
        <f>IF(Inputs!$D$29=0,NA(),Inputs!$C$29+Inputs!$B$12*Inputs!$B$5*$A26^2/(Inputs!$D$29^2*Inputs!$H$29^4*Inputs!$I$29^2)+Inputs!$G$29*$A26^Inputs!$B$11-Distribution!$B$3)</f>
        <v/>
      </c>
      <c r="I26" s="11">
        <f>IF(Inputs!$D$30=0,NA(),Inputs!$C$30+Inputs!$B$12*Inputs!$B$5*$A26^2/(Inputs!$D$30^2*Inputs!$H$30^4*Inputs!$I$30^2)+Inputs!$G$30*$A26^Inputs!$B$11-Distribution!$B$3)</f>
        <v/>
      </c>
      <c r="J26" s="11">
        <f>IF(Inputs!$D$31=0,NA(),Inputs!$C$31+Inputs!$B$12*Inputs!$B$5*$A26^2/(Inputs!$D$31^2*Inputs!$H$31^4*Inputs!$I$31^2)+Inputs!$G$31*$A26^Inputs!$B$11-Distribution!$B$3)</f>
        <v/>
      </c>
      <c r="K26" s="11">
        <f>IF(Inputs!$D$32=0,NA(),Inputs!$C$32+Inputs!$B$12*Inputs!$B$5*$A26^2/(Inputs!$D$32^2*Inputs!$H$32^4*Inputs!$I$32^2)+Inputs!$G$32*$A26^Inputs!$B$11-Distribution!$B$3)</f>
        <v/>
      </c>
      <c r="L26" s="11">
        <f>IF(Inputs!$D$33=0,NA(),Inputs!$C$33+Inputs!$B$12*Inputs!$B$5*$A26^2/(Inputs!$D$33^2*Inputs!$H$33^4*Inputs!$I$33^2)+Inputs!$G$33*$A26^Inputs!$B$11-Distribution!$B$3)</f>
        <v/>
      </c>
      <c r="M26" s="11">
        <f>IF(Inputs!$D$34=0,NA(),Inputs!$C$34+Inputs!$B$12*Inputs!$B$5*$A26^2/(Inputs!$D$34^2*Inputs!$H$34^4*Inputs!$I$34^2)+Inputs!$G$34*$A26^Inputs!$B$11-Distribution!$B$3)</f>
        <v/>
      </c>
      <c r="N26" s="11">
        <f>Distribution!$B$9-Distribution!$B$3</f>
        <v/>
      </c>
    </row>
    <row r="27">
      <c r="A27" s="11">
        <f>2.2*Inputs!$B$20*22/100</f>
        <v/>
      </c>
      <c r="B27" s="11">
        <f>IF(Inputs!$D$23=0,NA(),Inputs!$C$23+Inputs!$B$12*Inputs!$B$5*$A27^2/(Inputs!$D$23^2*Inputs!$H$23^4*Inputs!$I$23^2)+Inputs!$G$23*$A27^Inputs!$B$11-Distribution!$B$3)</f>
        <v/>
      </c>
      <c r="C27" s="11">
        <f>IF(Inputs!$D$24=0,NA(),Inputs!$C$24+Inputs!$B$12*Inputs!$B$5*$A27^2/(Inputs!$D$24^2*Inputs!$H$24^4*Inputs!$I$24^2)+Inputs!$G$24*$A27^Inputs!$B$11-Distribution!$B$3)</f>
        <v/>
      </c>
      <c r="D27" s="11">
        <f>IF(Inputs!$D$25=0,NA(),Inputs!$C$25+Inputs!$B$12*Inputs!$B$5*$A27^2/(Inputs!$D$25^2*Inputs!$H$25^4*Inputs!$I$25^2)+Inputs!$G$25*$A27^Inputs!$B$11-Distribution!$B$3)</f>
        <v/>
      </c>
      <c r="E27" s="11">
        <f>IF(Inputs!$D$26=0,NA(),Inputs!$C$26+Inputs!$B$12*Inputs!$B$5*$A27^2/(Inputs!$D$26^2*Inputs!$H$26^4*Inputs!$I$26^2)+Inputs!$G$26*$A27^Inputs!$B$11-Distribution!$B$3)</f>
        <v/>
      </c>
      <c r="F27" s="11">
        <f>IF(Inputs!$D$27=0,NA(),Inputs!$C$27+Inputs!$B$12*Inputs!$B$5*$A27^2/(Inputs!$D$27^2*Inputs!$H$27^4*Inputs!$I$27^2)+Inputs!$G$27*$A27^Inputs!$B$11-Distribution!$B$3)</f>
        <v/>
      </c>
      <c r="G27" s="11">
        <f>IF(Inputs!$D$28=0,NA(),Inputs!$C$28+Inputs!$B$12*Inputs!$B$5*$A27^2/(Inputs!$D$28^2*Inputs!$H$28^4*Inputs!$I$28^2)+Inputs!$G$28*$A27^Inputs!$B$11-Distribution!$B$3)</f>
        <v/>
      </c>
      <c r="H27" s="11">
        <f>IF(Inputs!$D$29=0,NA(),Inputs!$C$29+Inputs!$B$12*Inputs!$B$5*$A27^2/(Inputs!$D$29^2*Inputs!$H$29^4*Inputs!$I$29^2)+Inputs!$G$29*$A27^Inputs!$B$11-Distribution!$B$3)</f>
        <v/>
      </c>
      <c r="I27" s="11">
        <f>IF(Inputs!$D$30=0,NA(),Inputs!$C$30+Inputs!$B$12*Inputs!$B$5*$A27^2/(Inputs!$D$30^2*Inputs!$H$30^4*Inputs!$I$30^2)+Inputs!$G$30*$A27^Inputs!$B$11-Distribution!$B$3)</f>
        <v/>
      </c>
      <c r="J27" s="11">
        <f>IF(Inputs!$D$31=0,NA(),Inputs!$C$31+Inputs!$B$12*Inputs!$B$5*$A27^2/(Inputs!$D$31^2*Inputs!$H$31^4*Inputs!$I$31^2)+Inputs!$G$31*$A27^Inputs!$B$11-Distribution!$B$3)</f>
        <v/>
      </c>
      <c r="K27" s="11">
        <f>IF(Inputs!$D$32=0,NA(),Inputs!$C$32+Inputs!$B$12*Inputs!$B$5*$A27^2/(Inputs!$D$32^2*Inputs!$H$32^4*Inputs!$I$32^2)+Inputs!$G$32*$A27^Inputs!$B$11-Distribution!$B$3)</f>
        <v/>
      </c>
      <c r="L27" s="11">
        <f>IF(Inputs!$D$33=0,NA(),Inputs!$C$33+Inputs!$B$12*Inputs!$B$5*$A27^2/(Inputs!$D$33^2*Inputs!$H$33^4*Inputs!$I$33^2)+Inputs!$G$33*$A27^Inputs!$B$11-Distribution!$B$3)</f>
        <v/>
      </c>
      <c r="M27" s="11">
        <f>IF(Inputs!$D$34=0,NA(),Inputs!$C$34+Inputs!$B$12*Inputs!$B$5*$A27^2/(Inputs!$D$34^2*Inputs!$H$34^4*Inputs!$I$34^2)+Inputs!$G$34*$A27^Inputs!$B$11-Distribution!$B$3)</f>
        <v/>
      </c>
      <c r="N27" s="11">
        <f>Distribution!$B$9-Distribution!$B$3</f>
        <v/>
      </c>
    </row>
    <row r="28">
      <c r="A28" s="11">
        <f>2.2*Inputs!$B$20*23/100</f>
        <v/>
      </c>
      <c r="B28" s="11">
        <f>IF(Inputs!$D$23=0,NA(),Inputs!$C$23+Inputs!$B$12*Inputs!$B$5*$A28^2/(Inputs!$D$23^2*Inputs!$H$23^4*Inputs!$I$23^2)+Inputs!$G$23*$A28^Inputs!$B$11-Distribution!$B$3)</f>
        <v/>
      </c>
      <c r="C28" s="11">
        <f>IF(Inputs!$D$24=0,NA(),Inputs!$C$24+Inputs!$B$12*Inputs!$B$5*$A28^2/(Inputs!$D$24^2*Inputs!$H$24^4*Inputs!$I$24^2)+Inputs!$G$24*$A28^Inputs!$B$11-Distribution!$B$3)</f>
        <v/>
      </c>
      <c r="D28" s="11">
        <f>IF(Inputs!$D$25=0,NA(),Inputs!$C$25+Inputs!$B$12*Inputs!$B$5*$A28^2/(Inputs!$D$25^2*Inputs!$H$25^4*Inputs!$I$25^2)+Inputs!$G$25*$A28^Inputs!$B$11-Distribution!$B$3)</f>
        <v/>
      </c>
      <c r="E28" s="11">
        <f>IF(Inputs!$D$26=0,NA(),Inputs!$C$26+Inputs!$B$12*Inputs!$B$5*$A28^2/(Inputs!$D$26^2*Inputs!$H$26^4*Inputs!$I$26^2)+Inputs!$G$26*$A28^Inputs!$B$11-Distribution!$B$3)</f>
        <v/>
      </c>
      <c r="F28" s="11">
        <f>IF(Inputs!$D$27=0,NA(),Inputs!$C$27+Inputs!$B$12*Inputs!$B$5*$A28^2/(Inputs!$D$27^2*Inputs!$H$27^4*Inputs!$I$27^2)+Inputs!$G$27*$A28^Inputs!$B$11-Distribution!$B$3)</f>
        <v/>
      </c>
      <c r="G28" s="11">
        <f>IF(Inputs!$D$28=0,NA(),Inputs!$C$28+Inputs!$B$12*Inputs!$B$5*$A28^2/(Inputs!$D$28^2*Inputs!$H$28^4*Inputs!$I$28^2)+Inputs!$G$28*$A28^Inputs!$B$11-Distribution!$B$3)</f>
        <v/>
      </c>
      <c r="H28" s="11">
        <f>IF(Inputs!$D$29=0,NA(),Inputs!$C$29+Inputs!$B$12*Inputs!$B$5*$A28^2/(Inputs!$D$29^2*Inputs!$H$29^4*Inputs!$I$29^2)+Inputs!$G$29*$A28^Inputs!$B$11-Distribution!$B$3)</f>
        <v/>
      </c>
      <c r="I28" s="11">
        <f>IF(Inputs!$D$30=0,NA(),Inputs!$C$30+Inputs!$B$12*Inputs!$B$5*$A28^2/(Inputs!$D$30^2*Inputs!$H$30^4*Inputs!$I$30^2)+Inputs!$G$30*$A28^Inputs!$B$11-Distribution!$B$3)</f>
        <v/>
      </c>
      <c r="J28" s="11">
        <f>IF(Inputs!$D$31=0,NA(),Inputs!$C$31+Inputs!$B$12*Inputs!$B$5*$A28^2/(Inputs!$D$31^2*Inputs!$H$31^4*Inputs!$I$31^2)+Inputs!$G$31*$A28^Inputs!$B$11-Distribution!$B$3)</f>
        <v/>
      </c>
      <c r="K28" s="11">
        <f>IF(Inputs!$D$32=0,NA(),Inputs!$C$32+Inputs!$B$12*Inputs!$B$5*$A28^2/(Inputs!$D$32^2*Inputs!$H$32^4*Inputs!$I$32^2)+Inputs!$G$32*$A28^Inputs!$B$11-Distribution!$B$3)</f>
        <v/>
      </c>
      <c r="L28" s="11">
        <f>IF(Inputs!$D$33=0,NA(),Inputs!$C$33+Inputs!$B$12*Inputs!$B$5*$A28^2/(Inputs!$D$33^2*Inputs!$H$33^4*Inputs!$I$33^2)+Inputs!$G$33*$A28^Inputs!$B$11-Distribution!$B$3)</f>
        <v/>
      </c>
      <c r="M28" s="11">
        <f>IF(Inputs!$D$34=0,NA(),Inputs!$C$34+Inputs!$B$12*Inputs!$B$5*$A28^2/(Inputs!$D$34^2*Inputs!$H$34^4*Inputs!$I$34^2)+Inputs!$G$34*$A28^Inputs!$B$11-Distribution!$B$3)</f>
        <v/>
      </c>
      <c r="N28" s="11">
        <f>Distribution!$B$9-Distribution!$B$3</f>
        <v/>
      </c>
    </row>
    <row r="29">
      <c r="A29" s="11">
        <f>2.2*Inputs!$B$20*24/100</f>
        <v/>
      </c>
      <c r="B29" s="11">
        <f>IF(Inputs!$D$23=0,NA(),Inputs!$C$23+Inputs!$B$12*Inputs!$B$5*$A29^2/(Inputs!$D$23^2*Inputs!$H$23^4*Inputs!$I$23^2)+Inputs!$G$23*$A29^Inputs!$B$11-Distribution!$B$3)</f>
        <v/>
      </c>
      <c r="C29" s="11">
        <f>IF(Inputs!$D$24=0,NA(),Inputs!$C$24+Inputs!$B$12*Inputs!$B$5*$A29^2/(Inputs!$D$24^2*Inputs!$H$24^4*Inputs!$I$24^2)+Inputs!$G$24*$A29^Inputs!$B$11-Distribution!$B$3)</f>
        <v/>
      </c>
      <c r="D29" s="11">
        <f>IF(Inputs!$D$25=0,NA(),Inputs!$C$25+Inputs!$B$12*Inputs!$B$5*$A29^2/(Inputs!$D$25^2*Inputs!$H$25^4*Inputs!$I$25^2)+Inputs!$G$25*$A29^Inputs!$B$11-Distribution!$B$3)</f>
        <v/>
      </c>
      <c r="E29" s="11">
        <f>IF(Inputs!$D$26=0,NA(),Inputs!$C$26+Inputs!$B$12*Inputs!$B$5*$A29^2/(Inputs!$D$26^2*Inputs!$H$26^4*Inputs!$I$26^2)+Inputs!$G$26*$A29^Inputs!$B$11-Distribution!$B$3)</f>
        <v/>
      </c>
      <c r="F29" s="11">
        <f>IF(Inputs!$D$27=0,NA(),Inputs!$C$27+Inputs!$B$12*Inputs!$B$5*$A29^2/(Inputs!$D$27^2*Inputs!$H$27^4*Inputs!$I$27^2)+Inputs!$G$27*$A29^Inputs!$B$11-Distribution!$B$3)</f>
        <v/>
      </c>
      <c r="G29" s="11">
        <f>IF(Inputs!$D$28=0,NA(),Inputs!$C$28+Inputs!$B$12*Inputs!$B$5*$A29^2/(Inputs!$D$28^2*Inputs!$H$28^4*Inputs!$I$28^2)+Inputs!$G$28*$A29^Inputs!$B$11-Distribution!$B$3)</f>
        <v/>
      </c>
      <c r="H29" s="11">
        <f>IF(Inputs!$D$29=0,NA(),Inputs!$C$29+Inputs!$B$12*Inputs!$B$5*$A29^2/(Inputs!$D$29^2*Inputs!$H$29^4*Inputs!$I$29^2)+Inputs!$G$29*$A29^Inputs!$B$11-Distribution!$B$3)</f>
        <v/>
      </c>
      <c r="I29" s="11">
        <f>IF(Inputs!$D$30=0,NA(),Inputs!$C$30+Inputs!$B$12*Inputs!$B$5*$A29^2/(Inputs!$D$30^2*Inputs!$H$30^4*Inputs!$I$30^2)+Inputs!$G$30*$A29^Inputs!$B$11-Distribution!$B$3)</f>
        <v/>
      </c>
      <c r="J29" s="11">
        <f>IF(Inputs!$D$31=0,NA(),Inputs!$C$31+Inputs!$B$12*Inputs!$B$5*$A29^2/(Inputs!$D$31^2*Inputs!$H$31^4*Inputs!$I$31^2)+Inputs!$G$31*$A29^Inputs!$B$11-Distribution!$B$3)</f>
        <v/>
      </c>
      <c r="K29" s="11">
        <f>IF(Inputs!$D$32=0,NA(),Inputs!$C$32+Inputs!$B$12*Inputs!$B$5*$A29^2/(Inputs!$D$32^2*Inputs!$H$32^4*Inputs!$I$32^2)+Inputs!$G$32*$A29^Inputs!$B$11-Distribution!$B$3)</f>
        <v/>
      </c>
      <c r="L29" s="11">
        <f>IF(Inputs!$D$33=0,NA(),Inputs!$C$33+Inputs!$B$12*Inputs!$B$5*$A29^2/(Inputs!$D$33^2*Inputs!$H$33^4*Inputs!$I$33^2)+Inputs!$G$33*$A29^Inputs!$B$11-Distribution!$B$3)</f>
        <v/>
      </c>
      <c r="M29" s="11">
        <f>IF(Inputs!$D$34=0,NA(),Inputs!$C$34+Inputs!$B$12*Inputs!$B$5*$A29^2/(Inputs!$D$34^2*Inputs!$H$34^4*Inputs!$I$34^2)+Inputs!$G$34*$A29^Inputs!$B$11-Distribution!$B$3)</f>
        <v/>
      </c>
      <c r="N29" s="11">
        <f>Distribution!$B$9-Distribution!$B$3</f>
        <v/>
      </c>
    </row>
    <row r="30">
      <c r="A30" s="11">
        <f>2.2*Inputs!$B$20*25/100</f>
        <v/>
      </c>
      <c r="B30" s="11">
        <f>IF(Inputs!$D$23=0,NA(),Inputs!$C$23+Inputs!$B$12*Inputs!$B$5*$A30^2/(Inputs!$D$23^2*Inputs!$H$23^4*Inputs!$I$23^2)+Inputs!$G$23*$A30^Inputs!$B$11-Distribution!$B$3)</f>
        <v/>
      </c>
      <c r="C30" s="11">
        <f>IF(Inputs!$D$24=0,NA(),Inputs!$C$24+Inputs!$B$12*Inputs!$B$5*$A30^2/(Inputs!$D$24^2*Inputs!$H$24^4*Inputs!$I$24^2)+Inputs!$G$24*$A30^Inputs!$B$11-Distribution!$B$3)</f>
        <v/>
      </c>
      <c r="D30" s="11">
        <f>IF(Inputs!$D$25=0,NA(),Inputs!$C$25+Inputs!$B$12*Inputs!$B$5*$A30^2/(Inputs!$D$25^2*Inputs!$H$25^4*Inputs!$I$25^2)+Inputs!$G$25*$A30^Inputs!$B$11-Distribution!$B$3)</f>
        <v/>
      </c>
      <c r="E30" s="11">
        <f>IF(Inputs!$D$26=0,NA(),Inputs!$C$26+Inputs!$B$12*Inputs!$B$5*$A30^2/(Inputs!$D$26^2*Inputs!$H$26^4*Inputs!$I$26^2)+Inputs!$G$26*$A30^Inputs!$B$11-Distribution!$B$3)</f>
        <v/>
      </c>
      <c r="F30" s="11">
        <f>IF(Inputs!$D$27=0,NA(),Inputs!$C$27+Inputs!$B$12*Inputs!$B$5*$A30^2/(Inputs!$D$27^2*Inputs!$H$27^4*Inputs!$I$27^2)+Inputs!$G$27*$A30^Inputs!$B$11-Distribution!$B$3)</f>
        <v/>
      </c>
      <c r="G30" s="11">
        <f>IF(Inputs!$D$28=0,NA(),Inputs!$C$28+Inputs!$B$12*Inputs!$B$5*$A30^2/(Inputs!$D$28^2*Inputs!$H$28^4*Inputs!$I$28^2)+Inputs!$G$28*$A30^Inputs!$B$11-Distribution!$B$3)</f>
        <v/>
      </c>
      <c r="H30" s="11">
        <f>IF(Inputs!$D$29=0,NA(),Inputs!$C$29+Inputs!$B$12*Inputs!$B$5*$A30^2/(Inputs!$D$29^2*Inputs!$H$29^4*Inputs!$I$29^2)+Inputs!$G$29*$A30^Inputs!$B$11-Distribution!$B$3)</f>
        <v/>
      </c>
      <c r="I30" s="11">
        <f>IF(Inputs!$D$30=0,NA(),Inputs!$C$30+Inputs!$B$12*Inputs!$B$5*$A30^2/(Inputs!$D$30^2*Inputs!$H$30^4*Inputs!$I$30^2)+Inputs!$G$30*$A30^Inputs!$B$11-Distribution!$B$3)</f>
        <v/>
      </c>
      <c r="J30" s="11">
        <f>IF(Inputs!$D$31=0,NA(),Inputs!$C$31+Inputs!$B$12*Inputs!$B$5*$A30^2/(Inputs!$D$31^2*Inputs!$H$31^4*Inputs!$I$31^2)+Inputs!$G$31*$A30^Inputs!$B$11-Distribution!$B$3)</f>
        <v/>
      </c>
      <c r="K30" s="11">
        <f>IF(Inputs!$D$32=0,NA(),Inputs!$C$32+Inputs!$B$12*Inputs!$B$5*$A30^2/(Inputs!$D$32^2*Inputs!$H$32^4*Inputs!$I$32^2)+Inputs!$G$32*$A30^Inputs!$B$11-Distribution!$B$3)</f>
        <v/>
      </c>
      <c r="L30" s="11">
        <f>IF(Inputs!$D$33=0,NA(),Inputs!$C$33+Inputs!$B$12*Inputs!$B$5*$A30^2/(Inputs!$D$33^2*Inputs!$H$33^4*Inputs!$I$33^2)+Inputs!$G$33*$A30^Inputs!$B$11-Distribution!$B$3)</f>
        <v/>
      </c>
      <c r="M30" s="11">
        <f>IF(Inputs!$D$34=0,NA(),Inputs!$C$34+Inputs!$B$12*Inputs!$B$5*$A30^2/(Inputs!$D$34^2*Inputs!$H$34^4*Inputs!$I$34^2)+Inputs!$G$34*$A30^Inputs!$B$11-Distribution!$B$3)</f>
        <v/>
      </c>
      <c r="N30" s="11">
        <f>Distribution!$B$9-Distribution!$B$3</f>
        <v/>
      </c>
    </row>
    <row r="31">
      <c r="A31" s="11">
        <f>2.2*Inputs!$B$20*26/100</f>
        <v/>
      </c>
      <c r="B31" s="11">
        <f>IF(Inputs!$D$23=0,NA(),Inputs!$C$23+Inputs!$B$12*Inputs!$B$5*$A31^2/(Inputs!$D$23^2*Inputs!$H$23^4*Inputs!$I$23^2)+Inputs!$G$23*$A31^Inputs!$B$11-Distribution!$B$3)</f>
        <v/>
      </c>
      <c r="C31" s="11">
        <f>IF(Inputs!$D$24=0,NA(),Inputs!$C$24+Inputs!$B$12*Inputs!$B$5*$A31^2/(Inputs!$D$24^2*Inputs!$H$24^4*Inputs!$I$24^2)+Inputs!$G$24*$A31^Inputs!$B$11-Distribution!$B$3)</f>
        <v/>
      </c>
      <c r="D31" s="11">
        <f>IF(Inputs!$D$25=0,NA(),Inputs!$C$25+Inputs!$B$12*Inputs!$B$5*$A31^2/(Inputs!$D$25^2*Inputs!$H$25^4*Inputs!$I$25^2)+Inputs!$G$25*$A31^Inputs!$B$11-Distribution!$B$3)</f>
        <v/>
      </c>
      <c r="E31" s="11">
        <f>IF(Inputs!$D$26=0,NA(),Inputs!$C$26+Inputs!$B$12*Inputs!$B$5*$A31^2/(Inputs!$D$26^2*Inputs!$H$26^4*Inputs!$I$26^2)+Inputs!$G$26*$A31^Inputs!$B$11-Distribution!$B$3)</f>
        <v/>
      </c>
      <c r="F31" s="11">
        <f>IF(Inputs!$D$27=0,NA(),Inputs!$C$27+Inputs!$B$12*Inputs!$B$5*$A31^2/(Inputs!$D$27^2*Inputs!$H$27^4*Inputs!$I$27^2)+Inputs!$G$27*$A31^Inputs!$B$11-Distribution!$B$3)</f>
        <v/>
      </c>
      <c r="G31" s="11">
        <f>IF(Inputs!$D$28=0,NA(),Inputs!$C$28+Inputs!$B$12*Inputs!$B$5*$A31^2/(Inputs!$D$28^2*Inputs!$H$28^4*Inputs!$I$28^2)+Inputs!$G$28*$A31^Inputs!$B$11-Distribution!$B$3)</f>
        <v/>
      </c>
      <c r="H31" s="11">
        <f>IF(Inputs!$D$29=0,NA(),Inputs!$C$29+Inputs!$B$12*Inputs!$B$5*$A31^2/(Inputs!$D$29^2*Inputs!$H$29^4*Inputs!$I$29^2)+Inputs!$G$29*$A31^Inputs!$B$11-Distribution!$B$3)</f>
        <v/>
      </c>
      <c r="I31" s="11">
        <f>IF(Inputs!$D$30=0,NA(),Inputs!$C$30+Inputs!$B$12*Inputs!$B$5*$A31^2/(Inputs!$D$30^2*Inputs!$H$30^4*Inputs!$I$30^2)+Inputs!$G$30*$A31^Inputs!$B$11-Distribution!$B$3)</f>
        <v/>
      </c>
      <c r="J31" s="11">
        <f>IF(Inputs!$D$31=0,NA(),Inputs!$C$31+Inputs!$B$12*Inputs!$B$5*$A31^2/(Inputs!$D$31^2*Inputs!$H$31^4*Inputs!$I$31^2)+Inputs!$G$31*$A31^Inputs!$B$11-Distribution!$B$3)</f>
        <v/>
      </c>
      <c r="K31" s="11">
        <f>IF(Inputs!$D$32=0,NA(),Inputs!$C$32+Inputs!$B$12*Inputs!$B$5*$A31^2/(Inputs!$D$32^2*Inputs!$H$32^4*Inputs!$I$32^2)+Inputs!$G$32*$A31^Inputs!$B$11-Distribution!$B$3)</f>
        <v/>
      </c>
      <c r="L31" s="11">
        <f>IF(Inputs!$D$33=0,NA(),Inputs!$C$33+Inputs!$B$12*Inputs!$B$5*$A31^2/(Inputs!$D$33^2*Inputs!$H$33^4*Inputs!$I$33^2)+Inputs!$G$33*$A31^Inputs!$B$11-Distribution!$B$3)</f>
        <v/>
      </c>
      <c r="M31" s="11">
        <f>IF(Inputs!$D$34=0,NA(),Inputs!$C$34+Inputs!$B$12*Inputs!$B$5*$A31^2/(Inputs!$D$34^2*Inputs!$H$34^4*Inputs!$I$34^2)+Inputs!$G$34*$A31^Inputs!$B$11-Distribution!$B$3)</f>
        <v/>
      </c>
      <c r="N31" s="11">
        <f>Distribution!$B$9-Distribution!$B$3</f>
        <v/>
      </c>
    </row>
    <row r="32">
      <c r="A32" s="11">
        <f>2.2*Inputs!$B$20*27/100</f>
        <v/>
      </c>
      <c r="B32" s="11">
        <f>IF(Inputs!$D$23=0,NA(),Inputs!$C$23+Inputs!$B$12*Inputs!$B$5*$A32^2/(Inputs!$D$23^2*Inputs!$H$23^4*Inputs!$I$23^2)+Inputs!$G$23*$A32^Inputs!$B$11-Distribution!$B$3)</f>
        <v/>
      </c>
      <c r="C32" s="11">
        <f>IF(Inputs!$D$24=0,NA(),Inputs!$C$24+Inputs!$B$12*Inputs!$B$5*$A32^2/(Inputs!$D$24^2*Inputs!$H$24^4*Inputs!$I$24^2)+Inputs!$G$24*$A32^Inputs!$B$11-Distribution!$B$3)</f>
        <v/>
      </c>
      <c r="D32" s="11">
        <f>IF(Inputs!$D$25=0,NA(),Inputs!$C$25+Inputs!$B$12*Inputs!$B$5*$A32^2/(Inputs!$D$25^2*Inputs!$H$25^4*Inputs!$I$25^2)+Inputs!$G$25*$A32^Inputs!$B$11-Distribution!$B$3)</f>
        <v/>
      </c>
      <c r="E32" s="11">
        <f>IF(Inputs!$D$26=0,NA(),Inputs!$C$26+Inputs!$B$12*Inputs!$B$5*$A32^2/(Inputs!$D$26^2*Inputs!$H$26^4*Inputs!$I$26^2)+Inputs!$G$26*$A32^Inputs!$B$11-Distribution!$B$3)</f>
        <v/>
      </c>
      <c r="F32" s="11">
        <f>IF(Inputs!$D$27=0,NA(),Inputs!$C$27+Inputs!$B$12*Inputs!$B$5*$A32^2/(Inputs!$D$27^2*Inputs!$H$27^4*Inputs!$I$27^2)+Inputs!$G$27*$A32^Inputs!$B$11-Distribution!$B$3)</f>
        <v/>
      </c>
      <c r="G32" s="11">
        <f>IF(Inputs!$D$28=0,NA(),Inputs!$C$28+Inputs!$B$12*Inputs!$B$5*$A32^2/(Inputs!$D$28^2*Inputs!$H$28^4*Inputs!$I$28^2)+Inputs!$G$28*$A32^Inputs!$B$11-Distribution!$B$3)</f>
        <v/>
      </c>
      <c r="H32" s="11">
        <f>IF(Inputs!$D$29=0,NA(),Inputs!$C$29+Inputs!$B$12*Inputs!$B$5*$A32^2/(Inputs!$D$29^2*Inputs!$H$29^4*Inputs!$I$29^2)+Inputs!$G$29*$A32^Inputs!$B$11-Distribution!$B$3)</f>
        <v/>
      </c>
      <c r="I32" s="11">
        <f>IF(Inputs!$D$30=0,NA(),Inputs!$C$30+Inputs!$B$12*Inputs!$B$5*$A32^2/(Inputs!$D$30^2*Inputs!$H$30^4*Inputs!$I$30^2)+Inputs!$G$30*$A32^Inputs!$B$11-Distribution!$B$3)</f>
        <v/>
      </c>
      <c r="J32" s="11">
        <f>IF(Inputs!$D$31=0,NA(),Inputs!$C$31+Inputs!$B$12*Inputs!$B$5*$A32^2/(Inputs!$D$31^2*Inputs!$H$31^4*Inputs!$I$31^2)+Inputs!$G$31*$A32^Inputs!$B$11-Distribution!$B$3)</f>
        <v/>
      </c>
      <c r="K32" s="11">
        <f>IF(Inputs!$D$32=0,NA(),Inputs!$C$32+Inputs!$B$12*Inputs!$B$5*$A32^2/(Inputs!$D$32^2*Inputs!$H$32^4*Inputs!$I$32^2)+Inputs!$G$32*$A32^Inputs!$B$11-Distribution!$B$3)</f>
        <v/>
      </c>
      <c r="L32" s="11">
        <f>IF(Inputs!$D$33=0,NA(),Inputs!$C$33+Inputs!$B$12*Inputs!$B$5*$A32^2/(Inputs!$D$33^2*Inputs!$H$33^4*Inputs!$I$33^2)+Inputs!$G$33*$A32^Inputs!$B$11-Distribution!$B$3)</f>
        <v/>
      </c>
      <c r="M32" s="11">
        <f>IF(Inputs!$D$34=0,NA(),Inputs!$C$34+Inputs!$B$12*Inputs!$B$5*$A32^2/(Inputs!$D$34^2*Inputs!$H$34^4*Inputs!$I$34^2)+Inputs!$G$34*$A32^Inputs!$B$11-Distribution!$B$3)</f>
        <v/>
      </c>
      <c r="N32" s="11">
        <f>Distribution!$B$9-Distribution!$B$3</f>
        <v/>
      </c>
    </row>
    <row r="33">
      <c r="A33" s="11">
        <f>2.2*Inputs!$B$20*28/100</f>
        <v/>
      </c>
      <c r="B33" s="11">
        <f>IF(Inputs!$D$23=0,NA(),Inputs!$C$23+Inputs!$B$12*Inputs!$B$5*$A33^2/(Inputs!$D$23^2*Inputs!$H$23^4*Inputs!$I$23^2)+Inputs!$G$23*$A33^Inputs!$B$11-Distribution!$B$3)</f>
        <v/>
      </c>
      <c r="C33" s="11">
        <f>IF(Inputs!$D$24=0,NA(),Inputs!$C$24+Inputs!$B$12*Inputs!$B$5*$A33^2/(Inputs!$D$24^2*Inputs!$H$24^4*Inputs!$I$24^2)+Inputs!$G$24*$A33^Inputs!$B$11-Distribution!$B$3)</f>
        <v/>
      </c>
      <c r="D33" s="11">
        <f>IF(Inputs!$D$25=0,NA(),Inputs!$C$25+Inputs!$B$12*Inputs!$B$5*$A33^2/(Inputs!$D$25^2*Inputs!$H$25^4*Inputs!$I$25^2)+Inputs!$G$25*$A33^Inputs!$B$11-Distribution!$B$3)</f>
        <v/>
      </c>
      <c r="E33" s="11">
        <f>IF(Inputs!$D$26=0,NA(),Inputs!$C$26+Inputs!$B$12*Inputs!$B$5*$A33^2/(Inputs!$D$26^2*Inputs!$H$26^4*Inputs!$I$26^2)+Inputs!$G$26*$A33^Inputs!$B$11-Distribution!$B$3)</f>
        <v/>
      </c>
      <c r="F33" s="11">
        <f>IF(Inputs!$D$27=0,NA(),Inputs!$C$27+Inputs!$B$12*Inputs!$B$5*$A33^2/(Inputs!$D$27^2*Inputs!$H$27^4*Inputs!$I$27^2)+Inputs!$G$27*$A33^Inputs!$B$11-Distribution!$B$3)</f>
        <v/>
      </c>
      <c r="G33" s="11">
        <f>IF(Inputs!$D$28=0,NA(),Inputs!$C$28+Inputs!$B$12*Inputs!$B$5*$A33^2/(Inputs!$D$28^2*Inputs!$H$28^4*Inputs!$I$28^2)+Inputs!$G$28*$A33^Inputs!$B$11-Distribution!$B$3)</f>
        <v/>
      </c>
      <c r="H33" s="11">
        <f>IF(Inputs!$D$29=0,NA(),Inputs!$C$29+Inputs!$B$12*Inputs!$B$5*$A33^2/(Inputs!$D$29^2*Inputs!$H$29^4*Inputs!$I$29^2)+Inputs!$G$29*$A33^Inputs!$B$11-Distribution!$B$3)</f>
        <v/>
      </c>
      <c r="I33" s="11">
        <f>IF(Inputs!$D$30=0,NA(),Inputs!$C$30+Inputs!$B$12*Inputs!$B$5*$A33^2/(Inputs!$D$30^2*Inputs!$H$30^4*Inputs!$I$30^2)+Inputs!$G$30*$A33^Inputs!$B$11-Distribution!$B$3)</f>
        <v/>
      </c>
      <c r="J33" s="11">
        <f>IF(Inputs!$D$31=0,NA(),Inputs!$C$31+Inputs!$B$12*Inputs!$B$5*$A33^2/(Inputs!$D$31^2*Inputs!$H$31^4*Inputs!$I$31^2)+Inputs!$G$31*$A33^Inputs!$B$11-Distribution!$B$3)</f>
        <v/>
      </c>
      <c r="K33" s="11">
        <f>IF(Inputs!$D$32=0,NA(),Inputs!$C$32+Inputs!$B$12*Inputs!$B$5*$A33^2/(Inputs!$D$32^2*Inputs!$H$32^4*Inputs!$I$32^2)+Inputs!$G$32*$A33^Inputs!$B$11-Distribution!$B$3)</f>
        <v/>
      </c>
      <c r="L33" s="11">
        <f>IF(Inputs!$D$33=0,NA(),Inputs!$C$33+Inputs!$B$12*Inputs!$B$5*$A33^2/(Inputs!$D$33^2*Inputs!$H$33^4*Inputs!$I$33^2)+Inputs!$G$33*$A33^Inputs!$B$11-Distribution!$B$3)</f>
        <v/>
      </c>
      <c r="M33" s="11">
        <f>IF(Inputs!$D$34=0,NA(),Inputs!$C$34+Inputs!$B$12*Inputs!$B$5*$A33^2/(Inputs!$D$34^2*Inputs!$H$34^4*Inputs!$I$34^2)+Inputs!$G$34*$A33^Inputs!$B$11-Distribution!$B$3)</f>
        <v/>
      </c>
      <c r="N33" s="11">
        <f>Distribution!$B$9-Distribution!$B$3</f>
        <v/>
      </c>
    </row>
    <row r="34">
      <c r="A34" s="11">
        <f>2.2*Inputs!$B$20*29/100</f>
        <v/>
      </c>
      <c r="B34" s="11">
        <f>IF(Inputs!$D$23=0,NA(),Inputs!$C$23+Inputs!$B$12*Inputs!$B$5*$A34^2/(Inputs!$D$23^2*Inputs!$H$23^4*Inputs!$I$23^2)+Inputs!$G$23*$A34^Inputs!$B$11-Distribution!$B$3)</f>
        <v/>
      </c>
      <c r="C34" s="11">
        <f>IF(Inputs!$D$24=0,NA(),Inputs!$C$24+Inputs!$B$12*Inputs!$B$5*$A34^2/(Inputs!$D$24^2*Inputs!$H$24^4*Inputs!$I$24^2)+Inputs!$G$24*$A34^Inputs!$B$11-Distribution!$B$3)</f>
        <v/>
      </c>
      <c r="D34" s="11">
        <f>IF(Inputs!$D$25=0,NA(),Inputs!$C$25+Inputs!$B$12*Inputs!$B$5*$A34^2/(Inputs!$D$25^2*Inputs!$H$25^4*Inputs!$I$25^2)+Inputs!$G$25*$A34^Inputs!$B$11-Distribution!$B$3)</f>
        <v/>
      </c>
      <c r="E34" s="11">
        <f>IF(Inputs!$D$26=0,NA(),Inputs!$C$26+Inputs!$B$12*Inputs!$B$5*$A34^2/(Inputs!$D$26^2*Inputs!$H$26^4*Inputs!$I$26^2)+Inputs!$G$26*$A34^Inputs!$B$11-Distribution!$B$3)</f>
        <v/>
      </c>
      <c r="F34" s="11">
        <f>IF(Inputs!$D$27=0,NA(),Inputs!$C$27+Inputs!$B$12*Inputs!$B$5*$A34^2/(Inputs!$D$27^2*Inputs!$H$27^4*Inputs!$I$27^2)+Inputs!$G$27*$A34^Inputs!$B$11-Distribution!$B$3)</f>
        <v/>
      </c>
      <c r="G34" s="11">
        <f>IF(Inputs!$D$28=0,NA(),Inputs!$C$28+Inputs!$B$12*Inputs!$B$5*$A34^2/(Inputs!$D$28^2*Inputs!$H$28^4*Inputs!$I$28^2)+Inputs!$G$28*$A34^Inputs!$B$11-Distribution!$B$3)</f>
        <v/>
      </c>
      <c r="H34" s="11">
        <f>IF(Inputs!$D$29=0,NA(),Inputs!$C$29+Inputs!$B$12*Inputs!$B$5*$A34^2/(Inputs!$D$29^2*Inputs!$H$29^4*Inputs!$I$29^2)+Inputs!$G$29*$A34^Inputs!$B$11-Distribution!$B$3)</f>
        <v/>
      </c>
      <c r="I34" s="11">
        <f>IF(Inputs!$D$30=0,NA(),Inputs!$C$30+Inputs!$B$12*Inputs!$B$5*$A34^2/(Inputs!$D$30^2*Inputs!$H$30^4*Inputs!$I$30^2)+Inputs!$G$30*$A34^Inputs!$B$11-Distribution!$B$3)</f>
        <v/>
      </c>
      <c r="J34" s="11">
        <f>IF(Inputs!$D$31=0,NA(),Inputs!$C$31+Inputs!$B$12*Inputs!$B$5*$A34^2/(Inputs!$D$31^2*Inputs!$H$31^4*Inputs!$I$31^2)+Inputs!$G$31*$A34^Inputs!$B$11-Distribution!$B$3)</f>
        <v/>
      </c>
      <c r="K34" s="11">
        <f>IF(Inputs!$D$32=0,NA(),Inputs!$C$32+Inputs!$B$12*Inputs!$B$5*$A34^2/(Inputs!$D$32^2*Inputs!$H$32^4*Inputs!$I$32^2)+Inputs!$G$32*$A34^Inputs!$B$11-Distribution!$B$3)</f>
        <v/>
      </c>
      <c r="L34" s="11">
        <f>IF(Inputs!$D$33=0,NA(),Inputs!$C$33+Inputs!$B$12*Inputs!$B$5*$A34^2/(Inputs!$D$33^2*Inputs!$H$33^4*Inputs!$I$33^2)+Inputs!$G$33*$A34^Inputs!$B$11-Distribution!$B$3)</f>
        <v/>
      </c>
      <c r="M34" s="11">
        <f>IF(Inputs!$D$34=0,NA(),Inputs!$C$34+Inputs!$B$12*Inputs!$B$5*$A34^2/(Inputs!$D$34^2*Inputs!$H$34^4*Inputs!$I$34^2)+Inputs!$G$34*$A34^Inputs!$B$11-Distribution!$B$3)</f>
        <v/>
      </c>
      <c r="N34" s="11">
        <f>Distribution!$B$9-Distribution!$B$3</f>
        <v/>
      </c>
    </row>
    <row r="35">
      <c r="A35" s="11">
        <f>2.2*Inputs!$B$20*30/100</f>
        <v/>
      </c>
      <c r="B35" s="11">
        <f>IF(Inputs!$D$23=0,NA(),Inputs!$C$23+Inputs!$B$12*Inputs!$B$5*$A35^2/(Inputs!$D$23^2*Inputs!$H$23^4*Inputs!$I$23^2)+Inputs!$G$23*$A35^Inputs!$B$11-Distribution!$B$3)</f>
        <v/>
      </c>
      <c r="C35" s="11">
        <f>IF(Inputs!$D$24=0,NA(),Inputs!$C$24+Inputs!$B$12*Inputs!$B$5*$A35^2/(Inputs!$D$24^2*Inputs!$H$24^4*Inputs!$I$24^2)+Inputs!$G$24*$A35^Inputs!$B$11-Distribution!$B$3)</f>
        <v/>
      </c>
      <c r="D35" s="11">
        <f>IF(Inputs!$D$25=0,NA(),Inputs!$C$25+Inputs!$B$12*Inputs!$B$5*$A35^2/(Inputs!$D$25^2*Inputs!$H$25^4*Inputs!$I$25^2)+Inputs!$G$25*$A35^Inputs!$B$11-Distribution!$B$3)</f>
        <v/>
      </c>
      <c r="E35" s="11">
        <f>IF(Inputs!$D$26=0,NA(),Inputs!$C$26+Inputs!$B$12*Inputs!$B$5*$A35^2/(Inputs!$D$26^2*Inputs!$H$26^4*Inputs!$I$26^2)+Inputs!$G$26*$A35^Inputs!$B$11-Distribution!$B$3)</f>
        <v/>
      </c>
      <c r="F35" s="11">
        <f>IF(Inputs!$D$27=0,NA(),Inputs!$C$27+Inputs!$B$12*Inputs!$B$5*$A35^2/(Inputs!$D$27^2*Inputs!$H$27^4*Inputs!$I$27^2)+Inputs!$G$27*$A35^Inputs!$B$11-Distribution!$B$3)</f>
        <v/>
      </c>
      <c r="G35" s="11">
        <f>IF(Inputs!$D$28=0,NA(),Inputs!$C$28+Inputs!$B$12*Inputs!$B$5*$A35^2/(Inputs!$D$28^2*Inputs!$H$28^4*Inputs!$I$28^2)+Inputs!$G$28*$A35^Inputs!$B$11-Distribution!$B$3)</f>
        <v/>
      </c>
      <c r="H35" s="11">
        <f>IF(Inputs!$D$29=0,NA(),Inputs!$C$29+Inputs!$B$12*Inputs!$B$5*$A35^2/(Inputs!$D$29^2*Inputs!$H$29^4*Inputs!$I$29^2)+Inputs!$G$29*$A35^Inputs!$B$11-Distribution!$B$3)</f>
        <v/>
      </c>
      <c r="I35" s="11">
        <f>IF(Inputs!$D$30=0,NA(),Inputs!$C$30+Inputs!$B$12*Inputs!$B$5*$A35^2/(Inputs!$D$30^2*Inputs!$H$30^4*Inputs!$I$30^2)+Inputs!$G$30*$A35^Inputs!$B$11-Distribution!$B$3)</f>
        <v/>
      </c>
      <c r="J35" s="11">
        <f>IF(Inputs!$D$31=0,NA(),Inputs!$C$31+Inputs!$B$12*Inputs!$B$5*$A35^2/(Inputs!$D$31^2*Inputs!$H$31^4*Inputs!$I$31^2)+Inputs!$G$31*$A35^Inputs!$B$11-Distribution!$B$3)</f>
        <v/>
      </c>
      <c r="K35" s="11">
        <f>IF(Inputs!$D$32=0,NA(),Inputs!$C$32+Inputs!$B$12*Inputs!$B$5*$A35^2/(Inputs!$D$32^2*Inputs!$H$32^4*Inputs!$I$32^2)+Inputs!$G$32*$A35^Inputs!$B$11-Distribution!$B$3)</f>
        <v/>
      </c>
      <c r="L35" s="11">
        <f>IF(Inputs!$D$33=0,NA(),Inputs!$C$33+Inputs!$B$12*Inputs!$B$5*$A35^2/(Inputs!$D$33^2*Inputs!$H$33^4*Inputs!$I$33^2)+Inputs!$G$33*$A35^Inputs!$B$11-Distribution!$B$3)</f>
        <v/>
      </c>
      <c r="M35" s="11">
        <f>IF(Inputs!$D$34=0,NA(),Inputs!$C$34+Inputs!$B$12*Inputs!$B$5*$A35^2/(Inputs!$D$34^2*Inputs!$H$34^4*Inputs!$I$34^2)+Inputs!$G$34*$A35^Inputs!$B$11-Distribution!$B$3)</f>
        <v/>
      </c>
      <c r="N35" s="11">
        <f>Distribution!$B$9-Distribution!$B$3</f>
        <v/>
      </c>
    </row>
    <row r="36">
      <c r="A36" s="11">
        <f>2.2*Inputs!$B$20*31/100</f>
        <v/>
      </c>
      <c r="B36" s="11">
        <f>IF(Inputs!$D$23=0,NA(),Inputs!$C$23+Inputs!$B$12*Inputs!$B$5*$A36^2/(Inputs!$D$23^2*Inputs!$H$23^4*Inputs!$I$23^2)+Inputs!$G$23*$A36^Inputs!$B$11-Distribution!$B$3)</f>
        <v/>
      </c>
      <c r="C36" s="11">
        <f>IF(Inputs!$D$24=0,NA(),Inputs!$C$24+Inputs!$B$12*Inputs!$B$5*$A36^2/(Inputs!$D$24^2*Inputs!$H$24^4*Inputs!$I$24^2)+Inputs!$G$24*$A36^Inputs!$B$11-Distribution!$B$3)</f>
        <v/>
      </c>
      <c r="D36" s="11">
        <f>IF(Inputs!$D$25=0,NA(),Inputs!$C$25+Inputs!$B$12*Inputs!$B$5*$A36^2/(Inputs!$D$25^2*Inputs!$H$25^4*Inputs!$I$25^2)+Inputs!$G$25*$A36^Inputs!$B$11-Distribution!$B$3)</f>
        <v/>
      </c>
      <c r="E36" s="11">
        <f>IF(Inputs!$D$26=0,NA(),Inputs!$C$26+Inputs!$B$12*Inputs!$B$5*$A36^2/(Inputs!$D$26^2*Inputs!$H$26^4*Inputs!$I$26^2)+Inputs!$G$26*$A36^Inputs!$B$11-Distribution!$B$3)</f>
        <v/>
      </c>
      <c r="F36" s="11">
        <f>IF(Inputs!$D$27=0,NA(),Inputs!$C$27+Inputs!$B$12*Inputs!$B$5*$A36^2/(Inputs!$D$27^2*Inputs!$H$27^4*Inputs!$I$27^2)+Inputs!$G$27*$A36^Inputs!$B$11-Distribution!$B$3)</f>
        <v/>
      </c>
      <c r="G36" s="11">
        <f>IF(Inputs!$D$28=0,NA(),Inputs!$C$28+Inputs!$B$12*Inputs!$B$5*$A36^2/(Inputs!$D$28^2*Inputs!$H$28^4*Inputs!$I$28^2)+Inputs!$G$28*$A36^Inputs!$B$11-Distribution!$B$3)</f>
        <v/>
      </c>
      <c r="H36" s="11">
        <f>IF(Inputs!$D$29=0,NA(),Inputs!$C$29+Inputs!$B$12*Inputs!$B$5*$A36^2/(Inputs!$D$29^2*Inputs!$H$29^4*Inputs!$I$29^2)+Inputs!$G$29*$A36^Inputs!$B$11-Distribution!$B$3)</f>
        <v/>
      </c>
      <c r="I36" s="11">
        <f>IF(Inputs!$D$30=0,NA(),Inputs!$C$30+Inputs!$B$12*Inputs!$B$5*$A36^2/(Inputs!$D$30^2*Inputs!$H$30^4*Inputs!$I$30^2)+Inputs!$G$30*$A36^Inputs!$B$11-Distribution!$B$3)</f>
        <v/>
      </c>
      <c r="J36" s="11">
        <f>IF(Inputs!$D$31=0,NA(),Inputs!$C$31+Inputs!$B$12*Inputs!$B$5*$A36^2/(Inputs!$D$31^2*Inputs!$H$31^4*Inputs!$I$31^2)+Inputs!$G$31*$A36^Inputs!$B$11-Distribution!$B$3)</f>
        <v/>
      </c>
      <c r="K36" s="11">
        <f>IF(Inputs!$D$32=0,NA(),Inputs!$C$32+Inputs!$B$12*Inputs!$B$5*$A36^2/(Inputs!$D$32^2*Inputs!$H$32^4*Inputs!$I$32^2)+Inputs!$G$32*$A36^Inputs!$B$11-Distribution!$B$3)</f>
        <v/>
      </c>
      <c r="L36" s="11">
        <f>IF(Inputs!$D$33=0,NA(),Inputs!$C$33+Inputs!$B$12*Inputs!$B$5*$A36^2/(Inputs!$D$33^2*Inputs!$H$33^4*Inputs!$I$33^2)+Inputs!$G$33*$A36^Inputs!$B$11-Distribution!$B$3)</f>
        <v/>
      </c>
      <c r="M36" s="11">
        <f>IF(Inputs!$D$34=0,NA(),Inputs!$C$34+Inputs!$B$12*Inputs!$B$5*$A36^2/(Inputs!$D$34^2*Inputs!$H$34^4*Inputs!$I$34^2)+Inputs!$G$34*$A36^Inputs!$B$11-Distribution!$B$3)</f>
        <v/>
      </c>
      <c r="N36" s="11">
        <f>Distribution!$B$9-Distribution!$B$3</f>
        <v/>
      </c>
    </row>
    <row r="37">
      <c r="A37" s="11">
        <f>2.2*Inputs!$B$20*32/100</f>
        <v/>
      </c>
      <c r="B37" s="11">
        <f>IF(Inputs!$D$23=0,NA(),Inputs!$C$23+Inputs!$B$12*Inputs!$B$5*$A37^2/(Inputs!$D$23^2*Inputs!$H$23^4*Inputs!$I$23^2)+Inputs!$G$23*$A37^Inputs!$B$11-Distribution!$B$3)</f>
        <v/>
      </c>
      <c r="C37" s="11">
        <f>IF(Inputs!$D$24=0,NA(),Inputs!$C$24+Inputs!$B$12*Inputs!$B$5*$A37^2/(Inputs!$D$24^2*Inputs!$H$24^4*Inputs!$I$24^2)+Inputs!$G$24*$A37^Inputs!$B$11-Distribution!$B$3)</f>
        <v/>
      </c>
      <c r="D37" s="11">
        <f>IF(Inputs!$D$25=0,NA(),Inputs!$C$25+Inputs!$B$12*Inputs!$B$5*$A37^2/(Inputs!$D$25^2*Inputs!$H$25^4*Inputs!$I$25^2)+Inputs!$G$25*$A37^Inputs!$B$11-Distribution!$B$3)</f>
        <v/>
      </c>
      <c r="E37" s="11">
        <f>IF(Inputs!$D$26=0,NA(),Inputs!$C$26+Inputs!$B$12*Inputs!$B$5*$A37^2/(Inputs!$D$26^2*Inputs!$H$26^4*Inputs!$I$26^2)+Inputs!$G$26*$A37^Inputs!$B$11-Distribution!$B$3)</f>
        <v/>
      </c>
      <c r="F37" s="11">
        <f>IF(Inputs!$D$27=0,NA(),Inputs!$C$27+Inputs!$B$12*Inputs!$B$5*$A37^2/(Inputs!$D$27^2*Inputs!$H$27^4*Inputs!$I$27^2)+Inputs!$G$27*$A37^Inputs!$B$11-Distribution!$B$3)</f>
        <v/>
      </c>
      <c r="G37" s="11">
        <f>IF(Inputs!$D$28=0,NA(),Inputs!$C$28+Inputs!$B$12*Inputs!$B$5*$A37^2/(Inputs!$D$28^2*Inputs!$H$28^4*Inputs!$I$28^2)+Inputs!$G$28*$A37^Inputs!$B$11-Distribution!$B$3)</f>
        <v/>
      </c>
      <c r="H37" s="11">
        <f>IF(Inputs!$D$29=0,NA(),Inputs!$C$29+Inputs!$B$12*Inputs!$B$5*$A37^2/(Inputs!$D$29^2*Inputs!$H$29^4*Inputs!$I$29^2)+Inputs!$G$29*$A37^Inputs!$B$11-Distribution!$B$3)</f>
        <v/>
      </c>
      <c r="I37" s="11">
        <f>IF(Inputs!$D$30=0,NA(),Inputs!$C$30+Inputs!$B$12*Inputs!$B$5*$A37^2/(Inputs!$D$30^2*Inputs!$H$30^4*Inputs!$I$30^2)+Inputs!$G$30*$A37^Inputs!$B$11-Distribution!$B$3)</f>
        <v/>
      </c>
      <c r="J37" s="11">
        <f>IF(Inputs!$D$31=0,NA(),Inputs!$C$31+Inputs!$B$12*Inputs!$B$5*$A37^2/(Inputs!$D$31^2*Inputs!$H$31^4*Inputs!$I$31^2)+Inputs!$G$31*$A37^Inputs!$B$11-Distribution!$B$3)</f>
        <v/>
      </c>
      <c r="K37" s="11">
        <f>IF(Inputs!$D$32=0,NA(),Inputs!$C$32+Inputs!$B$12*Inputs!$B$5*$A37^2/(Inputs!$D$32^2*Inputs!$H$32^4*Inputs!$I$32^2)+Inputs!$G$32*$A37^Inputs!$B$11-Distribution!$B$3)</f>
        <v/>
      </c>
      <c r="L37" s="11">
        <f>IF(Inputs!$D$33=0,NA(),Inputs!$C$33+Inputs!$B$12*Inputs!$B$5*$A37^2/(Inputs!$D$33^2*Inputs!$H$33^4*Inputs!$I$33^2)+Inputs!$G$33*$A37^Inputs!$B$11-Distribution!$B$3)</f>
        <v/>
      </c>
      <c r="M37" s="11">
        <f>IF(Inputs!$D$34=0,NA(),Inputs!$C$34+Inputs!$B$12*Inputs!$B$5*$A37^2/(Inputs!$D$34^2*Inputs!$H$34^4*Inputs!$I$34^2)+Inputs!$G$34*$A37^Inputs!$B$11-Distribution!$B$3)</f>
        <v/>
      </c>
      <c r="N37" s="11">
        <f>Distribution!$B$9-Distribution!$B$3</f>
        <v/>
      </c>
    </row>
    <row r="38">
      <c r="A38" s="11">
        <f>2.2*Inputs!$B$20*33/100</f>
        <v/>
      </c>
      <c r="B38" s="11">
        <f>IF(Inputs!$D$23=0,NA(),Inputs!$C$23+Inputs!$B$12*Inputs!$B$5*$A38^2/(Inputs!$D$23^2*Inputs!$H$23^4*Inputs!$I$23^2)+Inputs!$G$23*$A38^Inputs!$B$11-Distribution!$B$3)</f>
        <v/>
      </c>
      <c r="C38" s="11">
        <f>IF(Inputs!$D$24=0,NA(),Inputs!$C$24+Inputs!$B$12*Inputs!$B$5*$A38^2/(Inputs!$D$24^2*Inputs!$H$24^4*Inputs!$I$24^2)+Inputs!$G$24*$A38^Inputs!$B$11-Distribution!$B$3)</f>
        <v/>
      </c>
      <c r="D38" s="11">
        <f>IF(Inputs!$D$25=0,NA(),Inputs!$C$25+Inputs!$B$12*Inputs!$B$5*$A38^2/(Inputs!$D$25^2*Inputs!$H$25^4*Inputs!$I$25^2)+Inputs!$G$25*$A38^Inputs!$B$11-Distribution!$B$3)</f>
        <v/>
      </c>
      <c r="E38" s="11">
        <f>IF(Inputs!$D$26=0,NA(),Inputs!$C$26+Inputs!$B$12*Inputs!$B$5*$A38^2/(Inputs!$D$26^2*Inputs!$H$26^4*Inputs!$I$26^2)+Inputs!$G$26*$A38^Inputs!$B$11-Distribution!$B$3)</f>
        <v/>
      </c>
      <c r="F38" s="11">
        <f>IF(Inputs!$D$27=0,NA(),Inputs!$C$27+Inputs!$B$12*Inputs!$B$5*$A38^2/(Inputs!$D$27^2*Inputs!$H$27^4*Inputs!$I$27^2)+Inputs!$G$27*$A38^Inputs!$B$11-Distribution!$B$3)</f>
        <v/>
      </c>
      <c r="G38" s="11">
        <f>IF(Inputs!$D$28=0,NA(),Inputs!$C$28+Inputs!$B$12*Inputs!$B$5*$A38^2/(Inputs!$D$28^2*Inputs!$H$28^4*Inputs!$I$28^2)+Inputs!$G$28*$A38^Inputs!$B$11-Distribution!$B$3)</f>
        <v/>
      </c>
      <c r="H38" s="11">
        <f>IF(Inputs!$D$29=0,NA(),Inputs!$C$29+Inputs!$B$12*Inputs!$B$5*$A38^2/(Inputs!$D$29^2*Inputs!$H$29^4*Inputs!$I$29^2)+Inputs!$G$29*$A38^Inputs!$B$11-Distribution!$B$3)</f>
        <v/>
      </c>
      <c r="I38" s="11">
        <f>IF(Inputs!$D$30=0,NA(),Inputs!$C$30+Inputs!$B$12*Inputs!$B$5*$A38^2/(Inputs!$D$30^2*Inputs!$H$30^4*Inputs!$I$30^2)+Inputs!$G$30*$A38^Inputs!$B$11-Distribution!$B$3)</f>
        <v/>
      </c>
      <c r="J38" s="11">
        <f>IF(Inputs!$D$31=0,NA(),Inputs!$C$31+Inputs!$B$12*Inputs!$B$5*$A38^2/(Inputs!$D$31^2*Inputs!$H$31^4*Inputs!$I$31^2)+Inputs!$G$31*$A38^Inputs!$B$11-Distribution!$B$3)</f>
        <v/>
      </c>
      <c r="K38" s="11">
        <f>IF(Inputs!$D$32=0,NA(),Inputs!$C$32+Inputs!$B$12*Inputs!$B$5*$A38^2/(Inputs!$D$32^2*Inputs!$H$32^4*Inputs!$I$32^2)+Inputs!$G$32*$A38^Inputs!$B$11-Distribution!$B$3)</f>
        <v/>
      </c>
      <c r="L38" s="11">
        <f>IF(Inputs!$D$33=0,NA(),Inputs!$C$33+Inputs!$B$12*Inputs!$B$5*$A38^2/(Inputs!$D$33^2*Inputs!$H$33^4*Inputs!$I$33^2)+Inputs!$G$33*$A38^Inputs!$B$11-Distribution!$B$3)</f>
        <v/>
      </c>
      <c r="M38" s="11">
        <f>IF(Inputs!$D$34=0,NA(),Inputs!$C$34+Inputs!$B$12*Inputs!$B$5*$A38^2/(Inputs!$D$34^2*Inputs!$H$34^4*Inputs!$I$34^2)+Inputs!$G$34*$A38^Inputs!$B$11-Distribution!$B$3)</f>
        <v/>
      </c>
      <c r="N38" s="11">
        <f>Distribution!$B$9-Distribution!$B$3</f>
        <v/>
      </c>
    </row>
    <row r="39">
      <c r="A39" s="11">
        <f>2.2*Inputs!$B$20*34/100</f>
        <v/>
      </c>
      <c r="B39" s="11">
        <f>IF(Inputs!$D$23=0,NA(),Inputs!$C$23+Inputs!$B$12*Inputs!$B$5*$A39^2/(Inputs!$D$23^2*Inputs!$H$23^4*Inputs!$I$23^2)+Inputs!$G$23*$A39^Inputs!$B$11-Distribution!$B$3)</f>
        <v/>
      </c>
      <c r="C39" s="11">
        <f>IF(Inputs!$D$24=0,NA(),Inputs!$C$24+Inputs!$B$12*Inputs!$B$5*$A39^2/(Inputs!$D$24^2*Inputs!$H$24^4*Inputs!$I$24^2)+Inputs!$G$24*$A39^Inputs!$B$11-Distribution!$B$3)</f>
        <v/>
      </c>
      <c r="D39" s="11">
        <f>IF(Inputs!$D$25=0,NA(),Inputs!$C$25+Inputs!$B$12*Inputs!$B$5*$A39^2/(Inputs!$D$25^2*Inputs!$H$25^4*Inputs!$I$25^2)+Inputs!$G$25*$A39^Inputs!$B$11-Distribution!$B$3)</f>
        <v/>
      </c>
      <c r="E39" s="11">
        <f>IF(Inputs!$D$26=0,NA(),Inputs!$C$26+Inputs!$B$12*Inputs!$B$5*$A39^2/(Inputs!$D$26^2*Inputs!$H$26^4*Inputs!$I$26^2)+Inputs!$G$26*$A39^Inputs!$B$11-Distribution!$B$3)</f>
        <v/>
      </c>
      <c r="F39" s="11">
        <f>IF(Inputs!$D$27=0,NA(),Inputs!$C$27+Inputs!$B$12*Inputs!$B$5*$A39^2/(Inputs!$D$27^2*Inputs!$H$27^4*Inputs!$I$27^2)+Inputs!$G$27*$A39^Inputs!$B$11-Distribution!$B$3)</f>
        <v/>
      </c>
      <c r="G39" s="11">
        <f>IF(Inputs!$D$28=0,NA(),Inputs!$C$28+Inputs!$B$12*Inputs!$B$5*$A39^2/(Inputs!$D$28^2*Inputs!$H$28^4*Inputs!$I$28^2)+Inputs!$G$28*$A39^Inputs!$B$11-Distribution!$B$3)</f>
        <v/>
      </c>
      <c r="H39" s="11">
        <f>IF(Inputs!$D$29=0,NA(),Inputs!$C$29+Inputs!$B$12*Inputs!$B$5*$A39^2/(Inputs!$D$29^2*Inputs!$H$29^4*Inputs!$I$29^2)+Inputs!$G$29*$A39^Inputs!$B$11-Distribution!$B$3)</f>
        <v/>
      </c>
      <c r="I39" s="11">
        <f>IF(Inputs!$D$30=0,NA(),Inputs!$C$30+Inputs!$B$12*Inputs!$B$5*$A39^2/(Inputs!$D$30^2*Inputs!$H$30^4*Inputs!$I$30^2)+Inputs!$G$30*$A39^Inputs!$B$11-Distribution!$B$3)</f>
        <v/>
      </c>
      <c r="J39" s="11">
        <f>IF(Inputs!$D$31=0,NA(),Inputs!$C$31+Inputs!$B$12*Inputs!$B$5*$A39^2/(Inputs!$D$31^2*Inputs!$H$31^4*Inputs!$I$31^2)+Inputs!$G$31*$A39^Inputs!$B$11-Distribution!$B$3)</f>
        <v/>
      </c>
      <c r="K39" s="11">
        <f>IF(Inputs!$D$32=0,NA(),Inputs!$C$32+Inputs!$B$12*Inputs!$B$5*$A39^2/(Inputs!$D$32^2*Inputs!$H$32^4*Inputs!$I$32^2)+Inputs!$G$32*$A39^Inputs!$B$11-Distribution!$B$3)</f>
        <v/>
      </c>
      <c r="L39" s="11">
        <f>IF(Inputs!$D$33=0,NA(),Inputs!$C$33+Inputs!$B$12*Inputs!$B$5*$A39^2/(Inputs!$D$33^2*Inputs!$H$33^4*Inputs!$I$33^2)+Inputs!$G$33*$A39^Inputs!$B$11-Distribution!$B$3)</f>
        <v/>
      </c>
      <c r="M39" s="11">
        <f>IF(Inputs!$D$34=0,NA(),Inputs!$C$34+Inputs!$B$12*Inputs!$B$5*$A39^2/(Inputs!$D$34^2*Inputs!$H$34^4*Inputs!$I$34^2)+Inputs!$G$34*$A39^Inputs!$B$11-Distribution!$B$3)</f>
        <v/>
      </c>
      <c r="N39" s="11">
        <f>Distribution!$B$9-Distribution!$B$3</f>
        <v/>
      </c>
    </row>
    <row r="40">
      <c r="A40" s="11">
        <f>2.2*Inputs!$B$20*35/100</f>
        <v/>
      </c>
      <c r="B40" s="11">
        <f>IF(Inputs!$D$23=0,NA(),Inputs!$C$23+Inputs!$B$12*Inputs!$B$5*$A40^2/(Inputs!$D$23^2*Inputs!$H$23^4*Inputs!$I$23^2)+Inputs!$G$23*$A40^Inputs!$B$11-Distribution!$B$3)</f>
        <v/>
      </c>
      <c r="C40" s="11">
        <f>IF(Inputs!$D$24=0,NA(),Inputs!$C$24+Inputs!$B$12*Inputs!$B$5*$A40^2/(Inputs!$D$24^2*Inputs!$H$24^4*Inputs!$I$24^2)+Inputs!$G$24*$A40^Inputs!$B$11-Distribution!$B$3)</f>
        <v/>
      </c>
      <c r="D40" s="11">
        <f>IF(Inputs!$D$25=0,NA(),Inputs!$C$25+Inputs!$B$12*Inputs!$B$5*$A40^2/(Inputs!$D$25^2*Inputs!$H$25^4*Inputs!$I$25^2)+Inputs!$G$25*$A40^Inputs!$B$11-Distribution!$B$3)</f>
        <v/>
      </c>
      <c r="E40" s="11">
        <f>IF(Inputs!$D$26=0,NA(),Inputs!$C$26+Inputs!$B$12*Inputs!$B$5*$A40^2/(Inputs!$D$26^2*Inputs!$H$26^4*Inputs!$I$26^2)+Inputs!$G$26*$A40^Inputs!$B$11-Distribution!$B$3)</f>
        <v/>
      </c>
      <c r="F40" s="11">
        <f>IF(Inputs!$D$27=0,NA(),Inputs!$C$27+Inputs!$B$12*Inputs!$B$5*$A40^2/(Inputs!$D$27^2*Inputs!$H$27^4*Inputs!$I$27^2)+Inputs!$G$27*$A40^Inputs!$B$11-Distribution!$B$3)</f>
        <v/>
      </c>
      <c r="G40" s="11">
        <f>IF(Inputs!$D$28=0,NA(),Inputs!$C$28+Inputs!$B$12*Inputs!$B$5*$A40^2/(Inputs!$D$28^2*Inputs!$H$28^4*Inputs!$I$28^2)+Inputs!$G$28*$A40^Inputs!$B$11-Distribution!$B$3)</f>
        <v/>
      </c>
      <c r="H40" s="11">
        <f>IF(Inputs!$D$29=0,NA(),Inputs!$C$29+Inputs!$B$12*Inputs!$B$5*$A40^2/(Inputs!$D$29^2*Inputs!$H$29^4*Inputs!$I$29^2)+Inputs!$G$29*$A40^Inputs!$B$11-Distribution!$B$3)</f>
        <v/>
      </c>
      <c r="I40" s="11">
        <f>IF(Inputs!$D$30=0,NA(),Inputs!$C$30+Inputs!$B$12*Inputs!$B$5*$A40^2/(Inputs!$D$30^2*Inputs!$H$30^4*Inputs!$I$30^2)+Inputs!$G$30*$A40^Inputs!$B$11-Distribution!$B$3)</f>
        <v/>
      </c>
      <c r="J40" s="11">
        <f>IF(Inputs!$D$31=0,NA(),Inputs!$C$31+Inputs!$B$12*Inputs!$B$5*$A40^2/(Inputs!$D$31^2*Inputs!$H$31^4*Inputs!$I$31^2)+Inputs!$G$31*$A40^Inputs!$B$11-Distribution!$B$3)</f>
        <v/>
      </c>
      <c r="K40" s="11">
        <f>IF(Inputs!$D$32=0,NA(),Inputs!$C$32+Inputs!$B$12*Inputs!$B$5*$A40^2/(Inputs!$D$32^2*Inputs!$H$32^4*Inputs!$I$32^2)+Inputs!$G$32*$A40^Inputs!$B$11-Distribution!$B$3)</f>
        <v/>
      </c>
      <c r="L40" s="11">
        <f>IF(Inputs!$D$33=0,NA(),Inputs!$C$33+Inputs!$B$12*Inputs!$B$5*$A40^2/(Inputs!$D$33^2*Inputs!$H$33^4*Inputs!$I$33^2)+Inputs!$G$33*$A40^Inputs!$B$11-Distribution!$B$3)</f>
        <v/>
      </c>
      <c r="M40" s="11">
        <f>IF(Inputs!$D$34=0,NA(),Inputs!$C$34+Inputs!$B$12*Inputs!$B$5*$A40^2/(Inputs!$D$34^2*Inputs!$H$34^4*Inputs!$I$34^2)+Inputs!$G$34*$A40^Inputs!$B$11-Distribution!$B$3)</f>
        <v/>
      </c>
      <c r="N40" s="11">
        <f>Distribution!$B$9-Distribution!$B$3</f>
        <v/>
      </c>
    </row>
    <row r="41">
      <c r="A41" s="11">
        <f>2.2*Inputs!$B$20*36/100</f>
        <v/>
      </c>
      <c r="B41" s="11">
        <f>IF(Inputs!$D$23=0,NA(),Inputs!$C$23+Inputs!$B$12*Inputs!$B$5*$A41^2/(Inputs!$D$23^2*Inputs!$H$23^4*Inputs!$I$23^2)+Inputs!$G$23*$A41^Inputs!$B$11-Distribution!$B$3)</f>
        <v/>
      </c>
      <c r="C41" s="11">
        <f>IF(Inputs!$D$24=0,NA(),Inputs!$C$24+Inputs!$B$12*Inputs!$B$5*$A41^2/(Inputs!$D$24^2*Inputs!$H$24^4*Inputs!$I$24^2)+Inputs!$G$24*$A41^Inputs!$B$11-Distribution!$B$3)</f>
        <v/>
      </c>
      <c r="D41" s="11">
        <f>IF(Inputs!$D$25=0,NA(),Inputs!$C$25+Inputs!$B$12*Inputs!$B$5*$A41^2/(Inputs!$D$25^2*Inputs!$H$25^4*Inputs!$I$25^2)+Inputs!$G$25*$A41^Inputs!$B$11-Distribution!$B$3)</f>
        <v/>
      </c>
      <c r="E41" s="11">
        <f>IF(Inputs!$D$26=0,NA(),Inputs!$C$26+Inputs!$B$12*Inputs!$B$5*$A41^2/(Inputs!$D$26^2*Inputs!$H$26^4*Inputs!$I$26^2)+Inputs!$G$26*$A41^Inputs!$B$11-Distribution!$B$3)</f>
        <v/>
      </c>
      <c r="F41" s="11">
        <f>IF(Inputs!$D$27=0,NA(),Inputs!$C$27+Inputs!$B$12*Inputs!$B$5*$A41^2/(Inputs!$D$27^2*Inputs!$H$27^4*Inputs!$I$27^2)+Inputs!$G$27*$A41^Inputs!$B$11-Distribution!$B$3)</f>
        <v/>
      </c>
      <c r="G41" s="11">
        <f>IF(Inputs!$D$28=0,NA(),Inputs!$C$28+Inputs!$B$12*Inputs!$B$5*$A41^2/(Inputs!$D$28^2*Inputs!$H$28^4*Inputs!$I$28^2)+Inputs!$G$28*$A41^Inputs!$B$11-Distribution!$B$3)</f>
        <v/>
      </c>
      <c r="H41" s="11">
        <f>IF(Inputs!$D$29=0,NA(),Inputs!$C$29+Inputs!$B$12*Inputs!$B$5*$A41^2/(Inputs!$D$29^2*Inputs!$H$29^4*Inputs!$I$29^2)+Inputs!$G$29*$A41^Inputs!$B$11-Distribution!$B$3)</f>
        <v/>
      </c>
      <c r="I41" s="11">
        <f>IF(Inputs!$D$30=0,NA(),Inputs!$C$30+Inputs!$B$12*Inputs!$B$5*$A41^2/(Inputs!$D$30^2*Inputs!$H$30^4*Inputs!$I$30^2)+Inputs!$G$30*$A41^Inputs!$B$11-Distribution!$B$3)</f>
        <v/>
      </c>
      <c r="J41" s="11">
        <f>IF(Inputs!$D$31=0,NA(),Inputs!$C$31+Inputs!$B$12*Inputs!$B$5*$A41^2/(Inputs!$D$31^2*Inputs!$H$31^4*Inputs!$I$31^2)+Inputs!$G$31*$A41^Inputs!$B$11-Distribution!$B$3)</f>
        <v/>
      </c>
      <c r="K41" s="11">
        <f>IF(Inputs!$D$32=0,NA(),Inputs!$C$32+Inputs!$B$12*Inputs!$B$5*$A41^2/(Inputs!$D$32^2*Inputs!$H$32^4*Inputs!$I$32^2)+Inputs!$G$32*$A41^Inputs!$B$11-Distribution!$B$3)</f>
        <v/>
      </c>
      <c r="L41" s="11">
        <f>IF(Inputs!$D$33=0,NA(),Inputs!$C$33+Inputs!$B$12*Inputs!$B$5*$A41^2/(Inputs!$D$33^2*Inputs!$H$33^4*Inputs!$I$33^2)+Inputs!$G$33*$A41^Inputs!$B$11-Distribution!$B$3)</f>
        <v/>
      </c>
      <c r="M41" s="11">
        <f>IF(Inputs!$D$34=0,NA(),Inputs!$C$34+Inputs!$B$12*Inputs!$B$5*$A41^2/(Inputs!$D$34^2*Inputs!$H$34^4*Inputs!$I$34^2)+Inputs!$G$34*$A41^Inputs!$B$11-Distribution!$B$3)</f>
        <v/>
      </c>
      <c r="N41" s="11">
        <f>Distribution!$B$9-Distribution!$B$3</f>
        <v/>
      </c>
    </row>
    <row r="42">
      <c r="A42" s="11">
        <f>2.2*Inputs!$B$20*37/100</f>
        <v/>
      </c>
      <c r="B42" s="11">
        <f>IF(Inputs!$D$23=0,NA(),Inputs!$C$23+Inputs!$B$12*Inputs!$B$5*$A42^2/(Inputs!$D$23^2*Inputs!$H$23^4*Inputs!$I$23^2)+Inputs!$G$23*$A42^Inputs!$B$11-Distribution!$B$3)</f>
        <v/>
      </c>
      <c r="C42" s="11">
        <f>IF(Inputs!$D$24=0,NA(),Inputs!$C$24+Inputs!$B$12*Inputs!$B$5*$A42^2/(Inputs!$D$24^2*Inputs!$H$24^4*Inputs!$I$24^2)+Inputs!$G$24*$A42^Inputs!$B$11-Distribution!$B$3)</f>
        <v/>
      </c>
      <c r="D42" s="11">
        <f>IF(Inputs!$D$25=0,NA(),Inputs!$C$25+Inputs!$B$12*Inputs!$B$5*$A42^2/(Inputs!$D$25^2*Inputs!$H$25^4*Inputs!$I$25^2)+Inputs!$G$25*$A42^Inputs!$B$11-Distribution!$B$3)</f>
        <v/>
      </c>
      <c r="E42" s="11">
        <f>IF(Inputs!$D$26=0,NA(),Inputs!$C$26+Inputs!$B$12*Inputs!$B$5*$A42^2/(Inputs!$D$26^2*Inputs!$H$26^4*Inputs!$I$26^2)+Inputs!$G$26*$A42^Inputs!$B$11-Distribution!$B$3)</f>
        <v/>
      </c>
      <c r="F42" s="11">
        <f>IF(Inputs!$D$27=0,NA(),Inputs!$C$27+Inputs!$B$12*Inputs!$B$5*$A42^2/(Inputs!$D$27^2*Inputs!$H$27^4*Inputs!$I$27^2)+Inputs!$G$27*$A42^Inputs!$B$11-Distribution!$B$3)</f>
        <v/>
      </c>
      <c r="G42" s="11">
        <f>IF(Inputs!$D$28=0,NA(),Inputs!$C$28+Inputs!$B$12*Inputs!$B$5*$A42^2/(Inputs!$D$28^2*Inputs!$H$28^4*Inputs!$I$28^2)+Inputs!$G$28*$A42^Inputs!$B$11-Distribution!$B$3)</f>
        <v/>
      </c>
      <c r="H42" s="11">
        <f>IF(Inputs!$D$29=0,NA(),Inputs!$C$29+Inputs!$B$12*Inputs!$B$5*$A42^2/(Inputs!$D$29^2*Inputs!$H$29^4*Inputs!$I$29^2)+Inputs!$G$29*$A42^Inputs!$B$11-Distribution!$B$3)</f>
        <v/>
      </c>
      <c r="I42" s="11">
        <f>IF(Inputs!$D$30=0,NA(),Inputs!$C$30+Inputs!$B$12*Inputs!$B$5*$A42^2/(Inputs!$D$30^2*Inputs!$H$30^4*Inputs!$I$30^2)+Inputs!$G$30*$A42^Inputs!$B$11-Distribution!$B$3)</f>
        <v/>
      </c>
      <c r="J42" s="11">
        <f>IF(Inputs!$D$31=0,NA(),Inputs!$C$31+Inputs!$B$12*Inputs!$B$5*$A42^2/(Inputs!$D$31^2*Inputs!$H$31^4*Inputs!$I$31^2)+Inputs!$G$31*$A42^Inputs!$B$11-Distribution!$B$3)</f>
        <v/>
      </c>
      <c r="K42" s="11">
        <f>IF(Inputs!$D$32=0,NA(),Inputs!$C$32+Inputs!$B$12*Inputs!$B$5*$A42^2/(Inputs!$D$32^2*Inputs!$H$32^4*Inputs!$I$32^2)+Inputs!$G$32*$A42^Inputs!$B$11-Distribution!$B$3)</f>
        <v/>
      </c>
      <c r="L42" s="11">
        <f>IF(Inputs!$D$33=0,NA(),Inputs!$C$33+Inputs!$B$12*Inputs!$B$5*$A42^2/(Inputs!$D$33^2*Inputs!$H$33^4*Inputs!$I$33^2)+Inputs!$G$33*$A42^Inputs!$B$11-Distribution!$B$3)</f>
        <v/>
      </c>
      <c r="M42" s="11">
        <f>IF(Inputs!$D$34=0,NA(),Inputs!$C$34+Inputs!$B$12*Inputs!$B$5*$A42^2/(Inputs!$D$34^2*Inputs!$H$34^4*Inputs!$I$34^2)+Inputs!$G$34*$A42^Inputs!$B$11-Distribution!$B$3)</f>
        <v/>
      </c>
      <c r="N42" s="11">
        <f>Distribution!$B$9-Distribution!$B$3</f>
        <v/>
      </c>
    </row>
    <row r="43">
      <c r="A43" s="11">
        <f>2.2*Inputs!$B$20*38/100</f>
        <v/>
      </c>
      <c r="B43" s="11">
        <f>IF(Inputs!$D$23=0,NA(),Inputs!$C$23+Inputs!$B$12*Inputs!$B$5*$A43^2/(Inputs!$D$23^2*Inputs!$H$23^4*Inputs!$I$23^2)+Inputs!$G$23*$A43^Inputs!$B$11-Distribution!$B$3)</f>
        <v/>
      </c>
      <c r="C43" s="11">
        <f>IF(Inputs!$D$24=0,NA(),Inputs!$C$24+Inputs!$B$12*Inputs!$B$5*$A43^2/(Inputs!$D$24^2*Inputs!$H$24^4*Inputs!$I$24^2)+Inputs!$G$24*$A43^Inputs!$B$11-Distribution!$B$3)</f>
        <v/>
      </c>
      <c r="D43" s="11">
        <f>IF(Inputs!$D$25=0,NA(),Inputs!$C$25+Inputs!$B$12*Inputs!$B$5*$A43^2/(Inputs!$D$25^2*Inputs!$H$25^4*Inputs!$I$25^2)+Inputs!$G$25*$A43^Inputs!$B$11-Distribution!$B$3)</f>
        <v/>
      </c>
      <c r="E43" s="11">
        <f>IF(Inputs!$D$26=0,NA(),Inputs!$C$26+Inputs!$B$12*Inputs!$B$5*$A43^2/(Inputs!$D$26^2*Inputs!$H$26^4*Inputs!$I$26^2)+Inputs!$G$26*$A43^Inputs!$B$11-Distribution!$B$3)</f>
        <v/>
      </c>
      <c r="F43" s="11">
        <f>IF(Inputs!$D$27=0,NA(),Inputs!$C$27+Inputs!$B$12*Inputs!$B$5*$A43^2/(Inputs!$D$27^2*Inputs!$H$27^4*Inputs!$I$27^2)+Inputs!$G$27*$A43^Inputs!$B$11-Distribution!$B$3)</f>
        <v/>
      </c>
      <c r="G43" s="11">
        <f>IF(Inputs!$D$28=0,NA(),Inputs!$C$28+Inputs!$B$12*Inputs!$B$5*$A43^2/(Inputs!$D$28^2*Inputs!$H$28^4*Inputs!$I$28^2)+Inputs!$G$28*$A43^Inputs!$B$11-Distribution!$B$3)</f>
        <v/>
      </c>
      <c r="H43" s="11">
        <f>IF(Inputs!$D$29=0,NA(),Inputs!$C$29+Inputs!$B$12*Inputs!$B$5*$A43^2/(Inputs!$D$29^2*Inputs!$H$29^4*Inputs!$I$29^2)+Inputs!$G$29*$A43^Inputs!$B$11-Distribution!$B$3)</f>
        <v/>
      </c>
      <c r="I43" s="11">
        <f>IF(Inputs!$D$30=0,NA(),Inputs!$C$30+Inputs!$B$12*Inputs!$B$5*$A43^2/(Inputs!$D$30^2*Inputs!$H$30^4*Inputs!$I$30^2)+Inputs!$G$30*$A43^Inputs!$B$11-Distribution!$B$3)</f>
        <v/>
      </c>
      <c r="J43" s="11">
        <f>IF(Inputs!$D$31=0,NA(),Inputs!$C$31+Inputs!$B$12*Inputs!$B$5*$A43^2/(Inputs!$D$31^2*Inputs!$H$31^4*Inputs!$I$31^2)+Inputs!$G$31*$A43^Inputs!$B$11-Distribution!$B$3)</f>
        <v/>
      </c>
      <c r="K43" s="11">
        <f>IF(Inputs!$D$32=0,NA(),Inputs!$C$32+Inputs!$B$12*Inputs!$B$5*$A43^2/(Inputs!$D$32^2*Inputs!$H$32^4*Inputs!$I$32^2)+Inputs!$G$32*$A43^Inputs!$B$11-Distribution!$B$3)</f>
        <v/>
      </c>
      <c r="L43" s="11">
        <f>IF(Inputs!$D$33=0,NA(),Inputs!$C$33+Inputs!$B$12*Inputs!$B$5*$A43^2/(Inputs!$D$33^2*Inputs!$H$33^4*Inputs!$I$33^2)+Inputs!$G$33*$A43^Inputs!$B$11-Distribution!$B$3)</f>
        <v/>
      </c>
      <c r="M43" s="11">
        <f>IF(Inputs!$D$34=0,NA(),Inputs!$C$34+Inputs!$B$12*Inputs!$B$5*$A43^2/(Inputs!$D$34^2*Inputs!$H$34^4*Inputs!$I$34^2)+Inputs!$G$34*$A43^Inputs!$B$11-Distribution!$B$3)</f>
        <v/>
      </c>
      <c r="N43" s="11">
        <f>Distribution!$B$9-Distribution!$B$3</f>
        <v/>
      </c>
    </row>
    <row r="44">
      <c r="A44" s="11">
        <f>2.2*Inputs!$B$20*39/100</f>
        <v/>
      </c>
      <c r="B44" s="11">
        <f>IF(Inputs!$D$23=0,NA(),Inputs!$C$23+Inputs!$B$12*Inputs!$B$5*$A44^2/(Inputs!$D$23^2*Inputs!$H$23^4*Inputs!$I$23^2)+Inputs!$G$23*$A44^Inputs!$B$11-Distribution!$B$3)</f>
        <v/>
      </c>
      <c r="C44" s="11">
        <f>IF(Inputs!$D$24=0,NA(),Inputs!$C$24+Inputs!$B$12*Inputs!$B$5*$A44^2/(Inputs!$D$24^2*Inputs!$H$24^4*Inputs!$I$24^2)+Inputs!$G$24*$A44^Inputs!$B$11-Distribution!$B$3)</f>
        <v/>
      </c>
      <c r="D44" s="11">
        <f>IF(Inputs!$D$25=0,NA(),Inputs!$C$25+Inputs!$B$12*Inputs!$B$5*$A44^2/(Inputs!$D$25^2*Inputs!$H$25^4*Inputs!$I$25^2)+Inputs!$G$25*$A44^Inputs!$B$11-Distribution!$B$3)</f>
        <v/>
      </c>
      <c r="E44" s="11">
        <f>IF(Inputs!$D$26=0,NA(),Inputs!$C$26+Inputs!$B$12*Inputs!$B$5*$A44^2/(Inputs!$D$26^2*Inputs!$H$26^4*Inputs!$I$26^2)+Inputs!$G$26*$A44^Inputs!$B$11-Distribution!$B$3)</f>
        <v/>
      </c>
      <c r="F44" s="11">
        <f>IF(Inputs!$D$27=0,NA(),Inputs!$C$27+Inputs!$B$12*Inputs!$B$5*$A44^2/(Inputs!$D$27^2*Inputs!$H$27^4*Inputs!$I$27^2)+Inputs!$G$27*$A44^Inputs!$B$11-Distribution!$B$3)</f>
        <v/>
      </c>
      <c r="G44" s="11">
        <f>IF(Inputs!$D$28=0,NA(),Inputs!$C$28+Inputs!$B$12*Inputs!$B$5*$A44^2/(Inputs!$D$28^2*Inputs!$H$28^4*Inputs!$I$28^2)+Inputs!$G$28*$A44^Inputs!$B$11-Distribution!$B$3)</f>
        <v/>
      </c>
      <c r="H44" s="11">
        <f>IF(Inputs!$D$29=0,NA(),Inputs!$C$29+Inputs!$B$12*Inputs!$B$5*$A44^2/(Inputs!$D$29^2*Inputs!$H$29^4*Inputs!$I$29^2)+Inputs!$G$29*$A44^Inputs!$B$11-Distribution!$B$3)</f>
        <v/>
      </c>
      <c r="I44" s="11">
        <f>IF(Inputs!$D$30=0,NA(),Inputs!$C$30+Inputs!$B$12*Inputs!$B$5*$A44^2/(Inputs!$D$30^2*Inputs!$H$30^4*Inputs!$I$30^2)+Inputs!$G$30*$A44^Inputs!$B$11-Distribution!$B$3)</f>
        <v/>
      </c>
      <c r="J44" s="11">
        <f>IF(Inputs!$D$31=0,NA(),Inputs!$C$31+Inputs!$B$12*Inputs!$B$5*$A44^2/(Inputs!$D$31^2*Inputs!$H$31^4*Inputs!$I$31^2)+Inputs!$G$31*$A44^Inputs!$B$11-Distribution!$B$3)</f>
        <v/>
      </c>
      <c r="K44" s="11">
        <f>IF(Inputs!$D$32=0,NA(),Inputs!$C$32+Inputs!$B$12*Inputs!$B$5*$A44^2/(Inputs!$D$32^2*Inputs!$H$32^4*Inputs!$I$32^2)+Inputs!$G$32*$A44^Inputs!$B$11-Distribution!$B$3)</f>
        <v/>
      </c>
      <c r="L44" s="11">
        <f>IF(Inputs!$D$33=0,NA(),Inputs!$C$33+Inputs!$B$12*Inputs!$B$5*$A44^2/(Inputs!$D$33^2*Inputs!$H$33^4*Inputs!$I$33^2)+Inputs!$G$33*$A44^Inputs!$B$11-Distribution!$B$3)</f>
        <v/>
      </c>
      <c r="M44" s="11">
        <f>IF(Inputs!$D$34=0,NA(),Inputs!$C$34+Inputs!$B$12*Inputs!$B$5*$A44^2/(Inputs!$D$34^2*Inputs!$H$34^4*Inputs!$I$34^2)+Inputs!$G$34*$A44^Inputs!$B$11-Distribution!$B$3)</f>
        <v/>
      </c>
      <c r="N44" s="11">
        <f>Distribution!$B$9-Distribution!$B$3</f>
        <v/>
      </c>
    </row>
    <row r="45">
      <c r="A45" s="11">
        <f>2.2*Inputs!$B$20*40/100</f>
        <v/>
      </c>
      <c r="B45" s="11">
        <f>IF(Inputs!$D$23=0,NA(),Inputs!$C$23+Inputs!$B$12*Inputs!$B$5*$A45^2/(Inputs!$D$23^2*Inputs!$H$23^4*Inputs!$I$23^2)+Inputs!$G$23*$A45^Inputs!$B$11-Distribution!$B$3)</f>
        <v/>
      </c>
      <c r="C45" s="11">
        <f>IF(Inputs!$D$24=0,NA(),Inputs!$C$24+Inputs!$B$12*Inputs!$B$5*$A45^2/(Inputs!$D$24^2*Inputs!$H$24^4*Inputs!$I$24^2)+Inputs!$G$24*$A45^Inputs!$B$11-Distribution!$B$3)</f>
        <v/>
      </c>
      <c r="D45" s="11">
        <f>IF(Inputs!$D$25=0,NA(),Inputs!$C$25+Inputs!$B$12*Inputs!$B$5*$A45^2/(Inputs!$D$25^2*Inputs!$H$25^4*Inputs!$I$25^2)+Inputs!$G$25*$A45^Inputs!$B$11-Distribution!$B$3)</f>
        <v/>
      </c>
      <c r="E45" s="11">
        <f>IF(Inputs!$D$26=0,NA(),Inputs!$C$26+Inputs!$B$12*Inputs!$B$5*$A45^2/(Inputs!$D$26^2*Inputs!$H$26^4*Inputs!$I$26^2)+Inputs!$G$26*$A45^Inputs!$B$11-Distribution!$B$3)</f>
        <v/>
      </c>
      <c r="F45" s="11">
        <f>IF(Inputs!$D$27=0,NA(),Inputs!$C$27+Inputs!$B$12*Inputs!$B$5*$A45^2/(Inputs!$D$27^2*Inputs!$H$27^4*Inputs!$I$27^2)+Inputs!$G$27*$A45^Inputs!$B$11-Distribution!$B$3)</f>
        <v/>
      </c>
      <c r="G45" s="11">
        <f>IF(Inputs!$D$28=0,NA(),Inputs!$C$28+Inputs!$B$12*Inputs!$B$5*$A45^2/(Inputs!$D$28^2*Inputs!$H$28^4*Inputs!$I$28^2)+Inputs!$G$28*$A45^Inputs!$B$11-Distribution!$B$3)</f>
        <v/>
      </c>
      <c r="H45" s="11">
        <f>IF(Inputs!$D$29=0,NA(),Inputs!$C$29+Inputs!$B$12*Inputs!$B$5*$A45^2/(Inputs!$D$29^2*Inputs!$H$29^4*Inputs!$I$29^2)+Inputs!$G$29*$A45^Inputs!$B$11-Distribution!$B$3)</f>
        <v/>
      </c>
      <c r="I45" s="11">
        <f>IF(Inputs!$D$30=0,NA(),Inputs!$C$30+Inputs!$B$12*Inputs!$B$5*$A45^2/(Inputs!$D$30^2*Inputs!$H$30^4*Inputs!$I$30^2)+Inputs!$G$30*$A45^Inputs!$B$11-Distribution!$B$3)</f>
        <v/>
      </c>
      <c r="J45" s="11">
        <f>IF(Inputs!$D$31=0,NA(),Inputs!$C$31+Inputs!$B$12*Inputs!$B$5*$A45^2/(Inputs!$D$31^2*Inputs!$H$31^4*Inputs!$I$31^2)+Inputs!$G$31*$A45^Inputs!$B$11-Distribution!$B$3)</f>
        <v/>
      </c>
      <c r="K45" s="11">
        <f>IF(Inputs!$D$32=0,NA(),Inputs!$C$32+Inputs!$B$12*Inputs!$B$5*$A45^2/(Inputs!$D$32^2*Inputs!$H$32^4*Inputs!$I$32^2)+Inputs!$G$32*$A45^Inputs!$B$11-Distribution!$B$3)</f>
        <v/>
      </c>
      <c r="L45" s="11">
        <f>IF(Inputs!$D$33=0,NA(),Inputs!$C$33+Inputs!$B$12*Inputs!$B$5*$A45^2/(Inputs!$D$33^2*Inputs!$H$33^4*Inputs!$I$33^2)+Inputs!$G$33*$A45^Inputs!$B$11-Distribution!$B$3)</f>
        <v/>
      </c>
      <c r="M45" s="11">
        <f>IF(Inputs!$D$34=0,NA(),Inputs!$C$34+Inputs!$B$12*Inputs!$B$5*$A45^2/(Inputs!$D$34^2*Inputs!$H$34^4*Inputs!$I$34^2)+Inputs!$G$34*$A45^Inputs!$B$11-Distribution!$B$3)</f>
        <v/>
      </c>
      <c r="N45" s="11">
        <f>Distribution!$B$9-Distribution!$B$3</f>
        <v/>
      </c>
    </row>
    <row r="46">
      <c r="A46" s="11">
        <f>2.2*Inputs!$B$20*41/100</f>
        <v/>
      </c>
      <c r="B46" s="11">
        <f>IF(Inputs!$D$23=0,NA(),Inputs!$C$23+Inputs!$B$12*Inputs!$B$5*$A46^2/(Inputs!$D$23^2*Inputs!$H$23^4*Inputs!$I$23^2)+Inputs!$G$23*$A46^Inputs!$B$11-Distribution!$B$3)</f>
        <v/>
      </c>
      <c r="C46" s="11">
        <f>IF(Inputs!$D$24=0,NA(),Inputs!$C$24+Inputs!$B$12*Inputs!$B$5*$A46^2/(Inputs!$D$24^2*Inputs!$H$24^4*Inputs!$I$24^2)+Inputs!$G$24*$A46^Inputs!$B$11-Distribution!$B$3)</f>
        <v/>
      </c>
      <c r="D46" s="11">
        <f>IF(Inputs!$D$25=0,NA(),Inputs!$C$25+Inputs!$B$12*Inputs!$B$5*$A46^2/(Inputs!$D$25^2*Inputs!$H$25^4*Inputs!$I$25^2)+Inputs!$G$25*$A46^Inputs!$B$11-Distribution!$B$3)</f>
        <v/>
      </c>
      <c r="E46" s="11">
        <f>IF(Inputs!$D$26=0,NA(),Inputs!$C$26+Inputs!$B$12*Inputs!$B$5*$A46^2/(Inputs!$D$26^2*Inputs!$H$26^4*Inputs!$I$26^2)+Inputs!$G$26*$A46^Inputs!$B$11-Distribution!$B$3)</f>
        <v/>
      </c>
      <c r="F46" s="11">
        <f>IF(Inputs!$D$27=0,NA(),Inputs!$C$27+Inputs!$B$12*Inputs!$B$5*$A46^2/(Inputs!$D$27^2*Inputs!$H$27^4*Inputs!$I$27^2)+Inputs!$G$27*$A46^Inputs!$B$11-Distribution!$B$3)</f>
        <v/>
      </c>
      <c r="G46" s="11">
        <f>IF(Inputs!$D$28=0,NA(),Inputs!$C$28+Inputs!$B$12*Inputs!$B$5*$A46^2/(Inputs!$D$28^2*Inputs!$H$28^4*Inputs!$I$28^2)+Inputs!$G$28*$A46^Inputs!$B$11-Distribution!$B$3)</f>
        <v/>
      </c>
      <c r="H46" s="11">
        <f>IF(Inputs!$D$29=0,NA(),Inputs!$C$29+Inputs!$B$12*Inputs!$B$5*$A46^2/(Inputs!$D$29^2*Inputs!$H$29^4*Inputs!$I$29^2)+Inputs!$G$29*$A46^Inputs!$B$11-Distribution!$B$3)</f>
        <v/>
      </c>
      <c r="I46" s="11">
        <f>IF(Inputs!$D$30=0,NA(),Inputs!$C$30+Inputs!$B$12*Inputs!$B$5*$A46^2/(Inputs!$D$30^2*Inputs!$H$30^4*Inputs!$I$30^2)+Inputs!$G$30*$A46^Inputs!$B$11-Distribution!$B$3)</f>
        <v/>
      </c>
      <c r="J46" s="11">
        <f>IF(Inputs!$D$31=0,NA(),Inputs!$C$31+Inputs!$B$12*Inputs!$B$5*$A46^2/(Inputs!$D$31^2*Inputs!$H$31^4*Inputs!$I$31^2)+Inputs!$G$31*$A46^Inputs!$B$11-Distribution!$B$3)</f>
        <v/>
      </c>
      <c r="K46" s="11">
        <f>IF(Inputs!$D$32=0,NA(),Inputs!$C$32+Inputs!$B$12*Inputs!$B$5*$A46^2/(Inputs!$D$32^2*Inputs!$H$32^4*Inputs!$I$32^2)+Inputs!$G$32*$A46^Inputs!$B$11-Distribution!$B$3)</f>
        <v/>
      </c>
      <c r="L46" s="11">
        <f>IF(Inputs!$D$33=0,NA(),Inputs!$C$33+Inputs!$B$12*Inputs!$B$5*$A46^2/(Inputs!$D$33^2*Inputs!$H$33^4*Inputs!$I$33^2)+Inputs!$G$33*$A46^Inputs!$B$11-Distribution!$B$3)</f>
        <v/>
      </c>
      <c r="M46" s="11">
        <f>IF(Inputs!$D$34=0,NA(),Inputs!$C$34+Inputs!$B$12*Inputs!$B$5*$A46^2/(Inputs!$D$34^2*Inputs!$H$34^4*Inputs!$I$34^2)+Inputs!$G$34*$A46^Inputs!$B$11-Distribution!$B$3)</f>
        <v/>
      </c>
      <c r="N46" s="11">
        <f>Distribution!$B$9-Distribution!$B$3</f>
        <v/>
      </c>
    </row>
    <row r="47">
      <c r="A47" s="11">
        <f>2.2*Inputs!$B$20*42/100</f>
        <v/>
      </c>
      <c r="B47" s="11">
        <f>IF(Inputs!$D$23=0,NA(),Inputs!$C$23+Inputs!$B$12*Inputs!$B$5*$A47^2/(Inputs!$D$23^2*Inputs!$H$23^4*Inputs!$I$23^2)+Inputs!$G$23*$A47^Inputs!$B$11-Distribution!$B$3)</f>
        <v/>
      </c>
      <c r="C47" s="11">
        <f>IF(Inputs!$D$24=0,NA(),Inputs!$C$24+Inputs!$B$12*Inputs!$B$5*$A47^2/(Inputs!$D$24^2*Inputs!$H$24^4*Inputs!$I$24^2)+Inputs!$G$24*$A47^Inputs!$B$11-Distribution!$B$3)</f>
        <v/>
      </c>
      <c r="D47" s="11">
        <f>IF(Inputs!$D$25=0,NA(),Inputs!$C$25+Inputs!$B$12*Inputs!$B$5*$A47^2/(Inputs!$D$25^2*Inputs!$H$25^4*Inputs!$I$25^2)+Inputs!$G$25*$A47^Inputs!$B$11-Distribution!$B$3)</f>
        <v/>
      </c>
      <c r="E47" s="11">
        <f>IF(Inputs!$D$26=0,NA(),Inputs!$C$26+Inputs!$B$12*Inputs!$B$5*$A47^2/(Inputs!$D$26^2*Inputs!$H$26^4*Inputs!$I$26^2)+Inputs!$G$26*$A47^Inputs!$B$11-Distribution!$B$3)</f>
        <v/>
      </c>
      <c r="F47" s="11">
        <f>IF(Inputs!$D$27=0,NA(),Inputs!$C$27+Inputs!$B$12*Inputs!$B$5*$A47^2/(Inputs!$D$27^2*Inputs!$H$27^4*Inputs!$I$27^2)+Inputs!$G$27*$A47^Inputs!$B$11-Distribution!$B$3)</f>
        <v/>
      </c>
      <c r="G47" s="11">
        <f>IF(Inputs!$D$28=0,NA(),Inputs!$C$28+Inputs!$B$12*Inputs!$B$5*$A47^2/(Inputs!$D$28^2*Inputs!$H$28^4*Inputs!$I$28^2)+Inputs!$G$28*$A47^Inputs!$B$11-Distribution!$B$3)</f>
        <v/>
      </c>
      <c r="H47" s="11">
        <f>IF(Inputs!$D$29=0,NA(),Inputs!$C$29+Inputs!$B$12*Inputs!$B$5*$A47^2/(Inputs!$D$29^2*Inputs!$H$29^4*Inputs!$I$29^2)+Inputs!$G$29*$A47^Inputs!$B$11-Distribution!$B$3)</f>
        <v/>
      </c>
      <c r="I47" s="11">
        <f>IF(Inputs!$D$30=0,NA(),Inputs!$C$30+Inputs!$B$12*Inputs!$B$5*$A47^2/(Inputs!$D$30^2*Inputs!$H$30^4*Inputs!$I$30^2)+Inputs!$G$30*$A47^Inputs!$B$11-Distribution!$B$3)</f>
        <v/>
      </c>
      <c r="J47" s="11">
        <f>IF(Inputs!$D$31=0,NA(),Inputs!$C$31+Inputs!$B$12*Inputs!$B$5*$A47^2/(Inputs!$D$31^2*Inputs!$H$31^4*Inputs!$I$31^2)+Inputs!$G$31*$A47^Inputs!$B$11-Distribution!$B$3)</f>
        <v/>
      </c>
      <c r="K47" s="11">
        <f>IF(Inputs!$D$32=0,NA(),Inputs!$C$32+Inputs!$B$12*Inputs!$B$5*$A47^2/(Inputs!$D$32^2*Inputs!$H$32^4*Inputs!$I$32^2)+Inputs!$G$32*$A47^Inputs!$B$11-Distribution!$B$3)</f>
        <v/>
      </c>
      <c r="L47" s="11">
        <f>IF(Inputs!$D$33=0,NA(),Inputs!$C$33+Inputs!$B$12*Inputs!$B$5*$A47^2/(Inputs!$D$33^2*Inputs!$H$33^4*Inputs!$I$33^2)+Inputs!$G$33*$A47^Inputs!$B$11-Distribution!$B$3)</f>
        <v/>
      </c>
      <c r="M47" s="11">
        <f>IF(Inputs!$D$34=0,NA(),Inputs!$C$34+Inputs!$B$12*Inputs!$B$5*$A47^2/(Inputs!$D$34^2*Inputs!$H$34^4*Inputs!$I$34^2)+Inputs!$G$34*$A47^Inputs!$B$11-Distribution!$B$3)</f>
        <v/>
      </c>
      <c r="N47" s="11">
        <f>Distribution!$B$9-Distribution!$B$3</f>
        <v/>
      </c>
    </row>
    <row r="48">
      <c r="A48" s="11">
        <f>2.2*Inputs!$B$20*43/100</f>
        <v/>
      </c>
      <c r="B48" s="11">
        <f>IF(Inputs!$D$23=0,NA(),Inputs!$C$23+Inputs!$B$12*Inputs!$B$5*$A48^2/(Inputs!$D$23^2*Inputs!$H$23^4*Inputs!$I$23^2)+Inputs!$G$23*$A48^Inputs!$B$11-Distribution!$B$3)</f>
        <v/>
      </c>
      <c r="C48" s="11">
        <f>IF(Inputs!$D$24=0,NA(),Inputs!$C$24+Inputs!$B$12*Inputs!$B$5*$A48^2/(Inputs!$D$24^2*Inputs!$H$24^4*Inputs!$I$24^2)+Inputs!$G$24*$A48^Inputs!$B$11-Distribution!$B$3)</f>
        <v/>
      </c>
      <c r="D48" s="11">
        <f>IF(Inputs!$D$25=0,NA(),Inputs!$C$25+Inputs!$B$12*Inputs!$B$5*$A48^2/(Inputs!$D$25^2*Inputs!$H$25^4*Inputs!$I$25^2)+Inputs!$G$25*$A48^Inputs!$B$11-Distribution!$B$3)</f>
        <v/>
      </c>
      <c r="E48" s="11">
        <f>IF(Inputs!$D$26=0,NA(),Inputs!$C$26+Inputs!$B$12*Inputs!$B$5*$A48^2/(Inputs!$D$26^2*Inputs!$H$26^4*Inputs!$I$26^2)+Inputs!$G$26*$A48^Inputs!$B$11-Distribution!$B$3)</f>
        <v/>
      </c>
      <c r="F48" s="11">
        <f>IF(Inputs!$D$27=0,NA(),Inputs!$C$27+Inputs!$B$12*Inputs!$B$5*$A48^2/(Inputs!$D$27^2*Inputs!$H$27^4*Inputs!$I$27^2)+Inputs!$G$27*$A48^Inputs!$B$11-Distribution!$B$3)</f>
        <v/>
      </c>
      <c r="G48" s="11">
        <f>IF(Inputs!$D$28=0,NA(),Inputs!$C$28+Inputs!$B$12*Inputs!$B$5*$A48^2/(Inputs!$D$28^2*Inputs!$H$28^4*Inputs!$I$28^2)+Inputs!$G$28*$A48^Inputs!$B$11-Distribution!$B$3)</f>
        <v/>
      </c>
      <c r="H48" s="11">
        <f>IF(Inputs!$D$29=0,NA(),Inputs!$C$29+Inputs!$B$12*Inputs!$B$5*$A48^2/(Inputs!$D$29^2*Inputs!$H$29^4*Inputs!$I$29^2)+Inputs!$G$29*$A48^Inputs!$B$11-Distribution!$B$3)</f>
        <v/>
      </c>
      <c r="I48" s="11">
        <f>IF(Inputs!$D$30=0,NA(),Inputs!$C$30+Inputs!$B$12*Inputs!$B$5*$A48^2/(Inputs!$D$30^2*Inputs!$H$30^4*Inputs!$I$30^2)+Inputs!$G$30*$A48^Inputs!$B$11-Distribution!$B$3)</f>
        <v/>
      </c>
      <c r="J48" s="11">
        <f>IF(Inputs!$D$31=0,NA(),Inputs!$C$31+Inputs!$B$12*Inputs!$B$5*$A48^2/(Inputs!$D$31^2*Inputs!$H$31^4*Inputs!$I$31^2)+Inputs!$G$31*$A48^Inputs!$B$11-Distribution!$B$3)</f>
        <v/>
      </c>
      <c r="K48" s="11">
        <f>IF(Inputs!$D$32=0,NA(),Inputs!$C$32+Inputs!$B$12*Inputs!$B$5*$A48^2/(Inputs!$D$32^2*Inputs!$H$32^4*Inputs!$I$32^2)+Inputs!$G$32*$A48^Inputs!$B$11-Distribution!$B$3)</f>
        <v/>
      </c>
      <c r="L48" s="11">
        <f>IF(Inputs!$D$33=0,NA(),Inputs!$C$33+Inputs!$B$12*Inputs!$B$5*$A48^2/(Inputs!$D$33^2*Inputs!$H$33^4*Inputs!$I$33^2)+Inputs!$G$33*$A48^Inputs!$B$11-Distribution!$B$3)</f>
        <v/>
      </c>
      <c r="M48" s="11">
        <f>IF(Inputs!$D$34=0,NA(),Inputs!$C$34+Inputs!$B$12*Inputs!$B$5*$A48^2/(Inputs!$D$34^2*Inputs!$H$34^4*Inputs!$I$34^2)+Inputs!$G$34*$A48^Inputs!$B$11-Distribution!$B$3)</f>
        <v/>
      </c>
      <c r="N48" s="11">
        <f>Distribution!$B$9-Distribution!$B$3</f>
        <v/>
      </c>
    </row>
    <row r="49">
      <c r="A49" s="11">
        <f>2.2*Inputs!$B$20*44/100</f>
        <v/>
      </c>
      <c r="B49" s="11">
        <f>IF(Inputs!$D$23=0,NA(),Inputs!$C$23+Inputs!$B$12*Inputs!$B$5*$A49^2/(Inputs!$D$23^2*Inputs!$H$23^4*Inputs!$I$23^2)+Inputs!$G$23*$A49^Inputs!$B$11-Distribution!$B$3)</f>
        <v/>
      </c>
      <c r="C49" s="11">
        <f>IF(Inputs!$D$24=0,NA(),Inputs!$C$24+Inputs!$B$12*Inputs!$B$5*$A49^2/(Inputs!$D$24^2*Inputs!$H$24^4*Inputs!$I$24^2)+Inputs!$G$24*$A49^Inputs!$B$11-Distribution!$B$3)</f>
        <v/>
      </c>
      <c r="D49" s="11">
        <f>IF(Inputs!$D$25=0,NA(),Inputs!$C$25+Inputs!$B$12*Inputs!$B$5*$A49^2/(Inputs!$D$25^2*Inputs!$H$25^4*Inputs!$I$25^2)+Inputs!$G$25*$A49^Inputs!$B$11-Distribution!$B$3)</f>
        <v/>
      </c>
      <c r="E49" s="11">
        <f>IF(Inputs!$D$26=0,NA(),Inputs!$C$26+Inputs!$B$12*Inputs!$B$5*$A49^2/(Inputs!$D$26^2*Inputs!$H$26^4*Inputs!$I$26^2)+Inputs!$G$26*$A49^Inputs!$B$11-Distribution!$B$3)</f>
        <v/>
      </c>
      <c r="F49" s="11">
        <f>IF(Inputs!$D$27=0,NA(),Inputs!$C$27+Inputs!$B$12*Inputs!$B$5*$A49^2/(Inputs!$D$27^2*Inputs!$H$27^4*Inputs!$I$27^2)+Inputs!$G$27*$A49^Inputs!$B$11-Distribution!$B$3)</f>
        <v/>
      </c>
      <c r="G49" s="11">
        <f>IF(Inputs!$D$28=0,NA(),Inputs!$C$28+Inputs!$B$12*Inputs!$B$5*$A49^2/(Inputs!$D$28^2*Inputs!$H$28^4*Inputs!$I$28^2)+Inputs!$G$28*$A49^Inputs!$B$11-Distribution!$B$3)</f>
        <v/>
      </c>
      <c r="H49" s="11">
        <f>IF(Inputs!$D$29=0,NA(),Inputs!$C$29+Inputs!$B$12*Inputs!$B$5*$A49^2/(Inputs!$D$29^2*Inputs!$H$29^4*Inputs!$I$29^2)+Inputs!$G$29*$A49^Inputs!$B$11-Distribution!$B$3)</f>
        <v/>
      </c>
      <c r="I49" s="11">
        <f>IF(Inputs!$D$30=0,NA(),Inputs!$C$30+Inputs!$B$12*Inputs!$B$5*$A49^2/(Inputs!$D$30^2*Inputs!$H$30^4*Inputs!$I$30^2)+Inputs!$G$30*$A49^Inputs!$B$11-Distribution!$B$3)</f>
        <v/>
      </c>
      <c r="J49" s="11">
        <f>IF(Inputs!$D$31=0,NA(),Inputs!$C$31+Inputs!$B$12*Inputs!$B$5*$A49^2/(Inputs!$D$31^2*Inputs!$H$31^4*Inputs!$I$31^2)+Inputs!$G$31*$A49^Inputs!$B$11-Distribution!$B$3)</f>
        <v/>
      </c>
      <c r="K49" s="11">
        <f>IF(Inputs!$D$32=0,NA(),Inputs!$C$32+Inputs!$B$12*Inputs!$B$5*$A49^2/(Inputs!$D$32^2*Inputs!$H$32^4*Inputs!$I$32^2)+Inputs!$G$32*$A49^Inputs!$B$11-Distribution!$B$3)</f>
        <v/>
      </c>
      <c r="L49" s="11">
        <f>IF(Inputs!$D$33=0,NA(),Inputs!$C$33+Inputs!$B$12*Inputs!$B$5*$A49^2/(Inputs!$D$33^2*Inputs!$H$33^4*Inputs!$I$33^2)+Inputs!$G$33*$A49^Inputs!$B$11-Distribution!$B$3)</f>
        <v/>
      </c>
      <c r="M49" s="11">
        <f>IF(Inputs!$D$34=0,NA(),Inputs!$C$34+Inputs!$B$12*Inputs!$B$5*$A49^2/(Inputs!$D$34^2*Inputs!$H$34^4*Inputs!$I$34^2)+Inputs!$G$34*$A49^Inputs!$B$11-Distribution!$B$3)</f>
        <v/>
      </c>
      <c r="N49" s="11">
        <f>Distribution!$B$9-Distribution!$B$3</f>
        <v/>
      </c>
    </row>
    <row r="50">
      <c r="A50" s="11">
        <f>2.2*Inputs!$B$20*45/100</f>
        <v/>
      </c>
      <c r="B50" s="11">
        <f>IF(Inputs!$D$23=0,NA(),Inputs!$C$23+Inputs!$B$12*Inputs!$B$5*$A50^2/(Inputs!$D$23^2*Inputs!$H$23^4*Inputs!$I$23^2)+Inputs!$G$23*$A50^Inputs!$B$11-Distribution!$B$3)</f>
        <v/>
      </c>
      <c r="C50" s="11">
        <f>IF(Inputs!$D$24=0,NA(),Inputs!$C$24+Inputs!$B$12*Inputs!$B$5*$A50^2/(Inputs!$D$24^2*Inputs!$H$24^4*Inputs!$I$24^2)+Inputs!$G$24*$A50^Inputs!$B$11-Distribution!$B$3)</f>
        <v/>
      </c>
      <c r="D50" s="11">
        <f>IF(Inputs!$D$25=0,NA(),Inputs!$C$25+Inputs!$B$12*Inputs!$B$5*$A50^2/(Inputs!$D$25^2*Inputs!$H$25^4*Inputs!$I$25^2)+Inputs!$G$25*$A50^Inputs!$B$11-Distribution!$B$3)</f>
        <v/>
      </c>
      <c r="E50" s="11">
        <f>IF(Inputs!$D$26=0,NA(),Inputs!$C$26+Inputs!$B$12*Inputs!$B$5*$A50^2/(Inputs!$D$26^2*Inputs!$H$26^4*Inputs!$I$26^2)+Inputs!$G$26*$A50^Inputs!$B$11-Distribution!$B$3)</f>
        <v/>
      </c>
      <c r="F50" s="11">
        <f>IF(Inputs!$D$27=0,NA(),Inputs!$C$27+Inputs!$B$12*Inputs!$B$5*$A50^2/(Inputs!$D$27^2*Inputs!$H$27^4*Inputs!$I$27^2)+Inputs!$G$27*$A50^Inputs!$B$11-Distribution!$B$3)</f>
        <v/>
      </c>
      <c r="G50" s="11">
        <f>IF(Inputs!$D$28=0,NA(),Inputs!$C$28+Inputs!$B$12*Inputs!$B$5*$A50^2/(Inputs!$D$28^2*Inputs!$H$28^4*Inputs!$I$28^2)+Inputs!$G$28*$A50^Inputs!$B$11-Distribution!$B$3)</f>
        <v/>
      </c>
      <c r="H50" s="11">
        <f>IF(Inputs!$D$29=0,NA(),Inputs!$C$29+Inputs!$B$12*Inputs!$B$5*$A50^2/(Inputs!$D$29^2*Inputs!$H$29^4*Inputs!$I$29^2)+Inputs!$G$29*$A50^Inputs!$B$11-Distribution!$B$3)</f>
        <v/>
      </c>
      <c r="I50" s="11">
        <f>IF(Inputs!$D$30=0,NA(),Inputs!$C$30+Inputs!$B$12*Inputs!$B$5*$A50^2/(Inputs!$D$30^2*Inputs!$H$30^4*Inputs!$I$30^2)+Inputs!$G$30*$A50^Inputs!$B$11-Distribution!$B$3)</f>
        <v/>
      </c>
      <c r="J50" s="11">
        <f>IF(Inputs!$D$31=0,NA(),Inputs!$C$31+Inputs!$B$12*Inputs!$B$5*$A50^2/(Inputs!$D$31^2*Inputs!$H$31^4*Inputs!$I$31^2)+Inputs!$G$31*$A50^Inputs!$B$11-Distribution!$B$3)</f>
        <v/>
      </c>
      <c r="K50" s="11">
        <f>IF(Inputs!$D$32=0,NA(),Inputs!$C$32+Inputs!$B$12*Inputs!$B$5*$A50^2/(Inputs!$D$32^2*Inputs!$H$32^4*Inputs!$I$32^2)+Inputs!$G$32*$A50^Inputs!$B$11-Distribution!$B$3)</f>
        <v/>
      </c>
      <c r="L50" s="11">
        <f>IF(Inputs!$D$33=0,NA(),Inputs!$C$33+Inputs!$B$12*Inputs!$B$5*$A50^2/(Inputs!$D$33^2*Inputs!$H$33^4*Inputs!$I$33^2)+Inputs!$G$33*$A50^Inputs!$B$11-Distribution!$B$3)</f>
        <v/>
      </c>
      <c r="M50" s="11">
        <f>IF(Inputs!$D$34=0,NA(),Inputs!$C$34+Inputs!$B$12*Inputs!$B$5*$A50^2/(Inputs!$D$34^2*Inputs!$H$34^4*Inputs!$I$34^2)+Inputs!$G$34*$A50^Inputs!$B$11-Distribution!$B$3)</f>
        <v/>
      </c>
      <c r="N50" s="11">
        <f>Distribution!$B$9-Distribution!$B$3</f>
        <v/>
      </c>
    </row>
    <row r="51">
      <c r="A51" s="11">
        <f>2.2*Inputs!$B$20*46/100</f>
        <v/>
      </c>
      <c r="B51" s="11">
        <f>IF(Inputs!$D$23=0,NA(),Inputs!$C$23+Inputs!$B$12*Inputs!$B$5*$A51^2/(Inputs!$D$23^2*Inputs!$H$23^4*Inputs!$I$23^2)+Inputs!$G$23*$A51^Inputs!$B$11-Distribution!$B$3)</f>
        <v/>
      </c>
      <c r="C51" s="11">
        <f>IF(Inputs!$D$24=0,NA(),Inputs!$C$24+Inputs!$B$12*Inputs!$B$5*$A51^2/(Inputs!$D$24^2*Inputs!$H$24^4*Inputs!$I$24^2)+Inputs!$G$24*$A51^Inputs!$B$11-Distribution!$B$3)</f>
        <v/>
      </c>
      <c r="D51" s="11">
        <f>IF(Inputs!$D$25=0,NA(),Inputs!$C$25+Inputs!$B$12*Inputs!$B$5*$A51^2/(Inputs!$D$25^2*Inputs!$H$25^4*Inputs!$I$25^2)+Inputs!$G$25*$A51^Inputs!$B$11-Distribution!$B$3)</f>
        <v/>
      </c>
      <c r="E51" s="11">
        <f>IF(Inputs!$D$26=0,NA(),Inputs!$C$26+Inputs!$B$12*Inputs!$B$5*$A51^2/(Inputs!$D$26^2*Inputs!$H$26^4*Inputs!$I$26^2)+Inputs!$G$26*$A51^Inputs!$B$11-Distribution!$B$3)</f>
        <v/>
      </c>
      <c r="F51" s="11">
        <f>IF(Inputs!$D$27=0,NA(),Inputs!$C$27+Inputs!$B$12*Inputs!$B$5*$A51^2/(Inputs!$D$27^2*Inputs!$H$27^4*Inputs!$I$27^2)+Inputs!$G$27*$A51^Inputs!$B$11-Distribution!$B$3)</f>
        <v/>
      </c>
      <c r="G51" s="11">
        <f>IF(Inputs!$D$28=0,NA(),Inputs!$C$28+Inputs!$B$12*Inputs!$B$5*$A51^2/(Inputs!$D$28^2*Inputs!$H$28^4*Inputs!$I$28^2)+Inputs!$G$28*$A51^Inputs!$B$11-Distribution!$B$3)</f>
        <v/>
      </c>
      <c r="H51" s="11">
        <f>IF(Inputs!$D$29=0,NA(),Inputs!$C$29+Inputs!$B$12*Inputs!$B$5*$A51^2/(Inputs!$D$29^2*Inputs!$H$29^4*Inputs!$I$29^2)+Inputs!$G$29*$A51^Inputs!$B$11-Distribution!$B$3)</f>
        <v/>
      </c>
      <c r="I51" s="11">
        <f>IF(Inputs!$D$30=0,NA(),Inputs!$C$30+Inputs!$B$12*Inputs!$B$5*$A51^2/(Inputs!$D$30^2*Inputs!$H$30^4*Inputs!$I$30^2)+Inputs!$G$30*$A51^Inputs!$B$11-Distribution!$B$3)</f>
        <v/>
      </c>
      <c r="J51" s="11">
        <f>IF(Inputs!$D$31=0,NA(),Inputs!$C$31+Inputs!$B$12*Inputs!$B$5*$A51^2/(Inputs!$D$31^2*Inputs!$H$31^4*Inputs!$I$31^2)+Inputs!$G$31*$A51^Inputs!$B$11-Distribution!$B$3)</f>
        <v/>
      </c>
      <c r="K51" s="11">
        <f>IF(Inputs!$D$32=0,NA(),Inputs!$C$32+Inputs!$B$12*Inputs!$B$5*$A51^2/(Inputs!$D$32^2*Inputs!$H$32^4*Inputs!$I$32^2)+Inputs!$G$32*$A51^Inputs!$B$11-Distribution!$B$3)</f>
        <v/>
      </c>
      <c r="L51" s="11">
        <f>IF(Inputs!$D$33=0,NA(),Inputs!$C$33+Inputs!$B$12*Inputs!$B$5*$A51^2/(Inputs!$D$33^2*Inputs!$H$33^4*Inputs!$I$33^2)+Inputs!$G$33*$A51^Inputs!$B$11-Distribution!$B$3)</f>
        <v/>
      </c>
      <c r="M51" s="11">
        <f>IF(Inputs!$D$34=0,NA(),Inputs!$C$34+Inputs!$B$12*Inputs!$B$5*$A51^2/(Inputs!$D$34^2*Inputs!$H$34^4*Inputs!$I$34^2)+Inputs!$G$34*$A51^Inputs!$B$11-Distribution!$B$3)</f>
        <v/>
      </c>
      <c r="N51" s="11">
        <f>Distribution!$B$9-Distribution!$B$3</f>
        <v/>
      </c>
    </row>
    <row r="52">
      <c r="A52" s="11">
        <f>2.2*Inputs!$B$20*47/100</f>
        <v/>
      </c>
      <c r="B52" s="11">
        <f>IF(Inputs!$D$23=0,NA(),Inputs!$C$23+Inputs!$B$12*Inputs!$B$5*$A52^2/(Inputs!$D$23^2*Inputs!$H$23^4*Inputs!$I$23^2)+Inputs!$G$23*$A52^Inputs!$B$11-Distribution!$B$3)</f>
        <v/>
      </c>
      <c r="C52" s="11">
        <f>IF(Inputs!$D$24=0,NA(),Inputs!$C$24+Inputs!$B$12*Inputs!$B$5*$A52^2/(Inputs!$D$24^2*Inputs!$H$24^4*Inputs!$I$24^2)+Inputs!$G$24*$A52^Inputs!$B$11-Distribution!$B$3)</f>
        <v/>
      </c>
      <c r="D52" s="11">
        <f>IF(Inputs!$D$25=0,NA(),Inputs!$C$25+Inputs!$B$12*Inputs!$B$5*$A52^2/(Inputs!$D$25^2*Inputs!$H$25^4*Inputs!$I$25^2)+Inputs!$G$25*$A52^Inputs!$B$11-Distribution!$B$3)</f>
        <v/>
      </c>
      <c r="E52" s="11">
        <f>IF(Inputs!$D$26=0,NA(),Inputs!$C$26+Inputs!$B$12*Inputs!$B$5*$A52^2/(Inputs!$D$26^2*Inputs!$H$26^4*Inputs!$I$26^2)+Inputs!$G$26*$A52^Inputs!$B$11-Distribution!$B$3)</f>
        <v/>
      </c>
      <c r="F52" s="11">
        <f>IF(Inputs!$D$27=0,NA(),Inputs!$C$27+Inputs!$B$12*Inputs!$B$5*$A52^2/(Inputs!$D$27^2*Inputs!$H$27^4*Inputs!$I$27^2)+Inputs!$G$27*$A52^Inputs!$B$11-Distribution!$B$3)</f>
        <v/>
      </c>
      <c r="G52" s="11">
        <f>IF(Inputs!$D$28=0,NA(),Inputs!$C$28+Inputs!$B$12*Inputs!$B$5*$A52^2/(Inputs!$D$28^2*Inputs!$H$28^4*Inputs!$I$28^2)+Inputs!$G$28*$A52^Inputs!$B$11-Distribution!$B$3)</f>
        <v/>
      </c>
      <c r="H52" s="11">
        <f>IF(Inputs!$D$29=0,NA(),Inputs!$C$29+Inputs!$B$12*Inputs!$B$5*$A52^2/(Inputs!$D$29^2*Inputs!$H$29^4*Inputs!$I$29^2)+Inputs!$G$29*$A52^Inputs!$B$11-Distribution!$B$3)</f>
        <v/>
      </c>
      <c r="I52" s="11">
        <f>IF(Inputs!$D$30=0,NA(),Inputs!$C$30+Inputs!$B$12*Inputs!$B$5*$A52^2/(Inputs!$D$30^2*Inputs!$H$30^4*Inputs!$I$30^2)+Inputs!$G$30*$A52^Inputs!$B$11-Distribution!$B$3)</f>
        <v/>
      </c>
      <c r="J52" s="11">
        <f>IF(Inputs!$D$31=0,NA(),Inputs!$C$31+Inputs!$B$12*Inputs!$B$5*$A52^2/(Inputs!$D$31^2*Inputs!$H$31^4*Inputs!$I$31^2)+Inputs!$G$31*$A52^Inputs!$B$11-Distribution!$B$3)</f>
        <v/>
      </c>
      <c r="K52" s="11">
        <f>IF(Inputs!$D$32=0,NA(),Inputs!$C$32+Inputs!$B$12*Inputs!$B$5*$A52^2/(Inputs!$D$32^2*Inputs!$H$32^4*Inputs!$I$32^2)+Inputs!$G$32*$A52^Inputs!$B$11-Distribution!$B$3)</f>
        <v/>
      </c>
      <c r="L52" s="11">
        <f>IF(Inputs!$D$33=0,NA(),Inputs!$C$33+Inputs!$B$12*Inputs!$B$5*$A52^2/(Inputs!$D$33^2*Inputs!$H$33^4*Inputs!$I$33^2)+Inputs!$G$33*$A52^Inputs!$B$11-Distribution!$B$3)</f>
        <v/>
      </c>
      <c r="M52" s="11">
        <f>IF(Inputs!$D$34=0,NA(),Inputs!$C$34+Inputs!$B$12*Inputs!$B$5*$A52^2/(Inputs!$D$34^2*Inputs!$H$34^4*Inputs!$I$34^2)+Inputs!$G$34*$A52^Inputs!$B$11-Distribution!$B$3)</f>
        <v/>
      </c>
      <c r="N52" s="11">
        <f>Distribution!$B$9-Distribution!$B$3</f>
        <v/>
      </c>
    </row>
    <row r="53">
      <c r="A53" s="11">
        <f>2.2*Inputs!$B$20*48/100</f>
        <v/>
      </c>
      <c r="B53" s="11">
        <f>IF(Inputs!$D$23=0,NA(),Inputs!$C$23+Inputs!$B$12*Inputs!$B$5*$A53^2/(Inputs!$D$23^2*Inputs!$H$23^4*Inputs!$I$23^2)+Inputs!$G$23*$A53^Inputs!$B$11-Distribution!$B$3)</f>
        <v/>
      </c>
      <c r="C53" s="11">
        <f>IF(Inputs!$D$24=0,NA(),Inputs!$C$24+Inputs!$B$12*Inputs!$B$5*$A53^2/(Inputs!$D$24^2*Inputs!$H$24^4*Inputs!$I$24^2)+Inputs!$G$24*$A53^Inputs!$B$11-Distribution!$B$3)</f>
        <v/>
      </c>
      <c r="D53" s="11">
        <f>IF(Inputs!$D$25=0,NA(),Inputs!$C$25+Inputs!$B$12*Inputs!$B$5*$A53^2/(Inputs!$D$25^2*Inputs!$H$25^4*Inputs!$I$25^2)+Inputs!$G$25*$A53^Inputs!$B$11-Distribution!$B$3)</f>
        <v/>
      </c>
      <c r="E53" s="11">
        <f>IF(Inputs!$D$26=0,NA(),Inputs!$C$26+Inputs!$B$12*Inputs!$B$5*$A53^2/(Inputs!$D$26^2*Inputs!$H$26^4*Inputs!$I$26^2)+Inputs!$G$26*$A53^Inputs!$B$11-Distribution!$B$3)</f>
        <v/>
      </c>
      <c r="F53" s="11">
        <f>IF(Inputs!$D$27=0,NA(),Inputs!$C$27+Inputs!$B$12*Inputs!$B$5*$A53^2/(Inputs!$D$27^2*Inputs!$H$27^4*Inputs!$I$27^2)+Inputs!$G$27*$A53^Inputs!$B$11-Distribution!$B$3)</f>
        <v/>
      </c>
      <c r="G53" s="11">
        <f>IF(Inputs!$D$28=0,NA(),Inputs!$C$28+Inputs!$B$12*Inputs!$B$5*$A53^2/(Inputs!$D$28^2*Inputs!$H$28^4*Inputs!$I$28^2)+Inputs!$G$28*$A53^Inputs!$B$11-Distribution!$B$3)</f>
        <v/>
      </c>
      <c r="H53" s="11">
        <f>IF(Inputs!$D$29=0,NA(),Inputs!$C$29+Inputs!$B$12*Inputs!$B$5*$A53^2/(Inputs!$D$29^2*Inputs!$H$29^4*Inputs!$I$29^2)+Inputs!$G$29*$A53^Inputs!$B$11-Distribution!$B$3)</f>
        <v/>
      </c>
      <c r="I53" s="11">
        <f>IF(Inputs!$D$30=0,NA(),Inputs!$C$30+Inputs!$B$12*Inputs!$B$5*$A53^2/(Inputs!$D$30^2*Inputs!$H$30^4*Inputs!$I$30^2)+Inputs!$G$30*$A53^Inputs!$B$11-Distribution!$B$3)</f>
        <v/>
      </c>
      <c r="J53" s="11">
        <f>IF(Inputs!$D$31=0,NA(),Inputs!$C$31+Inputs!$B$12*Inputs!$B$5*$A53^2/(Inputs!$D$31^2*Inputs!$H$31^4*Inputs!$I$31^2)+Inputs!$G$31*$A53^Inputs!$B$11-Distribution!$B$3)</f>
        <v/>
      </c>
      <c r="K53" s="11">
        <f>IF(Inputs!$D$32=0,NA(),Inputs!$C$32+Inputs!$B$12*Inputs!$B$5*$A53^2/(Inputs!$D$32^2*Inputs!$H$32^4*Inputs!$I$32^2)+Inputs!$G$32*$A53^Inputs!$B$11-Distribution!$B$3)</f>
        <v/>
      </c>
      <c r="L53" s="11">
        <f>IF(Inputs!$D$33=0,NA(),Inputs!$C$33+Inputs!$B$12*Inputs!$B$5*$A53^2/(Inputs!$D$33^2*Inputs!$H$33^4*Inputs!$I$33^2)+Inputs!$G$33*$A53^Inputs!$B$11-Distribution!$B$3)</f>
        <v/>
      </c>
      <c r="M53" s="11">
        <f>IF(Inputs!$D$34=0,NA(),Inputs!$C$34+Inputs!$B$12*Inputs!$B$5*$A53^2/(Inputs!$D$34^2*Inputs!$H$34^4*Inputs!$I$34^2)+Inputs!$G$34*$A53^Inputs!$B$11-Distribution!$B$3)</f>
        <v/>
      </c>
      <c r="N53" s="11">
        <f>Distribution!$B$9-Distribution!$B$3</f>
        <v/>
      </c>
    </row>
    <row r="54">
      <c r="A54" s="11">
        <f>2.2*Inputs!$B$20*49/100</f>
        <v/>
      </c>
      <c r="B54" s="11">
        <f>IF(Inputs!$D$23=0,NA(),Inputs!$C$23+Inputs!$B$12*Inputs!$B$5*$A54^2/(Inputs!$D$23^2*Inputs!$H$23^4*Inputs!$I$23^2)+Inputs!$G$23*$A54^Inputs!$B$11-Distribution!$B$3)</f>
        <v/>
      </c>
      <c r="C54" s="11">
        <f>IF(Inputs!$D$24=0,NA(),Inputs!$C$24+Inputs!$B$12*Inputs!$B$5*$A54^2/(Inputs!$D$24^2*Inputs!$H$24^4*Inputs!$I$24^2)+Inputs!$G$24*$A54^Inputs!$B$11-Distribution!$B$3)</f>
        <v/>
      </c>
      <c r="D54" s="11">
        <f>IF(Inputs!$D$25=0,NA(),Inputs!$C$25+Inputs!$B$12*Inputs!$B$5*$A54^2/(Inputs!$D$25^2*Inputs!$H$25^4*Inputs!$I$25^2)+Inputs!$G$25*$A54^Inputs!$B$11-Distribution!$B$3)</f>
        <v/>
      </c>
      <c r="E54" s="11">
        <f>IF(Inputs!$D$26=0,NA(),Inputs!$C$26+Inputs!$B$12*Inputs!$B$5*$A54^2/(Inputs!$D$26^2*Inputs!$H$26^4*Inputs!$I$26^2)+Inputs!$G$26*$A54^Inputs!$B$11-Distribution!$B$3)</f>
        <v/>
      </c>
      <c r="F54" s="11">
        <f>IF(Inputs!$D$27=0,NA(),Inputs!$C$27+Inputs!$B$12*Inputs!$B$5*$A54^2/(Inputs!$D$27^2*Inputs!$H$27^4*Inputs!$I$27^2)+Inputs!$G$27*$A54^Inputs!$B$11-Distribution!$B$3)</f>
        <v/>
      </c>
      <c r="G54" s="11">
        <f>IF(Inputs!$D$28=0,NA(),Inputs!$C$28+Inputs!$B$12*Inputs!$B$5*$A54^2/(Inputs!$D$28^2*Inputs!$H$28^4*Inputs!$I$28^2)+Inputs!$G$28*$A54^Inputs!$B$11-Distribution!$B$3)</f>
        <v/>
      </c>
      <c r="H54" s="11">
        <f>IF(Inputs!$D$29=0,NA(),Inputs!$C$29+Inputs!$B$12*Inputs!$B$5*$A54^2/(Inputs!$D$29^2*Inputs!$H$29^4*Inputs!$I$29^2)+Inputs!$G$29*$A54^Inputs!$B$11-Distribution!$B$3)</f>
        <v/>
      </c>
      <c r="I54" s="11">
        <f>IF(Inputs!$D$30=0,NA(),Inputs!$C$30+Inputs!$B$12*Inputs!$B$5*$A54^2/(Inputs!$D$30^2*Inputs!$H$30^4*Inputs!$I$30^2)+Inputs!$G$30*$A54^Inputs!$B$11-Distribution!$B$3)</f>
        <v/>
      </c>
      <c r="J54" s="11">
        <f>IF(Inputs!$D$31=0,NA(),Inputs!$C$31+Inputs!$B$12*Inputs!$B$5*$A54^2/(Inputs!$D$31^2*Inputs!$H$31^4*Inputs!$I$31^2)+Inputs!$G$31*$A54^Inputs!$B$11-Distribution!$B$3)</f>
        <v/>
      </c>
      <c r="K54" s="11">
        <f>IF(Inputs!$D$32=0,NA(),Inputs!$C$32+Inputs!$B$12*Inputs!$B$5*$A54^2/(Inputs!$D$32^2*Inputs!$H$32^4*Inputs!$I$32^2)+Inputs!$G$32*$A54^Inputs!$B$11-Distribution!$B$3)</f>
        <v/>
      </c>
      <c r="L54" s="11">
        <f>IF(Inputs!$D$33=0,NA(),Inputs!$C$33+Inputs!$B$12*Inputs!$B$5*$A54^2/(Inputs!$D$33^2*Inputs!$H$33^4*Inputs!$I$33^2)+Inputs!$G$33*$A54^Inputs!$B$11-Distribution!$B$3)</f>
        <v/>
      </c>
      <c r="M54" s="11">
        <f>IF(Inputs!$D$34=0,NA(),Inputs!$C$34+Inputs!$B$12*Inputs!$B$5*$A54^2/(Inputs!$D$34^2*Inputs!$H$34^4*Inputs!$I$34^2)+Inputs!$G$34*$A54^Inputs!$B$11-Distribution!$B$3)</f>
        <v/>
      </c>
      <c r="N54" s="11">
        <f>Distribution!$B$9-Distribution!$B$3</f>
        <v/>
      </c>
    </row>
    <row r="55">
      <c r="A55" s="11">
        <f>2.2*Inputs!$B$20*50/100</f>
        <v/>
      </c>
      <c r="B55" s="11">
        <f>IF(Inputs!$D$23=0,NA(),Inputs!$C$23+Inputs!$B$12*Inputs!$B$5*$A55^2/(Inputs!$D$23^2*Inputs!$H$23^4*Inputs!$I$23^2)+Inputs!$G$23*$A55^Inputs!$B$11-Distribution!$B$3)</f>
        <v/>
      </c>
      <c r="C55" s="11">
        <f>IF(Inputs!$D$24=0,NA(),Inputs!$C$24+Inputs!$B$12*Inputs!$B$5*$A55^2/(Inputs!$D$24^2*Inputs!$H$24^4*Inputs!$I$24^2)+Inputs!$G$24*$A55^Inputs!$B$11-Distribution!$B$3)</f>
        <v/>
      </c>
      <c r="D55" s="11">
        <f>IF(Inputs!$D$25=0,NA(),Inputs!$C$25+Inputs!$B$12*Inputs!$B$5*$A55^2/(Inputs!$D$25^2*Inputs!$H$25^4*Inputs!$I$25^2)+Inputs!$G$25*$A55^Inputs!$B$11-Distribution!$B$3)</f>
        <v/>
      </c>
      <c r="E55" s="11">
        <f>IF(Inputs!$D$26=0,NA(),Inputs!$C$26+Inputs!$B$12*Inputs!$B$5*$A55^2/(Inputs!$D$26^2*Inputs!$H$26^4*Inputs!$I$26^2)+Inputs!$G$26*$A55^Inputs!$B$11-Distribution!$B$3)</f>
        <v/>
      </c>
      <c r="F55" s="11">
        <f>IF(Inputs!$D$27=0,NA(),Inputs!$C$27+Inputs!$B$12*Inputs!$B$5*$A55^2/(Inputs!$D$27^2*Inputs!$H$27^4*Inputs!$I$27^2)+Inputs!$G$27*$A55^Inputs!$B$11-Distribution!$B$3)</f>
        <v/>
      </c>
      <c r="G55" s="11">
        <f>IF(Inputs!$D$28=0,NA(),Inputs!$C$28+Inputs!$B$12*Inputs!$B$5*$A55^2/(Inputs!$D$28^2*Inputs!$H$28^4*Inputs!$I$28^2)+Inputs!$G$28*$A55^Inputs!$B$11-Distribution!$B$3)</f>
        <v/>
      </c>
      <c r="H55" s="11">
        <f>IF(Inputs!$D$29=0,NA(),Inputs!$C$29+Inputs!$B$12*Inputs!$B$5*$A55^2/(Inputs!$D$29^2*Inputs!$H$29^4*Inputs!$I$29^2)+Inputs!$G$29*$A55^Inputs!$B$11-Distribution!$B$3)</f>
        <v/>
      </c>
      <c r="I55" s="11">
        <f>IF(Inputs!$D$30=0,NA(),Inputs!$C$30+Inputs!$B$12*Inputs!$B$5*$A55^2/(Inputs!$D$30^2*Inputs!$H$30^4*Inputs!$I$30^2)+Inputs!$G$30*$A55^Inputs!$B$11-Distribution!$B$3)</f>
        <v/>
      </c>
      <c r="J55" s="11">
        <f>IF(Inputs!$D$31=0,NA(),Inputs!$C$31+Inputs!$B$12*Inputs!$B$5*$A55^2/(Inputs!$D$31^2*Inputs!$H$31^4*Inputs!$I$31^2)+Inputs!$G$31*$A55^Inputs!$B$11-Distribution!$B$3)</f>
        <v/>
      </c>
      <c r="K55" s="11">
        <f>IF(Inputs!$D$32=0,NA(),Inputs!$C$32+Inputs!$B$12*Inputs!$B$5*$A55^2/(Inputs!$D$32^2*Inputs!$H$32^4*Inputs!$I$32^2)+Inputs!$G$32*$A55^Inputs!$B$11-Distribution!$B$3)</f>
        <v/>
      </c>
      <c r="L55" s="11">
        <f>IF(Inputs!$D$33=0,NA(),Inputs!$C$33+Inputs!$B$12*Inputs!$B$5*$A55^2/(Inputs!$D$33^2*Inputs!$H$33^4*Inputs!$I$33^2)+Inputs!$G$33*$A55^Inputs!$B$11-Distribution!$B$3)</f>
        <v/>
      </c>
      <c r="M55" s="11">
        <f>IF(Inputs!$D$34=0,NA(),Inputs!$C$34+Inputs!$B$12*Inputs!$B$5*$A55^2/(Inputs!$D$34^2*Inputs!$H$34^4*Inputs!$I$34^2)+Inputs!$G$34*$A55^Inputs!$B$11-Distribution!$B$3)</f>
        <v/>
      </c>
      <c r="N55" s="11">
        <f>Distribution!$B$9-Distribution!$B$3</f>
        <v/>
      </c>
    </row>
    <row r="56">
      <c r="A56" s="11">
        <f>2.2*Inputs!$B$20*51/100</f>
        <v/>
      </c>
      <c r="B56" s="11">
        <f>IF(Inputs!$D$23=0,NA(),Inputs!$C$23+Inputs!$B$12*Inputs!$B$5*$A56^2/(Inputs!$D$23^2*Inputs!$H$23^4*Inputs!$I$23^2)+Inputs!$G$23*$A56^Inputs!$B$11-Distribution!$B$3)</f>
        <v/>
      </c>
      <c r="C56" s="11">
        <f>IF(Inputs!$D$24=0,NA(),Inputs!$C$24+Inputs!$B$12*Inputs!$B$5*$A56^2/(Inputs!$D$24^2*Inputs!$H$24^4*Inputs!$I$24^2)+Inputs!$G$24*$A56^Inputs!$B$11-Distribution!$B$3)</f>
        <v/>
      </c>
      <c r="D56" s="11">
        <f>IF(Inputs!$D$25=0,NA(),Inputs!$C$25+Inputs!$B$12*Inputs!$B$5*$A56^2/(Inputs!$D$25^2*Inputs!$H$25^4*Inputs!$I$25^2)+Inputs!$G$25*$A56^Inputs!$B$11-Distribution!$B$3)</f>
        <v/>
      </c>
      <c r="E56" s="11">
        <f>IF(Inputs!$D$26=0,NA(),Inputs!$C$26+Inputs!$B$12*Inputs!$B$5*$A56^2/(Inputs!$D$26^2*Inputs!$H$26^4*Inputs!$I$26^2)+Inputs!$G$26*$A56^Inputs!$B$11-Distribution!$B$3)</f>
        <v/>
      </c>
      <c r="F56" s="11">
        <f>IF(Inputs!$D$27=0,NA(),Inputs!$C$27+Inputs!$B$12*Inputs!$B$5*$A56^2/(Inputs!$D$27^2*Inputs!$H$27^4*Inputs!$I$27^2)+Inputs!$G$27*$A56^Inputs!$B$11-Distribution!$B$3)</f>
        <v/>
      </c>
      <c r="G56" s="11">
        <f>IF(Inputs!$D$28=0,NA(),Inputs!$C$28+Inputs!$B$12*Inputs!$B$5*$A56^2/(Inputs!$D$28^2*Inputs!$H$28^4*Inputs!$I$28^2)+Inputs!$G$28*$A56^Inputs!$B$11-Distribution!$B$3)</f>
        <v/>
      </c>
      <c r="H56" s="11">
        <f>IF(Inputs!$D$29=0,NA(),Inputs!$C$29+Inputs!$B$12*Inputs!$B$5*$A56^2/(Inputs!$D$29^2*Inputs!$H$29^4*Inputs!$I$29^2)+Inputs!$G$29*$A56^Inputs!$B$11-Distribution!$B$3)</f>
        <v/>
      </c>
      <c r="I56" s="11">
        <f>IF(Inputs!$D$30=0,NA(),Inputs!$C$30+Inputs!$B$12*Inputs!$B$5*$A56^2/(Inputs!$D$30^2*Inputs!$H$30^4*Inputs!$I$30^2)+Inputs!$G$30*$A56^Inputs!$B$11-Distribution!$B$3)</f>
        <v/>
      </c>
      <c r="J56" s="11">
        <f>IF(Inputs!$D$31=0,NA(),Inputs!$C$31+Inputs!$B$12*Inputs!$B$5*$A56^2/(Inputs!$D$31^2*Inputs!$H$31^4*Inputs!$I$31^2)+Inputs!$G$31*$A56^Inputs!$B$11-Distribution!$B$3)</f>
        <v/>
      </c>
      <c r="K56" s="11">
        <f>IF(Inputs!$D$32=0,NA(),Inputs!$C$32+Inputs!$B$12*Inputs!$B$5*$A56^2/(Inputs!$D$32^2*Inputs!$H$32^4*Inputs!$I$32^2)+Inputs!$G$32*$A56^Inputs!$B$11-Distribution!$B$3)</f>
        <v/>
      </c>
      <c r="L56" s="11">
        <f>IF(Inputs!$D$33=0,NA(),Inputs!$C$33+Inputs!$B$12*Inputs!$B$5*$A56^2/(Inputs!$D$33^2*Inputs!$H$33^4*Inputs!$I$33^2)+Inputs!$G$33*$A56^Inputs!$B$11-Distribution!$B$3)</f>
        <v/>
      </c>
      <c r="M56" s="11">
        <f>IF(Inputs!$D$34=0,NA(),Inputs!$C$34+Inputs!$B$12*Inputs!$B$5*$A56^2/(Inputs!$D$34^2*Inputs!$H$34^4*Inputs!$I$34^2)+Inputs!$G$34*$A56^Inputs!$B$11-Distribution!$B$3)</f>
        <v/>
      </c>
      <c r="N56" s="11">
        <f>Distribution!$B$9-Distribution!$B$3</f>
        <v/>
      </c>
    </row>
    <row r="57">
      <c r="A57" s="11">
        <f>2.2*Inputs!$B$20*52/100</f>
        <v/>
      </c>
      <c r="B57" s="11">
        <f>IF(Inputs!$D$23=0,NA(),Inputs!$C$23+Inputs!$B$12*Inputs!$B$5*$A57^2/(Inputs!$D$23^2*Inputs!$H$23^4*Inputs!$I$23^2)+Inputs!$G$23*$A57^Inputs!$B$11-Distribution!$B$3)</f>
        <v/>
      </c>
      <c r="C57" s="11">
        <f>IF(Inputs!$D$24=0,NA(),Inputs!$C$24+Inputs!$B$12*Inputs!$B$5*$A57^2/(Inputs!$D$24^2*Inputs!$H$24^4*Inputs!$I$24^2)+Inputs!$G$24*$A57^Inputs!$B$11-Distribution!$B$3)</f>
        <v/>
      </c>
      <c r="D57" s="11">
        <f>IF(Inputs!$D$25=0,NA(),Inputs!$C$25+Inputs!$B$12*Inputs!$B$5*$A57^2/(Inputs!$D$25^2*Inputs!$H$25^4*Inputs!$I$25^2)+Inputs!$G$25*$A57^Inputs!$B$11-Distribution!$B$3)</f>
        <v/>
      </c>
      <c r="E57" s="11">
        <f>IF(Inputs!$D$26=0,NA(),Inputs!$C$26+Inputs!$B$12*Inputs!$B$5*$A57^2/(Inputs!$D$26^2*Inputs!$H$26^4*Inputs!$I$26^2)+Inputs!$G$26*$A57^Inputs!$B$11-Distribution!$B$3)</f>
        <v/>
      </c>
      <c r="F57" s="11">
        <f>IF(Inputs!$D$27=0,NA(),Inputs!$C$27+Inputs!$B$12*Inputs!$B$5*$A57^2/(Inputs!$D$27^2*Inputs!$H$27^4*Inputs!$I$27^2)+Inputs!$G$27*$A57^Inputs!$B$11-Distribution!$B$3)</f>
        <v/>
      </c>
      <c r="G57" s="11">
        <f>IF(Inputs!$D$28=0,NA(),Inputs!$C$28+Inputs!$B$12*Inputs!$B$5*$A57^2/(Inputs!$D$28^2*Inputs!$H$28^4*Inputs!$I$28^2)+Inputs!$G$28*$A57^Inputs!$B$11-Distribution!$B$3)</f>
        <v/>
      </c>
      <c r="H57" s="11">
        <f>IF(Inputs!$D$29=0,NA(),Inputs!$C$29+Inputs!$B$12*Inputs!$B$5*$A57^2/(Inputs!$D$29^2*Inputs!$H$29^4*Inputs!$I$29^2)+Inputs!$G$29*$A57^Inputs!$B$11-Distribution!$B$3)</f>
        <v/>
      </c>
      <c r="I57" s="11">
        <f>IF(Inputs!$D$30=0,NA(),Inputs!$C$30+Inputs!$B$12*Inputs!$B$5*$A57^2/(Inputs!$D$30^2*Inputs!$H$30^4*Inputs!$I$30^2)+Inputs!$G$30*$A57^Inputs!$B$11-Distribution!$B$3)</f>
        <v/>
      </c>
      <c r="J57" s="11">
        <f>IF(Inputs!$D$31=0,NA(),Inputs!$C$31+Inputs!$B$12*Inputs!$B$5*$A57^2/(Inputs!$D$31^2*Inputs!$H$31^4*Inputs!$I$31^2)+Inputs!$G$31*$A57^Inputs!$B$11-Distribution!$B$3)</f>
        <v/>
      </c>
      <c r="K57" s="11">
        <f>IF(Inputs!$D$32=0,NA(),Inputs!$C$32+Inputs!$B$12*Inputs!$B$5*$A57^2/(Inputs!$D$32^2*Inputs!$H$32^4*Inputs!$I$32^2)+Inputs!$G$32*$A57^Inputs!$B$11-Distribution!$B$3)</f>
        <v/>
      </c>
      <c r="L57" s="11">
        <f>IF(Inputs!$D$33=0,NA(),Inputs!$C$33+Inputs!$B$12*Inputs!$B$5*$A57^2/(Inputs!$D$33^2*Inputs!$H$33^4*Inputs!$I$33^2)+Inputs!$G$33*$A57^Inputs!$B$11-Distribution!$B$3)</f>
        <v/>
      </c>
      <c r="M57" s="11">
        <f>IF(Inputs!$D$34=0,NA(),Inputs!$C$34+Inputs!$B$12*Inputs!$B$5*$A57^2/(Inputs!$D$34^2*Inputs!$H$34^4*Inputs!$I$34^2)+Inputs!$G$34*$A57^Inputs!$B$11-Distribution!$B$3)</f>
        <v/>
      </c>
      <c r="N57" s="11">
        <f>Distribution!$B$9-Distribution!$B$3</f>
        <v/>
      </c>
    </row>
    <row r="58">
      <c r="A58" s="11">
        <f>2.2*Inputs!$B$20*53/100</f>
        <v/>
      </c>
      <c r="B58" s="11">
        <f>IF(Inputs!$D$23=0,NA(),Inputs!$C$23+Inputs!$B$12*Inputs!$B$5*$A58^2/(Inputs!$D$23^2*Inputs!$H$23^4*Inputs!$I$23^2)+Inputs!$G$23*$A58^Inputs!$B$11-Distribution!$B$3)</f>
        <v/>
      </c>
      <c r="C58" s="11">
        <f>IF(Inputs!$D$24=0,NA(),Inputs!$C$24+Inputs!$B$12*Inputs!$B$5*$A58^2/(Inputs!$D$24^2*Inputs!$H$24^4*Inputs!$I$24^2)+Inputs!$G$24*$A58^Inputs!$B$11-Distribution!$B$3)</f>
        <v/>
      </c>
      <c r="D58" s="11">
        <f>IF(Inputs!$D$25=0,NA(),Inputs!$C$25+Inputs!$B$12*Inputs!$B$5*$A58^2/(Inputs!$D$25^2*Inputs!$H$25^4*Inputs!$I$25^2)+Inputs!$G$25*$A58^Inputs!$B$11-Distribution!$B$3)</f>
        <v/>
      </c>
      <c r="E58" s="11">
        <f>IF(Inputs!$D$26=0,NA(),Inputs!$C$26+Inputs!$B$12*Inputs!$B$5*$A58^2/(Inputs!$D$26^2*Inputs!$H$26^4*Inputs!$I$26^2)+Inputs!$G$26*$A58^Inputs!$B$11-Distribution!$B$3)</f>
        <v/>
      </c>
      <c r="F58" s="11">
        <f>IF(Inputs!$D$27=0,NA(),Inputs!$C$27+Inputs!$B$12*Inputs!$B$5*$A58^2/(Inputs!$D$27^2*Inputs!$H$27^4*Inputs!$I$27^2)+Inputs!$G$27*$A58^Inputs!$B$11-Distribution!$B$3)</f>
        <v/>
      </c>
      <c r="G58" s="11">
        <f>IF(Inputs!$D$28=0,NA(),Inputs!$C$28+Inputs!$B$12*Inputs!$B$5*$A58^2/(Inputs!$D$28^2*Inputs!$H$28^4*Inputs!$I$28^2)+Inputs!$G$28*$A58^Inputs!$B$11-Distribution!$B$3)</f>
        <v/>
      </c>
      <c r="H58" s="11">
        <f>IF(Inputs!$D$29=0,NA(),Inputs!$C$29+Inputs!$B$12*Inputs!$B$5*$A58^2/(Inputs!$D$29^2*Inputs!$H$29^4*Inputs!$I$29^2)+Inputs!$G$29*$A58^Inputs!$B$11-Distribution!$B$3)</f>
        <v/>
      </c>
      <c r="I58" s="11">
        <f>IF(Inputs!$D$30=0,NA(),Inputs!$C$30+Inputs!$B$12*Inputs!$B$5*$A58^2/(Inputs!$D$30^2*Inputs!$H$30^4*Inputs!$I$30^2)+Inputs!$G$30*$A58^Inputs!$B$11-Distribution!$B$3)</f>
        <v/>
      </c>
      <c r="J58" s="11">
        <f>IF(Inputs!$D$31=0,NA(),Inputs!$C$31+Inputs!$B$12*Inputs!$B$5*$A58^2/(Inputs!$D$31^2*Inputs!$H$31^4*Inputs!$I$31^2)+Inputs!$G$31*$A58^Inputs!$B$11-Distribution!$B$3)</f>
        <v/>
      </c>
      <c r="K58" s="11">
        <f>IF(Inputs!$D$32=0,NA(),Inputs!$C$32+Inputs!$B$12*Inputs!$B$5*$A58^2/(Inputs!$D$32^2*Inputs!$H$32^4*Inputs!$I$32^2)+Inputs!$G$32*$A58^Inputs!$B$11-Distribution!$B$3)</f>
        <v/>
      </c>
      <c r="L58" s="11">
        <f>IF(Inputs!$D$33=0,NA(),Inputs!$C$33+Inputs!$B$12*Inputs!$B$5*$A58^2/(Inputs!$D$33^2*Inputs!$H$33^4*Inputs!$I$33^2)+Inputs!$G$33*$A58^Inputs!$B$11-Distribution!$B$3)</f>
        <v/>
      </c>
      <c r="M58" s="11">
        <f>IF(Inputs!$D$34=0,NA(),Inputs!$C$34+Inputs!$B$12*Inputs!$B$5*$A58^2/(Inputs!$D$34^2*Inputs!$H$34^4*Inputs!$I$34^2)+Inputs!$G$34*$A58^Inputs!$B$11-Distribution!$B$3)</f>
        <v/>
      </c>
      <c r="N58" s="11">
        <f>Distribution!$B$9-Distribution!$B$3</f>
        <v/>
      </c>
    </row>
    <row r="59">
      <c r="A59" s="11">
        <f>2.2*Inputs!$B$20*54/100</f>
        <v/>
      </c>
      <c r="B59" s="11">
        <f>IF(Inputs!$D$23=0,NA(),Inputs!$C$23+Inputs!$B$12*Inputs!$B$5*$A59^2/(Inputs!$D$23^2*Inputs!$H$23^4*Inputs!$I$23^2)+Inputs!$G$23*$A59^Inputs!$B$11-Distribution!$B$3)</f>
        <v/>
      </c>
      <c r="C59" s="11">
        <f>IF(Inputs!$D$24=0,NA(),Inputs!$C$24+Inputs!$B$12*Inputs!$B$5*$A59^2/(Inputs!$D$24^2*Inputs!$H$24^4*Inputs!$I$24^2)+Inputs!$G$24*$A59^Inputs!$B$11-Distribution!$B$3)</f>
        <v/>
      </c>
      <c r="D59" s="11">
        <f>IF(Inputs!$D$25=0,NA(),Inputs!$C$25+Inputs!$B$12*Inputs!$B$5*$A59^2/(Inputs!$D$25^2*Inputs!$H$25^4*Inputs!$I$25^2)+Inputs!$G$25*$A59^Inputs!$B$11-Distribution!$B$3)</f>
        <v/>
      </c>
      <c r="E59" s="11">
        <f>IF(Inputs!$D$26=0,NA(),Inputs!$C$26+Inputs!$B$12*Inputs!$B$5*$A59^2/(Inputs!$D$26^2*Inputs!$H$26^4*Inputs!$I$26^2)+Inputs!$G$26*$A59^Inputs!$B$11-Distribution!$B$3)</f>
        <v/>
      </c>
      <c r="F59" s="11">
        <f>IF(Inputs!$D$27=0,NA(),Inputs!$C$27+Inputs!$B$12*Inputs!$B$5*$A59^2/(Inputs!$D$27^2*Inputs!$H$27^4*Inputs!$I$27^2)+Inputs!$G$27*$A59^Inputs!$B$11-Distribution!$B$3)</f>
        <v/>
      </c>
      <c r="G59" s="11">
        <f>IF(Inputs!$D$28=0,NA(),Inputs!$C$28+Inputs!$B$12*Inputs!$B$5*$A59^2/(Inputs!$D$28^2*Inputs!$H$28^4*Inputs!$I$28^2)+Inputs!$G$28*$A59^Inputs!$B$11-Distribution!$B$3)</f>
        <v/>
      </c>
      <c r="H59" s="11">
        <f>IF(Inputs!$D$29=0,NA(),Inputs!$C$29+Inputs!$B$12*Inputs!$B$5*$A59^2/(Inputs!$D$29^2*Inputs!$H$29^4*Inputs!$I$29^2)+Inputs!$G$29*$A59^Inputs!$B$11-Distribution!$B$3)</f>
        <v/>
      </c>
      <c r="I59" s="11">
        <f>IF(Inputs!$D$30=0,NA(),Inputs!$C$30+Inputs!$B$12*Inputs!$B$5*$A59^2/(Inputs!$D$30^2*Inputs!$H$30^4*Inputs!$I$30^2)+Inputs!$G$30*$A59^Inputs!$B$11-Distribution!$B$3)</f>
        <v/>
      </c>
      <c r="J59" s="11">
        <f>IF(Inputs!$D$31=0,NA(),Inputs!$C$31+Inputs!$B$12*Inputs!$B$5*$A59^2/(Inputs!$D$31^2*Inputs!$H$31^4*Inputs!$I$31^2)+Inputs!$G$31*$A59^Inputs!$B$11-Distribution!$B$3)</f>
        <v/>
      </c>
      <c r="K59" s="11">
        <f>IF(Inputs!$D$32=0,NA(),Inputs!$C$32+Inputs!$B$12*Inputs!$B$5*$A59^2/(Inputs!$D$32^2*Inputs!$H$32^4*Inputs!$I$32^2)+Inputs!$G$32*$A59^Inputs!$B$11-Distribution!$B$3)</f>
        <v/>
      </c>
      <c r="L59" s="11">
        <f>IF(Inputs!$D$33=0,NA(),Inputs!$C$33+Inputs!$B$12*Inputs!$B$5*$A59^2/(Inputs!$D$33^2*Inputs!$H$33^4*Inputs!$I$33^2)+Inputs!$G$33*$A59^Inputs!$B$11-Distribution!$B$3)</f>
        <v/>
      </c>
      <c r="M59" s="11">
        <f>IF(Inputs!$D$34=0,NA(),Inputs!$C$34+Inputs!$B$12*Inputs!$B$5*$A59^2/(Inputs!$D$34^2*Inputs!$H$34^4*Inputs!$I$34^2)+Inputs!$G$34*$A59^Inputs!$B$11-Distribution!$B$3)</f>
        <v/>
      </c>
      <c r="N59" s="11">
        <f>Distribution!$B$9-Distribution!$B$3</f>
        <v/>
      </c>
    </row>
    <row r="60">
      <c r="A60" s="11">
        <f>2.2*Inputs!$B$20*55/100</f>
        <v/>
      </c>
      <c r="B60" s="11">
        <f>IF(Inputs!$D$23=0,NA(),Inputs!$C$23+Inputs!$B$12*Inputs!$B$5*$A60^2/(Inputs!$D$23^2*Inputs!$H$23^4*Inputs!$I$23^2)+Inputs!$G$23*$A60^Inputs!$B$11-Distribution!$B$3)</f>
        <v/>
      </c>
      <c r="C60" s="11">
        <f>IF(Inputs!$D$24=0,NA(),Inputs!$C$24+Inputs!$B$12*Inputs!$B$5*$A60^2/(Inputs!$D$24^2*Inputs!$H$24^4*Inputs!$I$24^2)+Inputs!$G$24*$A60^Inputs!$B$11-Distribution!$B$3)</f>
        <v/>
      </c>
      <c r="D60" s="11">
        <f>IF(Inputs!$D$25=0,NA(),Inputs!$C$25+Inputs!$B$12*Inputs!$B$5*$A60^2/(Inputs!$D$25^2*Inputs!$H$25^4*Inputs!$I$25^2)+Inputs!$G$25*$A60^Inputs!$B$11-Distribution!$B$3)</f>
        <v/>
      </c>
      <c r="E60" s="11">
        <f>IF(Inputs!$D$26=0,NA(),Inputs!$C$26+Inputs!$B$12*Inputs!$B$5*$A60^2/(Inputs!$D$26^2*Inputs!$H$26^4*Inputs!$I$26^2)+Inputs!$G$26*$A60^Inputs!$B$11-Distribution!$B$3)</f>
        <v/>
      </c>
      <c r="F60" s="11">
        <f>IF(Inputs!$D$27=0,NA(),Inputs!$C$27+Inputs!$B$12*Inputs!$B$5*$A60^2/(Inputs!$D$27^2*Inputs!$H$27^4*Inputs!$I$27^2)+Inputs!$G$27*$A60^Inputs!$B$11-Distribution!$B$3)</f>
        <v/>
      </c>
      <c r="G60" s="11">
        <f>IF(Inputs!$D$28=0,NA(),Inputs!$C$28+Inputs!$B$12*Inputs!$B$5*$A60^2/(Inputs!$D$28^2*Inputs!$H$28^4*Inputs!$I$28^2)+Inputs!$G$28*$A60^Inputs!$B$11-Distribution!$B$3)</f>
        <v/>
      </c>
      <c r="H60" s="11">
        <f>IF(Inputs!$D$29=0,NA(),Inputs!$C$29+Inputs!$B$12*Inputs!$B$5*$A60^2/(Inputs!$D$29^2*Inputs!$H$29^4*Inputs!$I$29^2)+Inputs!$G$29*$A60^Inputs!$B$11-Distribution!$B$3)</f>
        <v/>
      </c>
      <c r="I60" s="11">
        <f>IF(Inputs!$D$30=0,NA(),Inputs!$C$30+Inputs!$B$12*Inputs!$B$5*$A60^2/(Inputs!$D$30^2*Inputs!$H$30^4*Inputs!$I$30^2)+Inputs!$G$30*$A60^Inputs!$B$11-Distribution!$B$3)</f>
        <v/>
      </c>
      <c r="J60" s="11">
        <f>IF(Inputs!$D$31=0,NA(),Inputs!$C$31+Inputs!$B$12*Inputs!$B$5*$A60^2/(Inputs!$D$31^2*Inputs!$H$31^4*Inputs!$I$31^2)+Inputs!$G$31*$A60^Inputs!$B$11-Distribution!$B$3)</f>
        <v/>
      </c>
      <c r="K60" s="11">
        <f>IF(Inputs!$D$32=0,NA(),Inputs!$C$32+Inputs!$B$12*Inputs!$B$5*$A60^2/(Inputs!$D$32^2*Inputs!$H$32^4*Inputs!$I$32^2)+Inputs!$G$32*$A60^Inputs!$B$11-Distribution!$B$3)</f>
        <v/>
      </c>
      <c r="L60" s="11">
        <f>IF(Inputs!$D$33=0,NA(),Inputs!$C$33+Inputs!$B$12*Inputs!$B$5*$A60^2/(Inputs!$D$33^2*Inputs!$H$33^4*Inputs!$I$33^2)+Inputs!$G$33*$A60^Inputs!$B$11-Distribution!$B$3)</f>
        <v/>
      </c>
      <c r="M60" s="11">
        <f>IF(Inputs!$D$34=0,NA(),Inputs!$C$34+Inputs!$B$12*Inputs!$B$5*$A60^2/(Inputs!$D$34^2*Inputs!$H$34^4*Inputs!$I$34^2)+Inputs!$G$34*$A60^Inputs!$B$11-Distribution!$B$3)</f>
        <v/>
      </c>
      <c r="N60" s="11">
        <f>Distribution!$B$9-Distribution!$B$3</f>
        <v/>
      </c>
    </row>
    <row r="61">
      <c r="A61" s="11">
        <f>2.2*Inputs!$B$20*56/100</f>
        <v/>
      </c>
      <c r="B61" s="11">
        <f>IF(Inputs!$D$23=0,NA(),Inputs!$C$23+Inputs!$B$12*Inputs!$B$5*$A61^2/(Inputs!$D$23^2*Inputs!$H$23^4*Inputs!$I$23^2)+Inputs!$G$23*$A61^Inputs!$B$11-Distribution!$B$3)</f>
        <v/>
      </c>
      <c r="C61" s="11">
        <f>IF(Inputs!$D$24=0,NA(),Inputs!$C$24+Inputs!$B$12*Inputs!$B$5*$A61^2/(Inputs!$D$24^2*Inputs!$H$24^4*Inputs!$I$24^2)+Inputs!$G$24*$A61^Inputs!$B$11-Distribution!$B$3)</f>
        <v/>
      </c>
      <c r="D61" s="11">
        <f>IF(Inputs!$D$25=0,NA(),Inputs!$C$25+Inputs!$B$12*Inputs!$B$5*$A61^2/(Inputs!$D$25^2*Inputs!$H$25^4*Inputs!$I$25^2)+Inputs!$G$25*$A61^Inputs!$B$11-Distribution!$B$3)</f>
        <v/>
      </c>
      <c r="E61" s="11">
        <f>IF(Inputs!$D$26=0,NA(),Inputs!$C$26+Inputs!$B$12*Inputs!$B$5*$A61^2/(Inputs!$D$26^2*Inputs!$H$26^4*Inputs!$I$26^2)+Inputs!$G$26*$A61^Inputs!$B$11-Distribution!$B$3)</f>
        <v/>
      </c>
      <c r="F61" s="11">
        <f>IF(Inputs!$D$27=0,NA(),Inputs!$C$27+Inputs!$B$12*Inputs!$B$5*$A61^2/(Inputs!$D$27^2*Inputs!$H$27^4*Inputs!$I$27^2)+Inputs!$G$27*$A61^Inputs!$B$11-Distribution!$B$3)</f>
        <v/>
      </c>
      <c r="G61" s="11">
        <f>IF(Inputs!$D$28=0,NA(),Inputs!$C$28+Inputs!$B$12*Inputs!$B$5*$A61^2/(Inputs!$D$28^2*Inputs!$H$28^4*Inputs!$I$28^2)+Inputs!$G$28*$A61^Inputs!$B$11-Distribution!$B$3)</f>
        <v/>
      </c>
      <c r="H61" s="11">
        <f>IF(Inputs!$D$29=0,NA(),Inputs!$C$29+Inputs!$B$12*Inputs!$B$5*$A61^2/(Inputs!$D$29^2*Inputs!$H$29^4*Inputs!$I$29^2)+Inputs!$G$29*$A61^Inputs!$B$11-Distribution!$B$3)</f>
        <v/>
      </c>
      <c r="I61" s="11">
        <f>IF(Inputs!$D$30=0,NA(),Inputs!$C$30+Inputs!$B$12*Inputs!$B$5*$A61^2/(Inputs!$D$30^2*Inputs!$H$30^4*Inputs!$I$30^2)+Inputs!$G$30*$A61^Inputs!$B$11-Distribution!$B$3)</f>
        <v/>
      </c>
      <c r="J61" s="11">
        <f>IF(Inputs!$D$31=0,NA(),Inputs!$C$31+Inputs!$B$12*Inputs!$B$5*$A61^2/(Inputs!$D$31^2*Inputs!$H$31^4*Inputs!$I$31^2)+Inputs!$G$31*$A61^Inputs!$B$11-Distribution!$B$3)</f>
        <v/>
      </c>
      <c r="K61" s="11">
        <f>IF(Inputs!$D$32=0,NA(),Inputs!$C$32+Inputs!$B$12*Inputs!$B$5*$A61^2/(Inputs!$D$32^2*Inputs!$H$32^4*Inputs!$I$32^2)+Inputs!$G$32*$A61^Inputs!$B$11-Distribution!$B$3)</f>
        <v/>
      </c>
      <c r="L61" s="11">
        <f>IF(Inputs!$D$33=0,NA(),Inputs!$C$33+Inputs!$B$12*Inputs!$B$5*$A61^2/(Inputs!$D$33^2*Inputs!$H$33^4*Inputs!$I$33^2)+Inputs!$G$33*$A61^Inputs!$B$11-Distribution!$B$3)</f>
        <v/>
      </c>
      <c r="M61" s="11">
        <f>IF(Inputs!$D$34=0,NA(),Inputs!$C$34+Inputs!$B$12*Inputs!$B$5*$A61^2/(Inputs!$D$34^2*Inputs!$H$34^4*Inputs!$I$34^2)+Inputs!$G$34*$A61^Inputs!$B$11-Distribution!$B$3)</f>
        <v/>
      </c>
      <c r="N61" s="11">
        <f>Distribution!$B$9-Distribution!$B$3</f>
        <v/>
      </c>
    </row>
    <row r="62">
      <c r="A62" s="11">
        <f>2.2*Inputs!$B$20*57/100</f>
        <v/>
      </c>
      <c r="B62" s="11">
        <f>IF(Inputs!$D$23=0,NA(),Inputs!$C$23+Inputs!$B$12*Inputs!$B$5*$A62^2/(Inputs!$D$23^2*Inputs!$H$23^4*Inputs!$I$23^2)+Inputs!$G$23*$A62^Inputs!$B$11-Distribution!$B$3)</f>
        <v/>
      </c>
      <c r="C62" s="11">
        <f>IF(Inputs!$D$24=0,NA(),Inputs!$C$24+Inputs!$B$12*Inputs!$B$5*$A62^2/(Inputs!$D$24^2*Inputs!$H$24^4*Inputs!$I$24^2)+Inputs!$G$24*$A62^Inputs!$B$11-Distribution!$B$3)</f>
        <v/>
      </c>
      <c r="D62" s="11">
        <f>IF(Inputs!$D$25=0,NA(),Inputs!$C$25+Inputs!$B$12*Inputs!$B$5*$A62^2/(Inputs!$D$25^2*Inputs!$H$25^4*Inputs!$I$25^2)+Inputs!$G$25*$A62^Inputs!$B$11-Distribution!$B$3)</f>
        <v/>
      </c>
      <c r="E62" s="11">
        <f>IF(Inputs!$D$26=0,NA(),Inputs!$C$26+Inputs!$B$12*Inputs!$B$5*$A62^2/(Inputs!$D$26^2*Inputs!$H$26^4*Inputs!$I$26^2)+Inputs!$G$26*$A62^Inputs!$B$11-Distribution!$B$3)</f>
        <v/>
      </c>
      <c r="F62" s="11">
        <f>IF(Inputs!$D$27=0,NA(),Inputs!$C$27+Inputs!$B$12*Inputs!$B$5*$A62^2/(Inputs!$D$27^2*Inputs!$H$27^4*Inputs!$I$27^2)+Inputs!$G$27*$A62^Inputs!$B$11-Distribution!$B$3)</f>
        <v/>
      </c>
      <c r="G62" s="11">
        <f>IF(Inputs!$D$28=0,NA(),Inputs!$C$28+Inputs!$B$12*Inputs!$B$5*$A62^2/(Inputs!$D$28^2*Inputs!$H$28^4*Inputs!$I$28^2)+Inputs!$G$28*$A62^Inputs!$B$11-Distribution!$B$3)</f>
        <v/>
      </c>
      <c r="H62" s="11">
        <f>IF(Inputs!$D$29=0,NA(),Inputs!$C$29+Inputs!$B$12*Inputs!$B$5*$A62^2/(Inputs!$D$29^2*Inputs!$H$29^4*Inputs!$I$29^2)+Inputs!$G$29*$A62^Inputs!$B$11-Distribution!$B$3)</f>
        <v/>
      </c>
      <c r="I62" s="11">
        <f>IF(Inputs!$D$30=0,NA(),Inputs!$C$30+Inputs!$B$12*Inputs!$B$5*$A62^2/(Inputs!$D$30^2*Inputs!$H$30^4*Inputs!$I$30^2)+Inputs!$G$30*$A62^Inputs!$B$11-Distribution!$B$3)</f>
        <v/>
      </c>
      <c r="J62" s="11">
        <f>IF(Inputs!$D$31=0,NA(),Inputs!$C$31+Inputs!$B$12*Inputs!$B$5*$A62^2/(Inputs!$D$31^2*Inputs!$H$31^4*Inputs!$I$31^2)+Inputs!$G$31*$A62^Inputs!$B$11-Distribution!$B$3)</f>
        <v/>
      </c>
      <c r="K62" s="11">
        <f>IF(Inputs!$D$32=0,NA(),Inputs!$C$32+Inputs!$B$12*Inputs!$B$5*$A62^2/(Inputs!$D$32^2*Inputs!$H$32^4*Inputs!$I$32^2)+Inputs!$G$32*$A62^Inputs!$B$11-Distribution!$B$3)</f>
        <v/>
      </c>
      <c r="L62" s="11">
        <f>IF(Inputs!$D$33=0,NA(),Inputs!$C$33+Inputs!$B$12*Inputs!$B$5*$A62^2/(Inputs!$D$33^2*Inputs!$H$33^4*Inputs!$I$33^2)+Inputs!$G$33*$A62^Inputs!$B$11-Distribution!$B$3)</f>
        <v/>
      </c>
      <c r="M62" s="11">
        <f>IF(Inputs!$D$34=0,NA(),Inputs!$C$34+Inputs!$B$12*Inputs!$B$5*$A62^2/(Inputs!$D$34^2*Inputs!$H$34^4*Inputs!$I$34^2)+Inputs!$G$34*$A62^Inputs!$B$11-Distribution!$B$3)</f>
        <v/>
      </c>
      <c r="N62" s="11">
        <f>Distribution!$B$9-Distribution!$B$3</f>
        <v/>
      </c>
    </row>
    <row r="63">
      <c r="A63" s="11">
        <f>2.2*Inputs!$B$20*58/100</f>
        <v/>
      </c>
      <c r="B63" s="11">
        <f>IF(Inputs!$D$23=0,NA(),Inputs!$C$23+Inputs!$B$12*Inputs!$B$5*$A63^2/(Inputs!$D$23^2*Inputs!$H$23^4*Inputs!$I$23^2)+Inputs!$G$23*$A63^Inputs!$B$11-Distribution!$B$3)</f>
        <v/>
      </c>
      <c r="C63" s="11">
        <f>IF(Inputs!$D$24=0,NA(),Inputs!$C$24+Inputs!$B$12*Inputs!$B$5*$A63^2/(Inputs!$D$24^2*Inputs!$H$24^4*Inputs!$I$24^2)+Inputs!$G$24*$A63^Inputs!$B$11-Distribution!$B$3)</f>
        <v/>
      </c>
      <c r="D63" s="11">
        <f>IF(Inputs!$D$25=0,NA(),Inputs!$C$25+Inputs!$B$12*Inputs!$B$5*$A63^2/(Inputs!$D$25^2*Inputs!$H$25^4*Inputs!$I$25^2)+Inputs!$G$25*$A63^Inputs!$B$11-Distribution!$B$3)</f>
        <v/>
      </c>
      <c r="E63" s="11">
        <f>IF(Inputs!$D$26=0,NA(),Inputs!$C$26+Inputs!$B$12*Inputs!$B$5*$A63^2/(Inputs!$D$26^2*Inputs!$H$26^4*Inputs!$I$26^2)+Inputs!$G$26*$A63^Inputs!$B$11-Distribution!$B$3)</f>
        <v/>
      </c>
      <c r="F63" s="11">
        <f>IF(Inputs!$D$27=0,NA(),Inputs!$C$27+Inputs!$B$12*Inputs!$B$5*$A63^2/(Inputs!$D$27^2*Inputs!$H$27^4*Inputs!$I$27^2)+Inputs!$G$27*$A63^Inputs!$B$11-Distribution!$B$3)</f>
        <v/>
      </c>
      <c r="G63" s="11">
        <f>IF(Inputs!$D$28=0,NA(),Inputs!$C$28+Inputs!$B$12*Inputs!$B$5*$A63^2/(Inputs!$D$28^2*Inputs!$H$28^4*Inputs!$I$28^2)+Inputs!$G$28*$A63^Inputs!$B$11-Distribution!$B$3)</f>
        <v/>
      </c>
      <c r="H63" s="11">
        <f>IF(Inputs!$D$29=0,NA(),Inputs!$C$29+Inputs!$B$12*Inputs!$B$5*$A63^2/(Inputs!$D$29^2*Inputs!$H$29^4*Inputs!$I$29^2)+Inputs!$G$29*$A63^Inputs!$B$11-Distribution!$B$3)</f>
        <v/>
      </c>
      <c r="I63" s="11">
        <f>IF(Inputs!$D$30=0,NA(),Inputs!$C$30+Inputs!$B$12*Inputs!$B$5*$A63^2/(Inputs!$D$30^2*Inputs!$H$30^4*Inputs!$I$30^2)+Inputs!$G$30*$A63^Inputs!$B$11-Distribution!$B$3)</f>
        <v/>
      </c>
      <c r="J63" s="11">
        <f>IF(Inputs!$D$31=0,NA(),Inputs!$C$31+Inputs!$B$12*Inputs!$B$5*$A63^2/(Inputs!$D$31^2*Inputs!$H$31^4*Inputs!$I$31^2)+Inputs!$G$31*$A63^Inputs!$B$11-Distribution!$B$3)</f>
        <v/>
      </c>
      <c r="K63" s="11">
        <f>IF(Inputs!$D$32=0,NA(),Inputs!$C$32+Inputs!$B$12*Inputs!$B$5*$A63^2/(Inputs!$D$32^2*Inputs!$H$32^4*Inputs!$I$32^2)+Inputs!$G$32*$A63^Inputs!$B$11-Distribution!$B$3)</f>
        <v/>
      </c>
      <c r="L63" s="11">
        <f>IF(Inputs!$D$33=0,NA(),Inputs!$C$33+Inputs!$B$12*Inputs!$B$5*$A63^2/(Inputs!$D$33^2*Inputs!$H$33^4*Inputs!$I$33^2)+Inputs!$G$33*$A63^Inputs!$B$11-Distribution!$B$3)</f>
        <v/>
      </c>
      <c r="M63" s="11">
        <f>IF(Inputs!$D$34=0,NA(),Inputs!$C$34+Inputs!$B$12*Inputs!$B$5*$A63^2/(Inputs!$D$34^2*Inputs!$H$34^4*Inputs!$I$34^2)+Inputs!$G$34*$A63^Inputs!$B$11-Distribution!$B$3)</f>
        <v/>
      </c>
      <c r="N63" s="11">
        <f>Distribution!$B$9-Distribution!$B$3</f>
        <v/>
      </c>
    </row>
    <row r="64">
      <c r="A64" s="11">
        <f>2.2*Inputs!$B$20*59/100</f>
        <v/>
      </c>
      <c r="B64" s="11">
        <f>IF(Inputs!$D$23=0,NA(),Inputs!$C$23+Inputs!$B$12*Inputs!$B$5*$A64^2/(Inputs!$D$23^2*Inputs!$H$23^4*Inputs!$I$23^2)+Inputs!$G$23*$A64^Inputs!$B$11-Distribution!$B$3)</f>
        <v/>
      </c>
      <c r="C64" s="11">
        <f>IF(Inputs!$D$24=0,NA(),Inputs!$C$24+Inputs!$B$12*Inputs!$B$5*$A64^2/(Inputs!$D$24^2*Inputs!$H$24^4*Inputs!$I$24^2)+Inputs!$G$24*$A64^Inputs!$B$11-Distribution!$B$3)</f>
        <v/>
      </c>
      <c r="D64" s="11">
        <f>IF(Inputs!$D$25=0,NA(),Inputs!$C$25+Inputs!$B$12*Inputs!$B$5*$A64^2/(Inputs!$D$25^2*Inputs!$H$25^4*Inputs!$I$25^2)+Inputs!$G$25*$A64^Inputs!$B$11-Distribution!$B$3)</f>
        <v/>
      </c>
      <c r="E64" s="11">
        <f>IF(Inputs!$D$26=0,NA(),Inputs!$C$26+Inputs!$B$12*Inputs!$B$5*$A64^2/(Inputs!$D$26^2*Inputs!$H$26^4*Inputs!$I$26^2)+Inputs!$G$26*$A64^Inputs!$B$11-Distribution!$B$3)</f>
        <v/>
      </c>
      <c r="F64" s="11">
        <f>IF(Inputs!$D$27=0,NA(),Inputs!$C$27+Inputs!$B$12*Inputs!$B$5*$A64^2/(Inputs!$D$27^2*Inputs!$H$27^4*Inputs!$I$27^2)+Inputs!$G$27*$A64^Inputs!$B$11-Distribution!$B$3)</f>
        <v/>
      </c>
      <c r="G64" s="11">
        <f>IF(Inputs!$D$28=0,NA(),Inputs!$C$28+Inputs!$B$12*Inputs!$B$5*$A64^2/(Inputs!$D$28^2*Inputs!$H$28^4*Inputs!$I$28^2)+Inputs!$G$28*$A64^Inputs!$B$11-Distribution!$B$3)</f>
        <v/>
      </c>
      <c r="H64" s="11">
        <f>IF(Inputs!$D$29=0,NA(),Inputs!$C$29+Inputs!$B$12*Inputs!$B$5*$A64^2/(Inputs!$D$29^2*Inputs!$H$29^4*Inputs!$I$29^2)+Inputs!$G$29*$A64^Inputs!$B$11-Distribution!$B$3)</f>
        <v/>
      </c>
      <c r="I64" s="11">
        <f>IF(Inputs!$D$30=0,NA(),Inputs!$C$30+Inputs!$B$12*Inputs!$B$5*$A64^2/(Inputs!$D$30^2*Inputs!$H$30^4*Inputs!$I$30^2)+Inputs!$G$30*$A64^Inputs!$B$11-Distribution!$B$3)</f>
        <v/>
      </c>
      <c r="J64" s="11">
        <f>IF(Inputs!$D$31=0,NA(),Inputs!$C$31+Inputs!$B$12*Inputs!$B$5*$A64^2/(Inputs!$D$31^2*Inputs!$H$31^4*Inputs!$I$31^2)+Inputs!$G$31*$A64^Inputs!$B$11-Distribution!$B$3)</f>
        <v/>
      </c>
      <c r="K64" s="11">
        <f>IF(Inputs!$D$32=0,NA(),Inputs!$C$32+Inputs!$B$12*Inputs!$B$5*$A64^2/(Inputs!$D$32^2*Inputs!$H$32^4*Inputs!$I$32^2)+Inputs!$G$32*$A64^Inputs!$B$11-Distribution!$B$3)</f>
        <v/>
      </c>
      <c r="L64" s="11">
        <f>IF(Inputs!$D$33=0,NA(),Inputs!$C$33+Inputs!$B$12*Inputs!$B$5*$A64^2/(Inputs!$D$33^2*Inputs!$H$33^4*Inputs!$I$33^2)+Inputs!$G$33*$A64^Inputs!$B$11-Distribution!$B$3)</f>
        <v/>
      </c>
      <c r="M64" s="11">
        <f>IF(Inputs!$D$34=0,NA(),Inputs!$C$34+Inputs!$B$12*Inputs!$B$5*$A64^2/(Inputs!$D$34^2*Inputs!$H$34^4*Inputs!$I$34^2)+Inputs!$G$34*$A64^Inputs!$B$11-Distribution!$B$3)</f>
        <v/>
      </c>
      <c r="N64" s="11">
        <f>Distribution!$B$9-Distribution!$B$3</f>
        <v/>
      </c>
    </row>
    <row r="65">
      <c r="A65" s="11">
        <f>2.2*Inputs!$B$20*60/100</f>
        <v/>
      </c>
      <c r="B65" s="11">
        <f>IF(Inputs!$D$23=0,NA(),Inputs!$C$23+Inputs!$B$12*Inputs!$B$5*$A65^2/(Inputs!$D$23^2*Inputs!$H$23^4*Inputs!$I$23^2)+Inputs!$G$23*$A65^Inputs!$B$11-Distribution!$B$3)</f>
        <v/>
      </c>
      <c r="C65" s="11">
        <f>IF(Inputs!$D$24=0,NA(),Inputs!$C$24+Inputs!$B$12*Inputs!$B$5*$A65^2/(Inputs!$D$24^2*Inputs!$H$24^4*Inputs!$I$24^2)+Inputs!$G$24*$A65^Inputs!$B$11-Distribution!$B$3)</f>
        <v/>
      </c>
      <c r="D65" s="11">
        <f>IF(Inputs!$D$25=0,NA(),Inputs!$C$25+Inputs!$B$12*Inputs!$B$5*$A65^2/(Inputs!$D$25^2*Inputs!$H$25^4*Inputs!$I$25^2)+Inputs!$G$25*$A65^Inputs!$B$11-Distribution!$B$3)</f>
        <v/>
      </c>
      <c r="E65" s="11">
        <f>IF(Inputs!$D$26=0,NA(),Inputs!$C$26+Inputs!$B$12*Inputs!$B$5*$A65^2/(Inputs!$D$26^2*Inputs!$H$26^4*Inputs!$I$26^2)+Inputs!$G$26*$A65^Inputs!$B$11-Distribution!$B$3)</f>
        <v/>
      </c>
      <c r="F65" s="11">
        <f>IF(Inputs!$D$27=0,NA(),Inputs!$C$27+Inputs!$B$12*Inputs!$B$5*$A65^2/(Inputs!$D$27^2*Inputs!$H$27^4*Inputs!$I$27^2)+Inputs!$G$27*$A65^Inputs!$B$11-Distribution!$B$3)</f>
        <v/>
      </c>
      <c r="G65" s="11">
        <f>IF(Inputs!$D$28=0,NA(),Inputs!$C$28+Inputs!$B$12*Inputs!$B$5*$A65^2/(Inputs!$D$28^2*Inputs!$H$28^4*Inputs!$I$28^2)+Inputs!$G$28*$A65^Inputs!$B$11-Distribution!$B$3)</f>
        <v/>
      </c>
      <c r="H65" s="11">
        <f>IF(Inputs!$D$29=0,NA(),Inputs!$C$29+Inputs!$B$12*Inputs!$B$5*$A65^2/(Inputs!$D$29^2*Inputs!$H$29^4*Inputs!$I$29^2)+Inputs!$G$29*$A65^Inputs!$B$11-Distribution!$B$3)</f>
        <v/>
      </c>
      <c r="I65" s="11">
        <f>IF(Inputs!$D$30=0,NA(),Inputs!$C$30+Inputs!$B$12*Inputs!$B$5*$A65^2/(Inputs!$D$30^2*Inputs!$H$30^4*Inputs!$I$30^2)+Inputs!$G$30*$A65^Inputs!$B$11-Distribution!$B$3)</f>
        <v/>
      </c>
      <c r="J65" s="11">
        <f>IF(Inputs!$D$31=0,NA(),Inputs!$C$31+Inputs!$B$12*Inputs!$B$5*$A65^2/(Inputs!$D$31^2*Inputs!$H$31^4*Inputs!$I$31^2)+Inputs!$G$31*$A65^Inputs!$B$11-Distribution!$B$3)</f>
        <v/>
      </c>
      <c r="K65" s="11">
        <f>IF(Inputs!$D$32=0,NA(),Inputs!$C$32+Inputs!$B$12*Inputs!$B$5*$A65^2/(Inputs!$D$32^2*Inputs!$H$32^4*Inputs!$I$32^2)+Inputs!$G$32*$A65^Inputs!$B$11-Distribution!$B$3)</f>
        <v/>
      </c>
      <c r="L65" s="11">
        <f>IF(Inputs!$D$33=0,NA(),Inputs!$C$33+Inputs!$B$12*Inputs!$B$5*$A65^2/(Inputs!$D$33^2*Inputs!$H$33^4*Inputs!$I$33^2)+Inputs!$G$33*$A65^Inputs!$B$11-Distribution!$B$3)</f>
        <v/>
      </c>
      <c r="M65" s="11">
        <f>IF(Inputs!$D$34=0,NA(),Inputs!$C$34+Inputs!$B$12*Inputs!$B$5*$A65^2/(Inputs!$D$34^2*Inputs!$H$34^4*Inputs!$I$34^2)+Inputs!$G$34*$A65^Inputs!$B$11-Distribution!$B$3)</f>
        <v/>
      </c>
      <c r="N65" s="11">
        <f>Distribution!$B$9-Distribution!$B$3</f>
        <v/>
      </c>
    </row>
    <row r="66">
      <c r="A66" s="11">
        <f>2.2*Inputs!$B$20*61/100</f>
        <v/>
      </c>
      <c r="B66" s="11">
        <f>IF(Inputs!$D$23=0,NA(),Inputs!$C$23+Inputs!$B$12*Inputs!$B$5*$A66^2/(Inputs!$D$23^2*Inputs!$H$23^4*Inputs!$I$23^2)+Inputs!$G$23*$A66^Inputs!$B$11-Distribution!$B$3)</f>
        <v/>
      </c>
      <c r="C66" s="11">
        <f>IF(Inputs!$D$24=0,NA(),Inputs!$C$24+Inputs!$B$12*Inputs!$B$5*$A66^2/(Inputs!$D$24^2*Inputs!$H$24^4*Inputs!$I$24^2)+Inputs!$G$24*$A66^Inputs!$B$11-Distribution!$B$3)</f>
        <v/>
      </c>
      <c r="D66" s="11">
        <f>IF(Inputs!$D$25=0,NA(),Inputs!$C$25+Inputs!$B$12*Inputs!$B$5*$A66^2/(Inputs!$D$25^2*Inputs!$H$25^4*Inputs!$I$25^2)+Inputs!$G$25*$A66^Inputs!$B$11-Distribution!$B$3)</f>
        <v/>
      </c>
      <c r="E66" s="11">
        <f>IF(Inputs!$D$26=0,NA(),Inputs!$C$26+Inputs!$B$12*Inputs!$B$5*$A66^2/(Inputs!$D$26^2*Inputs!$H$26^4*Inputs!$I$26^2)+Inputs!$G$26*$A66^Inputs!$B$11-Distribution!$B$3)</f>
        <v/>
      </c>
      <c r="F66" s="11">
        <f>IF(Inputs!$D$27=0,NA(),Inputs!$C$27+Inputs!$B$12*Inputs!$B$5*$A66^2/(Inputs!$D$27^2*Inputs!$H$27^4*Inputs!$I$27^2)+Inputs!$G$27*$A66^Inputs!$B$11-Distribution!$B$3)</f>
        <v/>
      </c>
      <c r="G66" s="11">
        <f>IF(Inputs!$D$28=0,NA(),Inputs!$C$28+Inputs!$B$12*Inputs!$B$5*$A66^2/(Inputs!$D$28^2*Inputs!$H$28^4*Inputs!$I$28^2)+Inputs!$G$28*$A66^Inputs!$B$11-Distribution!$B$3)</f>
        <v/>
      </c>
      <c r="H66" s="11">
        <f>IF(Inputs!$D$29=0,NA(),Inputs!$C$29+Inputs!$B$12*Inputs!$B$5*$A66^2/(Inputs!$D$29^2*Inputs!$H$29^4*Inputs!$I$29^2)+Inputs!$G$29*$A66^Inputs!$B$11-Distribution!$B$3)</f>
        <v/>
      </c>
      <c r="I66" s="11">
        <f>IF(Inputs!$D$30=0,NA(),Inputs!$C$30+Inputs!$B$12*Inputs!$B$5*$A66^2/(Inputs!$D$30^2*Inputs!$H$30^4*Inputs!$I$30^2)+Inputs!$G$30*$A66^Inputs!$B$11-Distribution!$B$3)</f>
        <v/>
      </c>
      <c r="J66" s="11">
        <f>IF(Inputs!$D$31=0,NA(),Inputs!$C$31+Inputs!$B$12*Inputs!$B$5*$A66^2/(Inputs!$D$31^2*Inputs!$H$31^4*Inputs!$I$31^2)+Inputs!$G$31*$A66^Inputs!$B$11-Distribution!$B$3)</f>
        <v/>
      </c>
      <c r="K66" s="11">
        <f>IF(Inputs!$D$32=0,NA(),Inputs!$C$32+Inputs!$B$12*Inputs!$B$5*$A66^2/(Inputs!$D$32^2*Inputs!$H$32^4*Inputs!$I$32^2)+Inputs!$G$32*$A66^Inputs!$B$11-Distribution!$B$3)</f>
        <v/>
      </c>
      <c r="L66" s="11">
        <f>IF(Inputs!$D$33=0,NA(),Inputs!$C$33+Inputs!$B$12*Inputs!$B$5*$A66^2/(Inputs!$D$33^2*Inputs!$H$33^4*Inputs!$I$33^2)+Inputs!$G$33*$A66^Inputs!$B$11-Distribution!$B$3)</f>
        <v/>
      </c>
      <c r="M66" s="11">
        <f>IF(Inputs!$D$34=0,NA(),Inputs!$C$34+Inputs!$B$12*Inputs!$B$5*$A66^2/(Inputs!$D$34^2*Inputs!$H$34^4*Inputs!$I$34^2)+Inputs!$G$34*$A66^Inputs!$B$11-Distribution!$B$3)</f>
        <v/>
      </c>
      <c r="N66" s="11">
        <f>Distribution!$B$9-Distribution!$B$3</f>
        <v/>
      </c>
    </row>
    <row r="67">
      <c r="A67" s="11">
        <f>2.2*Inputs!$B$20*62/100</f>
        <v/>
      </c>
      <c r="B67" s="11">
        <f>IF(Inputs!$D$23=0,NA(),Inputs!$C$23+Inputs!$B$12*Inputs!$B$5*$A67^2/(Inputs!$D$23^2*Inputs!$H$23^4*Inputs!$I$23^2)+Inputs!$G$23*$A67^Inputs!$B$11-Distribution!$B$3)</f>
        <v/>
      </c>
      <c r="C67" s="11">
        <f>IF(Inputs!$D$24=0,NA(),Inputs!$C$24+Inputs!$B$12*Inputs!$B$5*$A67^2/(Inputs!$D$24^2*Inputs!$H$24^4*Inputs!$I$24^2)+Inputs!$G$24*$A67^Inputs!$B$11-Distribution!$B$3)</f>
        <v/>
      </c>
      <c r="D67" s="11">
        <f>IF(Inputs!$D$25=0,NA(),Inputs!$C$25+Inputs!$B$12*Inputs!$B$5*$A67^2/(Inputs!$D$25^2*Inputs!$H$25^4*Inputs!$I$25^2)+Inputs!$G$25*$A67^Inputs!$B$11-Distribution!$B$3)</f>
        <v/>
      </c>
      <c r="E67" s="11">
        <f>IF(Inputs!$D$26=0,NA(),Inputs!$C$26+Inputs!$B$12*Inputs!$B$5*$A67^2/(Inputs!$D$26^2*Inputs!$H$26^4*Inputs!$I$26^2)+Inputs!$G$26*$A67^Inputs!$B$11-Distribution!$B$3)</f>
        <v/>
      </c>
      <c r="F67" s="11">
        <f>IF(Inputs!$D$27=0,NA(),Inputs!$C$27+Inputs!$B$12*Inputs!$B$5*$A67^2/(Inputs!$D$27^2*Inputs!$H$27^4*Inputs!$I$27^2)+Inputs!$G$27*$A67^Inputs!$B$11-Distribution!$B$3)</f>
        <v/>
      </c>
      <c r="G67" s="11">
        <f>IF(Inputs!$D$28=0,NA(),Inputs!$C$28+Inputs!$B$12*Inputs!$B$5*$A67^2/(Inputs!$D$28^2*Inputs!$H$28^4*Inputs!$I$28^2)+Inputs!$G$28*$A67^Inputs!$B$11-Distribution!$B$3)</f>
        <v/>
      </c>
      <c r="H67" s="11">
        <f>IF(Inputs!$D$29=0,NA(),Inputs!$C$29+Inputs!$B$12*Inputs!$B$5*$A67^2/(Inputs!$D$29^2*Inputs!$H$29^4*Inputs!$I$29^2)+Inputs!$G$29*$A67^Inputs!$B$11-Distribution!$B$3)</f>
        <v/>
      </c>
      <c r="I67" s="11">
        <f>IF(Inputs!$D$30=0,NA(),Inputs!$C$30+Inputs!$B$12*Inputs!$B$5*$A67^2/(Inputs!$D$30^2*Inputs!$H$30^4*Inputs!$I$30^2)+Inputs!$G$30*$A67^Inputs!$B$11-Distribution!$B$3)</f>
        <v/>
      </c>
      <c r="J67" s="11">
        <f>IF(Inputs!$D$31=0,NA(),Inputs!$C$31+Inputs!$B$12*Inputs!$B$5*$A67^2/(Inputs!$D$31^2*Inputs!$H$31^4*Inputs!$I$31^2)+Inputs!$G$31*$A67^Inputs!$B$11-Distribution!$B$3)</f>
        <v/>
      </c>
      <c r="K67" s="11">
        <f>IF(Inputs!$D$32=0,NA(),Inputs!$C$32+Inputs!$B$12*Inputs!$B$5*$A67^2/(Inputs!$D$32^2*Inputs!$H$32^4*Inputs!$I$32^2)+Inputs!$G$32*$A67^Inputs!$B$11-Distribution!$B$3)</f>
        <v/>
      </c>
      <c r="L67" s="11">
        <f>IF(Inputs!$D$33=0,NA(),Inputs!$C$33+Inputs!$B$12*Inputs!$B$5*$A67^2/(Inputs!$D$33^2*Inputs!$H$33^4*Inputs!$I$33^2)+Inputs!$G$33*$A67^Inputs!$B$11-Distribution!$B$3)</f>
        <v/>
      </c>
      <c r="M67" s="11">
        <f>IF(Inputs!$D$34=0,NA(),Inputs!$C$34+Inputs!$B$12*Inputs!$B$5*$A67^2/(Inputs!$D$34^2*Inputs!$H$34^4*Inputs!$I$34^2)+Inputs!$G$34*$A67^Inputs!$B$11-Distribution!$B$3)</f>
        <v/>
      </c>
      <c r="N67" s="11">
        <f>Distribution!$B$9-Distribution!$B$3</f>
        <v/>
      </c>
    </row>
    <row r="68">
      <c r="A68" s="11">
        <f>2.2*Inputs!$B$20*63/100</f>
        <v/>
      </c>
      <c r="B68" s="11">
        <f>IF(Inputs!$D$23=0,NA(),Inputs!$C$23+Inputs!$B$12*Inputs!$B$5*$A68^2/(Inputs!$D$23^2*Inputs!$H$23^4*Inputs!$I$23^2)+Inputs!$G$23*$A68^Inputs!$B$11-Distribution!$B$3)</f>
        <v/>
      </c>
      <c r="C68" s="11">
        <f>IF(Inputs!$D$24=0,NA(),Inputs!$C$24+Inputs!$B$12*Inputs!$B$5*$A68^2/(Inputs!$D$24^2*Inputs!$H$24^4*Inputs!$I$24^2)+Inputs!$G$24*$A68^Inputs!$B$11-Distribution!$B$3)</f>
        <v/>
      </c>
      <c r="D68" s="11">
        <f>IF(Inputs!$D$25=0,NA(),Inputs!$C$25+Inputs!$B$12*Inputs!$B$5*$A68^2/(Inputs!$D$25^2*Inputs!$H$25^4*Inputs!$I$25^2)+Inputs!$G$25*$A68^Inputs!$B$11-Distribution!$B$3)</f>
        <v/>
      </c>
      <c r="E68" s="11">
        <f>IF(Inputs!$D$26=0,NA(),Inputs!$C$26+Inputs!$B$12*Inputs!$B$5*$A68^2/(Inputs!$D$26^2*Inputs!$H$26^4*Inputs!$I$26^2)+Inputs!$G$26*$A68^Inputs!$B$11-Distribution!$B$3)</f>
        <v/>
      </c>
      <c r="F68" s="11">
        <f>IF(Inputs!$D$27=0,NA(),Inputs!$C$27+Inputs!$B$12*Inputs!$B$5*$A68^2/(Inputs!$D$27^2*Inputs!$H$27^4*Inputs!$I$27^2)+Inputs!$G$27*$A68^Inputs!$B$11-Distribution!$B$3)</f>
        <v/>
      </c>
      <c r="G68" s="11">
        <f>IF(Inputs!$D$28=0,NA(),Inputs!$C$28+Inputs!$B$12*Inputs!$B$5*$A68^2/(Inputs!$D$28^2*Inputs!$H$28^4*Inputs!$I$28^2)+Inputs!$G$28*$A68^Inputs!$B$11-Distribution!$B$3)</f>
        <v/>
      </c>
      <c r="H68" s="11">
        <f>IF(Inputs!$D$29=0,NA(),Inputs!$C$29+Inputs!$B$12*Inputs!$B$5*$A68^2/(Inputs!$D$29^2*Inputs!$H$29^4*Inputs!$I$29^2)+Inputs!$G$29*$A68^Inputs!$B$11-Distribution!$B$3)</f>
        <v/>
      </c>
      <c r="I68" s="11">
        <f>IF(Inputs!$D$30=0,NA(),Inputs!$C$30+Inputs!$B$12*Inputs!$B$5*$A68^2/(Inputs!$D$30^2*Inputs!$H$30^4*Inputs!$I$30^2)+Inputs!$G$30*$A68^Inputs!$B$11-Distribution!$B$3)</f>
        <v/>
      </c>
      <c r="J68" s="11">
        <f>IF(Inputs!$D$31=0,NA(),Inputs!$C$31+Inputs!$B$12*Inputs!$B$5*$A68^2/(Inputs!$D$31^2*Inputs!$H$31^4*Inputs!$I$31^2)+Inputs!$G$31*$A68^Inputs!$B$11-Distribution!$B$3)</f>
        <v/>
      </c>
      <c r="K68" s="11">
        <f>IF(Inputs!$D$32=0,NA(),Inputs!$C$32+Inputs!$B$12*Inputs!$B$5*$A68^2/(Inputs!$D$32^2*Inputs!$H$32^4*Inputs!$I$32^2)+Inputs!$G$32*$A68^Inputs!$B$11-Distribution!$B$3)</f>
        <v/>
      </c>
      <c r="L68" s="11">
        <f>IF(Inputs!$D$33=0,NA(),Inputs!$C$33+Inputs!$B$12*Inputs!$B$5*$A68^2/(Inputs!$D$33^2*Inputs!$H$33^4*Inputs!$I$33^2)+Inputs!$G$33*$A68^Inputs!$B$11-Distribution!$B$3)</f>
        <v/>
      </c>
      <c r="M68" s="11">
        <f>IF(Inputs!$D$34=0,NA(),Inputs!$C$34+Inputs!$B$12*Inputs!$B$5*$A68^2/(Inputs!$D$34^2*Inputs!$H$34^4*Inputs!$I$34^2)+Inputs!$G$34*$A68^Inputs!$B$11-Distribution!$B$3)</f>
        <v/>
      </c>
      <c r="N68" s="11">
        <f>Distribution!$B$9-Distribution!$B$3</f>
        <v/>
      </c>
    </row>
    <row r="69">
      <c r="A69" s="11">
        <f>2.2*Inputs!$B$20*64/100</f>
        <v/>
      </c>
      <c r="B69" s="11">
        <f>IF(Inputs!$D$23=0,NA(),Inputs!$C$23+Inputs!$B$12*Inputs!$B$5*$A69^2/(Inputs!$D$23^2*Inputs!$H$23^4*Inputs!$I$23^2)+Inputs!$G$23*$A69^Inputs!$B$11-Distribution!$B$3)</f>
        <v/>
      </c>
      <c r="C69" s="11">
        <f>IF(Inputs!$D$24=0,NA(),Inputs!$C$24+Inputs!$B$12*Inputs!$B$5*$A69^2/(Inputs!$D$24^2*Inputs!$H$24^4*Inputs!$I$24^2)+Inputs!$G$24*$A69^Inputs!$B$11-Distribution!$B$3)</f>
        <v/>
      </c>
      <c r="D69" s="11">
        <f>IF(Inputs!$D$25=0,NA(),Inputs!$C$25+Inputs!$B$12*Inputs!$B$5*$A69^2/(Inputs!$D$25^2*Inputs!$H$25^4*Inputs!$I$25^2)+Inputs!$G$25*$A69^Inputs!$B$11-Distribution!$B$3)</f>
        <v/>
      </c>
      <c r="E69" s="11">
        <f>IF(Inputs!$D$26=0,NA(),Inputs!$C$26+Inputs!$B$12*Inputs!$B$5*$A69^2/(Inputs!$D$26^2*Inputs!$H$26^4*Inputs!$I$26^2)+Inputs!$G$26*$A69^Inputs!$B$11-Distribution!$B$3)</f>
        <v/>
      </c>
      <c r="F69" s="11">
        <f>IF(Inputs!$D$27=0,NA(),Inputs!$C$27+Inputs!$B$12*Inputs!$B$5*$A69^2/(Inputs!$D$27^2*Inputs!$H$27^4*Inputs!$I$27^2)+Inputs!$G$27*$A69^Inputs!$B$11-Distribution!$B$3)</f>
        <v/>
      </c>
      <c r="G69" s="11">
        <f>IF(Inputs!$D$28=0,NA(),Inputs!$C$28+Inputs!$B$12*Inputs!$B$5*$A69^2/(Inputs!$D$28^2*Inputs!$H$28^4*Inputs!$I$28^2)+Inputs!$G$28*$A69^Inputs!$B$11-Distribution!$B$3)</f>
        <v/>
      </c>
      <c r="H69" s="11">
        <f>IF(Inputs!$D$29=0,NA(),Inputs!$C$29+Inputs!$B$12*Inputs!$B$5*$A69^2/(Inputs!$D$29^2*Inputs!$H$29^4*Inputs!$I$29^2)+Inputs!$G$29*$A69^Inputs!$B$11-Distribution!$B$3)</f>
        <v/>
      </c>
      <c r="I69" s="11">
        <f>IF(Inputs!$D$30=0,NA(),Inputs!$C$30+Inputs!$B$12*Inputs!$B$5*$A69^2/(Inputs!$D$30^2*Inputs!$H$30^4*Inputs!$I$30^2)+Inputs!$G$30*$A69^Inputs!$B$11-Distribution!$B$3)</f>
        <v/>
      </c>
      <c r="J69" s="11">
        <f>IF(Inputs!$D$31=0,NA(),Inputs!$C$31+Inputs!$B$12*Inputs!$B$5*$A69^2/(Inputs!$D$31^2*Inputs!$H$31^4*Inputs!$I$31^2)+Inputs!$G$31*$A69^Inputs!$B$11-Distribution!$B$3)</f>
        <v/>
      </c>
      <c r="K69" s="11">
        <f>IF(Inputs!$D$32=0,NA(),Inputs!$C$32+Inputs!$B$12*Inputs!$B$5*$A69^2/(Inputs!$D$32^2*Inputs!$H$32^4*Inputs!$I$32^2)+Inputs!$G$32*$A69^Inputs!$B$11-Distribution!$B$3)</f>
        <v/>
      </c>
      <c r="L69" s="11">
        <f>IF(Inputs!$D$33=0,NA(),Inputs!$C$33+Inputs!$B$12*Inputs!$B$5*$A69^2/(Inputs!$D$33^2*Inputs!$H$33^4*Inputs!$I$33^2)+Inputs!$G$33*$A69^Inputs!$B$11-Distribution!$B$3)</f>
        <v/>
      </c>
      <c r="M69" s="11">
        <f>IF(Inputs!$D$34=0,NA(),Inputs!$C$34+Inputs!$B$12*Inputs!$B$5*$A69^2/(Inputs!$D$34^2*Inputs!$H$34^4*Inputs!$I$34^2)+Inputs!$G$34*$A69^Inputs!$B$11-Distribution!$B$3)</f>
        <v/>
      </c>
      <c r="N69" s="11">
        <f>Distribution!$B$9-Distribution!$B$3</f>
        <v/>
      </c>
    </row>
    <row r="70">
      <c r="A70" s="11">
        <f>2.2*Inputs!$B$20*65/100</f>
        <v/>
      </c>
      <c r="B70" s="11">
        <f>IF(Inputs!$D$23=0,NA(),Inputs!$C$23+Inputs!$B$12*Inputs!$B$5*$A70^2/(Inputs!$D$23^2*Inputs!$H$23^4*Inputs!$I$23^2)+Inputs!$G$23*$A70^Inputs!$B$11-Distribution!$B$3)</f>
        <v/>
      </c>
      <c r="C70" s="11">
        <f>IF(Inputs!$D$24=0,NA(),Inputs!$C$24+Inputs!$B$12*Inputs!$B$5*$A70^2/(Inputs!$D$24^2*Inputs!$H$24^4*Inputs!$I$24^2)+Inputs!$G$24*$A70^Inputs!$B$11-Distribution!$B$3)</f>
        <v/>
      </c>
      <c r="D70" s="11">
        <f>IF(Inputs!$D$25=0,NA(),Inputs!$C$25+Inputs!$B$12*Inputs!$B$5*$A70^2/(Inputs!$D$25^2*Inputs!$H$25^4*Inputs!$I$25^2)+Inputs!$G$25*$A70^Inputs!$B$11-Distribution!$B$3)</f>
        <v/>
      </c>
      <c r="E70" s="11">
        <f>IF(Inputs!$D$26=0,NA(),Inputs!$C$26+Inputs!$B$12*Inputs!$B$5*$A70^2/(Inputs!$D$26^2*Inputs!$H$26^4*Inputs!$I$26^2)+Inputs!$G$26*$A70^Inputs!$B$11-Distribution!$B$3)</f>
        <v/>
      </c>
      <c r="F70" s="11">
        <f>IF(Inputs!$D$27=0,NA(),Inputs!$C$27+Inputs!$B$12*Inputs!$B$5*$A70^2/(Inputs!$D$27^2*Inputs!$H$27^4*Inputs!$I$27^2)+Inputs!$G$27*$A70^Inputs!$B$11-Distribution!$B$3)</f>
        <v/>
      </c>
      <c r="G70" s="11">
        <f>IF(Inputs!$D$28=0,NA(),Inputs!$C$28+Inputs!$B$12*Inputs!$B$5*$A70^2/(Inputs!$D$28^2*Inputs!$H$28^4*Inputs!$I$28^2)+Inputs!$G$28*$A70^Inputs!$B$11-Distribution!$B$3)</f>
        <v/>
      </c>
      <c r="H70" s="11">
        <f>IF(Inputs!$D$29=0,NA(),Inputs!$C$29+Inputs!$B$12*Inputs!$B$5*$A70^2/(Inputs!$D$29^2*Inputs!$H$29^4*Inputs!$I$29^2)+Inputs!$G$29*$A70^Inputs!$B$11-Distribution!$B$3)</f>
        <v/>
      </c>
      <c r="I70" s="11">
        <f>IF(Inputs!$D$30=0,NA(),Inputs!$C$30+Inputs!$B$12*Inputs!$B$5*$A70^2/(Inputs!$D$30^2*Inputs!$H$30^4*Inputs!$I$30^2)+Inputs!$G$30*$A70^Inputs!$B$11-Distribution!$B$3)</f>
        <v/>
      </c>
      <c r="J70" s="11">
        <f>IF(Inputs!$D$31=0,NA(),Inputs!$C$31+Inputs!$B$12*Inputs!$B$5*$A70^2/(Inputs!$D$31^2*Inputs!$H$31^4*Inputs!$I$31^2)+Inputs!$G$31*$A70^Inputs!$B$11-Distribution!$B$3)</f>
        <v/>
      </c>
      <c r="K70" s="11">
        <f>IF(Inputs!$D$32=0,NA(),Inputs!$C$32+Inputs!$B$12*Inputs!$B$5*$A70^2/(Inputs!$D$32^2*Inputs!$H$32^4*Inputs!$I$32^2)+Inputs!$G$32*$A70^Inputs!$B$11-Distribution!$B$3)</f>
        <v/>
      </c>
      <c r="L70" s="11">
        <f>IF(Inputs!$D$33=0,NA(),Inputs!$C$33+Inputs!$B$12*Inputs!$B$5*$A70^2/(Inputs!$D$33^2*Inputs!$H$33^4*Inputs!$I$33^2)+Inputs!$G$33*$A70^Inputs!$B$11-Distribution!$B$3)</f>
        <v/>
      </c>
      <c r="M70" s="11">
        <f>IF(Inputs!$D$34=0,NA(),Inputs!$C$34+Inputs!$B$12*Inputs!$B$5*$A70^2/(Inputs!$D$34^2*Inputs!$H$34^4*Inputs!$I$34^2)+Inputs!$G$34*$A70^Inputs!$B$11-Distribution!$B$3)</f>
        <v/>
      </c>
      <c r="N70" s="11">
        <f>Distribution!$B$9-Distribution!$B$3</f>
        <v/>
      </c>
    </row>
    <row r="71">
      <c r="A71" s="11">
        <f>2.2*Inputs!$B$20*66/100</f>
        <v/>
      </c>
      <c r="B71" s="11">
        <f>IF(Inputs!$D$23=0,NA(),Inputs!$C$23+Inputs!$B$12*Inputs!$B$5*$A71^2/(Inputs!$D$23^2*Inputs!$H$23^4*Inputs!$I$23^2)+Inputs!$G$23*$A71^Inputs!$B$11-Distribution!$B$3)</f>
        <v/>
      </c>
      <c r="C71" s="11">
        <f>IF(Inputs!$D$24=0,NA(),Inputs!$C$24+Inputs!$B$12*Inputs!$B$5*$A71^2/(Inputs!$D$24^2*Inputs!$H$24^4*Inputs!$I$24^2)+Inputs!$G$24*$A71^Inputs!$B$11-Distribution!$B$3)</f>
        <v/>
      </c>
      <c r="D71" s="11">
        <f>IF(Inputs!$D$25=0,NA(),Inputs!$C$25+Inputs!$B$12*Inputs!$B$5*$A71^2/(Inputs!$D$25^2*Inputs!$H$25^4*Inputs!$I$25^2)+Inputs!$G$25*$A71^Inputs!$B$11-Distribution!$B$3)</f>
        <v/>
      </c>
      <c r="E71" s="11">
        <f>IF(Inputs!$D$26=0,NA(),Inputs!$C$26+Inputs!$B$12*Inputs!$B$5*$A71^2/(Inputs!$D$26^2*Inputs!$H$26^4*Inputs!$I$26^2)+Inputs!$G$26*$A71^Inputs!$B$11-Distribution!$B$3)</f>
        <v/>
      </c>
      <c r="F71" s="11">
        <f>IF(Inputs!$D$27=0,NA(),Inputs!$C$27+Inputs!$B$12*Inputs!$B$5*$A71^2/(Inputs!$D$27^2*Inputs!$H$27^4*Inputs!$I$27^2)+Inputs!$G$27*$A71^Inputs!$B$11-Distribution!$B$3)</f>
        <v/>
      </c>
      <c r="G71" s="11">
        <f>IF(Inputs!$D$28=0,NA(),Inputs!$C$28+Inputs!$B$12*Inputs!$B$5*$A71^2/(Inputs!$D$28^2*Inputs!$H$28^4*Inputs!$I$28^2)+Inputs!$G$28*$A71^Inputs!$B$11-Distribution!$B$3)</f>
        <v/>
      </c>
      <c r="H71" s="11">
        <f>IF(Inputs!$D$29=0,NA(),Inputs!$C$29+Inputs!$B$12*Inputs!$B$5*$A71^2/(Inputs!$D$29^2*Inputs!$H$29^4*Inputs!$I$29^2)+Inputs!$G$29*$A71^Inputs!$B$11-Distribution!$B$3)</f>
        <v/>
      </c>
      <c r="I71" s="11">
        <f>IF(Inputs!$D$30=0,NA(),Inputs!$C$30+Inputs!$B$12*Inputs!$B$5*$A71^2/(Inputs!$D$30^2*Inputs!$H$30^4*Inputs!$I$30^2)+Inputs!$G$30*$A71^Inputs!$B$11-Distribution!$B$3)</f>
        <v/>
      </c>
      <c r="J71" s="11">
        <f>IF(Inputs!$D$31=0,NA(),Inputs!$C$31+Inputs!$B$12*Inputs!$B$5*$A71^2/(Inputs!$D$31^2*Inputs!$H$31^4*Inputs!$I$31^2)+Inputs!$G$31*$A71^Inputs!$B$11-Distribution!$B$3)</f>
        <v/>
      </c>
      <c r="K71" s="11">
        <f>IF(Inputs!$D$32=0,NA(),Inputs!$C$32+Inputs!$B$12*Inputs!$B$5*$A71^2/(Inputs!$D$32^2*Inputs!$H$32^4*Inputs!$I$32^2)+Inputs!$G$32*$A71^Inputs!$B$11-Distribution!$B$3)</f>
        <v/>
      </c>
      <c r="L71" s="11">
        <f>IF(Inputs!$D$33=0,NA(),Inputs!$C$33+Inputs!$B$12*Inputs!$B$5*$A71^2/(Inputs!$D$33^2*Inputs!$H$33^4*Inputs!$I$33^2)+Inputs!$G$33*$A71^Inputs!$B$11-Distribution!$B$3)</f>
        <v/>
      </c>
      <c r="M71" s="11">
        <f>IF(Inputs!$D$34=0,NA(),Inputs!$C$34+Inputs!$B$12*Inputs!$B$5*$A71^2/(Inputs!$D$34^2*Inputs!$H$34^4*Inputs!$I$34^2)+Inputs!$G$34*$A71^Inputs!$B$11-Distribution!$B$3)</f>
        <v/>
      </c>
      <c r="N71" s="11">
        <f>Distribution!$B$9-Distribution!$B$3</f>
        <v/>
      </c>
    </row>
    <row r="72">
      <c r="A72" s="11">
        <f>2.2*Inputs!$B$20*67/100</f>
        <v/>
      </c>
      <c r="B72" s="11">
        <f>IF(Inputs!$D$23=0,NA(),Inputs!$C$23+Inputs!$B$12*Inputs!$B$5*$A72^2/(Inputs!$D$23^2*Inputs!$H$23^4*Inputs!$I$23^2)+Inputs!$G$23*$A72^Inputs!$B$11-Distribution!$B$3)</f>
        <v/>
      </c>
      <c r="C72" s="11">
        <f>IF(Inputs!$D$24=0,NA(),Inputs!$C$24+Inputs!$B$12*Inputs!$B$5*$A72^2/(Inputs!$D$24^2*Inputs!$H$24^4*Inputs!$I$24^2)+Inputs!$G$24*$A72^Inputs!$B$11-Distribution!$B$3)</f>
        <v/>
      </c>
      <c r="D72" s="11">
        <f>IF(Inputs!$D$25=0,NA(),Inputs!$C$25+Inputs!$B$12*Inputs!$B$5*$A72^2/(Inputs!$D$25^2*Inputs!$H$25^4*Inputs!$I$25^2)+Inputs!$G$25*$A72^Inputs!$B$11-Distribution!$B$3)</f>
        <v/>
      </c>
      <c r="E72" s="11">
        <f>IF(Inputs!$D$26=0,NA(),Inputs!$C$26+Inputs!$B$12*Inputs!$B$5*$A72^2/(Inputs!$D$26^2*Inputs!$H$26^4*Inputs!$I$26^2)+Inputs!$G$26*$A72^Inputs!$B$11-Distribution!$B$3)</f>
        <v/>
      </c>
      <c r="F72" s="11">
        <f>IF(Inputs!$D$27=0,NA(),Inputs!$C$27+Inputs!$B$12*Inputs!$B$5*$A72^2/(Inputs!$D$27^2*Inputs!$H$27^4*Inputs!$I$27^2)+Inputs!$G$27*$A72^Inputs!$B$11-Distribution!$B$3)</f>
        <v/>
      </c>
      <c r="G72" s="11">
        <f>IF(Inputs!$D$28=0,NA(),Inputs!$C$28+Inputs!$B$12*Inputs!$B$5*$A72^2/(Inputs!$D$28^2*Inputs!$H$28^4*Inputs!$I$28^2)+Inputs!$G$28*$A72^Inputs!$B$11-Distribution!$B$3)</f>
        <v/>
      </c>
      <c r="H72" s="11">
        <f>IF(Inputs!$D$29=0,NA(),Inputs!$C$29+Inputs!$B$12*Inputs!$B$5*$A72^2/(Inputs!$D$29^2*Inputs!$H$29^4*Inputs!$I$29^2)+Inputs!$G$29*$A72^Inputs!$B$11-Distribution!$B$3)</f>
        <v/>
      </c>
      <c r="I72" s="11">
        <f>IF(Inputs!$D$30=0,NA(),Inputs!$C$30+Inputs!$B$12*Inputs!$B$5*$A72^2/(Inputs!$D$30^2*Inputs!$H$30^4*Inputs!$I$30^2)+Inputs!$G$30*$A72^Inputs!$B$11-Distribution!$B$3)</f>
        <v/>
      </c>
      <c r="J72" s="11">
        <f>IF(Inputs!$D$31=0,NA(),Inputs!$C$31+Inputs!$B$12*Inputs!$B$5*$A72^2/(Inputs!$D$31^2*Inputs!$H$31^4*Inputs!$I$31^2)+Inputs!$G$31*$A72^Inputs!$B$11-Distribution!$B$3)</f>
        <v/>
      </c>
      <c r="K72" s="11">
        <f>IF(Inputs!$D$32=0,NA(),Inputs!$C$32+Inputs!$B$12*Inputs!$B$5*$A72^2/(Inputs!$D$32^2*Inputs!$H$32^4*Inputs!$I$32^2)+Inputs!$G$32*$A72^Inputs!$B$11-Distribution!$B$3)</f>
        <v/>
      </c>
      <c r="L72" s="11">
        <f>IF(Inputs!$D$33=0,NA(),Inputs!$C$33+Inputs!$B$12*Inputs!$B$5*$A72^2/(Inputs!$D$33^2*Inputs!$H$33^4*Inputs!$I$33^2)+Inputs!$G$33*$A72^Inputs!$B$11-Distribution!$B$3)</f>
        <v/>
      </c>
      <c r="M72" s="11">
        <f>IF(Inputs!$D$34=0,NA(),Inputs!$C$34+Inputs!$B$12*Inputs!$B$5*$A72^2/(Inputs!$D$34^2*Inputs!$H$34^4*Inputs!$I$34^2)+Inputs!$G$34*$A72^Inputs!$B$11-Distribution!$B$3)</f>
        <v/>
      </c>
      <c r="N72" s="11">
        <f>Distribution!$B$9-Distribution!$B$3</f>
        <v/>
      </c>
    </row>
    <row r="73">
      <c r="A73" s="11">
        <f>2.2*Inputs!$B$20*68/100</f>
        <v/>
      </c>
      <c r="B73" s="11">
        <f>IF(Inputs!$D$23=0,NA(),Inputs!$C$23+Inputs!$B$12*Inputs!$B$5*$A73^2/(Inputs!$D$23^2*Inputs!$H$23^4*Inputs!$I$23^2)+Inputs!$G$23*$A73^Inputs!$B$11-Distribution!$B$3)</f>
        <v/>
      </c>
      <c r="C73" s="11">
        <f>IF(Inputs!$D$24=0,NA(),Inputs!$C$24+Inputs!$B$12*Inputs!$B$5*$A73^2/(Inputs!$D$24^2*Inputs!$H$24^4*Inputs!$I$24^2)+Inputs!$G$24*$A73^Inputs!$B$11-Distribution!$B$3)</f>
        <v/>
      </c>
      <c r="D73" s="11">
        <f>IF(Inputs!$D$25=0,NA(),Inputs!$C$25+Inputs!$B$12*Inputs!$B$5*$A73^2/(Inputs!$D$25^2*Inputs!$H$25^4*Inputs!$I$25^2)+Inputs!$G$25*$A73^Inputs!$B$11-Distribution!$B$3)</f>
        <v/>
      </c>
      <c r="E73" s="11">
        <f>IF(Inputs!$D$26=0,NA(),Inputs!$C$26+Inputs!$B$12*Inputs!$B$5*$A73^2/(Inputs!$D$26^2*Inputs!$H$26^4*Inputs!$I$26^2)+Inputs!$G$26*$A73^Inputs!$B$11-Distribution!$B$3)</f>
        <v/>
      </c>
      <c r="F73" s="11">
        <f>IF(Inputs!$D$27=0,NA(),Inputs!$C$27+Inputs!$B$12*Inputs!$B$5*$A73^2/(Inputs!$D$27^2*Inputs!$H$27^4*Inputs!$I$27^2)+Inputs!$G$27*$A73^Inputs!$B$11-Distribution!$B$3)</f>
        <v/>
      </c>
      <c r="G73" s="11">
        <f>IF(Inputs!$D$28=0,NA(),Inputs!$C$28+Inputs!$B$12*Inputs!$B$5*$A73^2/(Inputs!$D$28^2*Inputs!$H$28^4*Inputs!$I$28^2)+Inputs!$G$28*$A73^Inputs!$B$11-Distribution!$B$3)</f>
        <v/>
      </c>
      <c r="H73" s="11">
        <f>IF(Inputs!$D$29=0,NA(),Inputs!$C$29+Inputs!$B$12*Inputs!$B$5*$A73^2/(Inputs!$D$29^2*Inputs!$H$29^4*Inputs!$I$29^2)+Inputs!$G$29*$A73^Inputs!$B$11-Distribution!$B$3)</f>
        <v/>
      </c>
      <c r="I73" s="11">
        <f>IF(Inputs!$D$30=0,NA(),Inputs!$C$30+Inputs!$B$12*Inputs!$B$5*$A73^2/(Inputs!$D$30^2*Inputs!$H$30^4*Inputs!$I$30^2)+Inputs!$G$30*$A73^Inputs!$B$11-Distribution!$B$3)</f>
        <v/>
      </c>
      <c r="J73" s="11">
        <f>IF(Inputs!$D$31=0,NA(),Inputs!$C$31+Inputs!$B$12*Inputs!$B$5*$A73^2/(Inputs!$D$31^2*Inputs!$H$31^4*Inputs!$I$31^2)+Inputs!$G$31*$A73^Inputs!$B$11-Distribution!$B$3)</f>
        <v/>
      </c>
      <c r="K73" s="11">
        <f>IF(Inputs!$D$32=0,NA(),Inputs!$C$32+Inputs!$B$12*Inputs!$B$5*$A73^2/(Inputs!$D$32^2*Inputs!$H$32^4*Inputs!$I$32^2)+Inputs!$G$32*$A73^Inputs!$B$11-Distribution!$B$3)</f>
        <v/>
      </c>
      <c r="L73" s="11">
        <f>IF(Inputs!$D$33=0,NA(),Inputs!$C$33+Inputs!$B$12*Inputs!$B$5*$A73^2/(Inputs!$D$33^2*Inputs!$H$33^4*Inputs!$I$33^2)+Inputs!$G$33*$A73^Inputs!$B$11-Distribution!$B$3)</f>
        <v/>
      </c>
      <c r="M73" s="11">
        <f>IF(Inputs!$D$34=0,NA(),Inputs!$C$34+Inputs!$B$12*Inputs!$B$5*$A73^2/(Inputs!$D$34^2*Inputs!$H$34^4*Inputs!$I$34^2)+Inputs!$G$34*$A73^Inputs!$B$11-Distribution!$B$3)</f>
        <v/>
      </c>
      <c r="N73" s="11">
        <f>Distribution!$B$9-Distribution!$B$3</f>
        <v/>
      </c>
    </row>
    <row r="74">
      <c r="A74" s="11">
        <f>2.2*Inputs!$B$20*69/100</f>
        <v/>
      </c>
      <c r="B74" s="11">
        <f>IF(Inputs!$D$23=0,NA(),Inputs!$C$23+Inputs!$B$12*Inputs!$B$5*$A74^2/(Inputs!$D$23^2*Inputs!$H$23^4*Inputs!$I$23^2)+Inputs!$G$23*$A74^Inputs!$B$11-Distribution!$B$3)</f>
        <v/>
      </c>
      <c r="C74" s="11">
        <f>IF(Inputs!$D$24=0,NA(),Inputs!$C$24+Inputs!$B$12*Inputs!$B$5*$A74^2/(Inputs!$D$24^2*Inputs!$H$24^4*Inputs!$I$24^2)+Inputs!$G$24*$A74^Inputs!$B$11-Distribution!$B$3)</f>
        <v/>
      </c>
      <c r="D74" s="11">
        <f>IF(Inputs!$D$25=0,NA(),Inputs!$C$25+Inputs!$B$12*Inputs!$B$5*$A74^2/(Inputs!$D$25^2*Inputs!$H$25^4*Inputs!$I$25^2)+Inputs!$G$25*$A74^Inputs!$B$11-Distribution!$B$3)</f>
        <v/>
      </c>
      <c r="E74" s="11">
        <f>IF(Inputs!$D$26=0,NA(),Inputs!$C$26+Inputs!$B$12*Inputs!$B$5*$A74^2/(Inputs!$D$26^2*Inputs!$H$26^4*Inputs!$I$26^2)+Inputs!$G$26*$A74^Inputs!$B$11-Distribution!$B$3)</f>
        <v/>
      </c>
      <c r="F74" s="11">
        <f>IF(Inputs!$D$27=0,NA(),Inputs!$C$27+Inputs!$B$12*Inputs!$B$5*$A74^2/(Inputs!$D$27^2*Inputs!$H$27^4*Inputs!$I$27^2)+Inputs!$G$27*$A74^Inputs!$B$11-Distribution!$B$3)</f>
        <v/>
      </c>
      <c r="G74" s="11">
        <f>IF(Inputs!$D$28=0,NA(),Inputs!$C$28+Inputs!$B$12*Inputs!$B$5*$A74^2/(Inputs!$D$28^2*Inputs!$H$28^4*Inputs!$I$28^2)+Inputs!$G$28*$A74^Inputs!$B$11-Distribution!$B$3)</f>
        <v/>
      </c>
      <c r="H74" s="11">
        <f>IF(Inputs!$D$29=0,NA(),Inputs!$C$29+Inputs!$B$12*Inputs!$B$5*$A74^2/(Inputs!$D$29^2*Inputs!$H$29^4*Inputs!$I$29^2)+Inputs!$G$29*$A74^Inputs!$B$11-Distribution!$B$3)</f>
        <v/>
      </c>
      <c r="I74" s="11">
        <f>IF(Inputs!$D$30=0,NA(),Inputs!$C$30+Inputs!$B$12*Inputs!$B$5*$A74^2/(Inputs!$D$30^2*Inputs!$H$30^4*Inputs!$I$30^2)+Inputs!$G$30*$A74^Inputs!$B$11-Distribution!$B$3)</f>
        <v/>
      </c>
      <c r="J74" s="11">
        <f>IF(Inputs!$D$31=0,NA(),Inputs!$C$31+Inputs!$B$12*Inputs!$B$5*$A74^2/(Inputs!$D$31^2*Inputs!$H$31^4*Inputs!$I$31^2)+Inputs!$G$31*$A74^Inputs!$B$11-Distribution!$B$3)</f>
        <v/>
      </c>
      <c r="K74" s="11">
        <f>IF(Inputs!$D$32=0,NA(),Inputs!$C$32+Inputs!$B$12*Inputs!$B$5*$A74^2/(Inputs!$D$32^2*Inputs!$H$32^4*Inputs!$I$32^2)+Inputs!$G$32*$A74^Inputs!$B$11-Distribution!$B$3)</f>
        <v/>
      </c>
      <c r="L74" s="11">
        <f>IF(Inputs!$D$33=0,NA(),Inputs!$C$33+Inputs!$B$12*Inputs!$B$5*$A74^2/(Inputs!$D$33^2*Inputs!$H$33^4*Inputs!$I$33^2)+Inputs!$G$33*$A74^Inputs!$B$11-Distribution!$B$3)</f>
        <v/>
      </c>
      <c r="M74" s="11">
        <f>IF(Inputs!$D$34=0,NA(),Inputs!$C$34+Inputs!$B$12*Inputs!$B$5*$A74^2/(Inputs!$D$34^2*Inputs!$H$34^4*Inputs!$I$34^2)+Inputs!$G$34*$A74^Inputs!$B$11-Distribution!$B$3)</f>
        <v/>
      </c>
      <c r="N74" s="11">
        <f>Distribution!$B$9-Distribution!$B$3</f>
        <v/>
      </c>
    </row>
    <row r="75">
      <c r="A75" s="11">
        <f>2.2*Inputs!$B$20*70/100</f>
        <v/>
      </c>
      <c r="B75" s="11">
        <f>IF(Inputs!$D$23=0,NA(),Inputs!$C$23+Inputs!$B$12*Inputs!$B$5*$A75^2/(Inputs!$D$23^2*Inputs!$H$23^4*Inputs!$I$23^2)+Inputs!$G$23*$A75^Inputs!$B$11-Distribution!$B$3)</f>
        <v/>
      </c>
      <c r="C75" s="11">
        <f>IF(Inputs!$D$24=0,NA(),Inputs!$C$24+Inputs!$B$12*Inputs!$B$5*$A75^2/(Inputs!$D$24^2*Inputs!$H$24^4*Inputs!$I$24^2)+Inputs!$G$24*$A75^Inputs!$B$11-Distribution!$B$3)</f>
        <v/>
      </c>
      <c r="D75" s="11">
        <f>IF(Inputs!$D$25=0,NA(),Inputs!$C$25+Inputs!$B$12*Inputs!$B$5*$A75^2/(Inputs!$D$25^2*Inputs!$H$25^4*Inputs!$I$25^2)+Inputs!$G$25*$A75^Inputs!$B$11-Distribution!$B$3)</f>
        <v/>
      </c>
      <c r="E75" s="11">
        <f>IF(Inputs!$D$26=0,NA(),Inputs!$C$26+Inputs!$B$12*Inputs!$B$5*$A75^2/(Inputs!$D$26^2*Inputs!$H$26^4*Inputs!$I$26^2)+Inputs!$G$26*$A75^Inputs!$B$11-Distribution!$B$3)</f>
        <v/>
      </c>
      <c r="F75" s="11">
        <f>IF(Inputs!$D$27=0,NA(),Inputs!$C$27+Inputs!$B$12*Inputs!$B$5*$A75^2/(Inputs!$D$27^2*Inputs!$H$27^4*Inputs!$I$27^2)+Inputs!$G$27*$A75^Inputs!$B$11-Distribution!$B$3)</f>
        <v/>
      </c>
      <c r="G75" s="11">
        <f>IF(Inputs!$D$28=0,NA(),Inputs!$C$28+Inputs!$B$12*Inputs!$B$5*$A75^2/(Inputs!$D$28^2*Inputs!$H$28^4*Inputs!$I$28^2)+Inputs!$G$28*$A75^Inputs!$B$11-Distribution!$B$3)</f>
        <v/>
      </c>
      <c r="H75" s="11">
        <f>IF(Inputs!$D$29=0,NA(),Inputs!$C$29+Inputs!$B$12*Inputs!$B$5*$A75^2/(Inputs!$D$29^2*Inputs!$H$29^4*Inputs!$I$29^2)+Inputs!$G$29*$A75^Inputs!$B$11-Distribution!$B$3)</f>
        <v/>
      </c>
      <c r="I75" s="11">
        <f>IF(Inputs!$D$30=0,NA(),Inputs!$C$30+Inputs!$B$12*Inputs!$B$5*$A75^2/(Inputs!$D$30^2*Inputs!$H$30^4*Inputs!$I$30^2)+Inputs!$G$30*$A75^Inputs!$B$11-Distribution!$B$3)</f>
        <v/>
      </c>
      <c r="J75" s="11">
        <f>IF(Inputs!$D$31=0,NA(),Inputs!$C$31+Inputs!$B$12*Inputs!$B$5*$A75^2/(Inputs!$D$31^2*Inputs!$H$31^4*Inputs!$I$31^2)+Inputs!$G$31*$A75^Inputs!$B$11-Distribution!$B$3)</f>
        <v/>
      </c>
      <c r="K75" s="11">
        <f>IF(Inputs!$D$32=0,NA(),Inputs!$C$32+Inputs!$B$12*Inputs!$B$5*$A75^2/(Inputs!$D$32^2*Inputs!$H$32^4*Inputs!$I$32^2)+Inputs!$G$32*$A75^Inputs!$B$11-Distribution!$B$3)</f>
        <v/>
      </c>
      <c r="L75" s="11">
        <f>IF(Inputs!$D$33=0,NA(),Inputs!$C$33+Inputs!$B$12*Inputs!$B$5*$A75^2/(Inputs!$D$33^2*Inputs!$H$33^4*Inputs!$I$33^2)+Inputs!$G$33*$A75^Inputs!$B$11-Distribution!$B$3)</f>
        <v/>
      </c>
      <c r="M75" s="11">
        <f>IF(Inputs!$D$34=0,NA(),Inputs!$C$34+Inputs!$B$12*Inputs!$B$5*$A75^2/(Inputs!$D$34^2*Inputs!$H$34^4*Inputs!$I$34^2)+Inputs!$G$34*$A75^Inputs!$B$11-Distribution!$B$3)</f>
        <v/>
      </c>
      <c r="N75" s="11">
        <f>Distribution!$B$9-Distribution!$B$3</f>
        <v/>
      </c>
    </row>
    <row r="76">
      <c r="A76" s="11">
        <f>2.2*Inputs!$B$20*71/100</f>
        <v/>
      </c>
      <c r="B76" s="11">
        <f>IF(Inputs!$D$23=0,NA(),Inputs!$C$23+Inputs!$B$12*Inputs!$B$5*$A76^2/(Inputs!$D$23^2*Inputs!$H$23^4*Inputs!$I$23^2)+Inputs!$G$23*$A76^Inputs!$B$11-Distribution!$B$3)</f>
        <v/>
      </c>
      <c r="C76" s="11">
        <f>IF(Inputs!$D$24=0,NA(),Inputs!$C$24+Inputs!$B$12*Inputs!$B$5*$A76^2/(Inputs!$D$24^2*Inputs!$H$24^4*Inputs!$I$24^2)+Inputs!$G$24*$A76^Inputs!$B$11-Distribution!$B$3)</f>
        <v/>
      </c>
      <c r="D76" s="11">
        <f>IF(Inputs!$D$25=0,NA(),Inputs!$C$25+Inputs!$B$12*Inputs!$B$5*$A76^2/(Inputs!$D$25^2*Inputs!$H$25^4*Inputs!$I$25^2)+Inputs!$G$25*$A76^Inputs!$B$11-Distribution!$B$3)</f>
        <v/>
      </c>
      <c r="E76" s="11">
        <f>IF(Inputs!$D$26=0,NA(),Inputs!$C$26+Inputs!$B$12*Inputs!$B$5*$A76^2/(Inputs!$D$26^2*Inputs!$H$26^4*Inputs!$I$26^2)+Inputs!$G$26*$A76^Inputs!$B$11-Distribution!$B$3)</f>
        <v/>
      </c>
      <c r="F76" s="11">
        <f>IF(Inputs!$D$27=0,NA(),Inputs!$C$27+Inputs!$B$12*Inputs!$B$5*$A76^2/(Inputs!$D$27^2*Inputs!$H$27^4*Inputs!$I$27^2)+Inputs!$G$27*$A76^Inputs!$B$11-Distribution!$B$3)</f>
        <v/>
      </c>
      <c r="G76" s="11">
        <f>IF(Inputs!$D$28=0,NA(),Inputs!$C$28+Inputs!$B$12*Inputs!$B$5*$A76^2/(Inputs!$D$28^2*Inputs!$H$28^4*Inputs!$I$28^2)+Inputs!$G$28*$A76^Inputs!$B$11-Distribution!$B$3)</f>
        <v/>
      </c>
      <c r="H76" s="11">
        <f>IF(Inputs!$D$29=0,NA(),Inputs!$C$29+Inputs!$B$12*Inputs!$B$5*$A76^2/(Inputs!$D$29^2*Inputs!$H$29^4*Inputs!$I$29^2)+Inputs!$G$29*$A76^Inputs!$B$11-Distribution!$B$3)</f>
        <v/>
      </c>
      <c r="I76" s="11">
        <f>IF(Inputs!$D$30=0,NA(),Inputs!$C$30+Inputs!$B$12*Inputs!$B$5*$A76^2/(Inputs!$D$30^2*Inputs!$H$30^4*Inputs!$I$30^2)+Inputs!$G$30*$A76^Inputs!$B$11-Distribution!$B$3)</f>
        <v/>
      </c>
      <c r="J76" s="11">
        <f>IF(Inputs!$D$31=0,NA(),Inputs!$C$31+Inputs!$B$12*Inputs!$B$5*$A76^2/(Inputs!$D$31^2*Inputs!$H$31^4*Inputs!$I$31^2)+Inputs!$G$31*$A76^Inputs!$B$11-Distribution!$B$3)</f>
        <v/>
      </c>
      <c r="K76" s="11">
        <f>IF(Inputs!$D$32=0,NA(),Inputs!$C$32+Inputs!$B$12*Inputs!$B$5*$A76^2/(Inputs!$D$32^2*Inputs!$H$32^4*Inputs!$I$32^2)+Inputs!$G$32*$A76^Inputs!$B$11-Distribution!$B$3)</f>
        <v/>
      </c>
      <c r="L76" s="11">
        <f>IF(Inputs!$D$33=0,NA(),Inputs!$C$33+Inputs!$B$12*Inputs!$B$5*$A76^2/(Inputs!$D$33^2*Inputs!$H$33^4*Inputs!$I$33^2)+Inputs!$G$33*$A76^Inputs!$B$11-Distribution!$B$3)</f>
        <v/>
      </c>
      <c r="M76" s="11">
        <f>IF(Inputs!$D$34=0,NA(),Inputs!$C$34+Inputs!$B$12*Inputs!$B$5*$A76^2/(Inputs!$D$34^2*Inputs!$H$34^4*Inputs!$I$34^2)+Inputs!$G$34*$A76^Inputs!$B$11-Distribution!$B$3)</f>
        <v/>
      </c>
      <c r="N76" s="11">
        <f>Distribution!$B$9-Distribution!$B$3</f>
        <v/>
      </c>
    </row>
    <row r="77">
      <c r="A77" s="11">
        <f>2.2*Inputs!$B$20*72/100</f>
        <v/>
      </c>
      <c r="B77" s="11">
        <f>IF(Inputs!$D$23=0,NA(),Inputs!$C$23+Inputs!$B$12*Inputs!$B$5*$A77^2/(Inputs!$D$23^2*Inputs!$H$23^4*Inputs!$I$23^2)+Inputs!$G$23*$A77^Inputs!$B$11-Distribution!$B$3)</f>
        <v/>
      </c>
      <c r="C77" s="11">
        <f>IF(Inputs!$D$24=0,NA(),Inputs!$C$24+Inputs!$B$12*Inputs!$B$5*$A77^2/(Inputs!$D$24^2*Inputs!$H$24^4*Inputs!$I$24^2)+Inputs!$G$24*$A77^Inputs!$B$11-Distribution!$B$3)</f>
        <v/>
      </c>
      <c r="D77" s="11">
        <f>IF(Inputs!$D$25=0,NA(),Inputs!$C$25+Inputs!$B$12*Inputs!$B$5*$A77^2/(Inputs!$D$25^2*Inputs!$H$25^4*Inputs!$I$25^2)+Inputs!$G$25*$A77^Inputs!$B$11-Distribution!$B$3)</f>
        <v/>
      </c>
      <c r="E77" s="11">
        <f>IF(Inputs!$D$26=0,NA(),Inputs!$C$26+Inputs!$B$12*Inputs!$B$5*$A77^2/(Inputs!$D$26^2*Inputs!$H$26^4*Inputs!$I$26^2)+Inputs!$G$26*$A77^Inputs!$B$11-Distribution!$B$3)</f>
        <v/>
      </c>
      <c r="F77" s="11">
        <f>IF(Inputs!$D$27=0,NA(),Inputs!$C$27+Inputs!$B$12*Inputs!$B$5*$A77^2/(Inputs!$D$27^2*Inputs!$H$27^4*Inputs!$I$27^2)+Inputs!$G$27*$A77^Inputs!$B$11-Distribution!$B$3)</f>
        <v/>
      </c>
      <c r="G77" s="11">
        <f>IF(Inputs!$D$28=0,NA(),Inputs!$C$28+Inputs!$B$12*Inputs!$B$5*$A77^2/(Inputs!$D$28^2*Inputs!$H$28^4*Inputs!$I$28^2)+Inputs!$G$28*$A77^Inputs!$B$11-Distribution!$B$3)</f>
        <v/>
      </c>
      <c r="H77" s="11">
        <f>IF(Inputs!$D$29=0,NA(),Inputs!$C$29+Inputs!$B$12*Inputs!$B$5*$A77^2/(Inputs!$D$29^2*Inputs!$H$29^4*Inputs!$I$29^2)+Inputs!$G$29*$A77^Inputs!$B$11-Distribution!$B$3)</f>
        <v/>
      </c>
      <c r="I77" s="11">
        <f>IF(Inputs!$D$30=0,NA(),Inputs!$C$30+Inputs!$B$12*Inputs!$B$5*$A77^2/(Inputs!$D$30^2*Inputs!$H$30^4*Inputs!$I$30^2)+Inputs!$G$30*$A77^Inputs!$B$11-Distribution!$B$3)</f>
        <v/>
      </c>
      <c r="J77" s="11">
        <f>IF(Inputs!$D$31=0,NA(),Inputs!$C$31+Inputs!$B$12*Inputs!$B$5*$A77^2/(Inputs!$D$31^2*Inputs!$H$31^4*Inputs!$I$31^2)+Inputs!$G$31*$A77^Inputs!$B$11-Distribution!$B$3)</f>
        <v/>
      </c>
      <c r="K77" s="11">
        <f>IF(Inputs!$D$32=0,NA(),Inputs!$C$32+Inputs!$B$12*Inputs!$B$5*$A77^2/(Inputs!$D$32^2*Inputs!$H$32^4*Inputs!$I$32^2)+Inputs!$G$32*$A77^Inputs!$B$11-Distribution!$B$3)</f>
        <v/>
      </c>
      <c r="L77" s="11">
        <f>IF(Inputs!$D$33=0,NA(),Inputs!$C$33+Inputs!$B$12*Inputs!$B$5*$A77^2/(Inputs!$D$33^2*Inputs!$H$33^4*Inputs!$I$33^2)+Inputs!$G$33*$A77^Inputs!$B$11-Distribution!$B$3)</f>
        <v/>
      </c>
      <c r="M77" s="11">
        <f>IF(Inputs!$D$34=0,NA(),Inputs!$C$34+Inputs!$B$12*Inputs!$B$5*$A77^2/(Inputs!$D$34^2*Inputs!$H$34^4*Inputs!$I$34^2)+Inputs!$G$34*$A77^Inputs!$B$11-Distribution!$B$3)</f>
        <v/>
      </c>
      <c r="N77" s="11">
        <f>Distribution!$B$9-Distribution!$B$3</f>
        <v/>
      </c>
    </row>
    <row r="78">
      <c r="A78" s="11">
        <f>2.2*Inputs!$B$20*73/100</f>
        <v/>
      </c>
      <c r="B78" s="11">
        <f>IF(Inputs!$D$23=0,NA(),Inputs!$C$23+Inputs!$B$12*Inputs!$B$5*$A78^2/(Inputs!$D$23^2*Inputs!$H$23^4*Inputs!$I$23^2)+Inputs!$G$23*$A78^Inputs!$B$11-Distribution!$B$3)</f>
        <v/>
      </c>
      <c r="C78" s="11">
        <f>IF(Inputs!$D$24=0,NA(),Inputs!$C$24+Inputs!$B$12*Inputs!$B$5*$A78^2/(Inputs!$D$24^2*Inputs!$H$24^4*Inputs!$I$24^2)+Inputs!$G$24*$A78^Inputs!$B$11-Distribution!$B$3)</f>
        <v/>
      </c>
      <c r="D78" s="11">
        <f>IF(Inputs!$D$25=0,NA(),Inputs!$C$25+Inputs!$B$12*Inputs!$B$5*$A78^2/(Inputs!$D$25^2*Inputs!$H$25^4*Inputs!$I$25^2)+Inputs!$G$25*$A78^Inputs!$B$11-Distribution!$B$3)</f>
        <v/>
      </c>
      <c r="E78" s="11">
        <f>IF(Inputs!$D$26=0,NA(),Inputs!$C$26+Inputs!$B$12*Inputs!$B$5*$A78^2/(Inputs!$D$26^2*Inputs!$H$26^4*Inputs!$I$26^2)+Inputs!$G$26*$A78^Inputs!$B$11-Distribution!$B$3)</f>
        <v/>
      </c>
      <c r="F78" s="11">
        <f>IF(Inputs!$D$27=0,NA(),Inputs!$C$27+Inputs!$B$12*Inputs!$B$5*$A78^2/(Inputs!$D$27^2*Inputs!$H$27^4*Inputs!$I$27^2)+Inputs!$G$27*$A78^Inputs!$B$11-Distribution!$B$3)</f>
        <v/>
      </c>
      <c r="G78" s="11">
        <f>IF(Inputs!$D$28=0,NA(),Inputs!$C$28+Inputs!$B$12*Inputs!$B$5*$A78^2/(Inputs!$D$28^2*Inputs!$H$28^4*Inputs!$I$28^2)+Inputs!$G$28*$A78^Inputs!$B$11-Distribution!$B$3)</f>
        <v/>
      </c>
      <c r="H78" s="11">
        <f>IF(Inputs!$D$29=0,NA(),Inputs!$C$29+Inputs!$B$12*Inputs!$B$5*$A78^2/(Inputs!$D$29^2*Inputs!$H$29^4*Inputs!$I$29^2)+Inputs!$G$29*$A78^Inputs!$B$11-Distribution!$B$3)</f>
        <v/>
      </c>
      <c r="I78" s="11">
        <f>IF(Inputs!$D$30=0,NA(),Inputs!$C$30+Inputs!$B$12*Inputs!$B$5*$A78^2/(Inputs!$D$30^2*Inputs!$H$30^4*Inputs!$I$30^2)+Inputs!$G$30*$A78^Inputs!$B$11-Distribution!$B$3)</f>
        <v/>
      </c>
      <c r="J78" s="11">
        <f>IF(Inputs!$D$31=0,NA(),Inputs!$C$31+Inputs!$B$12*Inputs!$B$5*$A78^2/(Inputs!$D$31^2*Inputs!$H$31^4*Inputs!$I$31^2)+Inputs!$G$31*$A78^Inputs!$B$11-Distribution!$B$3)</f>
        <v/>
      </c>
      <c r="K78" s="11">
        <f>IF(Inputs!$D$32=0,NA(),Inputs!$C$32+Inputs!$B$12*Inputs!$B$5*$A78^2/(Inputs!$D$32^2*Inputs!$H$32^4*Inputs!$I$32^2)+Inputs!$G$32*$A78^Inputs!$B$11-Distribution!$B$3)</f>
        <v/>
      </c>
      <c r="L78" s="11">
        <f>IF(Inputs!$D$33=0,NA(),Inputs!$C$33+Inputs!$B$12*Inputs!$B$5*$A78^2/(Inputs!$D$33^2*Inputs!$H$33^4*Inputs!$I$33^2)+Inputs!$G$33*$A78^Inputs!$B$11-Distribution!$B$3)</f>
        <v/>
      </c>
      <c r="M78" s="11">
        <f>IF(Inputs!$D$34=0,NA(),Inputs!$C$34+Inputs!$B$12*Inputs!$B$5*$A78^2/(Inputs!$D$34^2*Inputs!$H$34^4*Inputs!$I$34^2)+Inputs!$G$34*$A78^Inputs!$B$11-Distribution!$B$3)</f>
        <v/>
      </c>
      <c r="N78" s="11">
        <f>Distribution!$B$9-Distribution!$B$3</f>
        <v/>
      </c>
    </row>
    <row r="79">
      <c r="A79" s="11">
        <f>2.2*Inputs!$B$20*74/100</f>
        <v/>
      </c>
      <c r="B79" s="11">
        <f>IF(Inputs!$D$23=0,NA(),Inputs!$C$23+Inputs!$B$12*Inputs!$B$5*$A79^2/(Inputs!$D$23^2*Inputs!$H$23^4*Inputs!$I$23^2)+Inputs!$G$23*$A79^Inputs!$B$11-Distribution!$B$3)</f>
        <v/>
      </c>
      <c r="C79" s="11">
        <f>IF(Inputs!$D$24=0,NA(),Inputs!$C$24+Inputs!$B$12*Inputs!$B$5*$A79^2/(Inputs!$D$24^2*Inputs!$H$24^4*Inputs!$I$24^2)+Inputs!$G$24*$A79^Inputs!$B$11-Distribution!$B$3)</f>
        <v/>
      </c>
      <c r="D79" s="11">
        <f>IF(Inputs!$D$25=0,NA(),Inputs!$C$25+Inputs!$B$12*Inputs!$B$5*$A79^2/(Inputs!$D$25^2*Inputs!$H$25^4*Inputs!$I$25^2)+Inputs!$G$25*$A79^Inputs!$B$11-Distribution!$B$3)</f>
        <v/>
      </c>
      <c r="E79" s="11">
        <f>IF(Inputs!$D$26=0,NA(),Inputs!$C$26+Inputs!$B$12*Inputs!$B$5*$A79^2/(Inputs!$D$26^2*Inputs!$H$26^4*Inputs!$I$26^2)+Inputs!$G$26*$A79^Inputs!$B$11-Distribution!$B$3)</f>
        <v/>
      </c>
      <c r="F79" s="11">
        <f>IF(Inputs!$D$27=0,NA(),Inputs!$C$27+Inputs!$B$12*Inputs!$B$5*$A79^2/(Inputs!$D$27^2*Inputs!$H$27^4*Inputs!$I$27^2)+Inputs!$G$27*$A79^Inputs!$B$11-Distribution!$B$3)</f>
        <v/>
      </c>
      <c r="G79" s="11">
        <f>IF(Inputs!$D$28=0,NA(),Inputs!$C$28+Inputs!$B$12*Inputs!$B$5*$A79^2/(Inputs!$D$28^2*Inputs!$H$28^4*Inputs!$I$28^2)+Inputs!$G$28*$A79^Inputs!$B$11-Distribution!$B$3)</f>
        <v/>
      </c>
      <c r="H79" s="11">
        <f>IF(Inputs!$D$29=0,NA(),Inputs!$C$29+Inputs!$B$12*Inputs!$B$5*$A79^2/(Inputs!$D$29^2*Inputs!$H$29^4*Inputs!$I$29^2)+Inputs!$G$29*$A79^Inputs!$B$11-Distribution!$B$3)</f>
        <v/>
      </c>
      <c r="I79" s="11">
        <f>IF(Inputs!$D$30=0,NA(),Inputs!$C$30+Inputs!$B$12*Inputs!$B$5*$A79^2/(Inputs!$D$30^2*Inputs!$H$30^4*Inputs!$I$30^2)+Inputs!$G$30*$A79^Inputs!$B$11-Distribution!$B$3)</f>
        <v/>
      </c>
      <c r="J79" s="11">
        <f>IF(Inputs!$D$31=0,NA(),Inputs!$C$31+Inputs!$B$12*Inputs!$B$5*$A79^2/(Inputs!$D$31^2*Inputs!$H$31^4*Inputs!$I$31^2)+Inputs!$G$31*$A79^Inputs!$B$11-Distribution!$B$3)</f>
        <v/>
      </c>
      <c r="K79" s="11">
        <f>IF(Inputs!$D$32=0,NA(),Inputs!$C$32+Inputs!$B$12*Inputs!$B$5*$A79^2/(Inputs!$D$32^2*Inputs!$H$32^4*Inputs!$I$32^2)+Inputs!$G$32*$A79^Inputs!$B$11-Distribution!$B$3)</f>
        <v/>
      </c>
      <c r="L79" s="11">
        <f>IF(Inputs!$D$33=0,NA(),Inputs!$C$33+Inputs!$B$12*Inputs!$B$5*$A79^2/(Inputs!$D$33^2*Inputs!$H$33^4*Inputs!$I$33^2)+Inputs!$G$33*$A79^Inputs!$B$11-Distribution!$B$3)</f>
        <v/>
      </c>
      <c r="M79" s="11">
        <f>IF(Inputs!$D$34=0,NA(),Inputs!$C$34+Inputs!$B$12*Inputs!$B$5*$A79^2/(Inputs!$D$34^2*Inputs!$H$34^4*Inputs!$I$34^2)+Inputs!$G$34*$A79^Inputs!$B$11-Distribution!$B$3)</f>
        <v/>
      </c>
      <c r="N79" s="11">
        <f>Distribution!$B$9-Distribution!$B$3</f>
        <v/>
      </c>
    </row>
    <row r="80">
      <c r="A80" s="11">
        <f>2.2*Inputs!$B$20*75/100</f>
        <v/>
      </c>
      <c r="B80" s="11">
        <f>IF(Inputs!$D$23=0,NA(),Inputs!$C$23+Inputs!$B$12*Inputs!$B$5*$A80^2/(Inputs!$D$23^2*Inputs!$H$23^4*Inputs!$I$23^2)+Inputs!$G$23*$A80^Inputs!$B$11-Distribution!$B$3)</f>
        <v/>
      </c>
      <c r="C80" s="11">
        <f>IF(Inputs!$D$24=0,NA(),Inputs!$C$24+Inputs!$B$12*Inputs!$B$5*$A80^2/(Inputs!$D$24^2*Inputs!$H$24^4*Inputs!$I$24^2)+Inputs!$G$24*$A80^Inputs!$B$11-Distribution!$B$3)</f>
        <v/>
      </c>
      <c r="D80" s="11">
        <f>IF(Inputs!$D$25=0,NA(),Inputs!$C$25+Inputs!$B$12*Inputs!$B$5*$A80^2/(Inputs!$D$25^2*Inputs!$H$25^4*Inputs!$I$25^2)+Inputs!$G$25*$A80^Inputs!$B$11-Distribution!$B$3)</f>
        <v/>
      </c>
      <c r="E80" s="11">
        <f>IF(Inputs!$D$26=0,NA(),Inputs!$C$26+Inputs!$B$12*Inputs!$B$5*$A80^2/(Inputs!$D$26^2*Inputs!$H$26^4*Inputs!$I$26^2)+Inputs!$G$26*$A80^Inputs!$B$11-Distribution!$B$3)</f>
        <v/>
      </c>
      <c r="F80" s="11">
        <f>IF(Inputs!$D$27=0,NA(),Inputs!$C$27+Inputs!$B$12*Inputs!$B$5*$A80^2/(Inputs!$D$27^2*Inputs!$H$27^4*Inputs!$I$27^2)+Inputs!$G$27*$A80^Inputs!$B$11-Distribution!$B$3)</f>
        <v/>
      </c>
      <c r="G80" s="11">
        <f>IF(Inputs!$D$28=0,NA(),Inputs!$C$28+Inputs!$B$12*Inputs!$B$5*$A80^2/(Inputs!$D$28^2*Inputs!$H$28^4*Inputs!$I$28^2)+Inputs!$G$28*$A80^Inputs!$B$11-Distribution!$B$3)</f>
        <v/>
      </c>
      <c r="H80" s="11">
        <f>IF(Inputs!$D$29=0,NA(),Inputs!$C$29+Inputs!$B$12*Inputs!$B$5*$A80^2/(Inputs!$D$29^2*Inputs!$H$29^4*Inputs!$I$29^2)+Inputs!$G$29*$A80^Inputs!$B$11-Distribution!$B$3)</f>
        <v/>
      </c>
      <c r="I80" s="11">
        <f>IF(Inputs!$D$30=0,NA(),Inputs!$C$30+Inputs!$B$12*Inputs!$B$5*$A80^2/(Inputs!$D$30^2*Inputs!$H$30^4*Inputs!$I$30^2)+Inputs!$G$30*$A80^Inputs!$B$11-Distribution!$B$3)</f>
        <v/>
      </c>
      <c r="J80" s="11">
        <f>IF(Inputs!$D$31=0,NA(),Inputs!$C$31+Inputs!$B$12*Inputs!$B$5*$A80^2/(Inputs!$D$31^2*Inputs!$H$31^4*Inputs!$I$31^2)+Inputs!$G$31*$A80^Inputs!$B$11-Distribution!$B$3)</f>
        <v/>
      </c>
      <c r="K80" s="11">
        <f>IF(Inputs!$D$32=0,NA(),Inputs!$C$32+Inputs!$B$12*Inputs!$B$5*$A80^2/(Inputs!$D$32^2*Inputs!$H$32^4*Inputs!$I$32^2)+Inputs!$G$32*$A80^Inputs!$B$11-Distribution!$B$3)</f>
        <v/>
      </c>
      <c r="L80" s="11">
        <f>IF(Inputs!$D$33=0,NA(),Inputs!$C$33+Inputs!$B$12*Inputs!$B$5*$A80^2/(Inputs!$D$33^2*Inputs!$H$33^4*Inputs!$I$33^2)+Inputs!$G$33*$A80^Inputs!$B$11-Distribution!$B$3)</f>
        <v/>
      </c>
      <c r="M80" s="11">
        <f>IF(Inputs!$D$34=0,NA(),Inputs!$C$34+Inputs!$B$12*Inputs!$B$5*$A80^2/(Inputs!$D$34^2*Inputs!$H$34^4*Inputs!$I$34^2)+Inputs!$G$34*$A80^Inputs!$B$11-Distribution!$B$3)</f>
        <v/>
      </c>
      <c r="N80" s="11">
        <f>Distribution!$B$9-Distribution!$B$3</f>
        <v/>
      </c>
    </row>
    <row r="81">
      <c r="A81" s="11">
        <f>2.2*Inputs!$B$20*76/100</f>
        <v/>
      </c>
      <c r="B81" s="11">
        <f>IF(Inputs!$D$23=0,NA(),Inputs!$C$23+Inputs!$B$12*Inputs!$B$5*$A81^2/(Inputs!$D$23^2*Inputs!$H$23^4*Inputs!$I$23^2)+Inputs!$G$23*$A81^Inputs!$B$11-Distribution!$B$3)</f>
        <v/>
      </c>
      <c r="C81" s="11">
        <f>IF(Inputs!$D$24=0,NA(),Inputs!$C$24+Inputs!$B$12*Inputs!$B$5*$A81^2/(Inputs!$D$24^2*Inputs!$H$24^4*Inputs!$I$24^2)+Inputs!$G$24*$A81^Inputs!$B$11-Distribution!$B$3)</f>
        <v/>
      </c>
      <c r="D81" s="11">
        <f>IF(Inputs!$D$25=0,NA(),Inputs!$C$25+Inputs!$B$12*Inputs!$B$5*$A81^2/(Inputs!$D$25^2*Inputs!$H$25^4*Inputs!$I$25^2)+Inputs!$G$25*$A81^Inputs!$B$11-Distribution!$B$3)</f>
        <v/>
      </c>
      <c r="E81" s="11">
        <f>IF(Inputs!$D$26=0,NA(),Inputs!$C$26+Inputs!$B$12*Inputs!$B$5*$A81^2/(Inputs!$D$26^2*Inputs!$H$26^4*Inputs!$I$26^2)+Inputs!$G$26*$A81^Inputs!$B$11-Distribution!$B$3)</f>
        <v/>
      </c>
      <c r="F81" s="11">
        <f>IF(Inputs!$D$27=0,NA(),Inputs!$C$27+Inputs!$B$12*Inputs!$B$5*$A81^2/(Inputs!$D$27^2*Inputs!$H$27^4*Inputs!$I$27^2)+Inputs!$G$27*$A81^Inputs!$B$11-Distribution!$B$3)</f>
        <v/>
      </c>
      <c r="G81" s="11">
        <f>IF(Inputs!$D$28=0,NA(),Inputs!$C$28+Inputs!$B$12*Inputs!$B$5*$A81^2/(Inputs!$D$28^2*Inputs!$H$28^4*Inputs!$I$28^2)+Inputs!$G$28*$A81^Inputs!$B$11-Distribution!$B$3)</f>
        <v/>
      </c>
      <c r="H81" s="11">
        <f>IF(Inputs!$D$29=0,NA(),Inputs!$C$29+Inputs!$B$12*Inputs!$B$5*$A81^2/(Inputs!$D$29^2*Inputs!$H$29^4*Inputs!$I$29^2)+Inputs!$G$29*$A81^Inputs!$B$11-Distribution!$B$3)</f>
        <v/>
      </c>
      <c r="I81" s="11">
        <f>IF(Inputs!$D$30=0,NA(),Inputs!$C$30+Inputs!$B$12*Inputs!$B$5*$A81^2/(Inputs!$D$30^2*Inputs!$H$30^4*Inputs!$I$30^2)+Inputs!$G$30*$A81^Inputs!$B$11-Distribution!$B$3)</f>
        <v/>
      </c>
      <c r="J81" s="11">
        <f>IF(Inputs!$D$31=0,NA(),Inputs!$C$31+Inputs!$B$12*Inputs!$B$5*$A81^2/(Inputs!$D$31^2*Inputs!$H$31^4*Inputs!$I$31^2)+Inputs!$G$31*$A81^Inputs!$B$11-Distribution!$B$3)</f>
        <v/>
      </c>
      <c r="K81" s="11">
        <f>IF(Inputs!$D$32=0,NA(),Inputs!$C$32+Inputs!$B$12*Inputs!$B$5*$A81^2/(Inputs!$D$32^2*Inputs!$H$32^4*Inputs!$I$32^2)+Inputs!$G$32*$A81^Inputs!$B$11-Distribution!$B$3)</f>
        <v/>
      </c>
      <c r="L81" s="11">
        <f>IF(Inputs!$D$33=0,NA(),Inputs!$C$33+Inputs!$B$12*Inputs!$B$5*$A81^2/(Inputs!$D$33^2*Inputs!$H$33^4*Inputs!$I$33^2)+Inputs!$G$33*$A81^Inputs!$B$11-Distribution!$B$3)</f>
        <v/>
      </c>
      <c r="M81" s="11">
        <f>IF(Inputs!$D$34=0,NA(),Inputs!$C$34+Inputs!$B$12*Inputs!$B$5*$A81^2/(Inputs!$D$34^2*Inputs!$H$34^4*Inputs!$I$34^2)+Inputs!$G$34*$A81^Inputs!$B$11-Distribution!$B$3)</f>
        <v/>
      </c>
      <c r="N81" s="11">
        <f>Distribution!$B$9-Distribution!$B$3</f>
        <v/>
      </c>
    </row>
    <row r="82">
      <c r="A82" s="11">
        <f>2.2*Inputs!$B$20*77/100</f>
        <v/>
      </c>
      <c r="B82" s="11">
        <f>IF(Inputs!$D$23=0,NA(),Inputs!$C$23+Inputs!$B$12*Inputs!$B$5*$A82^2/(Inputs!$D$23^2*Inputs!$H$23^4*Inputs!$I$23^2)+Inputs!$G$23*$A82^Inputs!$B$11-Distribution!$B$3)</f>
        <v/>
      </c>
      <c r="C82" s="11">
        <f>IF(Inputs!$D$24=0,NA(),Inputs!$C$24+Inputs!$B$12*Inputs!$B$5*$A82^2/(Inputs!$D$24^2*Inputs!$H$24^4*Inputs!$I$24^2)+Inputs!$G$24*$A82^Inputs!$B$11-Distribution!$B$3)</f>
        <v/>
      </c>
      <c r="D82" s="11">
        <f>IF(Inputs!$D$25=0,NA(),Inputs!$C$25+Inputs!$B$12*Inputs!$B$5*$A82^2/(Inputs!$D$25^2*Inputs!$H$25^4*Inputs!$I$25^2)+Inputs!$G$25*$A82^Inputs!$B$11-Distribution!$B$3)</f>
        <v/>
      </c>
      <c r="E82" s="11">
        <f>IF(Inputs!$D$26=0,NA(),Inputs!$C$26+Inputs!$B$12*Inputs!$B$5*$A82^2/(Inputs!$D$26^2*Inputs!$H$26^4*Inputs!$I$26^2)+Inputs!$G$26*$A82^Inputs!$B$11-Distribution!$B$3)</f>
        <v/>
      </c>
      <c r="F82" s="11">
        <f>IF(Inputs!$D$27=0,NA(),Inputs!$C$27+Inputs!$B$12*Inputs!$B$5*$A82^2/(Inputs!$D$27^2*Inputs!$H$27^4*Inputs!$I$27^2)+Inputs!$G$27*$A82^Inputs!$B$11-Distribution!$B$3)</f>
        <v/>
      </c>
      <c r="G82" s="11">
        <f>IF(Inputs!$D$28=0,NA(),Inputs!$C$28+Inputs!$B$12*Inputs!$B$5*$A82^2/(Inputs!$D$28^2*Inputs!$H$28^4*Inputs!$I$28^2)+Inputs!$G$28*$A82^Inputs!$B$11-Distribution!$B$3)</f>
        <v/>
      </c>
      <c r="H82" s="11">
        <f>IF(Inputs!$D$29=0,NA(),Inputs!$C$29+Inputs!$B$12*Inputs!$B$5*$A82^2/(Inputs!$D$29^2*Inputs!$H$29^4*Inputs!$I$29^2)+Inputs!$G$29*$A82^Inputs!$B$11-Distribution!$B$3)</f>
        <v/>
      </c>
      <c r="I82" s="11">
        <f>IF(Inputs!$D$30=0,NA(),Inputs!$C$30+Inputs!$B$12*Inputs!$B$5*$A82^2/(Inputs!$D$30^2*Inputs!$H$30^4*Inputs!$I$30^2)+Inputs!$G$30*$A82^Inputs!$B$11-Distribution!$B$3)</f>
        <v/>
      </c>
      <c r="J82" s="11">
        <f>IF(Inputs!$D$31=0,NA(),Inputs!$C$31+Inputs!$B$12*Inputs!$B$5*$A82^2/(Inputs!$D$31^2*Inputs!$H$31^4*Inputs!$I$31^2)+Inputs!$G$31*$A82^Inputs!$B$11-Distribution!$B$3)</f>
        <v/>
      </c>
      <c r="K82" s="11">
        <f>IF(Inputs!$D$32=0,NA(),Inputs!$C$32+Inputs!$B$12*Inputs!$B$5*$A82^2/(Inputs!$D$32^2*Inputs!$H$32^4*Inputs!$I$32^2)+Inputs!$G$32*$A82^Inputs!$B$11-Distribution!$B$3)</f>
        <v/>
      </c>
      <c r="L82" s="11">
        <f>IF(Inputs!$D$33=0,NA(),Inputs!$C$33+Inputs!$B$12*Inputs!$B$5*$A82^2/(Inputs!$D$33^2*Inputs!$H$33^4*Inputs!$I$33^2)+Inputs!$G$33*$A82^Inputs!$B$11-Distribution!$B$3)</f>
        <v/>
      </c>
      <c r="M82" s="11">
        <f>IF(Inputs!$D$34=0,NA(),Inputs!$C$34+Inputs!$B$12*Inputs!$B$5*$A82^2/(Inputs!$D$34^2*Inputs!$H$34^4*Inputs!$I$34^2)+Inputs!$G$34*$A82^Inputs!$B$11-Distribution!$B$3)</f>
        <v/>
      </c>
      <c r="N82" s="11">
        <f>Distribution!$B$9-Distribution!$B$3</f>
        <v/>
      </c>
    </row>
    <row r="83">
      <c r="A83" s="11">
        <f>2.2*Inputs!$B$20*78/100</f>
        <v/>
      </c>
      <c r="B83" s="11">
        <f>IF(Inputs!$D$23=0,NA(),Inputs!$C$23+Inputs!$B$12*Inputs!$B$5*$A83^2/(Inputs!$D$23^2*Inputs!$H$23^4*Inputs!$I$23^2)+Inputs!$G$23*$A83^Inputs!$B$11-Distribution!$B$3)</f>
        <v/>
      </c>
      <c r="C83" s="11">
        <f>IF(Inputs!$D$24=0,NA(),Inputs!$C$24+Inputs!$B$12*Inputs!$B$5*$A83^2/(Inputs!$D$24^2*Inputs!$H$24^4*Inputs!$I$24^2)+Inputs!$G$24*$A83^Inputs!$B$11-Distribution!$B$3)</f>
        <v/>
      </c>
      <c r="D83" s="11">
        <f>IF(Inputs!$D$25=0,NA(),Inputs!$C$25+Inputs!$B$12*Inputs!$B$5*$A83^2/(Inputs!$D$25^2*Inputs!$H$25^4*Inputs!$I$25^2)+Inputs!$G$25*$A83^Inputs!$B$11-Distribution!$B$3)</f>
        <v/>
      </c>
      <c r="E83" s="11">
        <f>IF(Inputs!$D$26=0,NA(),Inputs!$C$26+Inputs!$B$12*Inputs!$B$5*$A83^2/(Inputs!$D$26^2*Inputs!$H$26^4*Inputs!$I$26^2)+Inputs!$G$26*$A83^Inputs!$B$11-Distribution!$B$3)</f>
        <v/>
      </c>
      <c r="F83" s="11">
        <f>IF(Inputs!$D$27=0,NA(),Inputs!$C$27+Inputs!$B$12*Inputs!$B$5*$A83^2/(Inputs!$D$27^2*Inputs!$H$27^4*Inputs!$I$27^2)+Inputs!$G$27*$A83^Inputs!$B$11-Distribution!$B$3)</f>
        <v/>
      </c>
      <c r="G83" s="11">
        <f>IF(Inputs!$D$28=0,NA(),Inputs!$C$28+Inputs!$B$12*Inputs!$B$5*$A83^2/(Inputs!$D$28^2*Inputs!$H$28^4*Inputs!$I$28^2)+Inputs!$G$28*$A83^Inputs!$B$11-Distribution!$B$3)</f>
        <v/>
      </c>
      <c r="H83" s="11">
        <f>IF(Inputs!$D$29=0,NA(),Inputs!$C$29+Inputs!$B$12*Inputs!$B$5*$A83^2/(Inputs!$D$29^2*Inputs!$H$29^4*Inputs!$I$29^2)+Inputs!$G$29*$A83^Inputs!$B$11-Distribution!$B$3)</f>
        <v/>
      </c>
      <c r="I83" s="11">
        <f>IF(Inputs!$D$30=0,NA(),Inputs!$C$30+Inputs!$B$12*Inputs!$B$5*$A83^2/(Inputs!$D$30^2*Inputs!$H$30^4*Inputs!$I$30^2)+Inputs!$G$30*$A83^Inputs!$B$11-Distribution!$B$3)</f>
        <v/>
      </c>
      <c r="J83" s="11">
        <f>IF(Inputs!$D$31=0,NA(),Inputs!$C$31+Inputs!$B$12*Inputs!$B$5*$A83^2/(Inputs!$D$31^2*Inputs!$H$31^4*Inputs!$I$31^2)+Inputs!$G$31*$A83^Inputs!$B$11-Distribution!$B$3)</f>
        <v/>
      </c>
      <c r="K83" s="11">
        <f>IF(Inputs!$D$32=0,NA(),Inputs!$C$32+Inputs!$B$12*Inputs!$B$5*$A83^2/(Inputs!$D$32^2*Inputs!$H$32^4*Inputs!$I$32^2)+Inputs!$G$32*$A83^Inputs!$B$11-Distribution!$B$3)</f>
        <v/>
      </c>
      <c r="L83" s="11">
        <f>IF(Inputs!$D$33=0,NA(),Inputs!$C$33+Inputs!$B$12*Inputs!$B$5*$A83^2/(Inputs!$D$33^2*Inputs!$H$33^4*Inputs!$I$33^2)+Inputs!$G$33*$A83^Inputs!$B$11-Distribution!$B$3)</f>
        <v/>
      </c>
      <c r="M83" s="11">
        <f>IF(Inputs!$D$34=0,NA(),Inputs!$C$34+Inputs!$B$12*Inputs!$B$5*$A83^2/(Inputs!$D$34^2*Inputs!$H$34^4*Inputs!$I$34^2)+Inputs!$G$34*$A83^Inputs!$B$11-Distribution!$B$3)</f>
        <v/>
      </c>
      <c r="N83" s="11">
        <f>Distribution!$B$9-Distribution!$B$3</f>
        <v/>
      </c>
    </row>
    <row r="84">
      <c r="A84" s="11">
        <f>2.2*Inputs!$B$20*79/100</f>
        <v/>
      </c>
      <c r="B84" s="11">
        <f>IF(Inputs!$D$23=0,NA(),Inputs!$C$23+Inputs!$B$12*Inputs!$B$5*$A84^2/(Inputs!$D$23^2*Inputs!$H$23^4*Inputs!$I$23^2)+Inputs!$G$23*$A84^Inputs!$B$11-Distribution!$B$3)</f>
        <v/>
      </c>
      <c r="C84" s="11">
        <f>IF(Inputs!$D$24=0,NA(),Inputs!$C$24+Inputs!$B$12*Inputs!$B$5*$A84^2/(Inputs!$D$24^2*Inputs!$H$24^4*Inputs!$I$24^2)+Inputs!$G$24*$A84^Inputs!$B$11-Distribution!$B$3)</f>
        <v/>
      </c>
      <c r="D84" s="11">
        <f>IF(Inputs!$D$25=0,NA(),Inputs!$C$25+Inputs!$B$12*Inputs!$B$5*$A84^2/(Inputs!$D$25^2*Inputs!$H$25^4*Inputs!$I$25^2)+Inputs!$G$25*$A84^Inputs!$B$11-Distribution!$B$3)</f>
        <v/>
      </c>
      <c r="E84" s="11">
        <f>IF(Inputs!$D$26=0,NA(),Inputs!$C$26+Inputs!$B$12*Inputs!$B$5*$A84^2/(Inputs!$D$26^2*Inputs!$H$26^4*Inputs!$I$26^2)+Inputs!$G$26*$A84^Inputs!$B$11-Distribution!$B$3)</f>
        <v/>
      </c>
      <c r="F84" s="11">
        <f>IF(Inputs!$D$27=0,NA(),Inputs!$C$27+Inputs!$B$12*Inputs!$B$5*$A84^2/(Inputs!$D$27^2*Inputs!$H$27^4*Inputs!$I$27^2)+Inputs!$G$27*$A84^Inputs!$B$11-Distribution!$B$3)</f>
        <v/>
      </c>
      <c r="G84" s="11">
        <f>IF(Inputs!$D$28=0,NA(),Inputs!$C$28+Inputs!$B$12*Inputs!$B$5*$A84^2/(Inputs!$D$28^2*Inputs!$H$28^4*Inputs!$I$28^2)+Inputs!$G$28*$A84^Inputs!$B$11-Distribution!$B$3)</f>
        <v/>
      </c>
      <c r="H84" s="11">
        <f>IF(Inputs!$D$29=0,NA(),Inputs!$C$29+Inputs!$B$12*Inputs!$B$5*$A84^2/(Inputs!$D$29^2*Inputs!$H$29^4*Inputs!$I$29^2)+Inputs!$G$29*$A84^Inputs!$B$11-Distribution!$B$3)</f>
        <v/>
      </c>
      <c r="I84" s="11">
        <f>IF(Inputs!$D$30=0,NA(),Inputs!$C$30+Inputs!$B$12*Inputs!$B$5*$A84^2/(Inputs!$D$30^2*Inputs!$H$30^4*Inputs!$I$30^2)+Inputs!$G$30*$A84^Inputs!$B$11-Distribution!$B$3)</f>
        <v/>
      </c>
      <c r="J84" s="11">
        <f>IF(Inputs!$D$31=0,NA(),Inputs!$C$31+Inputs!$B$12*Inputs!$B$5*$A84^2/(Inputs!$D$31^2*Inputs!$H$31^4*Inputs!$I$31^2)+Inputs!$G$31*$A84^Inputs!$B$11-Distribution!$B$3)</f>
        <v/>
      </c>
      <c r="K84" s="11">
        <f>IF(Inputs!$D$32=0,NA(),Inputs!$C$32+Inputs!$B$12*Inputs!$B$5*$A84^2/(Inputs!$D$32^2*Inputs!$H$32^4*Inputs!$I$32^2)+Inputs!$G$32*$A84^Inputs!$B$11-Distribution!$B$3)</f>
        <v/>
      </c>
      <c r="L84" s="11">
        <f>IF(Inputs!$D$33=0,NA(),Inputs!$C$33+Inputs!$B$12*Inputs!$B$5*$A84^2/(Inputs!$D$33^2*Inputs!$H$33^4*Inputs!$I$33^2)+Inputs!$G$33*$A84^Inputs!$B$11-Distribution!$B$3)</f>
        <v/>
      </c>
      <c r="M84" s="11">
        <f>IF(Inputs!$D$34=0,NA(),Inputs!$C$34+Inputs!$B$12*Inputs!$B$5*$A84^2/(Inputs!$D$34^2*Inputs!$H$34^4*Inputs!$I$34^2)+Inputs!$G$34*$A84^Inputs!$B$11-Distribution!$B$3)</f>
        <v/>
      </c>
      <c r="N84" s="11">
        <f>Distribution!$B$9-Distribution!$B$3</f>
        <v/>
      </c>
    </row>
    <row r="85">
      <c r="A85" s="11">
        <f>2.2*Inputs!$B$20*80/100</f>
        <v/>
      </c>
      <c r="B85" s="11">
        <f>IF(Inputs!$D$23=0,NA(),Inputs!$C$23+Inputs!$B$12*Inputs!$B$5*$A85^2/(Inputs!$D$23^2*Inputs!$H$23^4*Inputs!$I$23^2)+Inputs!$G$23*$A85^Inputs!$B$11-Distribution!$B$3)</f>
        <v/>
      </c>
      <c r="C85" s="11">
        <f>IF(Inputs!$D$24=0,NA(),Inputs!$C$24+Inputs!$B$12*Inputs!$B$5*$A85^2/(Inputs!$D$24^2*Inputs!$H$24^4*Inputs!$I$24^2)+Inputs!$G$24*$A85^Inputs!$B$11-Distribution!$B$3)</f>
        <v/>
      </c>
      <c r="D85" s="11">
        <f>IF(Inputs!$D$25=0,NA(),Inputs!$C$25+Inputs!$B$12*Inputs!$B$5*$A85^2/(Inputs!$D$25^2*Inputs!$H$25^4*Inputs!$I$25^2)+Inputs!$G$25*$A85^Inputs!$B$11-Distribution!$B$3)</f>
        <v/>
      </c>
      <c r="E85" s="11">
        <f>IF(Inputs!$D$26=0,NA(),Inputs!$C$26+Inputs!$B$12*Inputs!$B$5*$A85^2/(Inputs!$D$26^2*Inputs!$H$26^4*Inputs!$I$26^2)+Inputs!$G$26*$A85^Inputs!$B$11-Distribution!$B$3)</f>
        <v/>
      </c>
      <c r="F85" s="11">
        <f>IF(Inputs!$D$27=0,NA(),Inputs!$C$27+Inputs!$B$12*Inputs!$B$5*$A85^2/(Inputs!$D$27^2*Inputs!$H$27^4*Inputs!$I$27^2)+Inputs!$G$27*$A85^Inputs!$B$11-Distribution!$B$3)</f>
        <v/>
      </c>
      <c r="G85" s="11">
        <f>IF(Inputs!$D$28=0,NA(),Inputs!$C$28+Inputs!$B$12*Inputs!$B$5*$A85^2/(Inputs!$D$28^2*Inputs!$H$28^4*Inputs!$I$28^2)+Inputs!$G$28*$A85^Inputs!$B$11-Distribution!$B$3)</f>
        <v/>
      </c>
      <c r="H85" s="11">
        <f>IF(Inputs!$D$29=0,NA(),Inputs!$C$29+Inputs!$B$12*Inputs!$B$5*$A85^2/(Inputs!$D$29^2*Inputs!$H$29^4*Inputs!$I$29^2)+Inputs!$G$29*$A85^Inputs!$B$11-Distribution!$B$3)</f>
        <v/>
      </c>
      <c r="I85" s="11">
        <f>IF(Inputs!$D$30=0,NA(),Inputs!$C$30+Inputs!$B$12*Inputs!$B$5*$A85^2/(Inputs!$D$30^2*Inputs!$H$30^4*Inputs!$I$30^2)+Inputs!$G$30*$A85^Inputs!$B$11-Distribution!$B$3)</f>
        <v/>
      </c>
      <c r="J85" s="11">
        <f>IF(Inputs!$D$31=0,NA(),Inputs!$C$31+Inputs!$B$12*Inputs!$B$5*$A85^2/(Inputs!$D$31^2*Inputs!$H$31^4*Inputs!$I$31^2)+Inputs!$G$31*$A85^Inputs!$B$11-Distribution!$B$3)</f>
        <v/>
      </c>
      <c r="K85" s="11">
        <f>IF(Inputs!$D$32=0,NA(),Inputs!$C$32+Inputs!$B$12*Inputs!$B$5*$A85^2/(Inputs!$D$32^2*Inputs!$H$32^4*Inputs!$I$32^2)+Inputs!$G$32*$A85^Inputs!$B$11-Distribution!$B$3)</f>
        <v/>
      </c>
      <c r="L85" s="11">
        <f>IF(Inputs!$D$33=0,NA(),Inputs!$C$33+Inputs!$B$12*Inputs!$B$5*$A85^2/(Inputs!$D$33^2*Inputs!$H$33^4*Inputs!$I$33^2)+Inputs!$G$33*$A85^Inputs!$B$11-Distribution!$B$3)</f>
        <v/>
      </c>
      <c r="M85" s="11">
        <f>IF(Inputs!$D$34=0,NA(),Inputs!$C$34+Inputs!$B$12*Inputs!$B$5*$A85^2/(Inputs!$D$34^2*Inputs!$H$34^4*Inputs!$I$34^2)+Inputs!$G$34*$A85^Inputs!$B$11-Distribution!$B$3)</f>
        <v/>
      </c>
      <c r="N85" s="11">
        <f>Distribution!$B$9-Distribution!$B$3</f>
        <v/>
      </c>
    </row>
    <row r="86">
      <c r="A86" s="11">
        <f>2.2*Inputs!$B$20*81/100</f>
        <v/>
      </c>
      <c r="B86" s="11">
        <f>IF(Inputs!$D$23=0,NA(),Inputs!$C$23+Inputs!$B$12*Inputs!$B$5*$A86^2/(Inputs!$D$23^2*Inputs!$H$23^4*Inputs!$I$23^2)+Inputs!$G$23*$A86^Inputs!$B$11-Distribution!$B$3)</f>
        <v/>
      </c>
      <c r="C86" s="11">
        <f>IF(Inputs!$D$24=0,NA(),Inputs!$C$24+Inputs!$B$12*Inputs!$B$5*$A86^2/(Inputs!$D$24^2*Inputs!$H$24^4*Inputs!$I$24^2)+Inputs!$G$24*$A86^Inputs!$B$11-Distribution!$B$3)</f>
        <v/>
      </c>
      <c r="D86" s="11">
        <f>IF(Inputs!$D$25=0,NA(),Inputs!$C$25+Inputs!$B$12*Inputs!$B$5*$A86^2/(Inputs!$D$25^2*Inputs!$H$25^4*Inputs!$I$25^2)+Inputs!$G$25*$A86^Inputs!$B$11-Distribution!$B$3)</f>
        <v/>
      </c>
      <c r="E86" s="11">
        <f>IF(Inputs!$D$26=0,NA(),Inputs!$C$26+Inputs!$B$12*Inputs!$B$5*$A86^2/(Inputs!$D$26^2*Inputs!$H$26^4*Inputs!$I$26^2)+Inputs!$G$26*$A86^Inputs!$B$11-Distribution!$B$3)</f>
        <v/>
      </c>
      <c r="F86" s="11">
        <f>IF(Inputs!$D$27=0,NA(),Inputs!$C$27+Inputs!$B$12*Inputs!$B$5*$A86^2/(Inputs!$D$27^2*Inputs!$H$27^4*Inputs!$I$27^2)+Inputs!$G$27*$A86^Inputs!$B$11-Distribution!$B$3)</f>
        <v/>
      </c>
      <c r="G86" s="11">
        <f>IF(Inputs!$D$28=0,NA(),Inputs!$C$28+Inputs!$B$12*Inputs!$B$5*$A86^2/(Inputs!$D$28^2*Inputs!$H$28^4*Inputs!$I$28^2)+Inputs!$G$28*$A86^Inputs!$B$11-Distribution!$B$3)</f>
        <v/>
      </c>
      <c r="H86" s="11">
        <f>IF(Inputs!$D$29=0,NA(),Inputs!$C$29+Inputs!$B$12*Inputs!$B$5*$A86^2/(Inputs!$D$29^2*Inputs!$H$29^4*Inputs!$I$29^2)+Inputs!$G$29*$A86^Inputs!$B$11-Distribution!$B$3)</f>
        <v/>
      </c>
      <c r="I86" s="11">
        <f>IF(Inputs!$D$30=0,NA(),Inputs!$C$30+Inputs!$B$12*Inputs!$B$5*$A86^2/(Inputs!$D$30^2*Inputs!$H$30^4*Inputs!$I$30^2)+Inputs!$G$30*$A86^Inputs!$B$11-Distribution!$B$3)</f>
        <v/>
      </c>
      <c r="J86" s="11">
        <f>IF(Inputs!$D$31=0,NA(),Inputs!$C$31+Inputs!$B$12*Inputs!$B$5*$A86^2/(Inputs!$D$31^2*Inputs!$H$31^4*Inputs!$I$31^2)+Inputs!$G$31*$A86^Inputs!$B$11-Distribution!$B$3)</f>
        <v/>
      </c>
      <c r="K86" s="11">
        <f>IF(Inputs!$D$32=0,NA(),Inputs!$C$32+Inputs!$B$12*Inputs!$B$5*$A86^2/(Inputs!$D$32^2*Inputs!$H$32^4*Inputs!$I$32^2)+Inputs!$G$32*$A86^Inputs!$B$11-Distribution!$B$3)</f>
        <v/>
      </c>
      <c r="L86" s="11">
        <f>IF(Inputs!$D$33=0,NA(),Inputs!$C$33+Inputs!$B$12*Inputs!$B$5*$A86^2/(Inputs!$D$33^2*Inputs!$H$33^4*Inputs!$I$33^2)+Inputs!$G$33*$A86^Inputs!$B$11-Distribution!$B$3)</f>
        <v/>
      </c>
      <c r="M86" s="11">
        <f>IF(Inputs!$D$34=0,NA(),Inputs!$C$34+Inputs!$B$12*Inputs!$B$5*$A86^2/(Inputs!$D$34^2*Inputs!$H$34^4*Inputs!$I$34^2)+Inputs!$G$34*$A86^Inputs!$B$11-Distribution!$B$3)</f>
        <v/>
      </c>
      <c r="N86" s="11">
        <f>Distribution!$B$9-Distribution!$B$3</f>
        <v/>
      </c>
    </row>
    <row r="87">
      <c r="A87" s="11">
        <f>2.2*Inputs!$B$20*82/100</f>
        <v/>
      </c>
      <c r="B87" s="11">
        <f>IF(Inputs!$D$23=0,NA(),Inputs!$C$23+Inputs!$B$12*Inputs!$B$5*$A87^2/(Inputs!$D$23^2*Inputs!$H$23^4*Inputs!$I$23^2)+Inputs!$G$23*$A87^Inputs!$B$11-Distribution!$B$3)</f>
        <v/>
      </c>
      <c r="C87" s="11">
        <f>IF(Inputs!$D$24=0,NA(),Inputs!$C$24+Inputs!$B$12*Inputs!$B$5*$A87^2/(Inputs!$D$24^2*Inputs!$H$24^4*Inputs!$I$24^2)+Inputs!$G$24*$A87^Inputs!$B$11-Distribution!$B$3)</f>
        <v/>
      </c>
      <c r="D87" s="11">
        <f>IF(Inputs!$D$25=0,NA(),Inputs!$C$25+Inputs!$B$12*Inputs!$B$5*$A87^2/(Inputs!$D$25^2*Inputs!$H$25^4*Inputs!$I$25^2)+Inputs!$G$25*$A87^Inputs!$B$11-Distribution!$B$3)</f>
        <v/>
      </c>
      <c r="E87" s="11">
        <f>IF(Inputs!$D$26=0,NA(),Inputs!$C$26+Inputs!$B$12*Inputs!$B$5*$A87^2/(Inputs!$D$26^2*Inputs!$H$26^4*Inputs!$I$26^2)+Inputs!$G$26*$A87^Inputs!$B$11-Distribution!$B$3)</f>
        <v/>
      </c>
      <c r="F87" s="11">
        <f>IF(Inputs!$D$27=0,NA(),Inputs!$C$27+Inputs!$B$12*Inputs!$B$5*$A87^2/(Inputs!$D$27^2*Inputs!$H$27^4*Inputs!$I$27^2)+Inputs!$G$27*$A87^Inputs!$B$11-Distribution!$B$3)</f>
        <v/>
      </c>
      <c r="G87" s="11">
        <f>IF(Inputs!$D$28=0,NA(),Inputs!$C$28+Inputs!$B$12*Inputs!$B$5*$A87^2/(Inputs!$D$28^2*Inputs!$H$28^4*Inputs!$I$28^2)+Inputs!$G$28*$A87^Inputs!$B$11-Distribution!$B$3)</f>
        <v/>
      </c>
      <c r="H87" s="11">
        <f>IF(Inputs!$D$29=0,NA(),Inputs!$C$29+Inputs!$B$12*Inputs!$B$5*$A87^2/(Inputs!$D$29^2*Inputs!$H$29^4*Inputs!$I$29^2)+Inputs!$G$29*$A87^Inputs!$B$11-Distribution!$B$3)</f>
        <v/>
      </c>
      <c r="I87" s="11">
        <f>IF(Inputs!$D$30=0,NA(),Inputs!$C$30+Inputs!$B$12*Inputs!$B$5*$A87^2/(Inputs!$D$30^2*Inputs!$H$30^4*Inputs!$I$30^2)+Inputs!$G$30*$A87^Inputs!$B$11-Distribution!$B$3)</f>
        <v/>
      </c>
      <c r="J87" s="11">
        <f>IF(Inputs!$D$31=0,NA(),Inputs!$C$31+Inputs!$B$12*Inputs!$B$5*$A87^2/(Inputs!$D$31^2*Inputs!$H$31^4*Inputs!$I$31^2)+Inputs!$G$31*$A87^Inputs!$B$11-Distribution!$B$3)</f>
        <v/>
      </c>
      <c r="K87" s="11">
        <f>IF(Inputs!$D$32=0,NA(),Inputs!$C$32+Inputs!$B$12*Inputs!$B$5*$A87^2/(Inputs!$D$32^2*Inputs!$H$32^4*Inputs!$I$32^2)+Inputs!$G$32*$A87^Inputs!$B$11-Distribution!$B$3)</f>
        <v/>
      </c>
      <c r="L87" s="11">
        <f>IF(Inputs!$D$33=0,NA(),Inputs!$C$33+Inputs!$B$12*Inputs!$B$5*$A87^2/(Inputs!$D$33^2*Inputs!$H$33^4*Inputs!$I$33^2)+Inputs!$G$33*$A87^Inputs!$B$11-Distribution!$B$3)</f>
        <v/>
      </c>
      <c r="M87" s="11">
        <f>IF(Inputs!$D$34=0,NA(),Inputs!$C$34+Inputs!$B$12*Inputs!$B$5*$A87^2/(Inputs!$D$34^2*Inputs!$H$34^4*Inputs!$I$34^2)+Inputs!$G$34*$A87^Inputs!$B$11-Distribution!$B$3)</f>
        <v/>
      </c>
      <c r="N87" s="11">
        <f>Distribution!$B$9-Distribution!$B$3</f>
        <v/>
      </c>
    </row>
    <row r="88">
      <c r="A88" s="11">
        <f>2.2*Inputs!$B$20*83/100</f>
        <v/>
      </c>
      <c r="B88" s="11">
        <f>IF(Inputs!$D$23=0,NA(),Inputs!$C$23+Inputs!$B$12*Inputs!$B$5*$A88^2/(Inputs!$D$23^2*Inputs!$H$23^4*Inputs!$I$23^2)+Inputs!$G$23*$A88^Inputs!$B$11-Distribution!$B$3)</f>
        <v/>
      </c>
      <c r="C88" s="11">
        <f>IF(Inputs!$D$24=0,NA(),Inputs!$C$24+Inputs!$B$12*Inputs!$B$5*$A88^2/(Inputs!$D$24^2*Inputs!$H$24^4*Inputs!$I$24^2)+Inputs!$G$24*$A88^Inputs!$B$11-Distribution!$B$3)</f>
        <v/>
      </c>
      <c r="D88" s="11">
        <f>IF(Inputs!$D$25=0,NA(),Inputs!$C$25+Inputs!$B$12*Inputs!$B$5*$A88^2/(Inputs!$D$25^2*Inputs!$H$25^4*Inputs!$I$25^2)+Inputs!$G$25*$A88^Inputs!$B$11-Distribution!$B$3)</f>
        <v/>
      </c>
      <c r="E88" s="11">
        <f>IF(Inputs!$D$26=0,NA(),Inputs!$C$26+Inputs!$B$12*Inputs!$B$5*$A88^2/(Inputs!$D$26^2*Inputs!$H$26^4*Inputs!$I$26^2)+Inputs!$G$26*$A88^Inputs!$B$11-Distribution!$B$3)</f>
        <v/>
      </c>
      <c r="F88" s="11">
        <f>IF(Inputs!$D$27=0,NA(),Inputs!$C$27+Inputs!$B$12*Inputs!$B$5*$A88^2/(Inputs!$D$27^2*Inputs!$H$27^4*Inputs!$I$27^2)+Inputs!$G$27*$A88^Inputs!$B$11-Distribution!$B$3)</f>
        <v/>
      </c>
      <c r="G88" s="11">
        <f>IF(Inputs!$D$28=0,NA(),Inputs!$C$28+Inputs!$B$12*Inputs!$B$5*$A88^2/(Inputs!$D$28^2*Inputs!$H$28^4*Inputs!$I$28^2)+Inputs!$G$28*$A88^Inputs!$B$11-Distribution!$B$3)</f>
        <v/>
      </c>
      <c r="H88" s="11">
        <f>IF(Inputs!$D$29=0,NA(),Inputs!$C$29+Inputs!$B$12*Inputs!$B$5*$A88^2/(Inputs!$D$29^2*Inputs!$H$29^4*Inputs!$I$29^2)+Inputs!$G$29*$A88^Inputs!$B$11-Distribution!$B$3)</f>
        <v/>
      </c>
      <c r="I88" s="11">
        <f>IF(Inputs!$D$30=0,NA(),Inputs!$C$30+Inputs!$B$12*Inputs!$B$5*$A88^2/(Inputs!$D$30^2*Inputs!$H$30^4*Inputs!$I$30^2)+Inputs!$G$30*$A88^Inputs!$B$11-Distribution!$B$3)</f>
        <v/>
      </c>
      <c r="J88" s="11">
        <f>IF(Inputs!$D$31=0,NA(),Inputs!$C$31+Inputs!$B$12*Inputs!$B$5*$A88^2/(Inputs!$D$31^2*Inputs!$H$31^4*Inputs!$I$31^2)+Inputs!$G$31*$A88^Inputs!$B$11-Distribution!$B$3)</f>
        <v/>
      </c>
      <c r="K88" s="11">
        <f>IF(Inputs!$D$32=0,NA(),Inputs!$C$32+Inputs!$B$12*Inputs!$B$5*$A88^2/(Inputs!$D$32^2*Inputs!$H$32^4*Inputs!$I$32^2)+Inputs!$G$32*$A88^Inputs!$B$11-Distribution!$B$3)</f>
        <v/>
      </c>
      <c r="L88" s="11">
        <f>IF(Inputs!$D$33=0,NA(),Inputs!$C$33+Inputs!$B$12*Inputs!$B$5*$A88^2/(Inputs!$D$33^2*Inputs!$H$33^4*Inputs!$I$33^2)+Inputs!$G$33*$A88^Inputs!$B$11-Distribution!$B$3)</f>
        <v/>
      </c>
      <c r="M88" s="11">
        <f>IF(Inputs!$D$34=0,NA(),Inputs!$C$34+Inputs!$B$12*Inputs!$B$5*$A88^2/(Inputs!$D$34^2*Inputs!$H$34^4*Inputs!$I$34^2)+Inputs!$G$34*$A88^Inputs!$B$11-Distribution!$B$3)</f>
        <v/>
      </c>
      <c r="N88" s="11">
        <f>Distribution!$B$9-Distribution!$B$3</f>
        <v/>
      </c>
    </row>
    <row r="89">
      <c r="A89" s="11">
        <f>2.2*Inputs!$B$20*84/100</f>
        <v/>
      </c>
      <c r="B89" s="11">
        <f>IF(Inputs!$D$23=0,NA(),Inputs!$C$23+Inputs!$B$12*Inputs!$B$5*$A89^2/(Inputs!$D$23^2*Inputs!$H$23^4*Inputs!$I$23^2)+Inputs!$G$23*$A89^Inputs!$B$11-Distribution!$B$3)</f>
        <v/>
      </c>
      <c r="C89" s="11">
        <f>IF(Inputs!$D$24=0,NA(),Inputs!$C$24+Inputs!$B$12*Inputs!$B$5*$A89^2/(Inputs!$D$24^2*Inputs!$H$24^4*Inputs!$I$24^2)+Inputs!$G$24*$A89^Inputs!$B$11-Distribution!$B$3)</f>
        <v/>
      </c>
      <c r="D89" s="11">
        <f>IF(Inputs!$D$25=0,NA(),Inputs!$C$25+Inputs!$B$12*Inputs!$B$5*$A89^2/(Inputs!$D$25^2*Inputs!$H$25^4*Inputs!$I$25^2)+Inputs!$G$25*$A89^Inputs!$B$11-Distribution!$B$3)</f>
        <v/>
      </c>
      <c r="E89" s="11">
        <f>IF(Inputs!$D$26=0,NA(),Inputs!$C$26+Inputs!$B$12*Inputs!$B$5*$A89^2/(Inputs!$D$26^2*Inputs!$H$26^4*Inputs!$I$26^2)+Inputs!$G$26*$A89^Inputs!$B$11-Distribution!$B$3)</f>
        <v/>
      </c>
      <c r="F89" s="11">
        <f>IF(Inputs!$D$27=0,NA(),Inputs!$C$27+Inputs!$B$12*Inputs!$B$5*$A89^2/(Inputs!$D$27^2*Inputs!$H$27^4*Inputs!$I$27^2)+Inputs!$G$27*$A89^Inputs!$B$11-Distribution!$B$3)</f>
        <v/>
      </c>
      <c r="G89" s="11">
        <f>IF(Inputs!$D$28=0,NA(),Inputs!$C$28+Inputs!$B$12*Inputs!$B$5*$A89^2/(Inputs!$D$28^2*Inputs!$H$28^4*Inputs!$I$28^2)+Inputs!$G$28*$A89^Inputs!$B$11-Distribution!$B$3)</f>
        <v/>
      </c>
      <c r="H89" s="11">
        <f>IF(Inputs!$D$29=0,NA(),Inputs!$C$29+Inputs!$B$12*Inputs!$B$5*$A89^2/(Inputs!$D$29^2*Inputs!$H$29^4*Inputs!$I$29^2)+Inputs!$G$29*$A89^Inputs!$B$11-Distribution!$B$3)</f>
        <v/>
      </c>
      <c r="I89" s="11">
        <f>IF(Inputs!$D$30=0,NA(),Inputs!$C$30+Inputs!$B$12*Inputs!$B$5*$A89^2/(Inputs!$D$30^2*Inputs!$H$30^4*Inputs!$I$30^2)+Inputs!$G$30*$A89^Inputs!$B$11-Distribution!$B$3)</f>
        <v/>
      </c>
      <c r="J89" s="11">
        <f>IF(Inputs!$D$31=0,NA(),Inputs!$C$31+Inputs!$B$12*Inputs!$B$5*$A89^2/(Inputs!$D$31^2*Inputs!$H$31^4*Inputs!$I$31^2)+Inputs!$G$31*$A89^Inputs!$B$11-Distribution!$B$3)</f>
        <v/>
      </c>
      <c r="K89" s="11">
        <f>IF(Inputs!$D$32=0,NA(),Inputs!$C$32+Inputs!$B$12*Inputs!$B$5*$A89^2/(Inputs!$D$32^2*Inputs!$H$32^4*Inputs!$I$32^2)+Inputs!$G$32*$A89^Inputs!$B$11-Distribution!$B$3)</f>
        <v/>
      </c>
      <c r="L89" s="11">
        <f>IF(Inputs!$D$33=0,NA(),Inputs!$C$33+Inputs!$B$12*Inputs!$B$5*$A89^2/(Inputs!$D$33^2*Inputs!$H$33^4*Inputs!$I$33^2)+Inputs!$G$33*$A89^Inputs!$B$11-Distribution!$B$3)</f>
        <v/>
      </c>
      <c r="M89" s="11">
        <f>IF(Inputs!$D$34=0,NA(),Inputs!$C$34+Inputs!$B$12*Inputs!$B$5*$A89^2/(Inputs!$D$34^2*Inputs!$H$34^4*Inputs!$I$34^2)+Inputs!$G$34*$A89^Inputs!$B$11-Distribution!$B$3)</f>
        <v/>
      </c>
      <c r="N89" s="11">
        <f>Distribution!$B$9-Distribution!$B$3</f>
        <v/>
      </c>
    </row>
    <row r="90">
      <c r="A90" s="11">
        <f>2.2*Inputs!$B$20*85/100</f>
        <v/>
      </c>
      <c r="B90" s="11">
        <f>IF(Inputs!$D$23=0,NA(),Inputs!$C$23+Inputs!$B$12*Inputs!$B$5*$A90^2/(Inputs!$D$23^2*Inputs!$H$23^4*Inputs!$I$23^2)+Inputs!$G$23*$A90^Inputs!$B$11-Distribution!$B$3)</f>
        <v/>
      </c>
      <c r="C90" s="11">
        <f>IF(Inputs!$D$24=0,NA(),Inputs!$C$24+Inputs!$B$12*Inputs!$B$5*$A90^2/(Inputs!$D$24^2*Inputs!$H$24^4*Inputs!$I$24^2)+Inputs!$G$24*$A90^Inputs!$B$11-Distribution!$B$3)</f>
        <v/>
      </c>
      <c r="D90" s="11">
        <f>IF(Inputs!$D$25=0,NA(),Inputs!$C$25+Inputs!$B$12*Inputs!$B$5*$A90^2/(Inputs!$D$25^2*Inputs!$H$25^4*Inputs!$I$25^2)+Inputs!$G$25*$A90^Inputs!$B$11-Distribution!$B$3)</f>
        <v/>
      </c>
      <c r="E90" s="11">
        <f>IF(Inputs!$D$26=0,NA(),Inputs!$C$26+Inputs!$B$12*Inputs!$B$5*$A90^2/(Inputs!$D$26^2*Inputs!$H$26^4*Inputs!$I$26^2)+Inputs!$G$26*$A90^Inputs!$B$11-Distribution!$B$3)</f>
        <v/>
      </c>
      <c r="F90" s="11">
        <f>IF(Inputs!$D$27=0,NA(),Inputs!$C$27+Inputs!$B$12*Inputs!$B$5*$A90^2/(Inputs!$D$27^2*Inputs!$H$27^4*Inputs!$I$27^2)+Inputs!$G$27*$A90^Inputs!$B$11-Distribution!$B$3)</f>
        <v/>
      </c>
      <c r="G90" s="11">
        <f>IF(Inputs!$D$28=0,NA(),Inputs!$C$28+Inputs!$B$12*Inputs!$B$5*$A90^2/(Inputs!$D$28^2*Inputs!$H$28^4*Inputs!$I$28^2)+Inputs!$G$28*$A90^Inputs!$B$11-Distribution!$B$3)</f>
        <v/>
      </c>
      <c r="H90" s="11">
        <f>IF(Inputs!$D$29=0,NA(),Inputs!$C$29+Inputs!$B$12*Inputs!$B$5*$A90^2/(Inputs!$D$29^2*Inputs!$H$29^4*Inputs!$I$29^2)+Inputs!$G$29*$A90^Inputs!$B$11-Distribution!$B$3)</f>
        <v/>
      </c>
      <c r="I90" s="11">
        <f>IF(Inputs!$D$30=0,NA(),Inputs!$C$30+Inputs!$B$12*Inputs!$B$5*$A90^2/(Inputs!$D$30^2*Inputs!$H$30^4*Inputs!$I$30^2)+Inputs!$G$30*$A90^Inputs!$B$11-Distribution!$B$3)</f>
        <v/>
      </c>
      <c r="J90" s="11">
        <f>IF(Inputs!$D$31=0,NA(),Inputs!$C$31+Inputs!$B$12*Inputs!$B$5*$A90^2/(Inputs!$D$31^2*Inputs!$H$31^4*Inputs!$I$31^2)+Inputs!$G$31*$A90^Inputs!$B$11-Distribution!$B$3)</f>
        <v/>
      </c>
      <c r="K90" s="11">
        <f>IF(Inputs!$D$32=0,NA(),Inputs!$C$32+Inputs!$B$12*Inputs!$B$5*$A90^2/(Inputs!$D$32^2*Inputs!$H$32^4*Inputs!$I$32^2)+Inputs!$G$32*$A90^Inputs!$B$11-Distribution!$B$3)</f>
        <v/>
      </c>
      <c r="L90" s="11">
        <f>IF(Inputs!$D$33=0,NA(),Inputs!$C$33+Inputs!$B$12*Inputs!$B$5*$A90^2/(Inputs!$D$33^2*Inputs!$H$33^4*Inputs!$I$33^2)+Inputs!$G$33*$A90^Inputs!$B$11-Distribution!$B$3)</f>
        <v/>
      </c>
      <c r="M90" s="11">
        <f>IF(Inputs!$D$34=0,NA(),Inputs!$C$34+Inputs!$B$12*Inputs!$B$5*$A90^2/(Inputs!$D$34^2*Inputs!$H$34^4*Inputs!$I$34^2)+Inputs!$G$34*$A90^Inputs!$B$11-Distribution!$B$3)</f>
        <v/>
      </c>
      <c r="N90" s="11">
        <f>Distribution!$B$9-Distribution!$B$3</f>
        <v/>
      </c>
    </row>
    <row r="91">
      <c r="A91" s="11">
        <f>2.2*Inputs!$B$20*86/100</f>
        <v/>
      </c>
      <c r="B91" s="11">
        <f>IF(Inputs!$D$23=0,NA(),Inputs!$C$23+Inputs!$B$12*Inputs!$B$5*$A91^2/(Inputs!$D$23^2*Inputs!$H$23^4*Inputs!$I$23^2)+Inputs!$G$23*$A91^Inputs!$B$11-Distribution!$B$3)</f>
        <v/>
      </c>
      <c r="C91" s="11">
        <f>IF(Inputs!$D$24=0,NA(),Inputs!$C$24+Inputs!$B$12*Inputs!$B$5*$A91^2/(Inputs!$D$24^2*Inputs!$H$24^4*Inputs!$I$24^2)+Inputs!$G$24*$A91^Inputs!$B$11-Distribution!$B$3)</f>
        <v/>
      </c>
      <c r="D91" s="11">
        <f>IF(Inputs!$D$25=0,NA(),Inputs!$C$25+Inputs!$B$12*Inputs!$B$5*$A91^2/(Inputs!$D$25^2*Inputs!$H$25^4*Inputs!$I$25^2)+Inputs!$G$25*$A91^Inputs!$B$11-Distribution!$B$3)</f>
        <v/>
      </c>
      <c r="E91" s="11">
        <f>IF(Inputs!$D$26=0,NA(),Inputs!$C$26+Inputs!$B$12*Inputs!$B$5*$A91^2/(Inputs!$D$26^2*Inputs!$H$26^4*Inputs!$I$26^2)+Inputs!$G$26*$A91^Inputs!$B$11-Distribution!$B$3)</f>
        <v/>
      </c>
      <c r="F91" s="11">
        <f>IF(Inputs!$D$27=0,NA(),Inputs!$C$27+Inputs!$B$12*Inputs!$B$5*$A91^2/(Inputs!$D$27^2*Inputs!$H$27^4*Inputs!$I$27^2)+Inputs!$G$27*$A91^Inputs!$B$11-Distribution!$B$3)</f>
        <v/>
      </c>
      <c r="G91" s="11">
        <f>IF(Inputs!$D$28=0,NA(),Inputs!$C$28+Inputs!$B$12*Inputs!$B$5*$A91^2/(Inputs!$D$28^2*Inputs!$H$28^4*Inputs!$I$28^2)+Inputs!$G$28*$A91^Inputs!$B$11-Distribution!$B$3)</f>
        <v/>
      </c>
      <c r="H91" s="11">
        <f>IF(Inputs!$D$29=0,NA(),Inputs!$C$29+Inputs!$B$12*Inputs!$B$5*$A91^2/(Inputs!$D$29^2*Inputs!$H$29^4*Inputs!$I$29^2)+Inputs!$G$29*$A91^Inputs!$B$11-Distribution!$B$3)</f>
        <v/>
      </c>
      <c r="I91" s="11">
        <f>IF(Inputs!$D$30=0,NA(),Inputs!$C$30+Inputs!$B$12*Inputs!$B$5*$A91^2/(Inputs!$D$30^2*Inputs!$H$30^4*Inputs!$I$30^2)+Inputs!$G$30*$A91^Inputs!$B$11-Distribution!$B$3)</f>
        <v/>
      </c>
      <c r="J91" s="11">
        <f>IF(Inputs!$D$31=0,NA(),Inputs!$C$31+Inputs!$B$12*Inputs!$B$5*$A91^2/(Inputs!$D$31^2*Inputs!$H$31^4*Inputs!$I$31^2)+Inputs!$G$31*$A91^Inputs!$B$11-Distribution!$B$3)</f>
        <v/>
      </c>
      <c r="K91" s="11">
        <f>IF(Inputs!$D$32=0,NA(),Inputs!$C$32+Inputs!$B$12*Inputs!$B$5*$A91^2/(Inputs!$D$32^2*Inputs!$H$32^4*Inputs!$I$32^2)+Inputs!$G$32*$A91^Inputs!$B$11-Distribution!$B$3)</f>
        <v/>
      </c>
      <c r="L91" s="11">
        <f>IF(Inputs!$D$33=0,NA(),Inputs!$C$33+Inputs!$B$12*Inputs!$B$5*$A91^2/(Inputs!$D$33^2*Inputs!$H$33^4*Inputs!$I$33^2)+Inputs!$G$33*$A91^Inputs!$B$11-Distribution!$B$3)</f>
        <v/>
      </c>
      <c r="M91" s="11">
        <f>IF(Inputs!$D$34=0,NA(),Inputs!$C$34+Inputs!$B$12*Inputs!$B$5*$A91^2/(Inputs!$D$34^2*Inputs!$H$34^4*Inputs!$I$34^2)+Inputs!$G$34*$A91^Inputs!$B$11-Distribution!$B$3)</f>
        <v/>
      </c>
      <c r="N91" s="11">
        <f>Distribution!$B$9-Distribution!$B$3</f>
        <v/>
      </c>
    </row>
    <row r="92">
      <c r="A92" s="11">
        <f>2.2*Inputs!$B$20*87/100</f>
        <v/>
      </c>
      <c r="B92" s="11">
        <f>IF(Inputs!$D$23=0,NA(),Inputs!$C$23+Inputs!$B$12*Inputs!$B$5*$A92^2/(Inputs!$D$23^2*Inputs!$H$23^4*Inputs!$I$23^2)+Inputs!$G$23*$A92^Inputs!$B$11-Distribution!$B$3)</f>
        <v/>
      </c>
      <c r="C92" s="11">
        <f>IF(Inputs!$D$24=0,NA(),Inputs!$C$24+Inputs!$B$12*Inputs!$B$5*$A92^2/(Inputs!$D$24^2*Inputs!$H$24^4*Inputs!$I$24^2)+Inputs!$G$24*$A92^Inputs!$B$11-Distribution!$B$3)</f>
        <v/>
      </c>
      <c r="D92" s="11">
        <f>IF(Inputs!$D$25=0,NA(),Inputs!$C$25+Inputs!$B$12*Inputs!$B$5*$A92^2/(Inputs!$D$25^2*Inputs!$H$25^4*Inputs!$I$25^2)+Inputs!$G$25*$A92^Inputs!$B$11-Distribution!$B$3)</f>
        <v/>
      </c>
      <c r="E92" s="11">
        <f>IF(Inputs!$D$26=0,NA(),Inputs!$C$26+Inputs!$B$12*Inputs!$B$5*$A92^2/(Inputs!$D$26^2*Inputs!$H$26^4*Inputs!$I$26^2)+Inputs!$G$26*$A92^Inputs!$B$11-Distribution!$B$3)</f>
        <v/>
      </c>
      <c r="F92" s="11">
        <f>IF(Inputs!$D$27=0,NA(),Inputs!$C$27+Inputs!$B$12*Inputs!$B$5*$A92^2/(Inputs!$D$27^2*Inputs!$H$27^4*Inputs!$I$27^2)+Inputs!$G$27*$A92^Inputs!$B$11-Distribution!$B$3)</f>
        <v/>
      </c>
      <c r="G92" s="11">
        <f>IF(Inputs!$D$28=0,NA(),Inputs!$C$28+Inputs!$B$12*Inputs!$B$5*$A92^2/(Inputs!$D$28^2*Inputs!$H$28^4*Inputs!$I$28^2)+Inputs!$G$28*$A92^Inputs!$B$11-Distribution!$B$3)</f>
        <v/>
      </c>
      <c r="H92" s="11">
        <f>IF(Inputs!$D$29=0,NA(),Inputs!$C$29+Inputs!$B$12*Inputs!$B$5*$A92^2/(Inputs!$D$29^2*Inputs!$H$29^4*Inputs!$I$29^2)+Inputs!$G$29*$A92^Inputs!$B$11-Distribution!$B$3)</f>
        <v/>
      </c>
      <c r="I92" s="11">
        <f>IF(Inputs!$D$30=0,NA(),Inputs!$C$30+Inputs!$B$12*Inputs!$B$5*$A92^2/(Inputs!$D$30^2*Inputs!$H$30^4*Inputs!$I$30^2)+Inputs!$G$30*$A92^Inputs!$B$11-Distribution!$B$3)</f>
        <v/>
      </c>
      <c r="J92" s="11">
        <f>IF(Inputs!$D$31=0,NA(),Inputs!$C$31+Inputs!$B$12*Inputs!$B$5*$A92^2/(Inputs!$D$31^2*Inputs!$H$31^4*Inputs!$I$31^2)+Inputs!$G$31*$A92^Inputs!$B$11-Distribution!$B$3)</f>
        <v/>
      </c>
      <c r="K92" s="11">
        <f>IF(Inputs!$D$32=0,NA(),Inputs!$C$32+Inputs!$B$12*Inputs!$B$5*$A92^2/(Inputs!$D$32^2*Inputs!$H$32^4*Inputs!$I$32^2)+Inputs!$G$32*$A92^Inputs!$B$11-Distribution!$B$3)</f>
        <v/>
      </c>
      <c r="L92" s="11">
        <f>IF(Inputs!$D$33=0,NA(),Inputs!$C$33+Inputs!$B$12*Inputs!$B$5*$A92^2/(Inputs!$D$33^2*Inputs!$H$33^4*Inputs!$I$33^2)+Inputs!$G$33*$A92^Inputs!$B$11-Distribution!$B$3)</f>
        <v/>
      </c>
      <c r="M92" s="11">
        <f>IF(Inputs!$D$34=0,NA(),Inputs!$C$34+Inputs!$B$12*Inputs!$B$5*$A92^2/(Inputs!$D$34^2*Inputs!$H$34^4*Inputs!$I$34^2)+Inputs!$G$34*$A92^Inputs!$B$11-Distribution!$B$3)</f>
        <v/>
      </c>
      <c r="N92" s="11">
        <f>Distribution!$B$9-Distribution!$B$3</f>
        <v/>
      </c>
    </row>
    <row r="93">
      <c r="A93" s="11">
        <f>2.2*Inputs!$B$20*88/100</f>
        <v/>
      </c>
      <c r="B93" s="11">
        <f>IF(Inputs!$D$23=0,NA(),Inputs!$C$23+Inputs!$B$12*Inputs!$B$5*$A93^2/(Inputs!$D$23^2*Inputs!$H$23^4*Inputs!$I$23^2)+Inputs!$G$23*$A93^Inputs!$B$11-Distribution!$B$3)</f>
        <v/>
      </c>
      <c r="C93" s="11">
        <f>IF(Inputs!$D$24=0,NA(),Inputs!$C$24+Inputs!$B$12*Inputs!$B$5*$A93^2/(Inputs!$D$24^2*Inputs!$H$24^4*Inputs!$I$24^2)+Inputs!$G$24*$A93^Inputs!$B$11-Distribution!$B$3)</f>
        <v/>
      </c>
      <c r="D93" s="11">
        <f>IF(Inputs!$D$25=0,NA(),Inputs!$C$25+Inputs!$B$12*Inputs!$B$5*$A93^2/(Inputs!$D$25^2*Inputs!$H$25^4*Inputs!$I$25^2)+Inputs!$G$25*$A93^Inputs!$B$11-Distribution!$B$3)</f>
        <v/>
      </c>
      <c r="E93" s="11">
        <f>IF(Inputs!$D$26=0,NA(),Inputs!$C$26+Inputs!$B$12*Inputs!$B$5*$A93^2/(Inputs!$D$26^2*Inputs!$H$26^4*Inputs!$I$26^2)+Inputs!$G$26*$A93^Inputs!$B$11-Distribution!$B$3)</f>
        <v/>
      </c>
      <c r="F93" s="11">
        <f>IF(Inputs!$D$27=0,NA(),Inputs!$C$27+Inputs!$B$12*Inputs!$B$5*$A93^2/(Inputs!$D$27^2*Inputs!$H$27^4*Inputs!$I$27^2)+Inputs!$G$27*$A93^Inputs!$B$11-Distribution!$B$3)</f>
        <v/>
      </c>
      <c r="G93" s="11">
        <f>IF(Inputs!$D$28=0,NA(),Inputs!$C$28+Inputs!$B$12*Inputs!$B$5*$A93^2/(Inputs!$D$28^2*Inputs!$H$28^4*Inputs!$I$28^2)+Inputs!$G$28*$A93^Inputs!$B$11-Distribution!$B$3)</f>
        <v/>
      </c>
      <c r="H93" s="11">
        <f>IF(Inputs!$D$29=0,NA(),Inputs!$C$29+Inputs!$B$12*Inputs!$B$5*$A93^2/(Inputs!$D$29^2*Inputs!$H$29^4*Inputs!$I$29^2)+Inputs!$G$29*$A93^Inputs!$B$11-Distribution!$B$3)</f>
        <v/>
      </c>
      <c r="I93" s="11">
        <f>IF(Inputs!$D$30=0,NA(),Inputs!$C$30+Inputs!$B$12*Inputs!$B$5*$A93^2/(Inputs!$D$30^2*Inputs!$H$30^4*Inputs!$I$30^2)+Inputs!$G$30*$A93^Inputs!$B$11-Distribution!$B$3)</f>
        <v/>
      </c>
      <c r="J93" s="11">
        <f>IF(Inputs!$D$31=0,NA(),Inputs!$C$31+Inputs!$B$12*Inputs!$B$5*$A93^2/(Inputs!$D$31^2*Inputs!$H$31^4*Inputs!$I$31^2)+Inputs!$G$31*$A93^Inputs!$B$11-Distribution!$B$3)</f>
        <v/>
      </c>
      <c r="K93" s="11">
        <f>IF(Inputs!$D$32=0,NA(),Inputs!$C$32+Inputs!$B$12*Inputs!$B$5*$A93^2/(Inputs!$D$32^2*Inputs!$H$32^4*Inputs!$I$32^2)+Inputs!$G$32*$A93^Inputs!$B$11-Distribution!$B$3)</f>
        <v/>
      </c>
      <c r="L93" s="11">
        <f>IF(Inputs!$D$33=0,NA(),Inputs!$C$33+Inputs!$B$12*Inputs!$B$5*$A93^2/(Inputs!$D$33^2*Inputs!$H$33^4*Inputs!$I$33^2)+Inputs!$G$33*$A93^Inputs!$B$11-Distribution!$B$3)</f>
        <v/>
      </c>
      <c r="M93" s="11">
        <f>IF(Inputs!$D$34=0,NA(),Inputs!$C$34+Inputs!$B$12*Inputs!$B$5*$A93^2/(Inputs!$D$34^2*Inputs!$H$34^4*Inputs!$I$34^2)+Inputs!$G$34*$A93^Inputs!$B$11-Distribution!$B$3)</f>
        <v/>
      </c>
      <c r="N93" s="11">
        <f>Distribution!$B$9-Distribution!$B$3</f>
        <v/>
      </c>
    </row>
    <row r="94">
      <c r="A94" s="11">
        <f>2.2*Inputs!$B$20*89/100</f>
        <v/>
      </c>
      <c r="B94" s="11">
        <f>IF(Inputs!$D$23=0,NA(),Inputs!$C$23+Inputs!$B$12*Inputs!$B$5*$A94^2/(Inputs!$D$23^2*Inputs!$H$23^4*Inputs!$I$23^2)+Inputs!$G$23*$A94^Inputs!$B$11-Distribution!$B$3)</f>
        <v/>
      </c>
      <c r="C94" s="11">
        <f>IF(Inputs!$D$24=0,NA(),Inputs!$C$24+Inputs!$B$12*Inputs!$B$5*$A94^2/(Inputs!$D$24^2*Inputs!$H$24^4*Inputs!$I$24^2)+Inputs!$G$24*$A94^Inputs!$B$11-Distribution!$B$3)</f>
        <v/>
      </c>
      <c r="D94" s="11">
        <f>IF(Inputs!$D$25=0,NA(),Inputs!$C$25+Inputs!$B$12*Inputs!$B$5*$A94^2/(Inputs!$D$25^2*Inputs!$H$25^4*Inputs!$I$25^2)+Inputs!$G$25*$A94^Inputs!$B$11-Distribution!$B$3)</f>
        <v/>
      </c>
      <c r="E94" s="11">
        <f>IF(Inputs!$D$26=0,NA(),Inputs!$C$26+Inputs!$B$12*Inputs!$B$5*$A94^2/(Inputs!$D$26^2*Inputs!$H$26^4*Inputs!$I$26^2)+Inputs!$G$26*$A94^Inputs!$B$11-Distribution!$B$3)</f>
        <v/>
      </c>
      <c r="F94" s="11">
        <f>IF(Inputs!$D$27=0,NA(),Inputs!$C$27+Inputs!$B$12*Inputs!$B$5*$A94^2/(Inputs!$D$27^2*Inputs!$H$27^4*Inputs!$I$27^2)+Inputs!$G$27*$A94^Inputs!$B$11-Distribution!$B$3)</f>
        <v/>
      </c>
      <c r="G94" s="11">
        <f>IF(Inputs!$D$28=0,NA(),Inputs!$C$28+Inputs!$B$12*Inputs!$B$5*$A94^2/(Inputs!$D$28^2*Inputs!$H$28^4*Inputs!$I$28^2)+Inputs!$G$28*$A94^Inputs!$B$11-Distribution!$B$3)</f>
        <v/>
      </c>
      <c r="H94" s="11">
        <f>IF(Inputs!$D$29=0,NA(),Inputs!$C$29+Inputs!$B$12*Inputs!$B$5*$A94^2/(Inputs!$D$29^2*Inputs!$H$29^4*Inputs!$I$29^2)+Inputs!$G$29*$A94^Inputs!$B$11-Distribution!$B$3)</f>
        <v/>
      </c>
      <c r="I94" s="11">
        <f>IF(Inputs!$D$30=0,NA(),Inputs!$C$30+Inputs!$B$12*Inputs!$B$5*$A94^2/(Inputs!$D$30^2*Inputs!$H$30^4*Inputs!$I$30^2)+Inputs!$G$30*$A94^Inputs!$B$11-Distribution!$B$3)</f>
        <v/>
      </c>
      <c r="J94" s="11">
        <f>IF(Inputs!$D$31=0,NA(),Inputs!$C$31+Inputs!$B$12*Inputs!$B$5*$A94^2/(Inputs!$D$31^2*Inputs!$H$31^4*Inputs!$I$31^2)+Inputs!$G$31*$A94^Inputs!$B$11-Distribution!$B$3)</f>
        <v/>
      </c>
      <c r="K94" s="11">
        <f>IF(Inputs!$D$32=0,NA(),Inputs!$C$32+Inputs!$B$12*Inputs!$B$5*$A94^2/(Inputs!$D$32^2*Inputs!$H$32^4*Inputs!$I$32^2)+Inputs!$G$32*$A94^Inputs!$B$11-Distribution!$B$3)</f>
        <v/>
      </c>
      <c r="L94" s="11">
        <f>IF(Inputs!$D$33=0,NA(),Inputs!$C$33+Inputs!$B$12*Inputs!$B$5*$A94^2/(Inputs!$D$33^2*Inputs!$H$33^4*Inputs!$I$33^2)+Inputs!$G$33*$A94^Inputs!$B$11-Distribution!$B$3)</f>
        <v/>
      </c>
      <c r="M94" s="11">
        <f>IF(Inputs!$D$34=0,NA(),Inputs!$C$34+Inputs!$B$12*Inputs!$B$5*$A94^2/(Inputs!$D$34^2*Inputs!$H$34^4*Inputs!$I$34^2)+Inputs!$G$34*$A94^Inputs!$B$11-Distribution!$B$3)</f>
        <v/>
      </c>
      <c r="N94" s="11">
        <f>Distribution!$B$9-Distribution!$B$3</f>
        <v/>
      </c>
    </row>
    <row r="95">
      <c r="A95" s="11">
        <f>2.2*Inputs!$B$20*90/100</f>
        <v/>
      </c>
      <c r="B95" s="11">
        <f>IF(Inputs!$D$23=0,NA(),Inputs!$C$23+Inputs!$B$12*Inputs!$B$5*$A95^2/(Inputs!$D$23^2*Inputs!$H$23^4*Inputs!$I$23^2)+Inputs!$G$23*$A95^Inputs!$B$11-Distribution!$B$3)</f>
        <v/>
      </c>
      <c r="C95" s="11">
        <f>IF(Inputs!$D$24=0,NA(),Inputs!$C$24+Inputs!$B$12*Inputs!$B$5*$A95^2/(Inputs!$D$24^2*Inputs!$H$24^4*Inputs!$I$24^2)+Inputs!$G$24*$A95^Inputs!$B$11-Distribution!$B$3)</f>
        <v/>
      </c>
      <c r="D95" s="11">
        <f>IF(Inputs!$D$25=0,NA(),Inputs!$C$25+Inputs!$B$12*Inputs!$B$5*$A95^2/(Inputs!$D$25^2*Inputs!$H$25^4*Inputs!$I$25^2)+Inputs!$G$25*$A95^Inputs!$B$11-Distribution!$B$3)</f>
        <v/>
      </c>
      <c r="E95" s="11">
        <f>IF(Inputs!$D$26=0,NA(),Inputs!$C$26+Inputs!$B$12*Inputs!$B$5*$A95^2/(Inputs!$D$26^2*Inputs!$H$26^4*Inputs!$I$26^2)+Inputs!$G$26*$A95^Inputs!$B$11-Distribution!$B$3)</f>
        <v/>
      </c>
      <c r="F95" s="11">
        <f>IF(Inputs!$D$27=0,NA(),Inputs!$C$27+Inputs!$B$12*Inputs!$B$5*$A95^2/(Inputs!$D$27^2*Inputs!$H$27^4*Inputs!$I$27^2)+Inputs!$G$27*$A95^Inputs!$B$11-Distribution!$B$3)</f>
        <v/>
      </c>
      <c r="G95" s="11">
        <f>IF(Inputs!$D$28=0,NA(),Inputs!$C$28+Inputs!$B$12*Inputs!$B$5*$A95^2/(Inputs!$D$28^2*Inputs!$H$28^4*Inputs!$I$28^2)+Inputs!$G$28*$A95^Inputs!$B$11-Distribution!$B$3)</f>
        <v/>
      </c>
      <c r="H95" s="11">
        <f>IF(Inputs!$D$29=0,NA(),Inputs!$C$29+Inputs!$B$12*Inputs!$B$5*$A95^2/(Inputs!$D$29^2*Inputs!$H$29^4*Inputs!$I$29^2)+Inputs!$G$29*$A95^Inputs!$B$11-Distribution!$B$3)</f>
        <v/>
      </c>
      <c r="I95" s="11">
        <f>IF(Inputs!$D$30=0,NA(),Inputs!$C$30+Inputs!$B$12*Inputs!$B$5*$A95^2/(Inputs!$D$30^2*Inputs!$H$30^4*Inputs!$I$30^2)+Inputs!$G$30*$A95^Inputs!$B$11-Distribution!$B$3)</f>
        <v/>
      </c>
      <c r="J95" s="11">
        <f>IF(Inputs!$D$31=0,NA(),Inputs!$C$31+Inputs!$B$12*Inputs!$B$5*$A95^2/(Inputs!$D$31^2*Inputs!$H$31^4*Inputs!$I$31^2)+Inputs!$G$31*$A95^Inputs!$B$11-Distribution!$B$3)</f>
        <v/>
      </c>
      <c r="K95" s="11">
        <f>IF(Inputs!$D$32=0,NA(),Inputs!$C$32+Inputs!$B$12*Inputs!$B$5*$A95^2/(Inputs!$D$32^2*Inputs!$H$32^4*Inputs!$I$32^2)+Inputs!$G$32*$A95^Inputs!$B$11-Distribution!$B$3)</f>
        <v/>
      </c>
      <c r="L95" s="11">
        <f>IF(Inputs!$D$33=0,NA(),Inputs!$C$33+Inputs!$B$12*Inputs!$B$5*$A95^2/(Inputs!$D$33^2*Inputs!$H$33^4*Inputs!$I$33^2)+Inputs!$G$33*$A95^Inputs!$B$11-Distribution!$B$3)</f>
        <v/>
      </c>
      <c r="M95" s="11">
        <f>IF(Inputs!$D$34=0,NA(),Inputs!$C$34+Inputs!$B$12*Inputs!$B$5*$A95^2/(Inputs!$D$34^2*Inputs!$H$34^4*Inputs!$I$34^2)+Inputs!$G$34*$A95^Inputs!$B$11-Distribution!$B$3)</f>
        <v/>
      </c>
      <c r="N95" s="11">
        <f>Distribution!$B$9-Distribution!$B$3</f>
        <v/>
      </c>
    </row>
    <row r="96">
      <c r="A96" s="11">
        <f>2.2*Inputs!$B$20*91/100</f>
        <v/>
      </c>
      <c r="B96" s="11">
        <f>IF(Inputs!$D$23=0,NA(),Inputs!$C$23+Inputs!$B$12*Inputs!$B$5*$A96^2/(Inputs!$D$23^2*Inputs!$H$23^4*Inputs!$I$23^2)+Inputs!$G$23*$A96^Inputs!$B$11-Distribution!$B$3)</f>
        <v/>
      </c>
      <c r="C96" s="11">
        <f>IF(Inputs!$D$24=0,NA(),Inputs!$C$24+Inputs!$B$12*Inputs!$B$5*$A96^2/(Inputs!$D$24^2*Inputs!$H$24^4*Inputs!$I$24^2)+Inputs!$G$24*$A96^Inputs!$B$11-Distribution!$B$3)</f>
        <v/>
      </c>
      <c r="D96" s="11">
        <f>IF(Inputs!$D$25=0,NA(),Inputs!$C$25+Inputs!$B$12*Inputs!$B$5*$A96^2/(Inputs!$D$25^2*Inputs!$H$25^4*Inputs!$I$25^2)+Inputs!$G$25*$A96^Inputs!$B$11-Distribution!$B$3)</f>
        <v/>
      </c>
      <c r="E96" s="11">
        <f>IF(Inputs!$D$26=0,NA(),Inputs!$C$26+Inputs!$B$12*Inputs!$B$5*$A96^2/(Inputs!$D$26^2*Inputs!$H$26^4*Inputs!$I$26^2)+Inputs!$G$26*$A96^Inputs!$B$11-Distribution!$B$3)</f>
        <v/>
      </c>
      <c r="F96" s="11">
        <f>IF(Inputs!$D$27=0,NA(),Inputs!$C$27+Inputs!$B$12*Inputs!$B$5*$A96^2/(Inputs!$D$27^2*Inputs!$H$27^4*Inputs!$I$27^2)+Inputs!$G$27*$A96^Inputs!$B$11-Distribution!$B$3)</f>
        <v/>
      </c>
      <c r="G96" s="11">
        <f>IF(Inputs!$D$28=0,NA(),Inputs!$C$28+Inputs!$B$12*Inputs!$B$5*$A96^2/(Inputs!$D$28^2*Inputs!$H$28^4*Inputs!$I$28^2)+Inputs!$G$28*$A96^Inputs!$B$11-Distribution!$B$3)</f>
        <v/>
      </c>
      <c r="H96" s="11">
        <f>IF(Inputs!$D$29=0,NA(),Inputs!$C$29+Inputs!$B$12*Inputs!$B$5*$A96^2/(Inputs!$D$29^2*Inputs!$H$29^4*Inputs!$I$29^2)+Inputs!$G$29*$A96^Inputs!$B$11-Distribution!$B$3)</f>
        <v/>
      </c>
      <c r="I96" s="11">
        <f>IF(Inputs!$D$30=0,NA(),Inputs!$C$30+Inputs!$B$12*Inputs!$B$5*$A96^2/(Inputs!$D$30^2*Inputs!$H$30^4*Inputs!$I$30^2)+Inputs!$G$30*$A96^Inputs!$B$11-Distribution!$B$3)</f>
        <v/>
      </c>
      <c r="J96" s="11">
        <f>IF(Inputs!$D$31=0,NA(),Inputs!$C$31+Inputs!$B$12*Inputs!$B$5*$A96^2/(Inputs!$D$31^2*Inputs!$H$31^4*Inputs!$I$31^2)+Inputs!$G$31*$A96^Inputs!$B$11-Distribution!$B$3)</f>
        <v/>
      </c>
      <c r="K96" s="11">
        <f>IF(Inputs!$D$32=0,NA(),Inputs!$C$32+Inputs!$B$12*Inputs!$B$5*$A96^2/(Inputs!$D$32^2*Inputs!$H$32^4*Inputs!$I$32^2)+Inputs!$G$32*$A96^Inputs!$B$11-Distribution!$B$3)</f>
        <v/>
      </c>
      <c r="L96" s="11">
        <f>IF(Inputs!$D$33=0,NA(),Inputs!$C$33+Inputs!$B$12*Inputs!$B$5*$A96^2/(Inputs!$D$33^2*Inputs!$H$33^4*Inputs!$I$33^2)+Inputs!$G$33*$A96^Inputs!$B$11-Distribution!$B$3)</f>
        <v/>
      </c>
      <c r="M96" s="11">
        <f>IF(Inputs!$D$34=0,NA(),Inputs!$C$34+Inputs!$B$12*Inputs!$B$5*$A96^2/(Inputs!$D$34^2*Inputs!$H$34^4*Inputs!$I$34^2)+Inputs!$G$34*$A96^Inputs!$B$11-Distribution!$B$3)</f>
        <v/>
      </c>
      <c r="N96" s="11">
        <f>Distribution!$B$9-Distribution!$B$3</f>
        <v/>
      </c>
    </row>
    <row r="97">
      <c r="A97" s="11">
        <f>2.2*Inputs!$B$20*92/100</f>
        <v/>
      </c>
      <c r="B97" s="11">
        <f>IF(Inputs!$D$23=0,NA(),Inputs!$C$23+Inputs!$B$12*Inputs!$B$5*$A97^2/(Inputs!$D$23^2*Inputs!$H$23^4*Inputs!$I$23^2)+Inputs!$G$23*$A97^Inputs!$B$11-Distribution!$B$3)</f>
        <v/>
      </c>
      <c r="C97" s="11">
        <f>IF(Inputs!$D$24=0,NA(),Inputs!$C$24+Inputs!$B$12*Inputs!$B$5*$A97^2/(Inputs!$D$24^2*Inputs!$H$24^4*Inputs!$I$24^2)+Inputs!$G$24*$A97^Inputs!$B$11-Distribution!$B$3)</f>
        <v/>
      </c>
      <c r="D97" s="11">
        <f>IF(Inputs!$D$25=0,NA(),Inputs!$C$25+Inputs!$B$12*Inputs!$B$5*$A97^2/(Inputs!$D$25^2*Inputs!$H$25^4*Inputs!$I$25^2)+Inputs!$G$25*$A97^Inputs!$B$11-Distribution!$B$3)</f>
        <v/>
      </c>
      <c r="E97" s="11">
        <f>IF(Inputs!$D$26=0,NA(),Inputs!$C$26+Inputs!$B$12*Inputs!$B$5*$A97^2/(Inputs!$D$26^2*Inputs!$H$26^4*Inputs!$I$26^2)+Inputs!$G$26*$A97^Inputs!$B$11-Distribution!$B$3)</f>
        <v/>
      </c>
      <c r="F97" s="11">
        <f>IF(Inputs!$D$27=0,NA(),Inputs!$C$27+Inputs!$B$12*Inputs!$B$5*$A97^2/(Inputs!$D$27^2*Inputs!$H$27^4*Inputs!$I$27^2)+Inputs!$G$27*$A97^Inputs!$B$11-Distribution!$B$3)</f>
        <v/>
      </c>
      <c r="G97" s="11">
        <f>IF(Inputs!$D$28=0,NA(),Inputs!$C$28+Inputs!$B$12*Inputs!$B$5*$A97^2/(Inputs!$D$28^2*Inputs!$H$28^4*Inputs!$I$28^2)+Inputs!$G$28*$A97^Inputs!$B$11-Distribution!$B$3)</f>
        <v/>
      </c>
      <c r="H97" s="11">
        <f>IF(Inputs!$D$29=0,NA(),Inputs!$C$29+Inputs!$B$12*Inputs!$B$5*$A97^2/(Inputs!$D$29^2*Inputs!$H$29^4*Inputs!$I$29^2)+Inputs!$G$29*$A97^Inputs!$B$11-Distribution!$B$3)</f>
        <v/>
      </c>
      <c r="I97" s="11">
        <f>IF(Inputs!$D$30=0,NA(),Inputs!$C$30+Inputs!$B$12*Inputs!$B$5*$A97^2/(Inputs!$D$30^2*Inputs!$H$30^4*Inputs!$I$30^2)+Inputs!$G$30*$A97^Inputs!$B$11-Distribution!$B$3)</f>
        <v/>
      </c>
      <c r="J97" s="11">
        <f>IF(Inputs!$D$31=0,NA(),Inputs!$C$31+Inputs!$B$12*Inputs!$B$5*$A97^2/(Inputs!$D$31^2*Inputs!$H$31^4*Inputs!$I$31^2)+Inputs!$G$31*$A97^Inputs!$B$11-Distribution!$B$3)</f>
        <v/>
      </c>
      <c r="K97" s="11">
        <f>IF(Inputs!$D$32=0,NA(),Inputs!$C$32+Inputs!$B$12*Inputs!$B$5*$A97^2/(Inputs!$D$32^2*Inputs!$H$32^4*Inputs!$I$32^2)+Inputs!$G$32*$A97^Inputs!$B$11-Distribution!$B$3)</f>
        <v/>
      </c>
      <c r="L97" s="11">
        <f>IF(Inputs!$D$33=0,NA(),Inputs!$C$33+Inputs!$B$12*Inputs!$B$5*$A97^2/(Inputs!$D$33^2*Inputs!$H$33^4*Inputs!$I$33^2)+Inputs!$G$33*$A97^Inputs!$B$11-Distribution!$B$3)</f>
        <v/>
      </c>
      <c r="M97" s="11">
        <f>IF(Inputs!$D$34=0,NA(),Inputs!$C$34+Inputs!$B$12*Inputs!$B$5*$A97^2/(Inputs!$D$34^2*Inputs!$H$34^4*Inputs!$I$34^2)+Inputs!$G$34*$A97^Inputs!$B$11-Distribution!$B$3)</f>
        <v/>
      </c>
      <c r="N97" s="11">
        <f>Distribution!$B$9-Distribution!$B$3</f>
        <v/>
      </c>
    </row>
    <row r="98">
      <c r="A98" s="11">
        <f>2.2*Inputs!$B$20*93/100</f>
        <v/>
      </c>
      <c r="B98" s="11">
        <f>IF(Inputs!$D$23=0,NA(),Inputs!$C$23+Inputs!$B$12*Inputs!$B$5*$A98^2/(Inputs!$D$23^2*Inputs!$H$23^4*Inputs!$I$23^2)+Inputs!$G$23*$A98^Inputs!$B$11-Distribution!$B$3)</f>
        <v/>
      </c>
      <c r="C98" s="11">
        <f>IF(Inputs!$D$24=0,NA(),Inputs!$C$24+Inputs!$B$12*Inputs!$B$5*$A98^2/(Inputs!$D$24^2*Inputs!$H$24^4*Inputs!$I$24^2)+Inputs!$G$24*$A98^Inputs!$B$11-Distribution!$B$3)</f>
        <v/>
      </c>
      <c r="D98" s="11">
        <f>IF(Inputs!$D$25=0,NA(),Inputs!$C$25+Inputs!$B$12*Inputs!$B$5*$A98^2/(Inputs!$D$25^2*Inputs!$H$25^4*Inputs!$I$25^2)+Inputs!$G$25*$A98^Inputs!$B$11-Distribution!$B$3)</f>
        <v/>
      </c>
      <c r="E98" s="11">
        <f>IF(Inputs!$D$26=0,NA(),Inputs!$C$26+Inputs!$B$12*Inputs!$B$5*$A98^2/(Inputs!$D$26^2*Inputs!$H$26^4*Inputs!$I$26^2)+Inputs!$G$26*$A98^Inputs!$B$11-Distribution!$B$3)</f>
        <v/>
      </c>
      <c r="F98" s="11">
        <f>IF(Inputs!$D$27=0,NA(),Inputs!$C$27+Inputs!$B$12*Inputs!$B$5*$A98^2/(Inputs!$D$27^2*Inputs!$H$27^4*Inputs!$I$27^2)+Inputs!$G$27*$A98^Inputs!$B$11-Distribution!$B$3)</f>
        <v/>
      </c>
      <c r="G98" s="11">
        <f>IF(Inputs!$D$28=0,NA(),Inputs!$C$28+Inputs!$B$12*Inputs!$B$5*$A98^2/(Inputs!$D$28^2*Inputs!$H$28^4*Inputs!$I$28^2)+Inputs!$G$28*$A98^Inputs!$B$11-Distribution!$B$3)</f>
        <v/>
      </c>
      <c r="H98" s="11">
        <f>IF(Inputs!$D$29=0,NA(),Inputs!$C$29+Inputs!$B$12*Inputs!$B$5*$A98^2/(Inputs!$D$29^2*Inputs!$H$29^4*Inputs!$I$29^2)+Inputs!$G$29*$A98^Inputs!$B$11-Distribution!$B$3)</f>
        <v/>
      </c>
      <c r="I98" s="11">
        <f>IF(Inputs!$D$30=0,NA(),Inputs!$C$30+Inputs!$B$12*Inputs!$B$5*$A98^2/(Inputs!$D$30^2*Inputs!$H$30^4*Inputs!$I$30^2)+Inputs!$G$30*$A98^Inputs!$B$11-Distribution!$B$3)</f>
        <v/>
      </c>
      <c r="J98" s="11">
        <f>IF(Inputs!$D$31=0,NA(),Inputs!$C$31+Inputs!$B$12*Inputs!$B$5*$A98^2/(Inputs!$D$31^2*Inputs!$H$31^4*Inputs!$I$31^2)+Inputs!$G$31*$A98^Inputs!$B$11-Distribution!$B$3)</f>
        <v/>
      </c>
      <c r="K98" s="11">
        <f>IF(Inputs!$D$32=0,NA(),Inputs!$C$32+Inputs!$B$12*Inputs!$B$5*$A98^2/(Inputs!$D$32^2*Inputs!$H$32^4*Inputs!$I$32^2)+Inputs!$G$32*$A98^Inputs!$B$11-Distribution!$B$3)</f>
        <v/>
      </c>
      <c r="L98" s="11">
        <f>IF(Inputs!$D$33=0,NA(),Inputs!$C$33+Inputs!$B$12*Inputs!$B$5*$A98^2/(Inputs!$D$33^2*Inputs!$H$33^4*Inputs!$I$33^2)+Inputs!$G$33*$A98^Inputs!$B$11-Distribution!$B$3)</f>
        <v/>
      </c>
      <c r="M98" s="11">
        <f>IF(Inputs!$D$34=0,NA(),Inputs!$C$34+Inputs!$B$12*Inputs!$B$5*$A98^2/(Inputs!$D$34^2*Inputs!$H$34^4*Inputs!$I$34^2)+Inputs!$G$34*$A98^Inputs!$B$11-Distribution!$B$3)</f>
        <v/>
      </c>
      <c r="N98" s="11">
        <f>Distribution!$B$9-Distribution!$B$3</f>
        <v/>
      </c>
    </row>
    <row r="99">
      <c r="A99" s="11">
        <f>2.2*Inputs!$B$20*94/100</f>
        <v/>
      </c>
      <c r="B99" s="11">
        <f>IF(Inputs!$D$23=0,NA(),Inputs!$C$23+Inputs!$B$12*Inputs!$B$5*$A99^2/(Inputs!$D$23^2*Inputs!$H$23^4*Inputs!$I$23^2)+Inputs!$G$23*$A99^Inputs!$B$11-Distribution!$B$3)</f>
        <v/>
      </c>
      <c r="C99" s="11">
        <f>IF(Inputs!$D$24=0,NA(),Inputs!$C$24+Inputs!$B$12*Inputs!$B$5*$A99^2/(Inputs!$D$24^2*Inputs!$H$24^4*Inputs!$I$24^2)+Inputs!$G$24*$A99^Inputs!$B$11-Distribution!$B$3)</f>
        <v/>
      </c>
      <c r="D99" s="11">
        <f>IF(Inputs!$D$25=0,NA(),Inputs!$C$25+Inputs!$B$12*Inputs!$B$5*$A99^2/(Inputs!$D$25^2*Inputs!$H$25^4*Inputs!$I$25^2)+Inputs!$G$25*$A99^Inputs!$B$11-Distribution!$B$3)</f>
        <v/>
      </c>
      <c r="E99" s="11">
        <f>IF(Inputs!$D$26=0,NA(),Inputs!$C$26+Inputs!$B$12*Inputs!$B$5*$A99^2/(Inputs!$D$26^2*Inputs!$H$26^4*Inputs!$I$26^2)+Inputs!$G$26*$A99^Inputs!$B$11-Distribution!$B$3)</f>
        <v/>
      </c>
      <c r="F99" s="11">
        <f>IF(Inputs!$D$27=0,NA(),Inputs!$C$27+Inputs!$B$12*Inputs!$B$5*$A99^2/(Inputs!$D$27^2*Inputs!$H$27^4*Inputs!$I$27^2)+Inputs!$G$27*$A99^Inputs!$B$11-Distribution!$B$3)</f>
        <v/>
      </c>
      <c r="G99" s="11">
        <f>IF(Inputs!$D$28=0,NA(),Inputs!$C$28+Inputs!$B$12*Inputs!$B$5*$A99^2/(Inputs!$D$28^2*Inputs!$H$28^4*Inputs!$I$28^2)+Inputs!$G$28*$A99^Inputs!$B$11-Distribution!$B$3)</f>
        <v/>
      </c>
      <c r="H99" s="11">
        <f>IF(Inputs!$D$29=0,NA(),Inputs!$C$29+Inputs!$B$12*Inputs!$B$5*$A99^2/(Inputs!$D$29^2*Inputs!$H$29^4*Inputs!$I$29^2)+Inputs!$G$29*$A99^Inputs!$B$11-Distribution!$B$3)</f>
        <v/>
      </c>
      <c r="I99" s="11">
        <f>IF(Inputs!$D$30=0,NA(),Inputs!$C$30+Inputs!$B$12*Inputs!$B$5*$A99^2/(Inputs!$D$30^2*Inputs!$H$30^4*Inputs!$I$30^2)+Inputs!$G$30*$A99^Inputs!$B$11-Distribution!$B$3)</f>
        <v/>
      </c>
      <c r="J99" s="11">
        <f>IF(Inputs!$D$31=0,NA(),Inputs!$C$31+Inputs!$B$12*Inputs!$B$5*$A99^2/(Inputs!$D$31^2*Inputs!$H$31^4*Inputs!$I$31^2)+Inputs!$G$31*$A99^Inputs!$B$11-Distribution!$B$3)</f>
        <v/>
      </c>
      <c r="K99" s="11">
        <f>IF(Inputs!$D$32=0,NA(),Inputs!$C$32+Inputs!$B$12*Inputs!$B$5*$A99^2/(Inputs!$D$32^2*Inputs!$H$32^4*Inputs!$I$32^2)+Inputs!$G$32*$A99^Inputs!$B$11-Distribution!$B$3)</f>
        <v/>
      </c>
      <c r="L99" s="11">
        <f>IF(Inputs!$D$33=0,NA(),Inputs!$C$33+Inputs!$B$12*Inputs!$B$5*$A99^2/(Inputs!$D$33^2*Inputs!$H$33^4*Inputs!$I$33^2)+Inputs!$G$33*$A99^Inputs!$B$11-Distribution!$B$3)</f>
        <v/>
      </c>
      <c r="M99" s="11">
        <f>IF(Inputs!$D$34=0,NA(),Inputs!$C$34+Inputs!$B$12*Inputs!$B$5*$A99^2/(Inputs!$D$34^2*Inputs!$H$34^4*Inputs!$I$34^2)+Inputs!$G$34*$A99^Inputs!$B$11-Distribution!$B$3)</f>
        <v/>
      </c>
      <c r="N99" s="11">
        <f>Distribution!$B$9-Distribution!$B$3</f>
        <v/>
      </c>
    </row>
    <row r="100">
      <c r="A100" s="11">
        <f>2.2*Inputs!$B$20*95/100</f>
        <v/>
      </c>
      <c r="B100" s="11">
        <f>IF(Inputs!$D$23=0,NA(),Inputs!$C$23+Inputs!$B$12*Inputs!$B$5*$A100^2/(Inputs!$D$23^2*Inputs!$H$23^4*Inputs!$I$23^2)+Inputs!$G$23*$A100^Inputs!$B$11-Distribution!$B$3)</f>
        <v/>
      </c>
      <c r="C100" s="11">
        <f>IF(Inputs!$D$24=0,NA(),Inputs!$C$24+Inputs!$B$12*Inputs!$B$5*$A100^2/(Inputs!$D$24^2*Inputs!$H$24^4*Inputs!$I$24^2)+Inputs!$G$24*$A100^Inputs!$B$11-Distribution!$B$3)</f>
        <v/>
      </c>
      <c r="D100" s="11">
        <f>IF(Inputs!$D$25=0,NA(),Inputs!$C$25+Inputs!$B$12*Inputs!$B$5*$A100^2/(Inputs!$D$25^2*Inputs!$H$25^4*Inputs!$I$25^2)+Inputs!$G$25*$A100^Inputs!$B$11-Distribution!$B$3)</f>
        <v/>
      </c>
      <c r="E100" s="11">
        <f>IF(Inputs!$D$26=0,NA(),Inputs!$C$26+Inputs!$B$12*Inputs!$B$5*$A100^2/(Inputs!$D$26^2*Inputs!$H$26^4*Inputs!$I$26^2)+Inputs!$G$26*$A100^Inputs!$B$11-Distribution!$B$3)</f>
        <v/>
      </c>
      <c r="F100" s="11">
        <f>IF(Inputs!$D$27=0,NA(),Inputs!$C$27+Inputs!$B$12*Inputs!$B$5*$A100^2/(Inputs!$D$27^2*Inputs!$H$27^4*Inputs!$I$27^2)+Inputs!$G$27*$A100^Inputs!$B$11-Distribution!$B$3)</f>
        <v/>
      </c>
      <c r="G100" s="11">
        <f>IF(Inputs!$D$28=0,NA(),Inputs!$C$28+Inputs!$B$12*Inputs!$B$5*$A100^2/(Inputs!$D$28^2*Inputs!$H$28^4*Inputs!$I$28^2)+Inputs!$G$28*$A100^Inputs!$B$11-Distribution!$B$3)</f>
        <v/>
      </c>
      <c r="H100" s="11">
        <f>IF(Inputs!$D$29=0,NA(),Inputs!$C$29+Inputs!$B$12*Inputs!$B$5*$A100^2/(Inputs!$D$29^2*Inputs!$H$29^4*Inputs!$I$29^2)+Inputs!$G$29*$A100^Inputs!$B$11-Distribution!$B$3)</f>
        <v/>
      </c>
      <c r="I100" s="11">
        <f>IF(Inputs!$D$30=0,NA(),Inputs!$C$30+Inputs!$B$12*Inputs!$B$5*$A100^2/(Inputs!$D$30^2*Inputs!$H$30^4*Inputs!$I$30^2)+Inputs!$G$30*$A100^Inputs!$B$11-Distribution!$B$3)</f>
        <v/>
      </c>
      <c r="J100" s="11">
        <f>IF(Inputs!$D$31=0,NA(),Inputs!$C$31+Inputs!$B$12*Inputs!$B$5*$A100^2/(Inputs!$D$31^2*Inputs!$H$31^4*Inputs!$I$31^2)+Inputs!$G$31*$A100^Inputs!$B$11-Distribution!$B$3)</f>
        <v/>
      </c>
      <c r="K100" s="11">
        <f>IF(Inputs!$D$32=0,NA(),Inputs!$C$32+Inputs!$B$12*Inputs!$B$5*$A100^2/(Inputs!$D$32^2*Inputs!$H$32^4*Inputs!$I$32^2)+Inputs!$G$32*$A100^Inputs!$B$11-Distribution!$B$3)</f>
        <v/>
      </c>
      <c r="L100" s="11">
        <f>IF(Inputs!$D$33=0,NA(),Inputs!$C$33+Inputs!$B$12*Inputs!$B$5*$A100^2/(Inputs!$D$33^2*Inputs!$H$33^4*Inputs!$I$33^2)+Inputs!$G$33*$A100^Inputs!$B$11-Distribution!$B$3)</f>
        <v/>
      </c>
      <c r="M100" s="11">
        <f>IF(Inputs!$D$34=0,NA(),Inputs!$C$34+Inputs!$B$12*Inputs!$B$5*$A100^2/(Inputs!$D$34^2*Inputs!$H$34^4*Inputs!$I$34^2)+Inputs!$G$34*$A100^Inputs!$B$11-Distribution!$B$3)</f>
        <v/>
      </c>
      <c r="N100" s="11">
        <f>Distribution!$B$9-Distribution!$B$3</f>
        <v/>
      </c>
    </row>
    <row r="101">
      <c r="A101" s="11">
        <f>2.2*Inputs!$B$20*96/100</f>
        <v/>
      </c>
      <c r="B101" s="11">
        <f>IF(Inputs!$D$23=0,NA(),Inputs!$C$23+Inputs!$B$12*Inputs!$B$5*$A101^2/(Inputs!$D$23^2*Inputs!$H$23^4*Inputs!$I$23^2)+Inputs!$G$23*$A101^Inputs!$B$11-Distribution!$B$3)</f>
        <v/>
      </c>
      <c r="C101" s="11">
        <f>IF(Inputs!$D$24=0,NA(),Inputs!$C$24+Inputs!$B$12*Inputs!$B$5*$A101^2/(Inputs!$D$24^2*Inputs!$H$24^4*Inputs!$I$24^2)+Inputs!$G$24*$A101^Inputs!$B$11-Distribution!$B$3)</f>
        <v/>
      </c>
      <c r="D101" s="11">
        <f>IF(Inputs!$D$25=0,NA(),Inputs!$C$25+Inputs!$B$12*Inputs!$B$5*$A101^2/(Inputs!$D$25^2*Inputs!$H$25^4*Inputs!$I$25^2)+Inputs!$G$25*$A101^Inputs!$B$11-Distribution!$B$3)</f>
        <v/>
      </c>
      <c r="E101" s="11">
        <f>IF(Inputs!$D$26=0,NA(),Inputs!$C$26+Inputs!$B$12*Inputs!$B$5*$A101^2/(Inputs!$D$26^2*Inputs!$H$26^4*Inputs!$I$26^2)+Inputs!$G$26*$A101^Inputs!$B$11-Distribution!$B$3)</f>
        <v/>
      </c>
      <c r="F101" s="11">
        <f>IF(Inputs!$D$27=0,NA(),Inputs!$C$27+Inputs!$B$12*Inputs!$B$5*$A101^2/(Inputs!$D$27^2*Inputs!$H$27^4*Inputs!$I$27^2)+Inputs!$G$27*$A101^Inputs!$B$11-Distribution!$B$3)</f>
        <v/>
      </c>
      <c r="G101" s="11">
        <f>IF(Inputs!$D$28=0,NA(),Inputs!$C$28+Inputs!$B$12*Inputs!$B$5*$A101^2/(Inputs!$D$28^2*Inputs!$H$28^4*Inputs!$I$28^2)+Inputs!$G$28*$A101^Inputs!$B$11-Distribution!$B$3)</f>
        <v/>
      </c>
      <c r="H101" s="11">
        <f>IF(Inputs!$D$29=0,NA(),Inputs!$C$29+Inputs!$B$12*Inputs!$B$5*$A101^2/(Inputs!$D$29^2*Inputs!$H$29^4*Inputs!$I$29^2)+Inputs!$G$29*$A101^Inputs!$B$11-Distribution!$B$3)</f>
        <v/>
      </c>
      <c r="I101" s="11">
        <f>IF(Inputs!$D$30=0,NA(),Inputs!$C$30+Inputs!$B$12*Inputs!$B$5*$A101^2/(Inputs!$D$30^2*Inputs!$H$30^4*Inputs!$I$30^2)+Inputs!$G$30*$A101^Inputs!$B$11-Distribution!$B$3)</f>
        <v/>
      </c>
      <c r="J101" s="11">
        <f>IF(Inputs!$D$31=0,NA(),Inputs!$C$31+Inputs!$B$12*Inputs!$B$5*$A101^2/(Inputs!$D$31^2*Inputs!$H$31^4*Inputs!$I$31^2)+Inputs!$G$31*$A101^Inputs!$B$11-Distribution!$B$3)</f>
        <v/>
      </c>
      <c r="K101" s="11">
        <f>IF(Inputs!$D$32=0,NA(),Inputs!$C$32+Inputs!$B$12*Inputs!$B$5*$A101^2/(Inputs!$D$32^2*Inputs!$H$32^4*Inputs!$I$32^2)+Inputs!$G$32*$A101^Inputs!$B$11-Distribution!$B$3)</f>
        <v/>
      </c>
      <c r="L101" s="11">
        <f>IF(Inputs!$D$33=0,NA(),Inputs!$C$33+Inputs!$B$12*Inputs!$B$5*$A101^2/(Inputs!$D$33^2*Inputs!$H$33^4*Inputs!$I$33^2)+Inputs!$G$33*$A101^Inputs!$B$11-Distribution!$B$3)</f>
        <v/>
      </c>
      <c r="M101" s="11">
        <f>IF(Inputs!$D$34=0,NA(),Inputs!$C$34+Inputs!$B$12*Inputs!$B$5*$A101^2/(Inputs!$D$34^2*Inputs!$H$34^4*Inputs!$I$34^2)+Inputs!$G$34*$A101^Inputs!$B$11-Distribution!$B$3)</f>
        <v/>
      </c>
      <c r="N101" s="11">
        <f>Distribution!$B$9-Distribution!$B$3</f>
        <v/>
      </c>
    </row>
    <row r="102">
      <c r="A102" s="11">
        <f>2.2*Inputs!$B$20*97/100</f>
        <v/>
      </c>
      <c r="B102" s="11">
        <f>IF(Inputs!$D$23=0,NA(),Inputs!$C$23+Inputs!$B$12*Inputs!$B$5*$A102^2/(Inputs!$D$23^2*Inputs!$H$23^4*Inputs!$I$23^2)+Inputs!$G$23*$A102^Inputs!$B$11-Distribution!$B$3)</f>
        <v/>
      </c>
      <c r="C102" s="11">
        <f>IF(Inputs!$D$24=0,NA(),Inputs!$C$24+Inputs!$B$12*Inputs!$B$5*$A102^2/(Inputs!$D$24^2*Inputs!$H$24^4*Inputs!$I$24^2)+Inputs!$G$24*$A102^Inputs!$B$11-Distribution!$B$3)</f>
        <v/>
      </c>
      <c r="D102" s="11">
        <f>IF(Inputs!$D$25=0,NA(),Inputs!$C$25+Inputs!$B$12*Inputs!$B$5*$A102^2/(Inputs!$D$25^2*Inputs!$H$25^4*Inputs!$I$25^2)+Inputs!$G$25*$A102^Inputs!$B$11-Distribution!$B$3)</f>
        <v/>
      </c>
      <c r="E102" s="11">
        <f>IF(Inputs!$D$26=0,NA(),Inputs!$C$26+Inputs!$B$12*Inputs!$B$5*$A102^2/(Inputs!$D$26^2*Inputs!$H$26^4*Inputs!$I$26^2)+Inputs!$G$26*$A102^Inputs!$B$11-Distribution!$B$3)</f>
        <v/>
      </c>
      <c r="F102" s="11">
        <f>IF(Inputs!$D$27=0,NA(),Inputs!$C$27+Inputs!$B$12*Inputs!$B$5*$A102^2/(Inputs!$D$27^2*Inputs!$H$27^4*Inputs!$I$27^2)+Inputs!$G$27*$A102^Inputs!$B$11-Distribution!$B$3)</f>
        <v/>
      </c>
      <c r="G102" s="11">
        <f>IF(Inputs!$D$28=0,NA(),Inputs!$C$28+Inputs!$B$12*Inputs!$B$5*$A102^2/(Inputs!$D$28^2*Inputs!$H$28^4*Inputs!$I$28^2)+Inputs!$G$28*$A102^Inputs!$B$11-Distribution!$B$3)</f>
        <v/>
      </c>
      <c r="H102" s="11">
        <f>IF(Inputs!$D$29=0,NA(),Inputs!$C$29+Inputs!$B$12*Inputs!$B$5*$A102^2/(Inputs!$D$29^2*Inputs!$H$29^4*Inputs!$I$29^2)+Inputs!$G$29*$A102^Inputs!$B$11-Distribution!$B$3)</f>
        <v/>
      </c>
      <c r="I102" s="11">
        <f>IF(Inputs!$D$30=0,NA(),Inputs!$C$30+Inputs!$B$12*Inputs!$B$5*$A102^2/(Inputs!$D$30^2*Inputs!$H$30^4*Inputs!$I$30^2)+Inputs!$G$30*$A102^Inputs!$B$11-Distribution!$B$3)</f>
        <v/>
      </c>
      <c r="J102" s="11">
        <f>IF(Inputs!$D$31=0,NA(),Inputs!$C$31+Inputs!$B$12*Inputs!$B$5*$A102^2/(Inputs!$D$31^2*Inputs!$H$31^4*Inputs!$I$31^2)+Inputs!$G$31*$A102^Inputs!$B$11-Distribution!$B$3)</f>
        <v/>
      </c>
      <c r="K102" s="11">
        <f>IF(Inputs!$D$32=0,NA(),Inputs!$C$32+Inputs!$B$12*Inputs!$B$5*$A102^2/(Inputs!$D$32^2*Inputs!$H$32^4*Inputs!$I$32^2)+Inputs!$G$32*$A102^Inputs!$B$11-Distribution!$B$3)</f>
        <v/>
      </c>
      <c r="L102" s="11">
        <f>IF(Inputs!$D$33=0,NA(),Inputs!$C$33+Inputs!$B$12*Inputs!$B$5*$A102^2/(Inputs!$D$33^2*Inputs!$H$33^4*Inputs!$I$33^2)+Inputs!$G$33*$A102^Inputs!$B$11-Distribution!$B$3)</f>
        <v/>
      </c>
      <c r="M102" s="11">
        <f>IF(Inputs!$D$34=0,NA(),Inputs!$C$34+Inputs!$B$12*Inputs!$B$5*$A102^2/(Inputs!$D$34^2*Inputs!$H$34^4*Inputs!$I$34^2)+Inputs!$G$34*$A102^Inputs!$B$11-Distribution!$B$3)</f>
        <v/>
      </c>
      <c r="N102" s="11">
        <f>Distribution!$B$9-Distribution!$B$3</f>
        <v/>
      </c>
    </row>
    <row r="103">
      <c r="A103" s="11">
        <f>2.2*Inputs!$B$20*98/100</f>
        <v/>
      </c>
      <c r="B103" s="11">
        <f>IF(Inputs!$D$23=0,NA(),Inputs!$C$23+Inputs!$B$12*Inputs!$B$5*$A103^2/(Inputs!$D$23^2*Inputs!$H$23^4*Inputs!$I$23^2)+Inputs!$G$23*$A103^Inputs!$B$11-Distribution!$B$3)</f>
        <v/>
      </c>
      <c r="C103" s="11">
        <f>IF(Inputs!$D$24=0,NA(),Inputs!$C$24+Inputs!$B$12*Inputs!$B$5*$A103^2/(Inputs!$D$24^2*Inputs!$H$24^4*Inputs!$I$24^2)+Inputs!$G$24*$A103^Inputs!$B$11-Distribution!$B$3)</f>
        <v/>
      </c>
      <c r="D103" s="11">
        <f>IF(Inputs!$D$25=0,NA(),Inputs!$C$25+Inputs!$B$12*Inputs!$B$5*$A103^2/(Inputs!$D$25^2*Inputs!$H$25^4*Inputs!$I$25^2)+Inputs!$G$25*$A103^Inputs!$B$11-Distribution!$B$3)</f>
        <v/>
      </c>
      <c r="E103" s="11">
        <f>IF(Inputs!$D$26=0,NA(),Inputs!$C$26+Inputs!$B$12*Inputs!$B$5*$A103^2/(Inputs!$D$26^2*Inputs!$H$26^4*Inputs!$I$26^2)+Inputs!$G$26*$A103^Inputs!$B$11-Distribution!$B$3)</f>
        <v/>
      </c>
      <c r="F103" s="11">
        <f>IF(Inputs!$D$27=0,NA(),Inputs!$C$27+Inputs!$B$12*Inputs!$B$5*$A103^2/(Inputs!$D$27^2*Inputs!$H$27^4*Inputs!$I$27^2)+Inputs!$G$27*$A103^Inputs!$B$11-Distribution!$B$3)</f>
        <v/>
      </c>
      <c r="G103" s="11">
        <f>IF(Inputs!$D$28=0,NA(),Inputs!$C$28+Inputs!$B$12*Inputs!$B$5*$A103^2/(Inputs!$D$28^2*Inputs!$H$28^4*Inputs!$I$28^2)+Inputs!$G$28*$A103^Inputs!$B$11-Distribution!$B$3)</f>
        <v/>
      </c>
      <c r="H103" s="11">
        <f>IF(Inputs!$D$29=0,NA(),Inputs!$C$29+Inputs!$B$12*Inputs!$B$5*$A103^2/(Inputs!$D$29^2*Inputs!$H$29^4*Inputs!$I$29^2)+Inputs!$G$29*$A103^Inputs!$B$11-Distribution!$B$3)</f>
        <v/>
      </c>
      <c r="I103" s="11">
        <f>IF(Inputs!$D$30=0,NA(),Inputs!$C$30+Inputs!$B$12*Inputs!$B$5*$A103^2/(Inputs!$D$30^2*Inputs!$H$30^4*Inputs!$I$30^2)+Inputs!$G$30*$A103^Inputs!$B$11-Distribution!$B$3)</f>
        <v/>
      </c>
      <c r="J103" s="11">
        <f>IF(Inputs!$D$31=0,NA(),Inputs!$C$31+Inputs!$B$12*Inputs!$B$5*$A103^2/(Inputs!$D$31^2*Inputs!$H$31^4*Inputs!$I$31^2)+Inputs!$G$31*$A103^Inputs!$B$11-Distribution!$B$3)</f>
        <v/>
      </c>
      <c r="K103" s="11">
        <f>IF(Inputs!$D$32=0,NA(),Inputs!$C$32+Inputs!$B$12*Inputs!$B$5*$A103^2/(Inputs!$D$32^2*Inputs!$H$32^4*Inputs!$I$32^2)+Inputs!$G$32*$A103^Inputs!$B$11-Distribution!$B$3)</f>
        <v/>
      </c>
      <c r="L103" s="11">
        <f>IF(Inputs!$D$33=0,NA(),Inputs!$C$33+Inputs!$B$12*Inputs!$B$5*$A103^2/(Inputs!$D$33^2*Inputs!$H$33^4*Inputs!$I$33^2)+Inputs!$G$33*$A103^Inputs!$B$11-Distribution!$B$3)</f>
        <v/>
      </c>
      <c r="M103" s="11">
        <f>IF(Inputs!$D$34=0,NA(),Inputs!$C$34+Inputs!$B$12*Inputs!$B$5*$A103^2/(Inputs!$D$34^2*Inputs!$H$34^4*Inputs!$I$34^2)+Inputs!$G$34*$A103^Inputs!$B$11-Distribution!$B$3)</f>
        <v/>
      </c>
      <c r="N103" s="11">
        <f>Distribution!$B$9-Distribution!$B$3</f>
        <v/>
      </c>
    </row>
    <row r="104">
      <c r="A104" s="11">
        <f>2.2*Inputs!$B$20*99/100</f>
        <v/>
      </c>
      <c r="B104" s="11">
        <f>IF(Inputs!$D$23=0,NA(),Inputs!$C$23+Inputs!$B$12*Inputs!$B$5*$A104^2/(Inputs!$D$23^2*Inputs!$H$23^4*Inputs!$I$23^2)+Inputs!$G$23*$A104^Inputs!$B$11-Distribution!$B$3)</f>
        <v/>
      </c>
      <c r="C104" s="11">
        <f>IF(Inputs!$D$24=0,NA(),Inputs!$C$24+Inputs!$B$12*Inputs!$B$5*$A104^2/(Inputs!$D$24^2*Inputs!$H$24^4*Inputs!$I$24^2)+Inputs!$G$24*$A104^Inputs!$B$11-Distribution!$B$3)</f>
        <v/>
      </c>
      <c r="D104" s="11">
        <f>IF(Inputs!$D$25=0,NA(),Inputs!$C$25+Inputs!$B$12*Inputs!$B$5*$A104^2/(Inputs!$D$25^2*Inputs!$H$25^4*Inputs!$I$25^2)+Inputs!$G$25*$A104^Inputs!$B$11-Distribution!$B$3)</f>
        <v/>
      </c>
      <c r="E104" s="11">
        <f>IF(Inputs!$D$26=0,NA(),Inputs!$C$26+Inputs!$B$12*Inputs!$B$5*$A104^2/(Inputs!$D$26^2*Inputs!$H$26^4*Inputs!$I$26^2)+Inputs!$G$26*$A104^Inputs!$B$11-Distribution!$B$3)</f>
        <v/>
      </c>
      <c r="F104" s="11">
        <f>IF(Inputs!$D$27=0,NA(),Inputs!$C$27+Inputs!$B$12*Inputs!$B$5*$A104^2/(Inputs!$D$27^2*Inputs!$H$27^4*Inputs!$I$27^2)+Inputs!$G$27*$A104^Inputs!$B$11-Distribution!$B$3)</f>
        <v/>
      </c>
      <c r="G104" s="11">
        <f>IF(Inputs!$D$28=0,NA(),Inputs!$C$28+Inputs!$B$12*Inputs!$B$5*$A104^2/(Inputs!$D$28^2*Inputs!$H$28^4*Inputs!$I$28^2)+Inputs!$G$28*$A104^Inputs!$B$11-Distribution!$B$3)</f>
        <v/>
      </c>
      <c r="H104" s="11">
        <f>IF(Inputs!$D$29=0,NA(),Inputs!$C$29+Inputs!$B$12*Inputs!$B$5*$A104^2/(Inputs!$D$29^2*Inputs!$H$29^4*Inputs!$I$29^2)+Inputs!$G$29*$A104^Inputs!$B$11-Distribution!$B$3)</f>
        <v/>
      </c>
      <c r="I104" s="11">
        <f>IF(Inputs!$D$30=0,NA(),Inputs!$C$30+Inputs!$B$12*Inputs!$B$5*$A104^2/(Inputs!$D$30^2*Inputs!$H$30^4*Inputs!$I$30^2)+Inputs!$G$30*$A104^Inputs!$B$11-Distribution!$B$3)</f>
        <v/>
      </c>
      <c r="J104" s="11">
        <f>IF(Inputs!$D$31=0,NA(),Inputs!$C$31+Inputs!$B$12*Inputs!$B$5*$A104^2/(Inputs!$D$31^2*Inputs!$H$31^4*Inputs!$I$31^2)+Inputs!$G$31*$A104^Inputs!$B$11-Distribution!$B$3)</f>
        <v/>
      </c>
      <c r="K104" s="11">
        <f>IF(Inputs!$D$32=0,NA(),Inputs!$C$32+Inputs!$B$12*Inputs!$B$5*$A104^2/(Inputs!$D$32^2*Inputs!$H$32^4*Inputs!$I$32^2)+Inputs!$G$32*$A104^Inputs!$B$11-Distribution!$B$3)</f>
        <v/>
      </c>
      <c r="L104" s="11">
        <f>IF(Inputs!$D$33=0,NA(),Inputs!$C$33+Inputs!$B$12*Inputs!$B$5*$A104^2/(Inputs!$D$33^2*Inputs!$H$33^4*Inputs!$I$33^2)+Inputs!$G$33*$A104^Inputs!$B$11-Distribution!$B$3)</f>
        <v/>
      </c>
      <c r="M104" s="11">
        <f>IF(Inputs!$D$34=0,NA(),Inputs!$C$34+Inputs!$B$12*Inputs!$B$5*$A104^2/(Inputs!$D$34^2*Inputs!$H$34^4*Inputs!$I$34^2)+Inputs!$G$34*$A104^Inputs!$B$11-Distribution!$B$3)</f>
        <v/>
      </c>
      <c r="N104" s="11">
        <f>Distribution!$B$9-Distribution!$B$3</f>
        <v/>
      </c>
    </row>
    <row r="105">
      <c r="A105" s="11">
        <f>2.2*Inputs!$B$20*100/100</f>
        <v/>
      </c>
      <c r="B105" s="11">
        <f>IF(Inputs!$D$23=0,NA(),Inputs!$C$23+Inputs!$B$12*Inputs!$B$5*$A105^2/(Inputs!$D$23^2*Inputs!$H$23^4*Inputs!$I$23^2)+Inputs!$G$23*$A105^Inputs!$B$11-Distribution!$B$3)</f>
        <v/>
      </c>
      <c r="C105" s="11">
        <f>IF(Inputs!$D$24=0,NA(),Inputs!$C$24+Inputs!$B$12*Inputs!$B$5*$A105^2/(Inputs!$D$24^2*Inputs!$H$24^4*Inputs!$I$24^2)+Inputs!$G$24*$A105^Inputs!$B$11-Distribution!$B$3)</f>
        <v/>
      </c>
      <c r="D105" s="11">
        <f>IF(Inputs!$D$25=0,NA(),Inputs!$C$25+Inputs!$B$12*Inputs!$B$5*$A105^2/(Inputs!$D$25^2*Inputs!$H$25^4*Inputs!$I$25^2)+Inputs!$G$25*$A105^Inputs!$B$11-Distribution!$B$3)</f>
        <v/>
      </c>
      <c r="E105" s="11">
        <f>IF(Inputs!$D$26=0,NA(),Inputs!$C$26+Inputs!$B$12*Inputs!$B$5*$A105^2/(Inputs!$D$26^2*Inputs!$H$26^4*Inputs!$I$26^2)+Inputs!$G$26*$A105^Inputs!$B$11-Distribution!$B$3)</f>
        <v/>
      </c>
      <c r="F105" s="11">
        <f>IF(Inputs!$D$27=0,NA(),Inputs!$C$27+Inputs!$B$12*Inputs!$B$5*$A105^2/(Inputs!$D$27^2*Inputs!$H$27^4*Inputs!$I$27^2)+Inputs!$G$27*$A105^Inputs!$B$11-Distribution!$B$3)</f>
        <v/>
      </c>
      <c r="G105" s="11">
        <f>IF(Inputs!$D$28=0,NA(),Inputs!$C$28+Inputs!$B$12*Inputs!$B$5*$A105^2/(Inputs!$D$28^2*Inputs!$H$28^4*Inputs!$I$28^2)+Inputs!$G$28*$A105^Inputs!$B$11-Distribution!$B$3)</f>
        <v/>
      </c>
      <c r="H105" s="11">
        <f>IF(Inputs!$D$29=0,NA(),Inputs!$C$29+Inputs!$B$12*Inputs!$B$5*$A105^2/(Inputs!$D$29^2*Inputs!$H$29^4*Inputs!$I$29^2)+Inputs!$G$29*$A105^Inputs!$B$11-Distribution!$B$3)</f>
        <v/>
      </c>
      <c r="I105" s="11">
        <f>IF(Inputs!$D$30=0,NA(),Inputs!$C$30+Inputs!$B$12*Inputs!$B$5*$A105^2/(Inputs!$D$30^2*Inputs!$H$30^4*Inputs!$I$30^2)+Inputs!$G$30*$A105^Inputs!$B$11-Distribution!$B$3)</f>
        <v/>
      </c>
      <c r="J105" s="11">
        <f>IF(Inputs!$D$31=0,NA(),Inputs!$C$31+Inputs!$B$12*Inputs!$B$5*$A105^2/(Inputs!$D$31^2*Inputs!$H$31^4*Inputs!$I$31^2)+Inputs!$G$31*$A105^Inputs!$B$11-Distribution!$B$3)</f>
        <v/>
      </c>
      <c r="K105" s="11">
        <f>IF(Inputs!$D$32=0,NA(),Inputs!$C$32+Inputs!$B$12*Inputs!$B$5*$A105^2/(Inputs!$D$32^2*Inputs!$H$32^4*Inputs!$I$32^2)+Inputs!$G$32*$A105^Inputs!$B$11-Distribution!$B$3)</f>
        <v/>
      </c>
      <c r="L105" s="11">
        <f>IF(Inputs!$D$33=0,NA(),Inputs!$C$33+Inputs!$B$12*Inputs!$B$5*$A105^2/(Inputs!$D$33^2*Inputs!$H$33^4*Inputs!$I$33^2)+Inputs!$G$33*$A105^Inputs!$B$11-Distribution!$B$3)</f>
        <v/>
      </c>
      <c r="M105" s="11">
        <f>IF(Inputs!$D$34=0,NA(),Inputs!$C$34+Inputs!$B$12*Inputs!$B$5*$A105^2/(Inputs!$D$34^2*Inputs!$H$34^4*Inputs!$I$34^2)+Inputs!$G$34*$A105^Inputs!$B$11-Distribution!$B$3)</f>
        <v/>
      </c>
      <c r="N105" s="11">
        <f>Distribution!$B$9-Distribution!$B$3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2026-10-23T10:54:03Z</dcterms:created>
  <dcterms:modified xmlns:dcterms="http://purl.org/dc/terms/" xmlns:xsi="http://www.w3.org/2001/XMLSchema-instance" xsi:type="dcterms:W3CDTF">2026-10-23T10:54:03Z</dcterms:modified>
</cp:coreProperties>
</file>